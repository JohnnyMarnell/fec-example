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ne\Documents\Special Analysis\"/>
    </mc:Choice>
  </mc:AlternateContent>
  <bookViews>
    <workbookView xWindow="0" yWindow="0" windowWidth="23040" windowHeight="9720" tabRatio="907"/>
  </bookViews>
  <sheets>
    <sheet name="Board &amp; Executives" sheetId="4" r:id="rId1"/>
    <sheet name="Company PAC" sheetId="2" r:id="rId2"/>
    <sheet name="Tim Stone" sheetId="16" r:id="rId3"/>
    <sheet name="James P. Hackett" sheetId="15" r:id="rId4"/>
    <sheet name="Hau Thai-Tang" sheetId="14" r:id="rId5"/>
    <sheet name="John Thornton" sheetId="13" r:id="rId6"/>
    <sheet name="Beth Mooney" sheetId="12" r:id="rId7"/>
    <sheet name="William Kennard" sheetId="11" r:id="rId8"/>
    <sheet name="Jon Huntsman" sheetId="10" r:id="rId9"/>
    <sheet name="William Helman" sheetId="9" r:id="rId10"/>
    <sheet name="William Clay Ford" sheetId="8" r:id="rId11"/>
    <sheet name="Henry Ford III" sheetId="7" r:id="rId12"/>
    <sheet name="Anthony Earley" sheetId="6" r:id="rId13"/>
    <sheet name="Amazon Example" sheetId="5" r:id="rId14"/>
  </sheets>
  <definedNames>
    <definedName name="_xlnm._FilterDatabase" localSheetId="12" hidden="1">'Anthony Earley'!$A$1:$CA$32</definedName>
    <definedName name="_xlnm._FilterDatabase" localSheetId="2" hidden="1">'Tim Stone'!$A$1:$CA$11</definedName>
  </definedNames>
  <calcPr calcId="152511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  <pivotCache cacheId="9" r:id="rId24"/>
  </pivotCaches>
</workbook>
</file>

<file path=xl/calcChain.xml><?xml version="1.0" encoding="utf-8"?>
<calcChain xmlns="http://schemas.openxmlformats.org/spreadsheetml/2006/main">
  <c r="N22" i="4" l="1"/>
  <c r="M22" i="4"/>
  <c r="L22" i="4"/>
  <c r="V13" i="16"/>
  <c r="V17" i="15"/>
  <c r="F15" i="16"/>
  <c r="G44" i="2"/>
  <c r="F21" i="15"/>
  <c r="C22" i="14"/>
  <c r="V16" i="14"/>
  <c r="M20" i="4"/>
  <c r="L20" i="4"/>
  <c r="L19" i="4"/>
  <c r="M19" i="4"/>
  <c r="L17" i="4"/>
  <c r="M17" i="4"/>
  <c r="V134" i="13" l="1"/>
  <c r="Y54" i="12"/>
  <c r="W7" i="11"/>
  <c r="M10" i="4"/>
  <c r="L10" i="4"/>
  <c r="B17" i="11"/>
  <c r="V5" i="10"/>
  <c r="M9" i="4"/>
  <c r="V9" i="9"/>
  <c r="V9" i="8"/>
  <c r="V34" i="6"/>
  <c r="V17" i="7"/>
  <c r="N6" i="4"/>
  <c r="L6" i="4"/>
  <c r="B30" i="7"/>
  <c r="M12" i="4"/>
  <c r="L11" i="4"/>
  <c r="B16" i="11"/>
  <c r="B15" i="11"/>
  <c r="L8" i="4"/>
  <c r="B16" i="8"/>
  <c r="B18" i="8"/>
  <c r="B17" i="8"/>
  <c r="B29" i="7"/>
  <c r="B28" i="7"/>
  <c r="L3" i="4"/>
  <c r="M7" i="4" l="1"/>
  <c r="B19" i="8"/>
  <c r="N7" i="4"/>
  <c r="L7" i="4"/>
</calcChain>
</file>

<file path=xl/sharedStrings.xml><?xml version="1.0" encoding="utf-8"?>
<sst xmlns="http://schemas.openxmlformats.org/spreadsheetml/2006/main" count="11197" uniqueCount="2528">
  <si>
    <t>N</t>
  </si>
  <si>
    <t>R</t>
  </si>
  <si>
    <t>Republican</t>
  </si>
  <si>
    <t>Independent</t>
  </si>
  <si>
    <t>Democratic</t>
  </si>
  <si>
    <t>Age</t>
  </si>
  <si>
    <t>Political Affiliation</t>
  </si>
  <si>
    <t>State</t>
  </si>
  <si>
    <t>%Republican</t>
  </si>
  <si>
    <t>%Democrat</t>
  </si>
  <si>
    <t>Employer</t>
  </si>
  <si>
    <t>Company</t>
  </si>
  <si>
    <t>Board</t>
  </si>
  <si>
    <t>Exec</t>
  </si>
  <si>
    <t>Fname</t>
  </si>
  <si>
    <t>MI</t>
  </si>
  <si>
    <t>Lname</t>
  </si>
  <si>
    <t>Gender</t>
  </si>
  <si>
    <t>DOB</t>
  </si>
  <si>
    <t>Dem </t>
  </si>
  <si>
    <t>Rep </t>
  </si>
  <si>
    <t>Reg</t>
  </si>
  <si>
    <t>Address</t>
  </si>
  <si>
    <t>Amazon</t>
  </si>
  <si>
    <t>Y</t>
  </si>
  <si>
    <t>Jeffrey</t>
  </si>
  <si>
    <t>P</t>
  </si>
  <si>
    <t>Bezos</t>
  </si>
  <si>
    <t>M</t>
  </si>
  <si>
    <t>WA</t>
  </si>
  <si>
    <t>Seattle</t>
  </si>
  <si>
    <t>Keith</t>
  </si>
  <si>
    <t>B</t>
  </si>
  <si>
    <t>Alexander</t>
  </si>
  <si>
    <t>Seattle 98109</t>
  </si>
  <si>
    <t>Wilmer Cutler Pickering</t>
  </si>
  <si>
    <t>Jamie</t>
  </si>
  <si>
    <t>S</t>
  </si>
  <si>
    <t>Gorelick</t>
  </si>
  <si>
    <t>F</t>
  </si>
  <si>
    <t>DC</t>
  </si>
  <si>
    <t>Cambridge 02138</t>
  </si>
  <si>
    <t>MIT</t>
  </si>
  <si>
    <t>Daniel</t>
  </si>
  <si>
    <t>Huttenlocher</t>
  </si>
  <si>
    <t>MA</t>
  </si>
  <si>
    <t>MTV</t>
  </si>
  <si>
    <t>Judith</t>
  </si>
  <si>
    <t>A</t>
  </si>
  <si>
    <t>McGrath</t>
  </si>
  <si>
    <t>NY</t>
  </si>
  <si>
    <t>Pepsico</t>
  </si>
  <si>
    <t>Indra</t>
  </si>
  <si>
    <t>K</t>
  </si>
  <si>
    <t>Nooyi</t>
  </si>
  <si>
    <t>CT</t>
  </si>
  <si>
    <t>.</t>
  </si>
  <si>
    <t>Jonathan</t>
  </si>
  <si>
    <t>J</t>
  </si>
  <si>
    <t>Rubinstein</t>
  </si>
  <si>
    <t>Thomas</t>
  </si>
  <si>
    <t>O</t>
  </si>
  <si>
    <t>Ryder</t>
  </si>
  <si>
    <t>Patricia</t>
  </si>
  <si>
    <t>Q</t>
  </si>
  <si>
    <t>Stonesifer</t>
  </si>
  <si>
    <t>Wendell</t>
  </si>
  <si>
    <t>Weeks</t>
  </si>
  <si>
    <t>Brian</t>
  </si>
  <si>
    <t>T</t>
  </si>
  <si>
    <t>Olsavsky</t>
  </si>
  <si>
    <t>Mercer Island, WA</t>
  </si>
  <si>
    <t>David</t>
  </si>
  <si>
    <t>H</t>
  </si>
  <si>
    <t>Clark</t>
  </si>
  <si>
    <t>Andrew</t>
  </si>
  <si>
    <t>Jassy</t>
  </si>
  <si>
    <t>Zapolsky</t>
  </si>
  <si>
    <t>Neutral</t>
  </si>
  <si>
    <t>FORD</t>
  </si>
  <si>
    <t>Kimberly</t>
  </si>
  <si>
    <t>Casiano</t>
  </si>
  <si>
    <t>President Kimberly Casiano &amp; Associates,</t>
  </si>
  <si>
    <t>Puerto Rico</t>
  </si>
  <si>
    <t>Anthony</t>
  </si>
  <si>
    <t xml:space="preserve"> Earley, Jr</t>
  </si>
  <si>
    <t xml:space="preserve"> F.</t>
  </si>
  <si>
    <t xml:space="preserve">Retired Executive Chairman of the Board Director PG&amp;E Corporation </t>
  </si>
  <si>
    <t>Alexandra</t>
  </si>
  <si>
    <t>English</t>
  </si>
  <si>
    <t xml:space="preserve">Ford </t>
  </si>
  <si>
    <t>A Director of Corporate Strategy, Ford Motor Company</t>
  </si>
  <si>
    <t>James</t>
  </si>
  <si>
    <t xml:space="preserve"> D.</t>
  </si>
  <si>
    <t xml:space="preserve"> Farley, Jr</t>
  </si>
  <si>
    <t>President and Chief Executive Officer, Ford Motor Company</t>
  </si>
  <si>
    <t>Henry</t>
  </si>
  <si>
    <t xml:space="preserve"> Ford III</t>
  </si>
  <si>
    <t>A Director of Investor Relations, Ford Motor Company</t>
  </si>
  <si>
    <t>William</t>
  </si>
  <si>
    <t xml:space="preserve"> Clay</t>
  </si>
  <si>
    <t xml:space="preserve"> Ford, Jr</t>
  </si>
  <si>
    <t>Executive Chairman and Chairman of the Board Ford Motor Company</t>
  </si>
  <si>
    <t xml:space="preserve"> W.</t>
  </si>
  <si>
    <t xml:space="preserve"> Helman IV</t>
  </si>
  <si>
    <t>General Partner, Greylock Partners</t>
  </si>
  <si>
    <t>Jon</t>
  </si>
  <si>
    <t xml:space="preserve"> M.</t>
  </si>
  <si>
    <t xml:space="preserve"> Huntsman, Jr</t>
  </si>
  <si>
    <t>Former Chairman, Atlantic Council and Former Chairman, Huntsman Cancer Foun</t>
  </si>
  <si>
    <t xml:space="preserve"> E</t>
  </si>
  <si>
    <t>. Kennard</t>
  </si>
  <si>
    <t>Beth</t>
  </si>
  <si>
    <t xml:space="preserve"> E.</t>
  </si>
  <si>
    <t xml:space="preserve"> Mooney</t>
  </si>
  <si>
    <t>Chairman, Velocitas Partners LLC</t>
  </si>
  <si>
    <t>Retired Chairman and Chief Executive Officer, KeyCorp</t>
  </si>
  <si>
    <t>John</t>
  </si>
  <si>
    <t xml:space="preserve"> L.</t>
  </si>
  <si>
    <t xml:space="preserve"> Thornton</t>
  </si>
  <si>
    <t>Executive Chairman, Barrick Gold Corporation</t>
  </si>
  <si>
    <t xml:space="preserve">John </t>
  </si>
  <si>
    <t>B.</t>
  </si>
  <si>
    <t xml:space="preserve"> Veihmeyer</t>
  </si>
  <si>
    <t>Retired Chairman and Chief Executive Officer, KPMG, LLP and retired Chairman of KPMG International</t>
  </si>
  <si>
    <t>Lynn</t>
  </si>
  <si>
    <t xml:space="preserve"> Vojvodich</t>
  </si>
  <si>
    <t>Former Executive Vice President &amp; Chief Marketing Officer, Salesforce</t>
  </si>
  <si>
    <t xml:space="preserve"> S.</t>
  </si>
  <si>
    <t xml:space="preserve"> Weinberg</t>
  </si>
  <si>
    <t>Co-Chief Executive Officer and Co-Chairman of the Board of Directors, Evercore Partners Inc.</t>
  </si>
  <si>
    <t xml:space="preserve"> T.</t>
  </si>
  <si>
    <t xml:space="preserve"> Lawler</t>
  </si>
  <si>
    <t>Chief Financial Officer</t>
  </si>
  <si>
    <t xml:space="preserve">Hau </t>
  </si>
  <si>
    <t>Thai-Tang</t>
  </si>
  <si>
    <t>Chief Product Platform &amp; Operations Officer</t>
  </si>
  <si>
    <t xml:space="preserve">Ashwani </t>
  </si>
  <si>
    <t>‘‘Kumar’’</t>
  </si>
  <si>
    <t xml:space="preserve"> Galhotra</t>
  </si>
  <si>
    <t>President Americas and International Markets</t>
  </si>
  <si>
    <t xml:space="preserve"> P.</t>
  </si>
  <si>
    <t xml:space="preserve"> Hackett</t>
  </si>
  <si>
    <t>Former Presidernt and CEO</t>
  </si>
  <si>
    <t>Former Chief Financial Officer</t>
  </si>
  <si>
    <t>Tim</t>
  </si>
  <si>
    <t>Stone</t>
  </si>
  <si>
    <t>committee_name</t>
  </si>
  <si>
    <t>AMERICAN MEDICAL ASSOCIATION POLITICAL ACTION COMMITTEE</t>
  </si>
  <si>
    <t>DCCC</t>
  </si>
  <si>
    <t>MICHIGAN DOCTORS POLITICAL ACTION COMMITTEE - MICHIGAN STATE MEDICAL SOCIETY</t>
  </si>
  <si>
    <t>REPUBLICAN PARTY OF VIRGINIA INC</t>
  </si>
  <si>
    <t>REPUBLICAN PARTY OF MINNESOTA - FEDERAL</t>
  </si>
  <si>
    <t>UAW - V - CAP (UAW VOLUNTARY COMMUNITY ACTION PROGRAM)</t>
  </si>
  <si>
    <t>MAINE REPUBLICAN PARTY</t>
  </si>
  <si>
    <t>REPUBLICAN NATIONAL COMMITTEE</t>
  </si>
  <si>
    <t>NATIONAL RESTAURANT ASSOCIATION PAC (RESTAURANT PAC)</t>
  </si>
  <si>
    <t>NEBRASKA DEMOCRATIC PARTY</t>
  </si>
  <si>
    <t>KANSAS REPUBLICAN PARTY</t>
  </si>
  <si>
    <t>DEMOCRATIC EXECUTIVE COMMITTEE OF FLORIDA</t>
  </si>
  <si>
    <t>WYOMING REPUBLICAN PARTY, INC.</t>
  </si>
  <si>
    <t>ILLINOIS REPUBLICAN PARTY - FEDERAL</t>
  </si>
  <si>
    <t>INDIANA REPUBLICAN STATE COMMITTEE, INC.</t>
  </si>
  <si>
    <t>MONTANA REPUBLICAN STATE CENTRAL COMMITTEE</t>
  </si>
  <si>
    <t>ARIZONA REPUBLICAN PARTY</t>
  </si>
  <si>
    <t>MISSOURI REPUBLICAN STATE COMMITTEE-FEDERAL</t>
  </si>
  <si>
    <t>DNC SERVICES CORP / DEMOCRATIC NATIONAL COMMITTEE</t>
  </si>
  <si>
    <t>KENTUCKY STATE DEMOCRATIC CENTRAL EXECUTIVE COMMITTEE</t>
  </si>
  <si>
    <t>ALASKANS FOR DON YOUNG</t>
  </si>
  <si>
    <t>AMERICAN PHYSICAL THERAPY ASSOCIATION PHYSICAL THERAPY POLITICAL ACTION COMMITTEE (PT-PAC)</t>
  </si>
  <si>
    <t>REPUBLICAN PARTY OF IOWA</t>
  </si>
  <si>
    <t>OHIO DEMOCRATIC PARTY</t>
  </si>
  <si>
    <t>DEMOCRATIC PARTY OF WISCONSIN</t>
  </si>
  <si>
    <t>REPUBLICAN CAMPAIGN COMMITTEE OF NEW MEXICO</t>
  </si>
  <si>
    <t>INDEPENDENT INSURANCE AGENTS &amp; BROKERS OF AMERICA, INC. POLITICAL ACTION COMMITTEE (INSURPAC)</t>
  </si>
  <si>
    <t>AMERICAN ASSOCIATION FOR JUSTICE POLITICAL ACTION COMMITTEE (AAJ PAC)</t>
  </si>
  <si>
    <t>VERMONT DEMOCRATIC PARTY</t>
  </si>
  <si>
    <t>MINNESOTA DEMOCRATIC-FARMER-LABOR PARTY</t>
  </si>
  <si>
    <t>NRSC</t>
  </si>
  <si>
    <t>NATIONAL ASSOCIATION OF REALTORS POLITICAL ACTION COMMITTEE</t>
  </si>
  <si>
    <t>MICHIGAN DEMOCRATIC STATE CENTRAL COMMITTEE</t>
  </si>
  <si>
    <t>NEBRASKA REPUBLICAN PARTY</t>
  </si>
  <si>
    <t>COLORADO REPUBLICAN COMMITTEE</t>
  </si>
  <si>
    <t>NORTH CAROLINA REPUBLICAN PARTY</t>
  </si>
  <si>
    <t>OAKLAND COUNTY DEMOCRATIC PARTY</t>
  </si>
  <si>
    <t>NATIONAL AUTOMOBILE DEALERS ASSOCIATION POLITICAL ACTION COMMITTEE</t>
  </si>
  <si>
    <t>MICHIGAN REPUBLICAN PARTY</t>
  </si>
  <si>
    <t>GEORGIA FEDERAL ELECTIONS COMMITTEE</t>
  </si>
  <si>
    <t>DSCC</t>
  </si>
  <si>
    <t>REPUBLICAN FEDERAL COMMITTEE OF PENNSYLVANIA</t>
  </si>
  <si>
    <t>FORD MOTOR COMPANY CIVIC ACTION FUND</t>
  </si>
  <si>
    <t>NATIONAL RIFLE ASSOCIATION OF AMERICA POLITICAL VICTORY FUND</t>
  </si>
  <si>
    <t>NY REPUBLICAN FEDERAL CAMPAIGN COMMITTEE</t>
  </si>
  <si>
    <t>WINE INSTITUTE PAC</t>
  </si>
  <si>
    <t>LEAHY FOR U.S. SENATOR COMMITTEE</t>
  </si>
  <si>
    <t>DOLLARS FOR DEMOCRATS</t>
  </si>
  <si>
    <t>REPUBLICAN PARTY OF WISCONSIN</t>
  </si>
  <si>
    <t>NRCC</t>
  </si>
  <si>
    <t>CHAMBER OF COMMERCE OF THE UNITED STATES OF AMERICA PAC (US CHAMBER PAC)</t>
  </si>
  <si>
    <t>ASSOCIATED GENERAL CONTRACTORS OF AMERICA POLITICAL ACTION COMMITTEE</t>
  </si>
  <si>
    <t>NEVADA REPUBLICAN CENTRAL COMMITTEE</t>
  </si>
  <si>
    <t>GEORGIA BANKERS ASSOCIATION PAC</t>
  </si>
  <si>
    <t>FRIENDS OF CHRIS SMITH</t>
  </si>
  <si>
    <t>REPUBLICAN PARTY OF FLORIDA</t>
  </si>
  <si>
    <t>TEXAS DEMOCRATIC PARTY</t>
  </si>
  <si>
    <t>NATIONAL FEDERATION OF INDEPENDENT BUSINESS FEDERAL POLITICAL ACTION COMMITTEE</t>
  </si>
  <si>
    <t>NEW JERSEY DEMOCRATIC STATE COMMITTEE</t>
  </si>
  <si>
    <t>AMERICAN HOSPITAL ASSOCIATION PAC</t>
  </si>
  <si>
    <t>AIRCRAFT OWNERS AND PILOTS ASSOCIATION POLITICAL ACTION COMMITTEE</t>
  </si>
  <si>
    <t>MISSOURI DEMOCRATIC STATE COMMITTEE</t>
  </si>
  <si>
    <t>NEW HAMPSHIRE REPUBLICAN STATE COMMITTEE</t>
  </si>
  <si>
    <t>ARCHIPAC  -THE AMERICAN INSTITUTE OF ARCHITECTS</t>
  </si>
  <si>
    <t>MICHIGAN CREDIT UNION LEAGUE LEGISLATIVE ACTION FUND</t>
  </si>
  <si>
    <t>NATIONAL EMERGENCY MEDICINE POLITICAL ACTION COMMITTEE / AMERICAN COLLEGE OF EMERGENCY PHYSICIANS</t>
  </si>
  <si>
    <t>CALIFORNIA REPUBLICAN PARTY FEDERAL ACCT.</t>
  </si>
  <si>
    <t>REPUBLICAN PARTY OF TEXAS</t>
  </si>
  <si>
    <t>CONGRESSIONAL BLACK CAUCUS PAC</t>
  </si>
  <si>
    <t>FRIENDS OF DICK DURBIN COMMITTEE</t>
  </si>
  <si>
    <t>GEORGIA REPUBLICAN PARTY INC.</t>
  </si>
  <si>
    <t>OREGON REPUBLICAN PARTY</t>
  </si>
  <si>
    <t>DEMOCRATIC PARTY OF VIRGINIA</t>
  </si>
  <si>
    <t>REPUBLICAN PARTY OF KENTUCKY</t>
  </si>
  <si>
    <t>COLORADO DEMOCRATIC PARTY</t>
  </si>
  <si>
    <t>OHIO REPUBLICAN PARTY STATE CENTRAL &amp; EXECUTIVE COMMITTEE</t>
  </si>
  <si>
    <t>NORTH CAROLINA DEMOCRATIC PARTY - FEDERAL</t>
  </si>
  <si>
    <t>ARIZONA DEMOCRATIC PARTY</t>
  </si>
  <si>
    <t>PENNSYLVANIA DEMOCRATIC PARTY</t>
  </si>
  <si>
    <t>AMERICAN ASSOCIATION OF NURSE ANESTHETISTS SEPARATE SEGREGATED FUND (CRNA-PAC)</t>
  </si>
  <si>
    <t>NEW HAMPSHIRE DEMOCRATIC PARTY</t>
  </si>
  <si>
    <t>REPUBLICAN PARTY OF LOUISIANA</t>
  </si>
  <si>
    <t>DEMOCRATIC PARTY OF OREGON</t>
  </si>
  <si>
    <t>MCCONNELL SENATE COMMITTEE</t>
  </si>
  <si>
    <t>EMILY'S LIST</t>
  </si>
  <si>
    <t>AUTOMOBILE CLUB OF MICHIGAN POLITICAL ACTION COMMITTEE</t>
  </si>
  <si>
    <t>UPTON FOR ALL OF US</t>
  </si>
  <si>
    <t>FRIENDS OF JIM INHOFE</t>
  </si>
  <si>
    <t>NEVADA STATE DEMOCRATIC PARTY</t>
  </si>
  <si>
    <t>NANCY PELOSI FOR CONGRESS</t>
  </si>
  <si>
    <t>PHILIP A. HART DEMOCRATIC CLUB</t>
  </si>
  <si>
    <t>PALLONE FOR CONGRESS</t>
  </si>
  <si>
    <t>HUMAN RIGHTS CAMPAIGN PAC</t>
  </si>
  <si>
    <t>ENGEL FOR CONGRESS</t>
  </si>
  <si>
    <t>PAKISTANI AMERICAN PUBLIC AFFAIRS COMMITTEE PAK-PAC</t>
  </si>
  <si>
    <t>AUTOMOTIVE FREE INTERNATIONAL TRADE PAC</t>
  </si>
  <si>
    <t>ALASKA REPUBLICAN PARTY</t>
  </si>
  <si>
    <t>LIBERTARIAN NATIONAL COMMITTEE, INC.</t>
  </si>
  <si>
    <t>AMERICAN SOCIETY OF ANESTHESIOLOGISTS POLITICAL ACTION COMMITTEE (ASA PAC)</t>
  </si>
  <si>
    <t>SONOMA COUNTY REPUBLICAN CENTRAL COMMITTEE (FEDERAL)</t>
  </si>
  <si>
    <t>KEN CALVERT FOR CONGRESS COMMITTEE</t>
  </si>
  <si>
    <t>PEOPLE FOR PATTY MURRAY</t>
  </si>
  <si>
    <t>COMMITTEE TO RE-ELECT NYDIA M. VELAZQUEZ TO CONGRESS</t>
  </si>
  <si>
    <t>AMERIPAC: THE FUND FOR A GREATER AMERICA</t>
  </si>
  <si>
    <t>MALONEY FOR CONGRESS</t>
  </si>
  <si>
    <t>CITIZENS UNITED POLITICAL VICTORY FUND</t>
  </si>
  <si>
    <t>MADISON PROJECT INC.</t>
  </si>
  <si>
    <t>PETE SESSIONS FOR CONGRESS</t>
  </si>
  <si>
    <t>AMERICAN ACADEMY OF OTOLARYNGOLOGY-HEAD AND NECK SURGERY ENT PAC</t>
  </si>
  <si>
    <t>WYDEN FOR SENATE</t>
  </si>
  <si>
    <t>LYNDON LAROUCHE POLITICAL ACTION COMMITTEE</t>
  </si>
  <si>
    <t>KAY GRANGER CAMPAIGN FUND</t>
  </si>
  <si>
    <t>KIND FOR CONGRESS COMMITTEE</t>
  </si>
  <si>
    <t>COLLINS FOR SENATOR</t>
  </si>
  <si>
    <t>SOCIETY OF THORACIC SURGEONS POLITICAL ACTION COMMITTEE</t>
  </si>
  <si>
    <t>TAMMY BALDWIN FOR SENATE</t>
  </si>
  <si>
    <t>SCHAKOWSKY FOR CONGRESS</t>
  </si>
  <si>
    <t>WALDEN FOR CONGRESS</t>
  </si>
  <si>
    <t>MOVEON.ORG POLITICAL ACTION</t>
  </si>
  <si>
    <t>POLITICAL ACTION COMMITTEE OF THE AMERICAN ASSOCIATION OF ORTHOPAEDIC SURGEONS--PAC OF AAOS</t>
  </si>
  <si>
    <t>AMERICAN COLLEGE OF RADIOLOGY ASSOCIATION PAC</t>
  </si>
  <si>
    <t>SCHIFF FOR CONGRESS</t>
  </si>
  <si>
    <t>PAC TO THE FUTURE</t>
  </si>
  <si>
    <t>STABENOW FOR US SENATE</t>
  </si>
  <si>
    <t>ARAB AMERICAN POLITICAL ACTION COMMITTEE</t>
  </si>
  <si>
    <t>1199 SERVICE EMPLOYEES INT'L UNION FEDERAL POLITICAL ACTION FUND</t>
  </si>
  <si>
    <t>MACOMB COUNTY DEMOCRATIC COMMITTEE</t>
  </si>
  <si>
    <t>MCCOLLUM FOR CONGRESS</t>
  </si>
  <si>
    <t>AMERICAN COLLEGE OF NURSE-MIDWIVES MIDWIVES-PAC</t>
  </si>
  <si>
    <t>GRAVES FOR CONGRESS</t>
  </si>
  <si>
    <t>AMERICAN ACADEMY OF DERMATOLOGY ASSOCIATION POLITICAL ACTION COMMITTEE (SKINPAC)</t>
  </si>
  <si>
    <t>CHC BOLD PAC</t>
  </si>
  <si>
    <t>TEXANS FOR SENATOR JOHN CORNYN INC.</t>
  </si>
  <si>
    <t>DAVID SCOTT FOR CONGRESS</t>
  </si>
  <si>
    <t>DEVIN NUNES CAMPAIGN COMMITTEE</t>
  </si>
  <si>
    <t>JOHN CARTER FOR CONGRESS</t>
  </si>
  <si>
    <t>MICHAEL BURGESS FOR CONGRESS</t>
  </si>
  <si>
    <t>TIM RYAN FOR CONGRESS</t>
  </si>
  <si>
    <t>AMERICAN PSYCHIATRIC ASSOCIATION POLITICAL ACTION COMMITTEE</t>
  </si>
  <si>
    <t>GROUP 1 AUTOMOTIVE INC. PAC</t>
  </si>
  <si>
    <t>CONSUMER TECHNOLOGY ASSOCIATION PAC</t>
  </si>
  <si>
    <t>AMERICAN COLLEGE OF CARDIOLOGY PAC (HEARTPAC)</t>
  </si>
  <si>
    <t>GREAT LAKES PAC</t>
  </si>
  <si>
    <t>MARIO DIAZ-BALART FOR CONGRESS</t>
  </si>
  <si>
    <t>DUTCH RUPPERSBERGER FOR CONGRESS COMMITTEE</t>
  </si>
  <si>
    <t>MARSHA FOR SENATE</t>
  </si>
  <si>
    <t>PROSPERITY ACTION, INC.</t>
  </si>
  <si>
    <t>SOCIETY FOR VASCULAR SURGERY POLITICAL ACTION COMMITTEE</t>
  </si>
  <si>
    <t>AMERICAN COLLEGE OF SURGEONS PROFESSIONAL ASSOCIATION PAC</t>
  </si>
  <si>
    <t>AMERICAN SOCIETY FOR RADIATION ONCOLOGY PAC (''ASTRO-PAC'')</t>
  </si>
  <si>
    <t>DEBBIE WASSERMAN SCHULTZ FOR CONGRESS</t>
  </si>
  <si>
    <t>LOUIE GOHMERT FOR CONGRESS COMMITTEE</t>
  </si>
  <si>
    <t>VIRGINIA FOXX FOR CONGRESS</t>
  </si>
  <si>
    <t>ALAMO PAC</t>
  </si>
  <si>
    <t>CATHY MCMORRIS RODGERS FOR CONGRESS</t>
  </si>
  <si>
    <t>WALBERG FOR CONGRESS</t>
  </si>
  <si>
    <t>TREE CARE INDUSTRY ASSOCIATION, INC PAC (THE VOICE FOR TREES PAC)</t>
  </si>
  <si>
    <t>MCHENRY FOR CONGRESS</t>
  </si>
  <si>
    <t>SCALISE FOR CONGRESS</t>
  </si>
  <si>
    <t>WASHTENAW COUNTY DEMOCRATIC - FEDERAL ACCOUNT</t>
  </si>
  <si>
    <t>ACTBLUE</t>
  </si>
  <si>
    <t>SAN DIEGO COUNTY DEMOCRATIC PARTY (FED. ACCT.)</t>
  </si>
  <si>
    <t>BILIRAKIS FOR CONGRESS</t>
  </si>
  <si>
    <t>MATSUI FOR CONGRESS</t>
  </si>
  <si>
    <t>FRATERNITY &amp; SORORITY POLITICAL ACTION COMMITTEE</t>
  </si>
  <si>
    <t>HEALTH ALLIANCE PLAN PAC</t>
  </si>
  <si>
    <t>FRIENDS OF BERNIE SANDERS</t>
  </si>
  <si>
    <t>VERN BUCHANAN FOR CONGRESS</t>
  </si>
  <si>
    <t>WELCH FOR CONGRESS</t>
  </si>
  <si>
    <t>AMERICAN ASSOCIATION OF NEUROLOGICAL SURGEONS POLITICAL ACTION COMMITTEE (NEUROSURGERYPAC)</t>
  </si>
  <si>
    <t>JIM JORDAN FOR CONGRESS</t>
  </si>
  <si>
    <t>COMMITTEE TO RE-ELECT HENRY HANK JOHNSON</t>
  </si>
  <si>
    <t>KEVIN MCCARTHY FOR CONGRESS</t>
  </si>
  <si>
    <t>HILLSBOROUGH COUNTY REPUBLICAN EXECUTIVE COMMITTEE</t>
  </si>
  <si>
    <t>CLUB FOR GROWTH PAC</t>
  </si>
  <si>
    <t>DUNCAN D. HUNTER FOR CONGRESS</t>
  </si>
  <si>
    <t>AMERICAN ACADEMY OF NEUROLOGY BRAINPAC</t>
  </si>
  <si>
    <t>ANDY HARRIS FOR CONGRESS</t>
  </si>
  <si>
    <t>PETERS FOR MICHIGAN</t>
  </si>
  <si>
    <t>OLSON FOR CONGRESS COMMITTEE</t>
  </si>
  <si>
    <t>LATTA FOR CONGRESS</t>
  </si>
  <si>
    <t>FRIENDS OF MARK WARNER</t>
  </si>
  <si>
    <t>PROMOTING OUR REPUBLICAN TEAM PAC</t>
  </si>
  <si>
    <t>JSTREETPAC</t>
  </si>
  <si>
    <t>LUMMIS FOR WYOMING INC.</t>
  </si>
  <si>
    <t>PEOPLE FOR BEN</t>
  </si>
  <si>
    <t>CITIZENS TO ELECT PHIL ROE TO CONGRESS</t>
  </si>
  <si>
    <t>FRIENDS OF GLENN THOMPSON</t>
  </si>
  <si>
    <t>CONNOLLY FOR CONGRESS</t>
  </si>
  <si>
    <t>HUCK PAC</t>
  </si>
  <si>
    <t>SENATE CONSERVATIVES FUND</t>
  </si>
  <si>
    <t>NATIONAL ASSOCIATION OF ADDICTION TREATMENT PROVIDERS</t>
  </si>
  <si>
    <t>WOLVERINE PAC</t>
  </si>
  <si>
    <t>FEDUP POLITICAL ACTION COMMITTEE AKA FEDUP PAC</t>
  </si>
  <si>
    <t>SHAHEEN FOR SENATE</t>
  </si>
  <si>
    <t>PROGRESSIVE CHANGE CAMPAIGN COMMITTEE</t>
  </si>
  <si>
    <t>TEAM GRAHAM, INC.</t>
  </si>
  <si>
    <t>KINZINGER FOR CONGRESS</t>
  </si>
  <si>
    <t>DELBENE FOR CONGRESS</t>
  </si>
  <si>
    <t>HUIZENGA FOR CONGRESS</t>
  </si>
  <si>
    <t>BILLY LONG FOR CONGRESS</t>
  </si>
  <si>
    <t>CORNYN MAJORITY COMMITTEE</t>
  </si>
  <si>
    <t>JEFF DUNCAN FOR CONGRESS</t>
  </si>
  <si>
    <t>MANN FOR CONGRESS</t>
  </si>
  <si>
    <t>PAUL GOSAR FOR CONGRESS</t>
  </si>
  <si>
    <t>CHUCK FLEISCHMANN FOR CONGRESS COMMITTEE, INC.</t>
  </si>
  <si>
    <t>FRIENDS OF SCOTT DESJARLAIS</t>
  </si>
  <si>
    <t>MO BROOKS FOR CONGRESS</t>
  </si>
  <si>
    <t>VICKY HARTZLER FOR CONGRESS</t>
  </si>
  <si>
    <t>ANDY BARR FOR CONGRESS, INC.</t>
  </si>
  <si>
    <t>BUCSHON FOR CONGRESS</t>
  </si>
  <si>
    <t>DEMOCRACY ENGINE, INC., PAC</t>
  </si>
  <si>
    <t>WALORSKI FOR CONGRESS INC</t>
  </si>
  <si>
    <t>TED DEUTCH FOR CONGRESS COMMITTEE</t>
  </si>
  <si>
    <t>VOTETIPTON.COM</t>
  </si>
  <si>
    <t>JAIME FOR CONGRESS</t>
  </si>
  <si>
    <t>MORGAN GRIFFITH FOR CONGRESS</t>
  </si>
  <si>
    <t>WOMACK FOR CONGRESS COMMITTEE</t>
  </si>
  <si>
    <t>AUSTIN SCOTT FOR CONGRESS INC</t>
  </si>
  <si>
    <t>SMP</t>
  </si>
  <si>
    <t>WOLF PAC</t>
  </si>
  <si>
    <t>LCV VICTORY FUND</t>
  </si>
  <si>
    <t>STEVE DAINES FOR MONTANA</t>
  </si>
  <si>
    <t>CORY GARDNER FOR SENATE</t>
  </si>
  <si>
    <t>AMERICA VOTES ACTION FUND</t>
  </si>
  <si>
    <t>TED CRUZ FOR SENATE</t>
  </si>
  <si>
    <t>BLUMENTHAL FOR CONNECTICUT</t>
  </si>
  <si>
    <t>THE GUARDIAN FUND</t>
  </si>
  <si>
    <t>TED YOHO FOR CONGRESS</t>
  </si>
  <si>
    <t>HOUSE MAJORITY PAC</t>
  </si>
  <si>
    <t>STABENOW VICTORY FUND</t>
  </si>
  <si>
    <t>PRIORITIES USA ACTION</t>
  </si>
  <si>
    <t>SCHNEIDER FOR CONGRESS</t>
  </si>
  <si>
    <t>ROGER WILLIAMS FOR U S CONGRESS COMMITTEE</t>
  </si>
  <si>
    <t>MULLIN FOR CONGRESS</t>
  </si>
  <si>
    <t>FRIENDS OF CHERI BUSTOS</t>
  </si>
  <si>
    <t>VALADAO FOR CONGRESS</t>
  </si>
  <si>
    <t>COTTON FOR SENATE, INC.</t>
  </si>
  <si>
    <t>WARREN DEMOCRATS, INC.</t>
  </si>
  <si>
    <t>COLLINS FOR CONGRESS</t>
  </si>
  <si>
    <t>WEBER FOR CONGRESS</t>
  </si>
  <si>
    <t>DR. RAUL RUIZ FOR CONGRESS</t>
  </si>
  <si>
    <t>FREEDOM FIRST PAC</t>
  </si>
  <si>
    <t>RICK W. ALLEN FOR CONGRESS</t>
  </si>
  <si>
    <t>HUDSON FOR CONGRESS</t>
  </si>
  <si>
    <t>CONGRESSIONAL LEADERSHIP FUND</t>
  </si>
  <si>
    <t>TOM RICE FOR CONGRESS</t>
  </si>
  <si>
    <t>MARC VEASEY CONGRESSIONAL CAMPAIGN COMMITTEE</t>
  </si>
  <si>
    <t>MOTOR CITY PAC</t>
  </si>
  <si>
    <t>FRIENDS OF JOHN DELANEY</t>
  </si>
  <si>
    <t>DOUG LAMALFA COMMITTEE</t>
  </si>
  <si>
    <t>NATIONAL RIGHT TO LIFE VICTORY FUND</t>
  </si>
  <si>
    <t>CARTWRIGHT FOR CONGRESS</t>
  </si>
  <si>
    <t>PATRIOTS FOR PERRY</t>
  </si>
  <si>
    <t>PETE AGUILAR FOR CONGRESS</t>
  </si>
  <si>
    <t>MIDDLE RESOLUTION FEDERAL PAC INC</t>
  </si>
  <si>
    <t>KENNEDY FOR MASSACHUSETTS</t>
  </si>
  <si>
    <t>CONGRESSIONAL PROGRESSIVE CAUCUS PAC</t>
  </si>
  <si>
    <t>L PAC</t>
  </si>
  <si>
    <t>RODNEY FOR CONGRESS</t>
  </si>
  <si>
    <t>SPECIAL OPERATIONS FOR AMERICA</t>
  </si>
  <si>
    <t>SENATE CONSERVATIVES ACTION</t>
  </si>
  <si>
    <t>FRIENDS OF DAVE JOYCE</t>
  </si>
  <si>
    <t>PATRIOTS IN ACTION</t>
  </si>
  <si>
    <t>ROUNDS FOR SENATE</t>
  </si>
  <si>
    <t>CAPITO FOR WEST VIRGINIA</t>
  </si>
  <si>
    <t>TIM SCOTT FOR SENATE</t>
  </si>
  <si>
    <t>GIFFORDS PAC</t>
  </si>
  <si>
    <t>CORY BOOKER FOR SENATE</t>
  </si>
  <si>
    <t>FRIENDS OF DAVID SCHWEIKERT</t>
  </si>
  <si>
    <t>SCHATZ FOR SENATE</t>
  </si>
  <si>
    <t>TEA PARTY PATRIOTS CITIZENS FUND</t>
  </si>
  <si>
    <t>KATHERINE CLARK FOR CONGRESS</t>
  </si>
  <si>
    <t>WALKER 4 NC</t>
  </si>
  <si>
    <t>4 MA PAC</t>
  </si>
  <si>
    <t>BUDDY CARTER FOR CONGRESS</t>
  </si>
  <si>
    <t>BILL CASSIDY FOR US SENATE</t>
  </si>
  <si>
    <t>JODY HICE FOR CONGRESS</t>
  </si>
  <si>
    <t>THE COMMITTEE TO DEFEND THE PRESIDENT</t>
  </si>
  <si>
    <t>HURD FOR CONGRESS</t>
  </si>
  <si>
    <t>YOUNG FOR IOWA, INC.</t>
  </si>
  <si>
    <t>THOM TILLIS COMMITTEE</t>
  </si>
  <si>
    <t>MIKE BOST FOR CONGRESS COMMITTEE</t>
  </si>
  <si>
    <t>JONI FOR IOWA</t>
  </si>
  <si>
    <t>PERDUE FOR SENATE</t>
  </si>
  <si>
    <t>ELISE FOR CONGRESS</t>
  </si>
  <si>
    <t>BEN SASSE FOR U.S. SENATE, INC.</t>
  </si>
  <si>
    <t>MATT ROSENDALE FOR MONTANA</t>
  </si>
  <si>
    <t>EQUALITY PAC</t>
  </si>
  <si>
    <t>FRENCH HILL FOR ARKANSAS</t>
  </si>
  <si>
    <t>HENRY FORD HEALTH SYSTEM GOVERNMENT AFFAIRS SERVICES PAC</t>
  </si>
  <si>
    <t>BRENDA LAWRENCE FOR CONGRESS</t>
  </si>
  <si>
    <t>HOUSE FREEDOM FUND</t>
  </si>
  <si>
    <t>DEBBIE DINGELL FOR CONGRESS</t>
  </si>
  <si>
    <t>GARRET GRAVES FOR CONGRESS</t>
  </si>
  <si>
    <t>DAN NEWHOUSE FOR CONGRESS</t>
  </si>
  <si>
    <t>MOOLENAAR FOR CONGRESS</t>
  </si>
  <si>
    <t>GLENN GROTHMAN FOR CONGRESS</t>
  </si>
  <si>
    <t>LATINO VICTORY FUND</t>
  </si>
  <si>
    <t>DEMOCRATIC ACTION</t>
  </si>
  <si>
    <t>LIVONIA DEMOCRATIC CLUB</t>
  </si>
  <si>
    <t>SCALISE LEADERSHIP FUND</t>
  </si>
  <si>
    <t>SEAL PAC SUPPORTING ELECTING AMERICAN LEADERS PAC</t>
  </si>
  <si>
    <t>ALASKANS FOR DAN SULLIVAN</t>
  </si>
  <si>
    <t>PERDUE VICTORY INC</t>
  </si>
  <si>
    <t>SENATE LEADERSHIP FUND</t>
  </si>
  <si>
    <t>END CITIZENS UNITED</t>
  </si>
  <si>
    <t>BUCK FOR COLORADO</t>
  </si>
  <si>
    <t>KELLY FOR CONGRESS</t>
  </si>
  <si>
    <t>TAMMY FOR ILLINOIS</t>
  </si>
  <si>
    <t>LAHOOD FOR CONGRESS</t>
  </si>
  <si>
    <t>ANGIE CRAIG FOR CONGRESS</t>
  </si>
  <si>
    <t>KANSANS FOR MARSHALL</t>
  </si>
  <si>
    <t>LOU CORREA FOR CONGRESS</t>
  </si>
  <si>
    <t>TEAM PERDUE</t>
  </si>
  <si>
    <t>TEAM HUIZENGA</t>
  </si>
  <si>
    <t>PROGRESSIVE TURNOUT PROJECT</t>
  </si>
  <si>
    <t>DONALD J. TRUMP FOR PRESIDENT, INC.</t>
  </si>
  <si>
    <t>FRIENDS OF PAUL MITCHELL</t>
  </si>
  <si>
    <t>TOM O'HALLERAN FOR CONGRESS</t>
  </si>
  <si>
    <t>ROGER FOR CONGRESS VICTORY FUND</t>
  </si>
  <si>
    <t>TEXANS FOR JODEY ARRINGTON</t>
  </si>
  <si>
    <t>VAL DEMINGS FOR CONGRESS</t>
  </si>
  <si>
    <t>AMERICA'S ESSENTIAL HOSPITALS POLITICAL ACTION COMMITTEE, (ESSENTIAL HOSPITALS PAC)</t>
  </si>
  <si>
    <t>NATIONAL DEMOCRATIC TRAINING COMMITTEE PAC</t>
  </si>
  <si>
    <t>HAVING UNWAVERING RESOLVE AND DETERMINATION PAC</t>
  </si>
  <si>
    <t>ELBERT GUILLORY'S AMERICA</t>
  </si>
  <si>
    <t>BRIAN FITZPATRICK FOR CONGRESS</t>
  </si>
  <si>
    <t>DREW FERGUSON FOR CONGRESS INC.</t>
  </si>
  <si>
    <t>JOHN KENNEDY FOR US</t>
  </si>
  <si>
    <t>GREAT AMERICA PAC</t>
  </si>
  <si>
    <t>BIGGS FOR CONGRESS</t>
  </si>
  <si>
    <t>MCEACHIN FOR CONGRESS</t>
  </si>
  <si>
    <t>HURD VICTORY FUND</t>
  </si>
  <si>
    <t>FRIENDS OF MATT GAETZ</t>
  </si>
  <si>
    <t>TED BUDD FOR CONGRESS</t>
  </si>
  <si>
    <t>KUSTOFF FOR CONGRESS</t>
  </si>
  <si>
    <t>TRUMP MAKE AMERICA GREAT AGAIN COMMITTEE</t>
  </si>
  <si>
    <t>TRUMP VICTORY</t>
  </si>
  <si>
    <t>340B HEALTH POLITICAL ACTION COMMITTEE (340B HEALTH PAC)</t>
  </si>
  <si>
    <t>MARCO RUBIO FOR SENATE</t>
  </si>
  <si>
    <t>AMERICAN SOLIDARITY PARTY</t>
  </si>
  <si>
    <t>FRIENDS OF DUSTY JOHNSON</t>
  </si>
  <si>
    <t>ALEX MOONEY FOR CONGRESS</t>
  </si>
  <si>
    <t>IT STARTS TODAY</t>
  </si>
  <si>
    <t>NATIONAL DEMOCRATIC REDISTRICTING PAC</t>
  </si>
  <si>
    <t>RON ESTES FOR CONGRESS</t>
  </si>
  <si>
    <t>SWING LEFT</t>
  </si>
  <si>
    <t>MAST FOR CONGRESS</t>
  </si>
  <si>
    <t>LET AMERICA VOTE PAC</t>
  </si>
  <si>
    <t>REAL JUSTICE PAC</t>
  </si>
  <si>
    <t>INTEGRITY FIRST PAC</t>
  </si>
  <si>
    <t>314 ACTION FUND</t>
  </si>
  <si>
    <t>HANDEL FOR CONGRESS, INC.</t>
  </si>
  <si>
    <t>STOP REPUBLICANS</t>
  </si>
  <si>
    <t>RALPH NORMAN FOR CONGRESS</t>
  </si>
  <si>
    <t>DELGADO FOR CONGRESS</t>
  </si>
  <si>
    <t>STARS AND STRIPES FOREVER PAC</t>
  </si>
  <si>
    <t>AMMAR CAMPA-NAJJAR FOR CONGRESS</t>
  </si>
  <si>
    <t>DURBIN VICTORY FUND</t>
  </si>
  <si>
    <t>KATIE PORTER FOR CONGRESS</t>
  </si>
  <si>
    <t>FINKENAUER FOR CONGRESS</t>
  </si>
  <si>
    <t>AMERICA FIRST ACTION, INC.</t>
  </si>
  <si>
    <t>JAMES MACKLER FOR US SENATE</t>
  </si>
  <si>
    <t>HAGAN FOR CONGRESS</t>
  </si>
  <si>
    <t>HALEY STEVENS FOR CONGRESS</t>
  </si>
  <si>
    <t>ALEXANDRIA OCASIO-CORTEZ FOR CONGRESS</t>
  </si>
  <si>
    <t>MIKIE SHERRILL FOR CONGRESS</t>
  </si>
  <si>
    <t>ELIZABETH PANNILL FLETCHER FOR CONGRESS</t>
  </si>
  <si>
    <t>DOUG JONES FOR SENATE COMMITTEE</t>
  </si>
  <si>
    <t>ANDY KIM FOR CONGRESS</t>
  </si>
  <si>
    <t>RUSS FULCHER FOR IDAHO</t>
  </si>
  <si>
    <t>MJ FOR TEXAS</t>
  </si>
  <si>
    <t>SPANBERGER FOR CONGRESS</t>
  </si>
  <si>
    <t>ELISSA SLOTKIN FOR CONGRESS</t>
  </si>
  <si>
    <t>JOE CUNNINGHAM FOR CONGRESS</t>
  </si>
  <si>
    <t>SCHOLTEN4IOWA CAMPAIGN COMMITTEE</t>
  </si>
  <si>
    <t>JOHN JAMES FOR SENATE, INC.</t>
  </si>
  <si>
    <t>BURCHETT FOR CONGRESS</t>
  </si>
  <si>
    <t>MAX ROSE FOR CONGRESS</t>
  </si>
  <si>
    <t>DR KIM SCHRIER FOR CONGRESS</t>
  </si>
  <si>
    <t>JOSH HAWLEY FOR SENATE</t>
  </si>
  <si>
    <t>MIKE BRAUN FOR INDIANA</t>
  </si>
  <si>
    <t>CAROL FOR CONGRESS</t>
  </si>
  <si>
    <t>US VETERANS ASSISTANCE FOUNDATION</t>
  </si>
  <si>
    <t>VAN TAYLOR CAMPAIGN</t>
  </si>
  <si>
    <t>VERONICA ESCOBAR FOR CONGRESS</t>
  </si>
  <si>
    <t>FUTURE NOW FUND</t>
  </si>
  <si>
    <t>ANTHONY GONZALEZ FOR CONGRESS</t>
  </si>
  <si>
    <t>FRIENDS OF DANA BALTER</t>
  </si>
  <si>
    <t>CLOUD FOR CONGRESS</t>
  </si>
  <si>
    <t>YVETTE4CONGRESS</t>
  </si>
  <si>
    <t>BENTIVOLIO FOR CONGRESS</t>
  </si>
  <si>
    <t>TOM MALINOWSKI FOR CONGRESS</t>
  </si>
  <si>
    <t>TIFFANY SHEDD FOR CONGRESS COMMITTEE</t>
  </si>
  <si>
    <t>GUY FOR CONGRESS</t>
  </si>
  <si>
    <t>PROTECT FREEDOM POLITICAL ACTION COMMITTEE</t>
  </si>
  <si>
    <t>TIM DONNELLY FOR CONGRESS</t>
  </si>
  <si>
    <t>PAT HACKETT FOR CONGRESS</t>
  </si>
  <si>
    <t>FRIENDS OF ANDREW YANG</t>
  </si>
  <si>
    <t>ELECT CAROLYN LONG</t>
  </si>
  <si>
    <t>DAN CRENSHAW FOR CONGRESS</t>
  </si>
  <si>
    <t>BEN CLINE FOR CONGRESS, INC.</t>
  </si>
  <si>
    <t>VAN DREW FOR CONGRESS</t>
  </si>
  <si>
    <t>RON WRIGHT FOR CONGRESS</t>
  </si>
  <si>
    <t>HOUSE FREEDOM ACTION</t>
  </si>
  <si>
    <t>LANCE GOODEN FOR CONGRESS COMMITTEE</t>
  </si>
  <si>
    <t>ANDY LEVIN FOR CONGRESS</t>
  </si>
  <si>
    <t>CHIP ROY FOR CONGRESS</t>
  </si>
  <si>
    <t>ELECT JIM BAIRD FOR CONGRESS</t>
  </si>
  <si>
    <t>MAD DOG PAC</t>
  </si>
  <si>
    <t>TINA SMITH FOR MINNESOTA</t>
  </si>
  <si>
    <t>DEBBIE LESKO FOR CONGRESS</t>
  </si>
  <si>
    <t>ELAINE FOR CONGRESS</t>
  </si>
  <si>
    <t>KAYLA'S PAC LIST</t>
  </si>
  <si>
    <t>ALYSE FOR ALASKA</t>
  </si>
  <si>
    <t>MCSALLY FOR SENATE INC</t>
  </si>
  <si>
    <t>MICHAEL WALTZ FOR CONGRESS</t>
  </si>
  <si>
    <t>MARYOTT FOR CONGRESS</t>
  </si>
  <si>
    <t>BUILD THE WAVE</t>
  </si>
  <si>
    <t>THE COMMITTEE TO ELECT AYANNA PRESSLEY</t>
  </si>
  <si>
    <t>FRIENDS OF BRENDA JONES</t>
  </si>
  <si>
    <t>WILLIAM TIMMONS FOR CONGRESS</t>
  </si>
  <si>
    <t>BLACK AMERICANS TO RE-ELECT THE PRESIDENT</t>
  </si>
  <si>
    <t>RASHIDA TLAIB FOR CONGRESS</t>
  </si>
  <si>
    <t>SHARICE FOR CONGRESS</t>
  </si>
  <si>
    <t>BILL WILD FOR CONGRESS</t>
  </si>
  <si>
    <t>FRIENDS OF LUCY MCBATH</t>
  </si>
  <si>
    <t>DONNA SHALALA FOR CONGRESS</t>
  </si>
  <si>
    <t>BRADY PAC</t>
  </si>
  <si>
    <t>CINDY HYDE-SMITH FOR US SENATE</t>
  </si>
  <si>
    <t>MIKE ESPY FOR SENATE CAMPAIGN COMMITTEE</t>
  </si>
  <si>
    <t>BLACKBURN TENNESSEE VICTORY FUND</t>
  </si>
  <si>
    <t>STEIL FOR WISCONSIN, INC.</t>
  </si>
  <si>
    <t>INDIVISIBLE ACTION</t>
  </si>
  <si>
    <t>C3 PAC</t>
  </si>
  <si>
    <t>FRIENDS OF DENVER RIGGLEMAN, INC.</t>
  </si>
  <si>
    <t>ILHAN FOR CONGRESS</t>
  </si>
  <si>
    <t>TED HOWZE FOR CONGRESS 2020</t>
  </si>
  <si>
    <t>LAW ENFORCEMENT FOR A SAFER AMERICA PAC</t>
  </si>
  <si>
    <t>MIND THE GAP</t>
  </si>
  <si>
    <t>ELECT DEMOCRATIC WOMEN</t>
  </si>
  <si>
    <t>DITCH FUND</t>
  </si>
  <si>
    <t>JONES VICTORY FUND</t>
  </si>
  <si>
    <t>GUEST PAC</t>
  </si>
  <si>
    <t>FRIENDS OF MICHAEL WEINSTOCK</t>
  </si>
  <si>
    <t>AMERICAN UROLOGICAL ASSOCIATION, INC. POLITICAL ACTION COMMITTEE (AUAPAC)</t>
  </si>
  <si>
    <t>TEA PARTY PAC</t>
  </si>
  <si>
    <t>VOTER PROTECTION PROJECT</t>
  </si>
  <si>
    <t>PEOPLE FIRST FUTURE</t>
  </si>
  <si>
    <t>WARREN FOR PRESIDENT, INC.</t>
  </si>
  <si>
    <t>WARNER VICTORY FUND</t>
  </si>
  <si>
    <t>FAIR FIGHT</t>
  </si>
  <si>
    <t>LATURNER FOR SENATE</t>
  </si>
  <si>
    <t>TULSI ALOHA</t>
  </si>
  <si>
    <t>PETERS VICTORY 2020</t>
  </si>
  <si>
    <t>WINRED</t>
  </si>
  <si>
    <t>KAMALA HARRIS FOR THE PEOPLE</t>
  </si>
  <si>
    <t>MARCHANT FOR CONGRESS</t>
  </si>
  <si>
    <t>MIKE JOHNSTON FOR US SENATE</t>
  </si>
  <si>
    <t>CORY 2020</t>
  </si>
  <si>
    <t>TAKE BACK THE HOUSE 2020</t>
  </si>
  <si>
    <t>MARIANNE WILLIAMSON FOR PRESIDENT</t>
  </si>
  <si>
    <t>JAIME HARRISON FOR US SENATE</t>
  </si>
  <si>
    <t>AMY FOR AMERICA</t>
  </si>
  <si>
    <t>YOUNG VICTORY COMMITTEE</t>
  </si>
  <si>
    <t>HUFFMAN FOR NC</t>
  </si>
  <si>
    <t>MARK KELLY FOR SENATE</t>
  </si>
  <si>
    <t>JIM 2020 COMMITTEE</t>
  </si>
  <si>
    <t>BERNIE 2020</t>
  </si>
  <si>
    <t>FRED KELLER FOR CONGRESS</t>
  </si>
  <si>
    <t>SANDY SMITH FOR CONGRESS, INC.</t>
  </si>
  <si>
    <t>WIN THE ERA PAC</t>
  </si>
  <si>
    <t>DURAN FOR CONGRESS</t>
  </si>
  <si>
    <t>MICHELE NIX COMMITTEE, INC</t>
  </si>
  <si>
    <t>FRIENDS TO ELECT DR. GREG MURPHY TO CONGRESS</t>
  </si>
  <si>
    <t>CORNYN MAJORITY TEXAS</t>
  </si>
  <si>
    <t>1820 PAC</t>
  </si>
  <si>
    <t>GANDHI FOR TEXAS</t>
  </si>
  <si>
    <t>PHIL SHEPARD FOR CONGRESS</t>
  </si>
  <si>
    <t>EHR FOR CONGRESS</t>
  </si>
  <si>
    <t>PEOPLE POWERED ACTION</t>
  </si>
  <si>
    <t>ALL-AMERICAN VICTORY COMMITTEE</t>
  </si>
  <si>
    <t>NRSC VICTORY</t>
  </si>
  <si>
    <t>BISHOP FOR CONGRESS</t>
  </si>
  <si>
    <t>TORRES FOR CONGRESS</t>
  </si>
  <si>
    <t>ANGELA ROMAN FOR OREGON</t>
  </si>
  <si>
    <t>GREG RATHS FOR CONGRESS 2020</t>
  </si>
  <si>
    <t>AL MN NH VICTORY FUND</t>
  </si>
  <si>
    <t>WINTER FOR MONTANA</t>
  </si>
  <si>
    <t>HUNT FOR CONGRESS</t>
  </si>
  <si>
    <t>MIKE GARCIA FOR CONGRESS</t>
  </si>
  <si>
    <t>IRINA VILARINO FOR CONGRESS</t>
  </si>
  <si>
    <t>TERESA TOMLINSON FOR SENATE</t>
  </si>
  <si>
    <t>JON HOADLEY FOR CONGRESS</t>
  </si>
  <si>
    <t>TUBERVILLE FOR SENATE, INC.</t>
  </si>
  <si>
    <t>KATHLEEN WILLIAMS FOR MONTANA</t>
  </si>
  <si>
    <t>MICHIGAN SENATE VICTORY 2020</t>
  </si>
  <si>
    <t>DICKINSON FOR CONGRESS COMMITTEE</t>
  </si>
  <si>
    <t>CANDACE FOR 24</t>
  </si>
  <si>
    <t>KEAN FOR CONGRESS INC</t>
  </si>
  <si>
    <t>BIDEN FOR PRESIDENT</t>
  </si>
  <si>
    <t>TERESA FOR ALL</t>
  </si>
  <si>
    <t>MICHELLE STEEL FOR CONGRESS</t>
  </si>
  <si>
    <t>OWENS FOR CONGRESS</t>
  </si>
  <si>
    <t>JOE COLLINS FOR CONGRESS</t>
  </si>
  <si>
    <t>ARNOLD FOR ALABAMA</t>
  </si>
  <si>
    <t>FAIR GAME PAC</t>
  </si>
  <si>
    <t>IHSSANE FOR CONGRESS</t>
  </si>
  <si>
    <t>ASHLEY HINSON FOR CONGRESS</t>
  </si>
  <si>
    <t>PALLOTTA FOR CONGRESS</t>
  </si>
  <si>
    <t>BULLOCK FOR PRESIDENT</t>
  </si>
  <si>
    <t>JACKIE GORDON FOR CONGRESS</t>
  </si>
  <si>
    <t>TONY GONZALES FOR CONGRESS</t>
  </si>
  <si>
    <t>FRIENDS OF MCCORMICK</t>
  </si>
  <si>
    <t>RUBANDO FOR CONGRESS</t>
  </si>
  <si>
    <t>THERESA GREENFIELD FOR IOWA</t>
  </si>
  <si>
    <t>GREENE FOR CONGRESS</t>
  </si>
  <si>
    <t>DR MANNY FOR US SENATE</t>
  </si>
  <si>
    <t>KATHY LANDING FOR CONGRESS</t>
  </si>
  <si>
    <t>AMERICAN COALITION FOR CRISIS RELIEF PAC</t>
  </si>
  <si>
    <t>BOWMAN FOR CONGRESS</t>
  </si>
  <si>
    <t>CAL FOR NC</t>
  </si>
  <si>
    <t>COMMITTEE TO ELECT KIM MANGONE FOR CONGRESS</t>
  </si>
  <si>
    <t>NEW JOURNEY PAC, INC.</t>
  </si>
  <si>
    <t>SARA GIDEON FOR MAINE</t>
  </si>
  <si>
    <t>WOLVERINE VICTORY FUND</t>
  </si>
  <si>
    <t>NANCY MACE FOR CONGRESS</t>
  </si>
  <si>
    <t>NIKKI FOSTER FOR OHIO</t>
  </si>
  <si>
    <t>DEPASQUALE FOR PA 10</t>
  </si>
  <si>
    <t>NIAC ACTION PAC</t>
  </si>
  <si>
    <t>LYNN AFENDOULIS FOR CONGRESS</t>
  </si>
  <si>
    <t>DR. AL GROSS FOR U.S. SENATE</t>
  </si>
  <si>
    <t>LINDSTROM FOR SENATE</t>
  </si>
  <si>
    <t>PETER MEIJER FOR CONGRESS</t>
  </si>
  <si>
    <t>BOLDUC 2022, INC.</t>
  </si>
  <si>
    <t>MONDAIRE FOR CONGRESS</t>
  </si>
  <si>
    <t>SCHOLTEN FOR CONGRESS</t>
  </si>
  <si>
    <t>KOBACH FOR SENATE</t>
  </si>
  <si>
    <t>ERIC EARLY FOR CONGRESS 2020</t>
  </si>
  <si>
    <t>AMY MCGRATH FOR SENATE, INC.</t>
  </si>
  <si>
    <t>MIKE BROIHIER FOR SENATE</t>
  </si>
  <si>
    <t>GOROFF FOR CONGRESS</t>
  </si>
  <si>
    <t>BECCHI FOR CONGRESS</t>
  </si>
  <si>
    <t>REZIN FOR CONGRESS</t>
  </si>
  <si>
    <t>LACY JOHNSON FOR CONGRESS</t>
  </si>
  <si>
    <t>MUES FOR MONTANA</t>
  </si>
  <si>
    <t>LONG TEAM</t>
  </si>
  <si>
    <t>THE ACTION PAC</t>
  </si>
  <si>
    <t>CUMMINGS FOR CONGRESS</t>
  </si>
  <si>
    <t>FRIENDS OF MELANIE DARRIGO</t>
  </si>
  <si>
    <t>JEANNE FOR CONGRESS</t>
  </si>
  <si>
    <t>ALEX MORSE FOR CONGRESS</t>
  </si>
  <si>
    <t>WENDY DAVIS FOR CONGRESS</t>
  </si>
  <si>
    <t>FRIENDS OF ADEM 2020</t>
  </si>
  <si>
    <t>FRIENDS OF DESIREE TIMS</t>
  </si>
  <si>
    <t>PETER FOR NEW YORK</t>
  </si>
  <si>
    <t>COMMITTEE TO ELECT C B SMITH</t>
  </si>
  <si>
    <t>SARA HART WEIR FOR CONGRESS</t>
  </si>
  <si>
    <t>SALAZAR FOR CONGRESS</t>
  </si>
  <si>
    <t>LAURA LOOMER FOR CONGRESS INC</t>
  </si>
  <si>
    <t>LINDA O'DELL FOR CONGRESS</t>
  </si>
  <si>
    <t>BETH VAN DUYNE FOR CONGRESS</t>
  </si>
  <si>
    <t>DR. CAMERON WEBB FOR CONGRESS</t>
  </si>
  <si>
    <t>MELISSA MARK-VIVERITO FOR THE BRONX</t>
  </si>
  <si>
    <t>KIM FOR UTAH</t>
  </si>
  <si>
    <t>JEFF COLEMAN FOR CONGRESS, INC.</t>
  </si>
  <si>
    <t>JUSTICE 2020</t>
  </si>
  <si>
    <t>CATALINA FOR CONGRESS COMMITTEE</t>
  </si>
  <si>
    <t>HICKENLOOPER FOR COLORADO</t>
  </si>
  <si>
    <t>MATT INNIS FOR U.S. SENATE, INC.</t>
  </si>
  <si>
    <t>WALSH FOR PRESIDENT</t>
  </si>
  <si>
    <t>LOPEZ FOR THE PEOPLE</t>
  </si>
  <si>
    <t>HOUSE CD6</t>
  </si>
  <si>
    <t>AMANDA ADKINS FOR CONGRESS</t>
  </si>
  <si>
    <t>FISCHBACH FOR CONGRESS</t>
  </si>
  <si>
    <t>SOLOMON RAJPUT FOR CONGRESS</t>
  </si>
  <si>
    <t>JO JORGENSEN FOR PRESIDENT</t>
  </si>
  <si>
    <t>ANNA PAULINA LUNA FOR CONGRESS</t>
  </si>
  <si>
    <t>KANSANS FOR LATURNER</t>
  </si>
  <si>
    <t>YOUNG POLITICIAN COMMITTEE</t>
  </si>
  <si>
    <t>TROY KING FOR CONGRESS</t>
  </si>
  <si>
    <t>TEAM HAGERTY</t>
  </si>
  <si>
    <t>TIFFANY FOR WISCONSIN, INC.</t>
  </si>
  <si>
    <t>MICHIGAN JEWISH DEMOCRATS FEDERAL ACTION FUND</t>
  </si>
  <si>
    <t>JON OSSOFF FOR SENATE</t>
  </si>
  <si>
    <t>SCOTT FITZGERALD FOR CONGRESS</t>
  </si>
  <si>
    <t>KHAZEI FOR CONGRESS</t>
  </si>
  <si>
    <t>BRIAN JONES FOR CONGRESS 2020</t>
  </si>
  <si>
    <t>DAVID HILL FOR OKLAHOMA, INC.</t>
  </si>
  <si>
    <t>DARRELL ISSA FOR CONGRESS</t>
  </si>
  <si>
    <t>JAKE AUCHINCLOSS FOR CONGRESS</t>
  </si>
  <si>
    <t>KATE BOLZ FOR CONGRESS</t>
  </si>
  <si>
    <t>JAMES TULP FOR MISSISSIPPI</t>
  </si>
  <si>
    <t>DALE CRAFTS FOR CONGRESS</t>
  </si>
  <si>
    <t>RIK FOR NEW JERSEY INC</t>
  </si>
  <si>
    <t>DESI FOR CONGRESS</t>
  </si>
  <si>
    <t>SHANE HERNANDEZ FOR CONGRESS</t>
  </si>
  <si>
    <t>HILLARY O'CONNOR MUERI FOR OHIO</t>
  </si>
  <si>
    <t>NEW MISSION LEADERSHIP FUND INC</t>
  </si>
  <si>
    <t>SCHELLER FOR CONGRESS, INC.</t>
  </si>
  <si>
    <t>DAVID BUCHWALD FOR CONGRESS</t>
  </si>
  <si>
    <t>MONICA DE LA CRUZ HERNANDEZ FOR US CONGRESS</t>
  </si>
  <si>
    <t>BOLLIER FOR KANSAS</t>
  </si>
  <si>
    <t>SLOCUM FOR CONGRESS</t>
  </si>
  <si>
    <t>JESSICA TAYLOR FOR CONGRESS, INC.</t>
  </si>
  <si>
    <t>MARY MILLER FOR CONGRESS</t>
  </si>
  <si>
    <t>STEVENSON 2020</t>
  </si>
  <si>
    <t>SAAFIR FOR CONGRESS</t>
  </si>
  <si>
    <t>ESSHAKI FOR CONGRESS</t>
  </si>
  <si>
    <t>CLIFF BENTZ FOR CONGRESS</t>
  </si>
  <si>
    <t>THE LINCOLN PROJECT</t>
  </si>
  <si>
    <t>FLORIDA CONSERVATIVES PROTECTING AMERICAN VALUES</t>
  </si>
  <si>
    <t>LISA MCCLAIN FOR CONGRESS</t>
  </si>
  <si>
    <t>KIM KLACIK FOR CONGRESS</t>
  </si>
  <si>
    <t>OMARI FAULKNER FOR VIRGINIA</t>
  </si>
  <si>
    <t>GRAHAM VICTORY 2020</t>
  </si>
  <si>
    <t>JUSTIN JONES FOR CONGRESS</t>
  </si>
  <si>
    <t>PAUL JUNGE FOR CONGRESS</t>
  </si>
  <si>
    <t>HARPER FOR CONGRESS</t>
  </si>
  <si>
    <t>DONNA DEEGAN FOR CONGRESS</t>
  </si>
  <si>
    <t>MRVAN FOR CONGRESS</t>
  </si>
  <si>
    <t>BEN LOYOLA FOR CONGRESS, INC.</t>
  </si>
  <si>
    <t>MOVEMENT VOTER PAC</t>
  </si>
  <si>
    <t>DUDE PAC FOR FREEDOM</t>
  </si>
  <si>
    <t>ASUSENA RESENDIZ FOR CONGRESS</t>
  </si>
  <si>
    <t>FRIENDS OF NICK FREITAS INC</t>
  </si>
  <si>
    <t>GEORGIANS FOR KELLY LOEFFLER</t>
  </si>
  <si>
    <t>GRETCHEN DRISKELL FOR CONGRESS</t>
  </si>
  <si>
    <t>GARBARINO FOR CONGRESS</t>
  </si>
  <si>
    <t>NEHLS FOR CONGRESS</t>
  </si>
  <si>
    <t>KNUTE FOR CONGRESS</t>
  </si>
  <si>
    <t>BURGESS VICTORY FUND</t>
  </si>
  <si>
    <t>CONSERVATIVE SQUAD</t>
  </si>
  <si>
    <t>ROB ANDERSON FOR LOUISIANA</t>
  </si>
  <si>
    <t>LYNDA BENNETT FOR CONGRESS</t>
  </si>
  <si>
    <t>AMY KENNEDY FOR CONGRESS</t>
  </si>
  <si>
    <t>KISTNER FOR CONGRESS</t>
  </si>
  <si>
    <t>CAWTHORN FOR NC</t>
  </si>
  <si>
    <t>JIM DAVIS FOR CONGRESS</t>
  </si>
  <si>
    <t>BYRON DONALDS FOR CONGRESS</t>
  </si>
  <si>
    <t>KRISTINE REEVES FOR CONGRESS</t>
  </si>
  <si>
    <t>TAYLOR FOR CONGRESS 2020</t>
  </si>
  <si>
    <t>MARK RONCHETTI FOR NEW MEXICO</t>
  </si>
  <si>
    <t>BOOKER VICTORY FUND</t>
  </si>
  <si>
    <t>RASHID FOR VA</t>
  </si>
  <si>
    <t>OJEDA FOR SENATE</t>
  </si>
  <si>
    <t>DALIA FOR CONGRESS</t>
  </si>
  <si>
    <t>THOM TILLIS NC VICTORY COMMITTEE 2020</t>
  </si>
  <si>
    <t>CARLOS GIMENEZ FOR CONGRESS</t>
  </si>
  <si>
    <t>EBBEN FOR WISCONSIN</t>
  </si>
  <si>
    <t>WARNOCK FOR GEORGIA</t>
  </si>
  <si>
    <t>SENATE GEORGIA BATTLEGROUND FUND</t>
  </si>
  <si>
    <t>COLLINS FOR SENATE, INC.</t>
  </si>
  <si>
    <t>VICTORIA SPARTZ FOR CONGRESS</t>
  </si>
  <si>
    <t>MAKE MY DAY PAC</t>
  </si>
  <si>
    <t>MATT LAUGHRIDGE FOR CONGRESS, INC.</t>
  </si>
  <si>
    <t>R. VANCE PATRICK ELECT</t>
  </si>
  <si>
    <t>WARNOCK VICTORY FUND</t>
  </si>
  <si>
    <t>TASK FORCE GRIGGS FOR CONGRESS</t>
  </si>
  <si>
    <t>CARTWRIGHT VICTORY FUND</t>
  </si>
  <si>
    <t>MONTANANS FOR BULLOCK</t>
  </si>
  <si>
    <t>LANCE HARRIS FOR CONGRESS</t>
  </si>
  <si>
    <t>VAN ORDEN FOR CONGRESS</t>
  </si>
  <si>
    <t>LETLOW FOR CONGRESS</t>
  </si>
  <si>
    <t>CASEY ASKAR FOR CONGRESS</t>
  </si>
  <si>
    <t>CAL CUNNINGHAM VICTORY FUND</t>
  </si>
  <si>
    <t>VOTE VALUES</t>
  </si>
  <si>
    <t>COMMITTEE TO ELECT PAM KEITH</t>
  </si>
  <si>
    <t>HILL FOR CONGRESS</t>
  </si>
  <si>
    <t>STOP 45 PAC</t>
  </si>
  <si>
    <t>BIDEN VICTORY FUND</t>
  </si>
  <si>
    <t>DEMOCRATIC STRATEGY INSTITUTE</t>
  </si>
  <si>
    <t>MEIDASTOUCH</t>
  </si>
  <si>
    <t>GIDEON, KULKARNI, TIPIRNENI JOINT FUNDRAISING COMMITTEE</t>
  </si>
  <si>
    <t>BIDEN ACTION FUND</t>
  </si>
  <si>
    <t>RED SENATE</t>
  </si>
  <si>
    <t>ELECT REPUBLICANS</t>
  </si>
  <si>
    <t>CITIZENS FOR WENSTRUP</t>
  </si>
  <si>
    <t>ALPHA POLITICAL ACTION COMMITTEE</t>
  </si>
  <si>
    <t>MARCH ON PAC</t>
  </si>
  <si>
    <t>COMMITTEE TO ELECT JUSTIN PAGLINO FOR US CONGRESS, JUSTIN4ALL</t>
  </si>
  <si>
    <t>REALLY AMERICAN PAC</t>
  </si>
  <si>
    <t>GENERATION ACTION FUND</t>
  </si>
  <si>
    <t>DEFEAT BY TWEET</t>
  </si>
  <si>
    <t>AARON HARRIS FOR CONGRESS</t>
  </si>
  <si>
    <t>THE SQUAD VICTORY FUND</t>
  </si>
  <si>
    <t>GEORGIA UNITED VICTORY</t>
  </si>
  <si>
    <t>TEAM SCALISE</t>
  </si>
  <si>
    <t>GEORGIA SENATE VICTORY FUND</t>
  </si>
  <si>
    <t>KANYE 2020</t>
  </si>
  <si>
    <t>HOLD THE LINE 2020</t>
  </si>
  <si>
    <t>TEXAS RELOADED</t>
  </si>
  <si>
    <t>TEAM MARSHALL II</t>
  </si>
  <si>
    <t>TONY GONZALES VICTORY FUND</t>
  </si>
  <si>
    <t>WESTERN MICHIGAN VICTORY FUND</t>
  </si>
  <si>
    <t>LATURNER VICTORY FUND</t>
  </si>
  <si>
    <t>NATIONAL VICTORY ACTION FUND</t>
  </si>
  <si>
    <t>MANN VICTORY FUND</t>
  </si>
  <si>
    <t>BIDEN FIGHT FUND</t>
  </si>
  <si>
    <t>SAVE AMERICA</t>
  </si>
  <si>
    <t>DEMOCRATIC MAJORITY ACTION</t>
  </si>
  <si>
    <t>GEORGIA VICTORY PAC</t>
  </si>
  <si>
    <t>FOR THE SENATE 2020</t>
  </si>
  <si>
    <t>committee_id</t>
  </si>
  <si>
    <t>C00000422</t>
  </si>
  <si>
    <t>C00000935</t>
  </si>
  <si>
    <t>C00001180</t>
  </si>
  <si>
    <t>C00001305</t>
  </si>
  <si>
    <t>C00001313</t>
  </si>
  <si>
    <t>C00002840</t>
  </si>
  <si>
    <t>C00003111</t>
  </si>
  <si>
    <t>C00003418</t>
  </si>
  <si>
    <t>C00003764</t>
  </si>
  <si>
    <t>C00003988</t>
  </si>
  <si>
    <t>C00004606</t>
  </si>
  <si>
    <t>C00005561</t>
  </si>
  <si>
    <t>C00005785</t>
  </si>
  <si>
    <t>C00005926</t>
  </si>
  <si>
    <t>C00006486</t>
  </si>
  <si>
    <t>C00008086</t>
  </si>
  <si>
    <t>C00008227</t>
  </si>
  <si>
    <t>C00008664</t>
  </si>
  <si>
    <t>C00010603</t>
  </si>
  <si>
    <t>C00011197</t>
  </si>
  <si>
    <t>C00012229</t>
  </si>
  <si>
    <t>C00012880</t>
  </si>
  <si>
    <t>C00014498</t>
  </si>
  <si>
    <t>C00016899</t>
  </si>
  <si>
    <t>C00019331</t>
  </si>
  <si>
    <t>C00020818</t>
  </si>
  <si>
    <t>C00022343</t>
  </si>
  <si>
    <t>C00024521</t>
  </si>
  <si>
    <t>C00024679</t>
  </si>
  <si>
    <t>C00025254</t>
  </si>
  <si>
    <t>C00027466</t>
  </si>
  <si>
    <t>C00030718</t>
  </si>
  <si>
    <t>C00031054</t>
  </si>
  <si>
    <t>C00032334</t>
  </si>
  <si>
    <t>C00033134</t>
  </si>
  <si>
    <t>C00038505</t>
  </si>
  <si>
    <t>C00040857</t>
  </si>
  <si>
    <t>C00040998</t>
  </si>
  <si>
    <t>C00041160</t>
  </si>
  <si>
    <t>C00041269</t>
  </si>
  <si>
    <t>C00042366</t>
  </si>
  <si>
    <t>C00044842</t>
  </si>
  <si>
    <t>C00046474</t>
  </si>
  <si>
    <t>C00053553</t>
  </si>
  <si>
    <t>C00055582</t>
  </si>
  <si>
    <t>C00065219</t>
  </si>
  <si>
    <t>C00068353</t>
  </si>
  <si>
    <t>C00073791</t>
  </si>
  <si>
    <t>C00074450</t>
  </si>
  <si>
    <t>C00075820</t>
  </si>
  <si>
    <t>C00082040</t>
  </si>
  <si>
    <t>C00082917</t>
  </si>
  <si>
    <t>C00082925</t>
  </si>
  <si>
    <t>C00092841</t>
  </si>
  <si>
    <t>C00096412</t>
  </si>
  <si>
    <t>C00099259</t>
  </si>
  <si>
    <t>C00099267</t>
  </si>
  <si>
    <t>C00101105</t>
  </si>
  <si>
    <t>C00104471</t>
  </si>
  <si>
    <t>C00106146</t>
  </si>
  <si>
    <t>C00131185</t>
  </si>
  <si>
    <t>C00135558</t>
  </si>
  <si>
    <t>C00136457</t>
  </si>
  <si>
    <t>C00139071</t>
  </si>
  <si>
    <t>C00139279</t>
  </si>
  <si>
    <t>C00140061</t>
  </si>
  <si>
    <t>C00140590</t>
  </si>
  <si>
    <t>C00143743</t>
  </si>
  <si>
    <t>C00147512</t>
  </si>
  <si>
    <t>C00148999</t>
  </si>
  <si>
    <t>C00150672</t>
  </si>
  <si>
    <t>C00153031</t>
  </si>
  <si>
    <t>C00155952</t>
  </si>
  <si>
    <t>C00156810</t>
  </si>
  <si>
    <t>C00161786</t>
  </si>
  <si>
    <t>C00162339</t>
  </si>
  <si>
    <t>C00165688</t>
  </si>
  <si>
    <t>C00166710</t>
  </si>
  <si>
    <t>C00167130</t>
  </si>
  <si>
    <t>C00173153</t>
  </si>
  <si>
    <t>C00178038</t>
  </si>
  <si>
    <t>C00187450</t>
  </si>
  <si>
    <t>C00188367</t>
  </si>
  <si>
    <t>C00193342</t>
  </si>
  <si>
    <t>C00193433</t>
  </si>
  <si>
    <t>C00197103</t>
  </si>
  <si>
    <t>C00200584</t>
  </si>
  <si>
    <t>C00207993</t>
  </si>
  <si>
    <t>C00208991</t>
  </si>
  <si>
    <t>C00213512</t>
  </si>
  <si>
    <t>C00224717</t>
  </si>
  <si>
    <t>C00226928</t>
  </si>
  <si>
    <t>C00235853</t>
  </si>
  <si>
    <t>C00236513</t>
  </si>
  <si>
    <t>C00238204</t>
  </si>
  <si>
    <t>C00250399</t>
  </si>
  <si>
    <t>C00253260</t>
  </si>
  <si>
    <t>C00255695</t>
  </si>
  <si>
    <t>C00255752</t>
  </si>
  <si>
    <t>C00257279</t>
  </si>
  <si>
    <t>C00257337</t>
  </si>
  <si>
    <t>C00257642</t>
  </si>
  <si>
    <t>C00271312</t>
  </si>
  <si>
    <t>C00271338</t>
  </si>
  <si>
    <t>C00273169</t>
  </si>
  <si>
    <t>C00295527</t>
  </si>
  <si>
    <t>C00298000</t>
  </si>
  <si>
    <t>C00303305</t>
  </si>
  <si>
    <t>C00306449</t>
  </si>
  <si>
    <t>C00308676</t>
  </si>
  <si>
    <t>C00309567</t>
  </si>
  <si>
    <t>C00310532</t>
  </si>
  <si>
    <t>C00312017</t>
  </si>
  <si>
    <t>C00314575</t>
  </si>
  <si>
    <t>C00325936</t>
  </si>
  <si>
    <t>C00326801</t>
  </si>
  <si>
    <t>C00327023</t>
  </si>
  <si>
    <t>C00333427</t>
  </si>
  <si>
    <t>C00341396</t>
  </si>
  <si>
    <t>C00343137</t>
  </si>
  <si>
    <t>C00343459</t>
  </si>
  <si>
    <t>C00343871</t>
  </si>
  <si>
    <t>C00344234</t>
  </si>
  <si>
    <t>C00344473</t>
  </si>
  <si>
    <t>C00346239</t>
  </si>
  <si>
    <t>C00348540</t>
  </si>
  <si>
    <t>C00354332</t>
  </si>
  <si>
    <t>C00354688</t>
  </si>
  <si>
    <t>C00358812</t>
  </si>
  <si>
    <t>C00359034</t>
  </si>
  <si>
    <t>C00359539</t>
  </si>
  <si>
    <t>C00365536</t>
  </si>
  <si>
    <t>C00369033</t>
  </si>
  <si>
    <t>C00369801</t>
  </si>
  <si>
    <t>C00370056</t>
  </si>
  <si>
    <t>C00371203</t>
  </si>
  <si>
    <t>C00372532</t>
  </si>
  <si>
    <t>C00373464</t>
  </si>
  <si>
    <t>C00373696</t>
  </si>
  <si>
    <t>C00373837</t>
  </si>
  <si>
    <t>C00375048</t>
  </si>
  <si>
    <t>C00375360</t>
  </si>
  <si>
    <t>C00375584</t>
  </si>
  <si>
    <t>C00376087</t>
  </si>
  <si>
    <t>C00376673</t>
  </si>
  <si>
    <t>C00376939</t>
  </si>
  <si>
    <t>C00377689</t>
  </si>
  <si>
    <t>C00381459</t>
  </si>
  <si>
    <t>C00382424</t>
  </si>
  <si>
    <t>C00384602</t>
  </si>
  <si>
    <t>C00385773</t>
  </si>
  <si>
    <t>C00386532</t>
  </si>
  <si>
    <t>C00386748</t>
  </si>
  <si>
    <t>C00387464</t>
  </si>
  <si>
    <t>C00390476</t>
  </si>
  <si>
    <t>C00390724</t>
  </si>
  <si>
    <t>C00391508</t>
  </si>
  <si>
    <t>C00393629</t>
  </si>
  <si>
    <t>C00394957</t>
  </si>
  <si>
    <t>C00399071</t>
  </si>
  <si>
    <t>C00401224</t>
  </si>
  <si>
    <t>C00402826</t>
  </si>
  <si>
    <t>C00408534</t>
  </si>
  <si>
    <t>C00409219</t>
  </si>
  <si>
    <t>C00410068</t>
  </si>
  <si>
    <t>C00410670</t>
  </si>
  <si>
    <t>C00411330</t>
  </si>
  <si>
    <t>C00412759</t>
  </si>
  <si>
    <t>C00413179</t>
  </si>
  <si>
    <t>C00413955</t>
  </si>
  <si>
    <t>C00416594</t>
  </si>
  <si>
    <t>C00418293</t>
  </si>
  <si>
    <t>C00420935</t>
  </si>
  <si>
    <t>C00431643</t>
  </si>
  <si>
    <t>C00432260</t>
  </si>
  <si>
    <t>C00433524</t>
  </si>
  <si>
    <t>C00435933</t>
  </si>
  <si>
    <t>C00435974</t>
  </si>
  <si>
    <t>C00437889</t>
  </si>
  <si>
    <t>C00437913</t>
  </si>
  <si>
    <t>C00438697</t>
  </si>
  <si>
    <t>C00438713</t>
  </si>
  <si>
    <t>C00440032</t>
  </si>
  <si>
    <t>C00441949</t>
  </si>
  <si>
    <t>C00443580</t>
  </si>
  <si>
    <t>C00443689</t>
  </si>
  <si>
    <t>C00444471</t>
  </si>
  <si>
    <t>C00444620</t>
  </si>
  <si>
    <t>C00445452</t>
  </si>
  <si>
    <t>C00448373</t>
  </si>
  <si>
    <t>C00448696</t>
  </si>
  <si>
    <t>C00449538</t>
  </si>
  <si>
    <t>C00451583</t>
  </si>
  <si>
    <t>C00455923</t>
  </si>
  <si>
    <t>C00457325</t>
  </si>
  <si>
    <t>C00458000</t>
  </si>
  <si>
    <t>C00458828</t>
  </si>
  <si>
    <t>C00458877</t>
  </si>
  <si>
    <t>C00459099</t>
  </si>
  <si>
    <t>C00459297</t>
  </si>
  <si>
    <t>C00460063</t>
  </si>
  <si>
    <t>C00460378</t>
  </si>
  <si>
    <t>C00460550</t>
  </si>
  <si>
    <t>C00460659</t>
  </si>
  <si>
    <t>C00461806</t>
  </si>
  <si>
    <t>C00461822</t>
  </si>
  <si>
    <t>C00464073</t>
  </si>
  <si>
    <t>C00464149</t>
  </si>
  <si>
    <t>C00464602</t>
  </si>
  <si>
    <t>C00467571</t>
  </si>
  <si>
    <t>C00468256</t>
  </si>
  <si>
    <t>C00468314</t>
  </si>
  <si>
    <t>C00468579</t>
  </si>
  <si>
    <t>C00469163</t>
  </si>
  <si>
    <t>C00470757</t>
  </si>
  <si>
    <t>C00472704</t>
  </si>
  <si>
    <t>C00477240</t>
  </si>
  <si>
    <t>C00477745</t>
  </si>
  <si>
    <t>C00482737</t>
  </si>
  <si>
    <t>C00484642</t>
  </si>
  <si>
    <t>C00485102</t>
  </si>
  <si>
    <t>C00486845</t>
  </si>
  <si>
    <t>C00491357</t>
  </si>
  <si>
    <t>C00492454</t>
  </si>
  <si>
    <t>C00492520</t>
  </si>
  <si>
    <t>C00492785</t>
  </si>
  <si>
    <t>C00492991</t>
  </si>
  <si>
    <t>C00493221</t>
  </si>
  <si>
    <t>C00494583</t>
  </si>
  <si>
    <t>C00495028</t>
  </si>
  <si>
    <t>C00495580</t>
  </si>
  <si>
    <t>C00495861</t>
  </si>
  <si>
    <t>C00495952</t>
  </si>
  <si>
    <t>C00498121</t>
  </si>
  <si>
    <t>C00498345</t>
  </si>
  <si>
    <t>C00498568</t>
  </si>
  <si>
    <t>C00499392</t>
  </si>
  <si>
    <t>C00499988</t>
  </si>
  <si>
    <t>C00500843</t>
  </si>
  <si>
    <t>C00502039</t>
  </si>
  <si>
    <t>C00502229</t>
  </si>
  <si>
    <t>C00502575</t>
  </si>
  <si>
    <t>C00503094</t>
  </si>
  <si>
    <t>C00504019</t>
  </si>
  <si>
    <t>C00504522</t>
  </si>
  <si>
    <t>C00504530</t>
  </si>
  <si>
    <t>C00506048</t>
  </si>
  <si>
    <t>C00506832</t>
  </si>
  <si>
    <t>C00507574</t>
  </si>
  <si>
    <t>C00508416</t>
  </si>
  <si>
    <t>C00509422</t>
  </si>
  <si>
    <t>C00509893</t>
  </si>
  <si>
    <t>C00509968</t>
  </si>
  <si>
    <t>C00510164</t>
  </si>
  <si>
    <t>C00510461</t>
  </si>
  <si>
    <t>C00512335</t>
  </si>
  <si>
    <t>C00512970</t>
  </si>
  <si>
    <t>C00513176</t>
  </si>
  <si>
    <t>C00519413</t>
  </si>
  <si>
    <t>C00521948</t>
  </si>
  <si>
    <t>C00523241</t>
  </si>
  <si>
    <t>C00524181</t>
  </si>
  <si>
    <t>C00527457</t>
  </si>
  <si>
    <t>C00531590</t>
  </si>
  <si>
    <t>C00532465</t>
  </si>
  <si>
    <t>C00539825</t>
  </si>
  <si>
    <t>C00540302</t>
  </si>
  <si>
    <t>C00540443</t>
  </si>
  <si>
    <t>C00540500</t>
  </si>
  <si>
    <t>C00540617</t>
  </si>
  <si>
    <t>C00540732</t>
  </si>
  <si>
    <t>C00540898</t>
  </si>
  <si>
    <t>C00541888</t>
  </si>
  <si>
    <t>C00543231</t>
  </si>
  <si>
    <t>C00543504</t>
  </si>
  <si>
    <t>C00543967</t>
  </si>
  <si>
    <t>C00543983</t>
  </si>
  <si>
    <t>C00544445</t>
  </si>
  <si>
    <t>C00544767</t>
  </si>
  <si>
    <t>C00545467</t>
  </si>
  <si>
    <t>C00545616</t>
  </si>
  <si>
    <t>C00545772</t>
  </si>
  <si>
    <t>C00546499</t>
  </si>
  <si>
    <t>C00546788</t>
  </si>
  <si>
    <t>C00547570</t>
  </si>
  <si>
    <t>C00547893</t>
  </si>
  <si>
    <t>C00547976</t>
  </si>
  <si>
    <t>C00548289</t>
  </si>
  <si>
    <t>C00550970</t>
  </si>
  <si>
    <t>C00551275</t>
  </si>
  <si>
    <t>C00552141</t>
  </si>
  <si>
    <t>C00552588</t>
  </si>
  <si>
    <t>C00552851</t>
  </si>
  <si>
    <t>C00558213</t>
  </si>
  <si>
    <t>C00558486</t>
  </si>
  <si>
    <t>C00559393</t>
  </si>
  <si>
    <t>C00561530</t>
  </si>
  <si>
    <t>C00561597</t>
  </si>
  <si>
    <t>C00562777</t>
  </si>
  <si>
    <t>C00562983</t>
  </si>
  <si>
    <t>C00568154</t>
  </si>
  <si>
    <t>C00568162</t>
  </si>
  <si>
    <t>C00570226</t>
  </si>
  <si>
    <t>C00570994</t>
  </si>
  <si>
    <t>C00571620</t>
  </si>
  <si>
    <t>C00571703</t>
  </si>
  <si>
    <t>C00573261</t>
  </si>
  <si>
    <t>C00573378</t>
  </si>
  <si>
    <t>C00573980</t>
  </si>
  <si>
    <t>C00574889</t>
  </si>
  <si>
    <t>C00575050</t>
  </si>
  <si>
    <t>C00575209</t>
  </si>
  <si>
    <t>C00576173</t>
  </si>
  <si>
    <t>C00578302</t>
  </si>
  <si>
    <t>C00578542</t>
  </si>
  <si>
    <t>C00580043</t>
  </si>
  <si>
    <t>C00580068</t>
  </si>
  <si>
    <t>C00580100</t>
  </si>
  <si>
    <t>C00581090</t>
  </si>
  <si>
    <t>C00582890</t>
  </si>
  <si>
    <t>C00583435</t>
  </si>
  <si>
    <t>C00588657</t>
  </si>
  <si>
    <t>C00590489</t>
  </si>
  <si>
    <t>C00602805</t>
  </si>
  <si>
    <t>C00603084</t>
  </si>
  <si>
    <t>C00605212</t>
  </si>
  <si>
    <t>C00607374</t>
  </si>
  <si>
    <t>C00607416</t>
  </si>
  <si>
    <t>C00607838</t>
  </si>
  <si>
    <t>C00608398</t>
  </si>
  <si>
    <t>C00608489</t>
  </si>
  <si>
    <t>C00610451</t>
  </si>
  <si>
    <t>C00610964</t>
  </si>
  <si>
    <t>C00611012</t>
  </si>
  <si>
    <t>C00612432</t>
  </si>
  <si>
    <t>C00614776</t>
  </si>
  <si>
    <t>C00614826</t>
  </si>
  <si>
    <t>C00618371</t>
  </si>
  <si>
    <t>C00618389</t>
  </si>
  <si>
    <t>C00619601</t>
  </si>
  <si>
    <t>C00620518</t>
  </si>
  <si>
    <t>C00625236</t>
  </si>
  <si>
    <t>C00628917</t>
  </si>
  <si>
    <t>C00629949</t>
  </si>
  <si>
    <t>C00630012</t>
  </si>
  <si>
    <t>C00630707</t>
  </si>
  <si>
    <t>C00632067</t>
  </si>
  <si>
    <t>C00632133</t>
  </si>
  <si>
    <t>C00632257</t>
  </si>
  <si>
    <t>C00632398</t>
  </si>
  <si>
    <t>C00632554</t>
  </si>
  <si>
    <t>C00632562</t>
  </si>
  <si>
    <t>C00633248</t>
  </si>
  <si>
    <t>C00633362</t>
  </si>
  <si>
    <t>C00633404</t>
  </si>
  <si>
    <t>C00633610</t>
  </si>
  <si>
    <t>C00633859</t>
  </si>
  <si>
    <t>C00635243</t>
  </si>
  <si>
    <t>C00635888</t>
  </si>
  <si>
    <t>C00636100</t>
  </si>
  <si>
    <t>C00636571</t>
  </si>
  <si>
    <t>C00637074</t>
  </si>
  <si>
    <t>C00637512</t>
  </si>
  <si>
    <t>C00637850</t>
  </si>
  <si>
    <t>C00638411</t>
  </si>
  <si>
    <t>C00638650</t>
  </si>
  <si>
    <t>C00639591</t>
  </si>
  <si>
    <t>C00640003</t>
  </si>
  <si>
    <t>C00640045</t>
  </si>
  <si>
    <t>C00640623</t>
  </si>
  <si>
    <t>C00648220</t>
  </si>
  <si>
    <t>C00648295</t>
  </si>
  <si>
    <t>C00649350</t>
  </si>
  <si>
    <t>C00649913</t>
  </si>
  <si>
    <t>C00650150</t>
  </si>
  <si>
    <t>C00650507</t>
  </si>
  <si>
    <t>C00650622</t>
  </si>
  <si>
    <t>C00651208</t>
  </si>
  <si>
    <t>C00652149</t>
  </si>
  <si>
    <t>C00652248</t>
  </si>
  <si>
    <t>C00652628</t>
  </si>
  <si>
    <t>C00652727</t>
  </si>
  <si>
    <t>C00653147</t>
  </si>
  <si>
    <t>C00653220</t>
  </si>
  <si>
    <t>C00653386</t>
  </si>
  <si>
    <t>C00653634</t>
  </si>
  <si>
    <t>C00653923</t>
  </si>
  <si>
    <t>C00654053</t>
  </si>
  <si>
    <t>C00654079</t>
  </si>
  <si>
    <t>C00655183</t>
  </si>
  <si>
    <t>C00655332</t>
  </si>
  <si>
    <t>C00655571</t>
  </si>
  <si>
    <t>C00656033</t>
  </si>
  <si>
    <t>C00656686</t>
  </si>
  <si>
    <t>C00657155</t>
  </si>
  <si>
    <t>C00657833</t>
  </si>
  <si>
    <t>C00657866</t>
  </si>
  <si>
    <t>C00658021</t>
  </si>
  <si>
    <t>C00659078</t>
  </si>
  <si>
    <t>C00659938</t>
  </si>
  <si>
    <t>C00660472</t>
  </si>
  <si>
    <t>C00660795</t>
  </si>
  <si>
    <t>C00661561</t>
  </si>
  <si>
    <t>C00661868</t>
  </si>
  <si>
    <t>C00662171</t>
  </si>
  <si>
    <t>C00662221</t>
  </si>
  <si>
    <t>C00662601</t>
  </si>
  <si>
    <t>C00662619</t>
  </si>
  <si>
    <t>C00662767</t>
  </si>
  <si>
    <t>C00662940</t>
  </si>
  <si>
    <t>C00663211</t>
  </si>
  <si>
    <t>C00663781</t>
  </si>
  <si>
    <t>C00663914</t>
  </si>
  <si>
    <t>C00664375</t>
  </si>
  <si>
    <t>C00664706</t>
  </si>
  <si>
    <t>C00665711</t>
  </si>
  <si>
    <t>C00666040</t>
  </si>
  <si>
    <t>C00666396</t>
  </si>
  <si>
    <t>C00666859</t>
  </si>
  <si>
    <t>C00667667</t>
  </si>
  <si>
    <t>C00667741</t>
  </si>
  <si>
    <t>C00668137</t>
  </si>
  <si>
    <t>C00668491</t>
  </si>
  <si>
    <t>C00668517</t>
  </si>
  <si>
    <t>C00668608</t>
  </si>
  <si>
    <t>C00670034</t>
  </si>
  <si>
    <t>C00670679</t>
  </si>
  <si>
    <t>C00672295</t>
  </si>
  <si>
    <t>C00672311</t>
  </si>
  <si>
    <t>C00674093</t>
  </si>
  <si>
    <t>C00675348</t>
  </si>
  <si>
    <t>C00675884</t>
  </si>
  <si>
    <t>C00676395</t>
  </si>
  <si>
    <t>C00677286</t>
  </si>
  <si>
    <t>C00678839</t>
  </si>
  <si>
    <t>C00680314</t>
  </si>
  <si>
    <t>C00680488</t>
  </si>
  <si>
    <t>C00680934</t>
  </si>
  <si>
    <t>C00681544</t>
  </si>
  <si>
    <t>C00681825</t>
  </si>
  <si>
    <t>C00683649</t>
  </si>
  <si>
    <t>C00685297</t>
  </si>
  <si>
    <t>C00688739</t>
  </si>
  <si>
    <t>C00689430</t>
  </si>
  <si>
    <t>C00689893</t>
  </si>
  <si>
    <t>C00691709</t>
  </si>
  <si>
    <t>C00691741</t>
  </si>
  <si>
    <t>C00692129</t>
  </si>
  <si>
    <t>C00692319</t>
  </si>
  <si>
    <t>C00693044</t>
  </si>
  <si>
    <t>C00693234</t>
  </si>
  <si>
    <t>C00693473</t>
  </si>
  <si>
    <t>C00693515</t>
  </si>
  <si>
    <t>C00693572</t>
  </si>
  <si>
    <t>C00693713</t>
  </si>
  <si>
    <t>C00693853</t>
  </si>
  <si>
    <t>C00694323</t>
  </si>
  <si>
    <t>C00694455</t>
  </si>
  <si>
    <t>C00694711</t>
  </si>
  <si>
    <t>C00695411</t>
  </si>
  <si>
    <t>C00695510</t>
  </si>
  <si>
    <t>C00695585</t>
  </si>
  <si>
    <t>C00696054</t>
  </si>
  <si>
    <t>C00696153</t>
  </si>
  <si>
    <t>C00696419</t>
  </si>
  <si>
    <t>C00696484</t>
  </si>
  <si>
    <t>C00696492</t>
  </si>
  <si>
    <t>C00696526</t>
  </si>
  <si>
    <t>C00696872</t>
  </si>
  <si>
    <t>C00696948</t>
  </si>
  <si>
    <t>C00697052</t>
  </si>
  <si>
    <t>C00697250</t>
  </si>
  <si>
    <t>C00697441</t>
  </si>
  <si>
    <t>C00697540</t>
  </si>
  <si>
    <t>C00697623</t>
  </si>
  <si>
    <t>C00697649</t>
  </si>
  <si>
    <t>C00697730</t>
  </si>
  <si>
    <t>C00698126</t>
  </si>
  <si>
    <t>C00698134</t>
  </si>
  <si>
    <t>C00698555</t>
  </si>
  <si>
    <t>C00698993</t>
  </si>
  <si>
    <t>C00699090</t>
  </si>
  <si>
    <t>C00699447</t>
  </si>
  <si>
    <t>C00699546</t>
  </si>
  <si>
    <t>C00699660</t>
  </si>
  <si>
    <t>C00699744</t>
  </si>
  <si>
    <t>C00700062</t>
  </si>
  <si>
    <t>C00700559</t>
  </si>
  <si>
    <t>C00700914</t>
  </si>
  <si>
    <t>C00700963</t>
  </si>
  <si>
    <t>C00701003</t>
  </si>
  <si>
    <t>C00701102</t>
  </si>
  <si>
    <t>C00701144</t>
  </si>
  <si>
    <t>C00701383</t>
  </si>
  <si>
    <t>C00701599</t>
  </si>
  <si>
    <t>C00701672</t>
  </si>
  <si>
    <t>C00701748</t>
  </si>
  <si>
    <t>C00701789</t>
  </si>
  <si>
    <t>C00701847</t>
  </si>
  <si>
    <t>C00702225</t>
  </si>
  <si>
    <t>C00703058</t>
  </si>
  <si>
    <t>C00703975</t>
  </si>
  <si>
    <t>C00704049</t>
  </si>
  <si>
    <t>C00704981</t>
  </si>
  <si>
    <t>C00705145</t>
  </si>
  <si>
    <t>C00705236</t>
  </si>
  <si>
    <t>C00705269</t>
  </si>
  <si>
    <t>C00705483</t>
  </si>
  <si>
    <t>C00706226</t>
  </si>
  <si>
    <t>C00706267</t>
  </si>
  <si>
    <t>C00706275</t>
  </si>
  <si>
    <t>C00706416</t>
  </si>
  <si>
    <t>C00706549</t>
  </si>
  <si>
    <t>C00706614</t>
  </si>
  <si>
    <t>C00706747</t>
  </si>
  <si>
    <t>C00707943</t>
  </si>
  <si>
    <t>C00708164</t>
  </si>
  <si>
    <t>C00708289</t>
  </si>
  <si>
    <t>C00708628</t>
  </si>
  <si>
    <t>C00708875</t>
  </si>
  <si>
    <t>C00709113</t>
  </si>
  <si>
    <t>C00709196</t>
  </si>
  <si>
    <t>C00709410</t>
  </si>
  <si>
    <t>C00709550</t>
  </si>
  <si>
    <t>C00709691</t>
  </si>
  <si>
    <t>C00709899</t>
  </si>
  <si>
    <t>C00709998</t>
  </si>
  <si>
    <t>C00710103</t>
  </si>
  <si>
    <t>C00710459</t>
  </si>
  <si>
    <t>C00710533</t>
  </si>
  <si>
    <t>C00710764</t>
  </si>
  <si>
    <t>C00710814</t>
  </si>
  <si>
    <t>C00710822</t>
  </si>
  <si>
    <t>C00710939</t>
  </si>
  <si>
    <t>C00710962</t>
  </si>
  <si>
    <t>C00711010</t>
  </si>
  <si>
    <t>C00711150</t>
  </si>
  <si>
    <t>C00711317</t>
  </si>
  <si>
    <t>C00711325</t>
  </si>
  <si>
    <t>C00711432</t>
  </si>
  <si>
    <t>C00711549</t>
  </si>
  <si>
    <t>C00711556</t>
  </si>
  <si>
    <t>C00711564</t>
  </si>
  <si>
    <t>C00711572</t>
  </si>
  <si>
    <t>C00711580</t>
  </si>
  <si>
    <t>C00711689</t>
  </si>
  <si>
    <t>C00711978</t>
  </si>
  <si>
    <t>C00712026</t>
  </si>
  <si>
    <t>C00712109</t>
  </si>
  <si>
    <t>C00712257</t>
  </si>
  <si>
    <t>C00712398</t>
  </si>
  <si>
    <t>C00712794</t>
  </si>
  <si>
    <t>C00713289</t>
  </si>
  <si>
    <t>C00713297</t>
  </si>
  <si>
    <t>C00713404</t>
  </si>
  <si>
    <t>C00713743</t>
  </si>
  <si>
    <t>C00713776</t>
  </si>
  <si>
    <t>C00713784</t>
  </si>
  <si>
    <t>C00714089</t>
  </si>
  <si>
    <t>C00714261</t>
  </si>
  <si>
    <t>C00714543</t>
  </si>
  <si>
    <t>C00714683</t>
  </si>
  <si>
    <t>C00714865</t>
  </si>
  <si>
    <t>C00714964</t>
  </si>
  <si>
    <t>C00715037</t>
  </si>
  <si>
    <t>C00715425</t>
  </si>
  <si>
    <t>C00715698</t>
  </si>
  <si>
    <t>C00715938</t>
  </si>
  <si>
    <t>C00716597</t>
  </si>
  <si>
    <t>C00716720</t>
  </si>
  <si>
    <t>C00716977</t>
  </si>
  <si>
    <t>C00717033</t>
  </si>
  <si>
    <t>C00717256</t>
  </si>
  <si>
    <t>C00717868</t>
  </si>
  <si>
    <t>C00717876</t>
  </si>
  <si>
    <t>C00717959</t>
  </si>
  <si>
    <t>C00717983</t>
  </si>
  <si>
    <t>C00718031</t>
  </si>
  <si>
    <t>C00718239</t>
  </si>
  <si>
    <t>C00718346</t>
  </si>
  <si>
    <t>C00718403</t>
  </si>
  <si>
    <t>C00718411</t>
  </si>
  <si>
    <t>C00718627</t>
  </si>
  <si>
    <t>C00718635</t>
  </si>
  <si>
    <t>C00718718</t>
  </si>
  <si>
    <t>C00718866</t>
  </si>
  <si>
    <t>C00720011</t>
  </si>
  <si>
    <t>C00720516</t>
  </si>
  <si>
    <t>C00720599</t>
  </si>
  <si>
    <t>C00721092</t>
  </si>
  <si>
    <t>C00721332</t>
  </si>
  <si>
    <t>C00721449</t>
  </si>
  <si>
    <t>C00721472</t>
  </si>
  <si>
    <t>C00721860</t>
  </si>
  <si>
    <t>C00722454</t>
  </si>
  <si>
    <t>C00722470</t>
  </si>
  <si>
    <t>C00722504</t>
  </si>
  <si>
    <t>C00722553</t>
  </si>
  <si>
    <t>C00722637</t>
  </si>
  <si>
    <t>C00722835</t>
  </si>
  <si>
    <t>C00722892</t>
  </si>
  <si>
    <t>C00722983</t>
  </si>
  <si>
    <t>C00723072</t>
  </si>
  <si>
    <t>C00723122</t>
  </si>
  <si>
    <t>C00723742</t>
  </si>
  <si>
    <t>C00723759</t>
  </si>
  <si>
    <t>C00723916</t>
  </si>
  <si>
    <t>C00724260</t>
  </si>
  <si>
    <t>C00725143</t>
  </si>
  <si>
    <t>C00725259</t>
  </si>
  <si>
    <t>C00725465</t>
  </si>
  <si>
    <t>C00725820</t>
  </si>
  <si>
    <t>C00726026</t>
  </si>
  <si>
    <t>C00726042</t>
  </si>
  <si>
    <t>C00726117</t>
  </si>
  <si>
    <t>C00726570</t>
  </si>
  <si>
    <t>C00726612</t>
  </si>
  <si>
    <t>C00726646</t>
  </si>
  <si>
    <t>C00726687</t>
  </si>
  <si>
    <t>C00726703</t>
  </si>
  <si>
    <t>C00726968</t>
  </si>
  <si>
    <t>C00727529</t>
  </si>
  <si>
    <t>C00727743</t>
  </si>
  <si>
    <t>C00728360</t>
  </si>
  <si>
    <t>C00728386</t>
  </si>
  <si>
    <t>C00728824</t>
  </si>
  <si>
    <t>C00729335</t>
  </si>
  <si>
    <t>C00729608</t>
  </si>
  <si>
    <t>C00729947</t>
  </si>
  <si>
    <t>C00729954</t>
  </si>
  <si>
    <t>C00730150</t>
  </si>
  <si>
    <t>C00730507</t>
  </si>
  <si>
    <t>C00730549</t>
  </si>
  <si>
    <t>C00730770</t>
  </si>
  <si>
    <t>C00731380</t>
  </si>
  <si>
    <t>C00732099</t>
  </si>
  <si>
    <t>C00732545</t>
  </si>
  <si>
    <t>C00732925</t>
  </si>
  <si>
    <t>C00732958</t>
  </si>
  <si>
    <t>C00733105</t>
  </si>
  <si>
    <t>C00733329</t>
  </si>
  <si>
    <t>C00733386</t>
  </si>
  <si>
    <t>C00733394</t>
  </si>
  <si>
    <t>C00733469</t>
  </si>
  <si>
    <t>C00734319</t>
  </si>
  <si>
    <t>C00734335</t>
  </si>
  <si>
    <t>C00734384</t>
  </si>
  <si>
    <t>C00734533</t>
  </si>
  <si>
    <t>C00735167</t>
  </si>
  <si>
    <t>C00735985</t>
  </si>
  <si>
    <t>C00736108</t>
  </si>
  <si>
    <t>C00736876</t>
  </si>
  <si>
    <t>C00736967</t>
  </si>
  <si>
    <t>C00736983</t>
  </si>
  <si>
    <t>C00737767</t>
  </si>
  <si>
    <t>C00737908</t>
  </si>
  <si>
    <t>C00738096</t>
  </si>
  <si>
    <t>C00738120</t>
  </si>
  <si>
    <t>C00740597</t>
  </si>
  <si>
    <t>C00741397</t>
  </si>
  <si>
    <t>C00741553</t>
  </si>
  <si>
    <t>C00741611</t>
  </si>
  <si>
    <t>C00741934</t>
  </si>
  <si>
    <t>C00742007</t>
  </si>
  <si>
    <t>C00742106</t>
  </si>
  <si>
    <t>C00742528</t>
  </si>
  <si>
    <t>C00742742</t>
  </si>
  <si>
    <t>C00742775</t>
  </si>
  <si>
    <t>C00743286</t>
  </si>
  <si>
    <t>C00743393</t>
  </si>
  <si>
    <t>C00743427</t>
  </si>
  <si>
    <t>C00744946</t>
  </si>
  <si>
    <t>C00745786</t>
  </si>
  <si>
    <t>C00746073</t>
  </si>
  <si>
    <t>C00746545</t>
  </si>
  <si>
    <t>C00746651</t>
  </si>
  <si>
    <t>C00747121</t>
  </si>
  <si>
    <t>C00747170</t>
  </si>
  <si>
    <t>C00747261</t>
  </si>
  <si>
    <t>C00747907</t>
  </si>
  <si>
    <t>C00748228</t>
  </si>
  <si>
    <t>C00748400</t>
  </si>
  <si>
    <t>C00748582</t>
  </si>
  <si>
    <t>C00748772</t>
  </si>
  <si>
    <t>C00749143</t>
  </si>
  <si>
    <t>C00749523</t>
  </si>
  <si>
    <t>C00750166</t>
  </si>
  <si>
    <t>C00750323</t>
  </si>
  <si>
    <t>C00750521</t>
  </si>
  <si>
    <t>C00751339</t>
  </si>
  <si>
    <t>C00751701</t>
  </si>
  <si>
    <t>C00752568</t>
  </si>
  <si>
    <t>C00754762</t>
  </si>
  <si>
    <t>C00755074</t>
  </si>
  <si>
    <t>C00756080</t>
  </si>
  <si>
    <t>C00758748</t>
  </si>
  <si>
    <t>C00759233</t>
  </si>
  <si>
    <t>C00760124</t>
  </si>
  <si>
    <t>C00760215</t>
  </si>
  <si>
    <t>C00762229</t>
  </si>
  <si>
    <t>C00762591</t>
  </si>
  <si>
    <t>C00762666</t>
  </si>
  <si>
    <t>C00763672</t>
  </si>
  <si>
    <t>C00763706</t>
  </si>
  <si>
    <t>D</t>
  </si>
  <si>
    <t>L</t>
  </si>
  <si>
    <t>No FEC Data</t>
  </si>
  <si>
    <t>Anthony F. Earley, Jr</t>
  </si>
  <si>
    <t>James D. Farley, Jr</t>
  </si>
  <si>
    <t>Henry Ford III</t>
  </si>
  <si>
    <t>William Clay Ford, Jr</t>
  </si>
  <si>
    <t>William W. Helman IV</t>
  </si>
  <si>
    <t>Jon M. Huntsman, Jr</t>
  </si>
  <si>
    <t>William E. Kennard</t>
  </si>
  <si>
    <t>Beth E. Mooney</t>
  </si>
  <si>
    <t>John L. Thornton</t>
  </si>
  <si>
    <t>John B. Veihmeyer</t>
  </si>
  <si>
    <t>Lynn M. Vojvodich</t>
  </si>
  <si>
    <t>John S. Weinberg</t>
  </si>
  <si>
    <t>John T. Lawler</t>
  </si>
  <si>
    <t>Hau Thai-Tang</t>
  </si>
  <si>
    <t>Ashwani ‘‘Kumar’’ Galhotra</t>
  </si>
  <si>
    <t>James P. Hackett</t>
  </si>
  <si>
    <t>Kimberly A Casiano</t>
  </si>
  <si>
    <t>Contributions From Individuals/Persons Other Than Political Committees</t>
  </si>
  <si>
    <t>https://docquery.fec.gov/cgi-bin/fecimg/?202012119367572450</t>
  </si>
  <si>
    <t>SA</t>
  </si>
  <si>
    <t>EARMARKED FOR ANDY LEVIN FOR CONGRESS (C00662619)</t>
  </si>
  <si>
    <t>t</t>
  </si>
  <si>
    <t>F3X</t>
  </si>
  <si>
    <t>ITEMIZED RECEIPTS</t>
  </si>
  <si>
    <t>ADD</t>
  </si>
  <si>
    <t>_x000D_</t>
  </si>
  <si>
    <t>EARMARK</t>
  </si>
  <si>
    <t>RETIRED</t>
  </si>
  <si>
    <t>BLOOMFIELD HILLS</t>
  </si>
  <si>
    <t xml:space="preserve">3926 OAKLAND DR </t>
  </si>
  <si>
    <t>EARLEY</t>
  </si>
  <si>
    <t>ANTHONY</t>
  </si>
  <si>
    <t>U</t>
  </si>
  <si>
    <t>V</t>
  </si>
  <si>
    <t>EARLEY, ANTHONY</t>
  </si>
  <si>
    <t>INDIVIDUAL</t>
  </si>
  <si>
    <t>IND</t>
  </si>
  <si>
    <t>SA11AI_273658959</t>
  </si>
  <si>
    <t>11AI</t>
  </si>
  <si>
    <t>M9</t>
  </si>
  <si>
    <t>https://docquery.fec.gov/cgi-bin/fecimg/?202012039340950217</t>
  </si>
  <si>
    <t>* EARMARKED CONTRIBUTION: SEE BELOW</t>
  </si>
  <si>
    <t>F3</t>
  </si>
  <si>
    <t>SA11AI</t>
  </si>
  <si>
    <t>VTR3QWV76E7E</t>
  </si>
  <si>
    <t>GENERAL</t>
  </si>
  <si>
    <t>G2020</t>
  </si>
  <si>
    <t>EARMARKED CONTRIBUTION</t>
  </si>
  <si>
    <t>15E</t>
  </si>
  <si>
    <t>NOT EMPLOYED</t>
  </si>
  <si>
    <t>3926 OAKLAND DR</t>
  </si>
  <si>
    <t>VTR3QWV76E7</t>
  </si>
  <si>
    <t>30G</t>
  </si>
  <si>
    <t>Transfers from authorized committees</t>
  </si>
  <si>
    <t>https://docquery.fec.gov/cgi-bin/fecimg/?202012249394269752</t>
  </si>
  <si>
    <t>SA12</t>
  </si>
  <si>
    <t>RUNOFF</t>
  </si>
  <si>
    <t>RUN-OFF SPECIAL</t>
  </si>
  <si>
    <t>R2020</t>
  </si>
  <si>
    <t>X</t>
  </si>
  <si>
    <t>MEMO (FILER'S % OF CONTRIBUTION GIVEN TO JOIN</t>
  </si>
  <si>
    <t>15J</t>
  </si>
  <si>
    <t>12S</t>
  </si>
  <si>
    <t>https://docquery.fec.gov/cgi-bin/fecimg/?202012249394201534</t>
  </si>
  <si>
    <t>11438046E</t>
  </si>
  <si>
    <t>https://docquery.fec.gov/cgi-bin/fecimg/?202012049353919751</t>
  </si>
  <si>
    <t>EARMARKED FOR MIKE ESPY FOR SENATE (C00675884)</t>
  </si>
  <si>
    <t>SA11AI_343487173</t>
  </si>
  <si>
    <t>https://docquery.fec.gov/cgi-bin/fecimg/?202012049353919920</t>
  </si>
  <si>
    <t>EARMARKED FOR TINA SMITH FOR MINNESOTA (C00663781)</t>
  </si>
  <si>
    <t>SALES ANALYST</t>
  </si>
  <si>
    <t>ASSET MARKETING SERVICES</t>
  </si>
  <si>
    <t>MN</t>
  </si>
  <si>
    <t>RAMSEY</t>
  </si>
  <si>
    <t>5429 145TH AVE NW</t>
  </si>
  <si>
    <t>EARLEYWINE</t>
  </si>
  <si>
    <t>EARLEYWINE, ANTHONY</t>
  </si>
  <si>
    <t>SA11AI_331777233</t>
  </si>
  <si>
    <t>https://docquery.fec.gov/cgi-bin/fecimg/?202012039338297271</t>
  </si>
  <si>
    <t>VPFAPSVM2C3E</t>
  </si>
  <si>
    <t>N/A</t>
  </si>
  <si>
    <t>BLOOMFIELD</t>
  </si>
  <si>
    <t>JR.</t>
  </si>
  <si>
    <t>F.</t>
  </si>
  <si>
    <t>EARLEY, ANTHONY F. JR.</t>
  </si>
  <si>
    <t>VPFAPSVM2C3</t>
  </si>
  <si>
    <t>https://docquery.fec.gov/cgi-bin/fecimg/?202012039337572638</t>
  </si>
  <si>
    <t>3343401E</t>
  </si>
  <si>
    <t>PRIMARY</t>
  </si>
  <si>
    <t>https://docquery.fec.gov/cgi-bin/fecimg/?202106029448714519</t>
  </si>
  <si>
    <t>RUN-OFF GENERAL</t>
  </si>
  <si>
    <t>P2020</t>
  </si>
  <si>
    <t>12R</t>
  </si>
  <si>
    <t>https://docquery.fec.gov/cgi-bin/fecimg/?202106029448549816</t>
  </si>
  <si>
    <t>5439643E</t>
  </si>
  <si>
    <t>http://docquery.fec.gov/cgi-bin/fecimg/?202010159294744215</t>
  </si>
  <si>
    <t>* WIN THE SENATE 2020</t>
  </si>
  <si>
    <t>VVC31SWSMN9</t>
  </si>
  <si>
    <t>VVC31SWSVZ4</t>
  </si>
  <si>
    <t>Q3</t>
  </si>
  <si>
    <t>http://docquery.fec.gov/cgi-bin/fecimg/?202010159294744120</t>
  </si>
  <si>
    <t>* MARK KELLY VICTORY FUND</t>
  </si>
  <si>
    <t>VVC31W896Y5</t>
  </si>
  <si>
    <t>VVC31WE6MP3</t>
  </si>
  <si>
    <t>http://docquery.fec.gov/cgi-bin/fecimg/?202010229333231638</t>
  </si>
  <si>
    <t>VPFAPSV9EZ0E</t>
  </si>
  <si>
    <t>VPFAPSV9EZ0</t>
  </si>
  <si>
    <t>12G</t>
  </si>
  <si>
    <t>http://docquery.fec.gov/cgi-bin/fecimg/?202009209276175344</t>
  </si>
  <si>
    <t>F3P</t>
  </si>
  <si>
    <t>SA17A</t>
  </si>
  <si>
    <t>9253106E</t>
  </si>
  <si>
    <t>17A</t>
  </si>
  <si>
    <t>http://docquery.fec.gov/cgi-bin/fecimg/?202009179267222812</t>
  </si>
  <si>
    <t>VPFAPSM20P9E</t>
  </si>
  <si>
    <t>CHANGE</t>
  </si>
  <si>
    <t>C</t>
  </si>
  <si>
    <t>VPFAPSM20P9</t>
  </si>
  <si>
    <t>Q1</t>
  </si>
  <si>
    <t>http://docquery.fec.gov/cgi-bin/fecimg/?202010149285911960</t>
  </si>
  <si>
    <t>7343040E</t>
  </si>
  <si>
    <t>WIN THE SENATE 2020</t>
  </si>
  <si>
    <t>C00751834</t>
  </si>
  <si>
    <t>http://docquery.fec.gov/cgi-bin/fecimg/?202007239260806321</t>
  </si>
  <si>
    <t>VVC31SA2X38E</t>
  </si>
  <si>
    <t>VVC31SA2X38</t>
  </si>
  <si>
    <t>12P</t>
  </si>
  <si>
    <t>http://docquery.fec.gov/cgi-bin/fecimg/?202007209255862113</t>
  </si>
  <si>
    <t>EARMARKED FOR LMG PAC (C00690263)</t>
  </si>
  <si>
    <t>SA11AI_262115844</t>
  </si>
  <si>
    <t>M7</t>
  </si>
  <si>
    <t>SA11AI_255618189</t>
  </si>
  <si>
    <t>http://docquery.fec.gov/cgi-bin/fecimg/?202010149285912540</t>
  </si>
  <si>
    <t>7588829E</t>
  </si>
  <si>
    <t>http://docquery.fec.gov/cgi-bin/fecimg/?202007159249815880</t>
  </si>
  <si>
    <t>1040113E</t>
  </si>
  <si>
    <t>YE</t>
  </si>
  <si>
    <t>http://docquery.fec.gov/cgi-bin/fecimg/?202007159249894882</t>
  </si>
  <si>
    <t>1238647E</t>
  </si>
  <si>
    <t>M2</t>
  </si>
  <si>
    <t>http://docquery.fec.gov/cgi-bin/fecimg/?202003239215653884</t>
  </si>
  <si>
    <t>2256395E</t>
  </si>
  <si>
    <t>https://docquery.fec.gov/cgi-bin/fecimg/?202103059440178048</t>
  </si>
  <si>
    <t>VSH8GK2QE72E</t>
  </si>
  <si>
    <t>VSH8GK2QE72</t>
  </si>
  <si>
    <t>https://docquery.fec.gov/cgi-bin/fecimg/?202103059440177204</t>
  </si>
  <si>
    <t>VSH8GK2W8Y0E</t>
  </si>
  <si>
    <t>VSH8GK2W8Y0</t>
  </si>
  <si>
    <t>http://docquery.fec.gov/cgi-bin/fecimg/?202001299169454232</t>
  </si>
  <si>
    <t>EARMARKED FOR MARK KELLY FOR SENATE (C00696526)</t>
  </si>
  <si>
    <t>SA11AI_171568865</t>
  </si>
  <si>
    <t>EARMARKED FOR DCCC (C00000935)</t>
  </si>
  <si>
    <t>SA11AI_176139389</t>
  </si>
  <si>
    <t>https://docquery.fec.gov/cgi-bin/fecimg/?202107019450911909</t>
  </si>
  <si>
    <t>3926 OAKLAND DRIVE</t>
  </si>
  <si>
    <t>11AI-001632191</t>
  </si>
  <si>
    <t>https://docquery.fec.gov/cgi-bin/fecimg/?202107019450911908</t>
  </si>
  <si>
    <t>11AI-001632190</t>
  </si>
  <si>
    <t>http://docquery.fec.gov/cgi-bin/fecimg/?202001159167183208</t>
  </si>
  <si>
    <t>VPFAPSJ7QZ5E</t>
  </si>
  <si>
    <t>EARLEY, ANTHONY F JR.</t>
  </si>
  <si>
    <t>VPFAPSJ7QZ5</t>
  </si>
  <si>
    <t>http://docquery.fec.gov/cgi-bin/fecimg/?202010159295006542</t>
  </si>
  <si>
    <t>VVC31W5CPX1E</t>
  </si>
  <si>
    <t>VVC31W5CPX1</t>
  </si>
  <si>
    <t>MARK KELLY VICTORY FUND</t>
  </si>
  <si>
    <t>C00706861</t>
  </si>
  <si>
    <t>line_number_label</t>
  </si>
  <si>
    <t>pdf_url</t>
  </si>
  <si>
    <t>sub_id</t>
  </si>
  <si>
    <t>increased_limit</t>
  </si>
  <si>
    <t>schedule_type</t>
  </si>
  <si>
    <t>two_year_transaction_period</t>
  </si>
  <si>
    <t>memo_text</t>
  </si>
  <si>
    <t>is_individual</t>
  </si>
  <si>
    <t>link_id</t>
  </si>
  <si>
    <t>filing_form</t>
  </si>
  <si>
    <t>back_reference_schedule_name</t>
  </si>
  <si>
    <t>back_reference_transaction_id</t>
  </si>
  <si>
    <t>original_sub_id</t>
  </si>
  <si>
    <t>load_date</t>
  </si>
  <si>
    <t>schedule_type_full</t>
  </si>
  <si>
    <t>amendment_indicator_desc</t>
  </si>
  <si>
    <t>amendment_indicator</t>
  </si>
  <si>
    <t>fec_election_year</t>
  </si>
  <si>
    <t>fec_election_type_desc</t>
  </si>
  <si>
    <t>election_type_full</t>
  </si>
  <si>
    <t>election_type</t>
  </si>
  <si>
    <t>national_committee_nonfederal_account</t>
  </si>
  <si>
    <t>donor_committee_name</t>
  </si>
  <si>
    <t>conduit_committee_zip</t>
  </si>
  <si>
    <t>conduit_committee_state</t>
  </si>
  <si>
    <t>conduit_committee_city</t>
  </si>
  <si>
    <t>conduit_committee_street2</t>
  </si>
  <si>
    <t>conduit_committee_street1</t>
  </si>
  <si>
    <t>conduit_committee_name</t>
  </si>
  <si>
    <t>conduit_committee_id</t>
  </si>
  <si>
    <t>candidate_office_district</t>
  </si>
  <si>
    <t>candidate_office_state_full</t>
  </si>
  <si>
    <t>candidate_office_state</t>
  </si>
  <si>
    <t>candidate_office_full</t>
  </si>
  <si>
    <t>candidate_office</t>
  </si>
  <si>
    <t>candidate_suffix</t>
  </si>
  <si>
    <t>candidate_prefix</t>
  </si>
  <si>
    <t>candidate_middle_name</t>
  </si>
  <si>
    <t>candidate_last_name</t>
  </si>
  <si>
    <t>candidate_first_name</t>
  </si>
  <si>
    <t>candidate_name</t>
  </si>
  <si>
    <t>candidate_id</t>
  </si>
  <si>
    <t>contributor_aggregate_ytd</t>
  </si>
  <si>
    <t>contribution_receipt_amount</t>
  </si>
  <si>
    <t>contribution_receipt_date</t>
  </si>
  <si>
    <t>memo_code_full</t>
  </si>
  <si>
    <t>memo_code</t>
  </si>
  <si>
    <t>receipt_type_full</t>
  </si>
  <si>
    <t>receipt_type_desc</t>
  </si>
  <si>
    <t>receipt_type</t>
  </si>
  <si>
    <t>contributor_id</t>
  </si>
  <si>
    <t>contributor_occupation</t>
  </si>
  <si>
    <t>contributor_employer</t>
  </si>
  <si>
    <t>contributor_zip</t>
  </si>
  <si>
    <t>contributor_state</t>
  </si>
  <si>
    <t>contributor_city</t>
  </si>
  <si>
    <t>contributor_street_2</t>
  </si>
  <si>
    <t>contributor_street_1</t>
  </si>
  <si>
    <t>contributor_suffix</t>
  </si>
  <si>
    <t>contributor_last_name</t>
  </si>
  <si>
    <t>contributor_middle_name</t>
  </si>
  <si>
    <t>contributor_first_name</t>
  </si>
  <si>
    <t>recipient_committee_designation</t>
  </si>
  <si>
    <t>recipient_committee_org_type</t>
  </si>
  <si>
    <t>recipient_committee_type</t>
  </si>
  <si>
    <t>contributor_name</t>
  </si>
  <si>
    <t>contributor_prefix</t>
  </si>
  <si>
    <t>unused_contbr_id</t>
  </si>
  <si>
    <t>entity_type_desc</t>
  </si>
  <si>
    <t>entity_type</t>
  </si>
  <si>
    <t>file_number</t>
  </si>
  <si>
    <t>transaction_id</t>
  </si>
  <si>
    <t>line_number</t>
  </si>
  <si>
    <t>image_number</t>
  </si>
  <si>
    <t>report_type</t>
  </si>
  <si>
    <t>report_year</t>
  </si>
  <si>
    <t>Row Labels</t>
  </si>
  <si>
    <t>Grand Total</t>
  </si>
  <si>
    <t>Sum of contribution_receipt_amount</t>
  </si>
  <si>
    <t>Alexandra Ford English</t>
  </si>
  <si>
    <t>https://docquery.fec.gov/cgi-bin/fecimg/?202102099427194388</t>
  </si>
  <si>
    <t>VSH8GJD7KJ9E</t>
  </si>
  <si>
    <t>STRATEGY</t>
  </si>
  <si>
    <t>FORD MOTOR COMPANY</t>
  </si>
  <si>
    <t>DETROIT</t>
  </si>
  <si>
    <t>2000 BRUSH ST</t>
  </si>
  <si>
    <t>III</t>
  </si>
  <si>
    <t>HENRY</t>
  </si>
  <si>
    <t>FORD, HENRY III</t>
  </si>
  <si>
    <t>VSH8GJD7KJ9</t>
  </si>
  <si>
    <t>http://docquery.fec.gov/cgi-bin/fecimg/?202012019337235364</t>
  </si>
  <si>
    <t>P/R DEDUCTION ($30.00 MONTHLY)</t>
  </si>
  <si>
    <t>CONTRIBUTION</t>
  </si>
  <si>
    <t>DIRECTOR</t>
  </si>
  <si>
    <t>BIRMINGHAM</t>
  </si>
  <si>
    <t>475 TOOTING LANE</t>
  </si>
  <si>
    <t>FORD III</t>
  </si>
  <si>
    <t>FORD III, HENRY</t>
  </si>
  <si>
    <t>PR263716434585</t>
  </si>
  <si>
    <t>http://docquery.fec.gov/cgi-bin/fecimg/?202010219326755864</t>
  </si>
  <si>
    <t>PR263716434207</t>
  </si>
  <si>
    <t>https://docquery.fec.gov/cgi-bin/fecimg/?202101319418624803</t>
  </si>
  <si>
    <t>1956274E</t>
  </si>
  <si>
    <t>MANAGER</t>
  </si>
  <si>
    <t>STE 440</t>
  </si>
  <si>
    <t>http://docquery.fec.gov/cgi-bin/fecimg/?202007159250112120</t>
  </si>
  <si>
    <t>VNHWQFGRX35E</t>
  </si>
  <si>
    <t>VNHWQFGRX35</t>
  </si>
  <si>
    <t>Q2</t>
  </si>
  <si>
    <t>http://docquery.fec.gov/cgi-bin/fecimg/?202007159244639174</t>
  </si>
  <si>
    <t>VTEJ1WDRTM3E</t>
  </si>
  <si>
    <t>CONSULTANT</t>
  </si>
  <si>
    <t>GROSSE POINTE FARMS</t>
  </si>
  <si>
    <t>241 LAKE SHORE RD</t>
  </si>
  <si>
    <t>VTEJ1WDRTM3</t>
  </si>
  <si>
    <t>http://docquery.fec.gov/cgi-bin/fecimg/?201912189166359638</t>
  </si>
  <si>
    <t>STRATEGY SENIOR MANAGER</t>
  </si>
  <si>
    <t>PR263716431137</t>
  </si>
  <si>
    <t>M12</t>
  </si>
  <si>
    <t>http://docquery.fec.gov/cgi-bin/fecimg/?201911019165321080</t>
  </si>
  <si>
    <t>VTEJ1XCY1J9E</t>
  </si>
  <si>
    <t>NO CHANGE</t>
  </si>
  <si>
    <t>VTEJ1XCY1J9</t>
  </si>
  <si>
    <t>http://docquery.fec.gov/cgi-bin/fecimg/?201911019165320623</t>
  </si>
  <si>
    <t>VTEJ1XCY1H1E</t>
  </si>
  <si>
    <t>VTEJ1XCY1H1</t>
  </si>
  <si>
    <t>http://docquery.fec.gov/cgi-bin/fecimg/?202001289167420439</t>
  </si>
  <si>
    <t>PR263716431700</t>
  </si>
  <si>
    <t>http://docquery.fec.gov/cgi-bin/fecimg/?201910159164698235</t>
  </si>
  <si>
    <t>VTQYSJQG6E8E</t>
  </si>
  <si>
    <t>VTQYSJQG6E8</t>
  </si>
  <si>
    <t>http://docquery.fec.gov/cgi-bin/fecimg/?201910179165017456</t>
  </si>
  <si>
    <t>PR263716430680</t>
  </si>
  <si>
    <t>M10</t>
  </si>
  <si>
    <t>http://docquery.fec.gov/cgi-bin/fecimg/?201909189163369109</t>
  </si>
  <si>
    <t>PR263716430283</t>
  </si>
  <si>
    <t>http://docquery.fec.gov/cgi-bin/fecimg/?201908099162203655</t>
  </si>
  <si>
    <t>PR263716430056</t>
  </si>
  <si>
    <t>M8</t>
  </si>
  <si>
    <t>2000 BRUSH ST DETROIT MI 482262251</t>
  </si>
  <si>
    <t>3926 OAKLAND DR BLOOMFIELD HILLS MI 48301</t>
  </si>
  <si>
    <t>AC6D0363675694C048C9</t>
  </si>
  <si>
    <t>MR.</t>
  </si>
  <si>
    <t>FORD, WILLIAM C MR. JR.</t>
  </si>
  <si>
    <t>WILLIAM</t>
  </si>
  <si>
    <t>CHAIRMAN OF THE BOARD</t>
  </si>
  <si>
    <t>http://docquery.fec.gov/cgi-bin/fecimg/?202001319184822094</t>
  </si>
  <si>
    <t>SL1A</t>
  </si>
  <si>
    <t>A12D4014A0E7C477EADB</t>
  </si>
  <si>
    <t>NON-FEDERAL RECEIPT FROM PERSONS</t>
  </si>
  <si>
    <t>B07AE76AB</t>
  </si>
  <si>
    <t>http://docquery.fec.gov/cgi-bin/fecimg/?202001319184822232</t>
  </si>
  <si>
    <t>Non-Federal Receipts from Persons Levin (L-1A)</t>
  </si>
  <si>
    <t>C00451153</t>
  </si>
  <si>
    <t>GRIDIRON-PAC</t>
  </si>
  <si>
    <t>A2019-3118914</t>
  </si>
  <si>
    <t>FORD, WILLIAM C JR.</t>
  </si>
  <si>
    <t>C/O DETROIT LIONS</t>
  </si>
  <si>
    <t>222 REPUBLIC DRIVE</t>
  </si>
  <si>
    <t>ALLEN PARK</t>
  </si>
  <si>
    <t>DETROIT LIONS</t>
  </si>
  <si>
    <t>OWNER/CHAIRMAN</t>
  </si>
  <si>
    <t>http://docquery.fec.gov/cgi-bin/fecimg/?202001319184197999</t>
  </si>
  <si>
    <t>E</t>
  </si>
  <si>
    <t>NEW YORK</t>
  </si>
  <si>
    <t>CEO</t>
  </si>
  <si>
    <t>A2020-2621925</t>
  </si>
  <si>
    <t>https://docquery.fec.gov/cgi-bin/fecimg/?202012029337427953</t>
  </si>
  <si>
    <t>VSH8GJ3NXZ2</t>
  </si>
  <si>
    <t>FORD, WILLIAM DAVID JR.</t>
  </si>
  <si>
    <t>DAVID</t>
  </si>
  <si>
    <t>CHAIRMAN</t>
  </si>
  <si>
    <t>VSH8GJ3NXZ2E</t>
  </si>
  <si>
    <t>https://docquery.fec.gov/cgi-bin/fecimg/?202102099427192923</t>
  </si>
  <si>
    <t>2000 BRUSH ST STE 440 DETROIT MI 482262251</t>
  </si>
  <si>
    <t>M5</t>
  </si>
  <si>
    <t>SA11AI_230059243</t>
  </si>
  <si>
    <t>HELMAN, WILLIAM</t>
  </si>
  <si>
    <t>HELMAN</t>
  </si>
  <si>
    <t>106 7TH AVE PH 12</t>
  </si>
  <si>
    <t>GREYLOCK MANAGEMENT</t>
  </si>
  <si>
    <t>BUSINESS</t>
  </si>
  <si>
    <t>CONTRIBUTION TO ACT BLUE</t>
  </si>
  <si>
    <t>CONTRIBUTION TO ACTBLUE</t>
  </si>
  <si>
    <t>http://docquery.fec.gov/cgi-bin/fecimg/?202005209236634258</t>
  </si>
  <si>
    <t>C00738336</t>
  </si>
  <si>
    <t>CARUSO-CABRERA FOR NEW YORK</t>
  </si>
  <si>
    <t>106 7TH AVE</t>
  </si>
  <si>
    <t>PH 12</t>
  </si>
  <si>
    <t>4392419E</t>
  </si>
  <si>
    <t>http://docquery.fec.gov/cgi-bin/fecimg/?202006119239761341</t>
  </si>
  <si>
    <t>106 7TH AVE PH 12 NEW YORK NY 10011</t>
  </si>
  <si>
    <t>http://docquery.fec.gov/cgi-bin/fecimg/?202004139216666761</t>
  </si>
  <si>
    <t>CONVENTION</t>
  </si>
  <si>
    <t>CONVENTION-2020</t>
  </si>
  <si>
    <t>C2020</t>
  </si>
  <si>
    <t>POLITICIAN</t>
  </si>
  <si>
    <t>SELF-EMPLOYED</t>
  </si>
  <si>
    <t>UT</t>
  </si>
  <si>
    <t>SALT LAKE CITY</t>
  </si>
  <si>
    <t>1605 E NEW BEDFORD DR</t>
  </si>
  <si>
    <t>HUNTSMAN</t>
  </si>
  <si>
    <t>JON</t>
  </si>
  <si>
    <t>HUNTSMAN, JON</t>
  </si>
  <si>
    <t>A-46</t>
  </si>
  <si>
    <t>12C</t>
  </si>
  <si>
    <t>FRIENDS OF KERRY W. GIBSON</t>
  </si>
  <si>
    <t>C00734640</t>
  </si>
  <si>
    <t>1605 E NEW BEDFORD DR SALT LAKE CITY UT 84103</t>
  </si>
  <si>
    <t>C00083535</t>
  </si>
  <si>
    <t>DUKE ENERGY CORPORATION PAC</t>
  </si>
  <si>
    <t>KENNARD, WILLIAM</t>
  </si>
  <si>
    <t>KENNARD</t>
  </si>
  <si>
    <t>41 MEETING STREET</t>
  </si>
  <si>
    <t>CHARLESTON</t>
  </si>
  <si>
    <t>SC</t>
  </si>
  <si>
    <t>DUKE ENERGY CORPORATION</t>
  </si>
  <si>
    <t>http://docquery.fec.gov/cgi-bin/fecimg/?201908089161367786</t>
  </si>
  <si>
    <t>http://docquery.fec.gov/cgi-bin/fecimg/?201908089161367787</t>
  </si>
  <si>
    <t>C00701052</t>
  </si>
  <si>
    <t>ADAIR FOR CONGRESS</t>
  </si>
  <si>
    <t>VVC5RQ8VSQ0</t>
  </si>
  <si>
    <t>41 MEETING ST</t>
  </si>
  <si>
    <t>VVC5RQ8VSQ0E</t>
  </si>
  <si>
    <t>http://docquery.fec.gov/cgi-bin/fecimg/?202001309182481175</t>
  </si>
  <si>
    <t>C00391029</t>
  </si>
  <si>
    <t>JIM COSTA FOR CONGRESS</t>
  </si>
  <si>
    <t>AC3670C939426407ABA8</t>
  </si>
  <si>
    <t>SELF EMPLOYED</t>
  </si>
  <si>
    <t>INVESTOR</t>
  </si>
  <si>
    <t>https://docquery.fec.gov/cgi-bin/fecimg/?202012319394492388</t>
  </si>
  <si>
    <t>41 MEETING ST CHARLESTON SC 294012736</t>
  </si>
  <si>
    <t>C00507368</t>
  </si>
  <si>
    <t>BEATTY FOR CONGRESS</t>
  </si>
  <si>
    <t>VPF6NSKQWT7</t>
  </si>
  <si>
    <t>MOONEY, BETH E</t>
  </si>
  <si>
    <t>BETH</t>
  </si>
  <si>
    <t>MOONEY</t>
  </si>
  <si>
    <t>11 COLONY LN</t>
  </si>
  <si>
    <t>BRATENAHL</t>
  </si>
  <si>
    <t>OH</t>
  </si>
  <si>
    <t>KEY BANK</t>
  </si>
  <si>
    <t>CHAIRMAN &amp; CEO</t>
  </si>
  <si>
    <t>https://docquery.fec.gov/cgi-bin/fecimg/?202104149443336091</t>
  </si>
  <si>
    <t>C00073155</t>
  </si>
  <si>
    <t>KEYCORP ADVOCATES FUND</t>
  </si>
  <si>
    <t>MY</t>
  </si>
  <si>
    <t>0BE4E100B6834D5AB3BA</t>
  </si>
  <si>
    <t>MOONEY, BETH</t>
  </si>
  <si>
    <t>KEYCORP</t>
  </si>
  <si>
    <t>CHAIRMAN OF THE BOARD &amp; CEO</t>
  </si>
  <si>
    <t>http://docquery.fec.gov/cgi-bin/fecimg/?201910079163758562</t>
  </si>
  <si>
    <t>05458006B5F948F89D89</t>
  </si>
  <si>
    <t>E4A7510B69E049E3B856</t>
  </si>
  <si>
    <t>E00EBC83F24F4475B036</t>
  </si>
  <si>
    <t>http://docquery.fec.gov/cgi-bin/fecimg/?201910079163758563</t>
  </si>
  <si>
    <t>95E0140E364547AB8475</t>
  </si>
  <si>
    <t>83E3F9636DA74CDCA47B</t>
  </si>
  <si>
    <t>4C40E82803FF44B680FB</t>
  </si>
  <si>
    <t>http://docquery.fec.gov/cgi-bin/fecimg/?201910079163758564</t>
  </si>
  <si>
    <t>79EF0749BBAD433F819E</t>
  </si>
  <si>
    <t>D7FC5E6B10C1469BBB2F</t>
  </si>
  <si>
    <t>294AF0C6645847AC961B</t>
  </si>
  <si>
    <t>http://docquery.fec.gov/cgi-bin/fecimg/?201910079163758565</t>
  </si>
  <si>
    <t>6E098666C95F45249F12</t>
  </si>
  <si>
    <t>2125829721E6465B820E</t>
  </si>
  <si>
    <t>B495CD70900A47FC81EF</t>
  </si>
  <si>
    <t>http://docquery.fec.gov/cgi-bin/fecimg/?202001249167351810</t>
  </si>
  <si>
    <t>1F697B8D158345DA8D75</t>
  </si>
  <si>
    <t>14DB87FA720446038A81</t>
  </si>
  <si>
    <t>http://docquery.fec.gov/cgi-bin/fecimg/?202001249167351811</t>
  </si>
  <si>
    <t>B6FA058FEEFA4E8B9F29</t>
  </si>
  <si>
    <t>AF442DB1BE61429D86A1</t>
  </si>
  <si>
    <t>9CF9DC05378A4E25BB6B</t>
  </si>
  <si>
    <t>http://docquery.fec.gov/cgi-bin/fecimg/?202001249167351812</t>
  </si>
  <si>
    <t>8CAAE4E65D864597A7C4</t>
  </si>
  <si>
    <t>9E35AAB2D02F4757B9A5</t>
  </si>
  <si>
    <t>B203E1DA5AC446F6AA6D</t>
  </si>
  <si>
    <t>http://docquery.fec.gov/cgi-bin/fecimg/?202001249167351813</t>
  </si>
  <si>
    <t>0D807C3B8CED4F789DFB</t>
  </si>
  <si>
    <t>9E1850739CFA467AB6EF</t>
  </si>
  <si>
    <t>9DCE7330D07145BB9B6F</t>
  </si>
  <si>
    <t>http://docquery.fec.gov/cgi-bin/fecimg/?202001249167351814</t>
  </si>
  <si>
    <t>27B1CCA3C17C48C18C51</t>
  </si>
  <si>
    <t>F3D55691BCC14F83ADEA</t>
  </si>
  <si>
    <t>http://docquery.fec.gov/cgi-bin/fecimg/?202002179186507893</t>
  </si>
  <si>
    <t>M3</t>
  </si>
  <si>
    <t>04EE482A73AF4D53AE45</t>
  </si>
  <si>
    <t>127 PUBLIC SQ</t>
  </si>
  <si>
    <t>CLEVELAND</t>
  </si>
  <si>
    <t>http://docquery.fec.gov/cgi-bin/fecimg/?202003209204025315</t>
  </si>
  <si>
    <t>54ACCFAFBA304A618239</t>
  </si>
  <si>
    <t>http://docquery.fec.gov/cgi-bin/fecimg/?202003209204025316</t>
  </si>
  <si>
    <t>M4</t>
  </si>
  <si>
    <t>CDE5153E0FBB47C6917E</t>
  </si>
  <si>
    <t>http://docquery.fec.gov/cgi-bin/fecimg/?202004209219751070</t>
  </si>
  <si>
    <t>AC42AB6E814B41408308</t>
  </si>
  <si>
    <t>8BD1CF49D629405FB5EB</t>
  </si>
  <si>
    <t>http://docquery.fec.gov/cgi-bin/fecimg/?202005199232797113</t>
  </si>
  <si>
    <t>DD39285E4A654D3AA07B</t>
  </si>
  <si>
    <t>SA11AI_231197326</t>
  </si>
  <si>
    <t>http://docquery.fec.gov/cgi-bin/fecimg/?202005209237048236</t>
  </si>
  <si>
    <t>M6</t>
  </si>
  <si>
    <t>ED1A239CFF3E40649F60</t>
  </si>
  <si>
    <t>http://docquery.fec.gov/cgi-bin/fecimg/?202006189239930687</t>
  </si>
  <si>
    <t>E01C625B36C34A8390C2</t>
  </si>
  <si>
    <t>http://docquery.fec.gov/cgi-bin/fecimg/?202006189239930688</t>
  </si>
  <si>
    <t>https://docquery.fec.gov/cgi-bin/fecimg/?202103089440306952</t>
  </si>
  <si>
    <t>SA11AI_303383429</t>
  </si>
  <si>
    <t>EARMARKED FOR CAL FOR NC (C00709410)</t>
  </si>
  <si>
    <t>https://docquery.fec.gov/cgi-bin/fecimg/?202012149378724967</t>
  </si>
  <si>
    <t>SA11AI_268086757</t>
  </si>
  <si>
    <t>http://docquery.fec.gov/cgi-bin/fecimg/?202008209263174372</t>
  </si>
  <si>
    <t>SA18</t>
  </si>
  <si>
    <t>* BIDEN VICTORY FUND</t>
  </si>
  <si>
    <t>http://docquery.fec.gov/cgi-bin/fecimg/?202010229336149752</t>
  </si>
  <si>
    <t>Transfers From Other Authorized Committees</t>
  </si>
  <si>
    <t>VVC97WKAKS7</t>
  </si>
  <si>
    <t>VVC97WKAKS7E</t>
  </si>
  <si>
    <t>http://docquery.fec.gov/cgi-bin/fecimg/?202010229336438001</t>
  </si>
  <si>
    <t>VVC31WMVSB3</t>
  </si>
  <si>
    <t>VVC31WMVSB3E</t>
  </si>
  <si>
    <t>http://docquery.fec.gov/cgi-bin/fecimg/?202010229335411854</t>
  </si>
  <si>
    <t>VTR3QQTFS10</t>
  </si>
  <si>
    <t>VTR3QQTFS10E</t>
  </si>
  <si>
    <t>http://docquery.fec.gov/cgi-bin/fecimg/?202010159294380116</t>
  </si>
  <si>
    <t>VVC0QWJWNT6</t>
  </si>
  <si>
    <t>VVC0QWJWNT6E</t>
  </si>
  <si>
    <t>http://docquery.fec.gov/cgi-bin/fecimg/?202012019337378775</t>
  </si>
  <si>
    <t>7656532E</t>
  </si>
  <si>
    <t>https://docquery.fec.gov/cgi-bin/fecimg/?202103179440593570</t>
  </si>
  <si>
    <t>SA11AI_331049850</t>
  </si>
  <si>
    <t>24T</t>
  </si>
  <si>
    <t>EARMARKED INTERMEDIARY TREASURY OUT</t>
  </si>
  <si>
    <t>S0NC00202</t>
  </si>
  <si>
    <t>https://docquery.fec.gov/cgi-bin/fecimg/?202012049356891062</t>
  </si>
  <si>
    <t>http://docquery.fec.gov/cgi-bin/fecimg/?202010229336242490</t>
  </si>
  <si>
    <t>Transfers from Authorized Committees</t>
  </si>
  <si>
    <t>VVC97SG31D6</t>
  </si>
  <si>
    <t>VVC97SG31D6E</t>
  </si>
  <si>
    <t>https://docquery.fec.gov/cgi-bin/fecimg/?202012039337642974</t>
  </si>
  <si>
    <t>VVC0QX645M8</t>
  </si>
  <si>
    <t>VVC0QX645M8E</t>
  </si>
  <si>
    <t>https://docquery.fec.gov/cgi-bin/fecimg/?202012039338681029</t>
  </si>
  <si>
    <t>2009443E</t>
  </si>
  <si>
    <t>https://docquery.fec.gov/cgi-bin/fecimg/?202106029448460003</t>
  </si>
  <si>
    <t>SA11AI_281877637</t>
  </si>
  <si>
    <t>https://docquery.fec.gov/cgi-bin/fecimg/?202012119369179565</t>
  </si>
  <si>
    <t>11 COLONY LN BRATENAHL OH 441081119</t>
  </si>
  <si>
    <t>THORNTON, JOHN</t>
  </si>
  <si>
    <t>JOHN</t>
  </si>
  <si>
    <t>THORNTON</t>
  </si>
  <si>
    <t>5108 LEWELLYN ROAD</t>
  </si>
  <si>
    <t>LAKELAND</t>
  </si>
  <si>
    <t>FL</t>
  </si>
  <si>
    <t>https://docquery.fec.gov/cgi-bin/fecimg/?202103109440432720</t>
  </si>
  <si>
    <t>THORNTON, ,, JOHN</t>
  </si>
  <si>
    <t>THORNTON, ,</t>
  </si>
  <si>
    <t>5108 LEWELLYN RD</t>
  </si>
  <si>
    <t>EARMARKED THROUGH WINRED [SA11AI.4498]</t>
  </si>
  <si>
    <t>https://docquery.fec.gov/cgi-bin/fecimg/?202102099427616884</t>
  </si>
  <si>
    <t>EARMARKED THROUGH WINRED [SA11AI.4499]</t>
  </si>
  <si>
    <t>EARMARKED THROUGH WINRED [SA11AI.4504]</t>
  </si>
  <si>
    <t>https://docquery.fec.gov/cgi-bin/fecimg/?202102099427616885</t>
  </si>
  <si>
    <t>EARMARKED THROUGH WINRED [SA11A1.4523]</t>
  </si>
  <si>
    <t>EARMARKED THROUGH WINRED [SA11A1.4540]</t>
  </si>
  <si>
    <t>EARMARKED FOR STEVE DAINES FOR MONTANA (C00491357)</t>
  </si>
  <si>
    <t>S2MT00096</t>
  </si>
  <si>
    <t>https://docquery.fec.gov/cgi-bin/fecimg/?202101259407874977</t>
  </si>
  <si>
    <t>EARMARKED THROUGH WINRED [SA11A1.4552]</t>
  </si>
  <si>
    <t>https://docquery.fec.gov/cgi-bin/fecimg/?202102099427616886</t>
  </si>
  <si>
    <t>EARMARKED FOR TEAM GRAHAM, INC. (C00458828)</t>
  </si>
  <si>
    <t>S0SC00149</t>
  </si>
  <si>
    <t>https://docquery.fec.gov/cgi-bin/fecimg/?202101259408605706</t>
  </si>
  <si>
    <t>EARMARKED FOR JOE COLLINS FOR CONGRESS (C00705236)</t>
  </si>
  <si>
    <t>H0CA43108</t>
  </si>
  <si>
    <t>https://docquery.fec.gov/cgi-bin/fecimg/?202101259409207202</t>
  </si>
  <si>
    <t>EARMARKED FOR LACY JOHNSON FOR CONGRESS (C00711689)</t>
  </si>
  <si>
    <t>H0MN05178</t>
  </si>
  <si>
    <t>https://docquery.fec.gov/cgi-bin/fecimg/?202101259406737909</t>
  </si>
  <si>
    <t>EARMARKED FOR MCSALLY FOR SENATE INC (C00666040)</t>
  </si>
  <si>
    <t>S8AZ00221</t>
  </si>
  <si>
    <t>https://docquery.fec.gov/cgi-bin/fecimg/?202101259409014897</t>
  </si>
  <si>
    <t>https://docquery.fec.gov/cgi-bin/fecimg/?202101259406914136</t>
  </si>
  <si>
    <t>EARMARKED FOR TRUMP MAKE AMERICA GREAT AGAIN COMMITTEE (C00618371)</t>
  </si>
  <si>
    <t>https://docquery.fec.gov/cgi-bin/fecimg/?202101259405823117</t>
  </si>
  <si>
    <t>EARMARKED FOR CONGRESSIONAL LEADERSHIP FUND (C00504530)</t>
  </si>
  <si>
    <t>https://docquery.fec.gov/cgi-bin/fecimg/?202101259407302643</t>
  </si>
  <si>
    <t>C00716860</t>
  </si>
  <si>
    <t>EARMARKED FOR JASON LEWIS FOR SENATE (C00716860)</t>
  </si>
  <si>
    <t>S0MN00328</t>
  </si>
  <si>
    <t>https://docquery.fec.gov/cgi-bin/fecimg/?202101259408783306</t>
  </si>
  <si>
    <t>https://docquery.fec.gov/cgi-bin/fecimg/?202101259407877839</t>
  </si>
  <si>
    <t>C00725853</t>
  </si>
  <si>
    <t>EARMARKED FOR BURGESS 4 UTAH (C00725853)</t>
  </si>
  <si>
    <t>H0UT04076</t>
  </si>
  <si>
    <t>https://docquery.fec.gov/cgi-bin/fecimg/?202101259407297005</t>
  </si>
  <si>
    <t>JFC TRANSFER: TRUMP MAKE AMERICA GREAT AGAIN COMMITTEE [SA18.4848]</t>
  </si>
  <si>
    <t>http://docquery.fec.gov/cgi-bin/fecimg/?202008249266975939</t>
  </si>
  <si>
    <t>http://docquery.fec.gov/cgi-bin/fecimg/?202008249266975938</t>
  </si>
  <si>
    <t>EARMARKED FOR NANCY MACE FOR CONGRESS (C00710103)</t>
  </si>
  <si>
    <t>H0SC01394</t>
  </si>
  <si>
    <t>https://docquery.fec.gov/cgi-bin/fecimg/?202101259408674885</t>
  </si>
  <si>
    <t>EARMARKED THROUGH WINRED [SA11AI.4452]</t>
  </si>
  <si>
    <t>https://docquery.fec.gov/cgi-bin/fecimg/?202102019424870668</t>
  </si>
  <si>
    <t>EARMARKED FOR TEAM SCALISE (C00750521)</t>
  </si>
  <si>
    <t>https://docquery.fec.gov/cgi-bin/fecimg/?202101259408168176</t>
  </si>
  <si>
    <t>EARMARKED THROUGH WINRED [SA11AI.4403]</t>
  </si>
  <si>
    <t>https://docquery.fec.gov/cgi-bin/fecimg/?202102019424870667</t>
  </si>
  <si>
    <t>EARMARKED THROUGH WINRED [SA11AI.4425]</t>
  </si>
  <si>
    <t>EARMARKED THROUGH WINRED [SA11AI.4447]</t>
  </si>
  <si>
    <t>EARMARKED FOR TAYLOR FOR CONGRESS 2020 (C00733394)</t>
  </si>
  <si>
    <t>H0VA02118</t>
  </si>
  <si>
    <t>https://docquery.fec.gov/cgi-bin/fecimg/?202101259407567860</t>
  </si>
  <si>
    <t>EARMARKED FOR ANNA PAULINA LUNA FOR CONGRESS (C00718239)</t>
  </si>
  <si>
    <t>H0FL13158</t>
  </si>
  <si>
    <t>https://docquery.fec.gov/cgi-bin/fecimg/?202101259406578004</t>
  </si>
  <si>
    <t>C00717322</t>
  </si>
  <si>
    <t>EARMARKED FOR RODIMER FOR CONGRESS (C00717322)</t>
  </si>
  <si>
    <t>H0NV03132</t>
  </si>
  <si>
    <t>https://docquery.fec.gov/cgi-bin/fecimg/?202101259407612088</t>
  </si>
  <si>
    <t>EARMARKED THROUGH WINRED [SA17A.7586]</t>
  </si>
  <si>
    <t>https://docquery.fec.gov/cgi-bin/fecimg/?202103039440152468</t>
  </si>
  <si>
    <t>EARMARKED THROUGH WINRED [SA11A1.4593]</t>
  </si>
  <si>
    <t>https://docquery.fec.gov/cgi-bin/fecimg/?202102089427141210</t>
  </si>
  <si>
    <t>EARMARKED THROUGH WINRED [SA11AI.4362]</t>
  </si>
  <si>
    <t>http://docquery.fec.gov/cgi-bin/fecimg/?202007289261166360</t>
  </si>
  <si>
    <t>EARMARKED THROUGH WINRED [SA11AI.4374]</t>
  </si>
  <si>
    <t>EARMARKED THROUGH WINRED [SA11AI.4353]</t>
  </si>
  <si>
    <t>http://docquery.fec.gov/cgi-bin/fecimg/?202007289261166359</t>
  </si>
  <si>
    <t>EARMARKED THROUGH WINRED [SA11AI.4340]</t>
  </si>
  <si>
    <t>EARMARKED THROUGH WINRED [SA11AI.4381]</t>
  </si>
  <si>
    <t>http://docquery.fec.gov/cgi-bin/fecimg/?202007289261166361</t>
  </si>
  <si>
    <t>EARMARKED THROUGH WINRED [SA11AI.4396]</t>
  </si>
  <si>
    <t>EARMARKED FOR GEORGIANS FOR KELLY LOEFFLER (C00729608)</t>
  </si>
  <si>
    <t>S0GA00526</t>
  </si>
  <si>
    <t>https://docquery.fec.gov/cgi-bin/fecimg/?202101299414217529</t>
  </si>
  <si>
    <t>EARMARKED THROUGH WINRED [SA11A1.36202]</t>
  </si>
  <si>
    <t>https://docquery.fec.gov/cgi-bin/fecimg/?202012189393371874</t>
  </si>
  <si>
    <t>EARMARKED THROUGH WINRED [SA11A1.53606]</t>
  </si>
  <si>
    <t>https://docquery.fec.gov/cgi-bin/fecimg/?202012189393373335</t>
  </si>
  <si>
    <t>EARMARKED THROUGH WINRED [SA11A1.4612]</t>
  </si>
  <si>
    <t>https://docquery.fec.gov/cgi-bin/fecimg/?202102189428600545</t>
  </si>
  <si>
    <t>https://docquery.fec.gov/cgi-bin/fecimg/?202101079397087244</t>
  </si>
  <si>
    <t>EARMARKED FOR KIM KLACIK FOR CONGRESS (C00726117)</t>
  </si>
  <si>
    <t>H0MD07197</t>
  </si>
  <si>
    <t>https://docquery.fec.gov/cgi-bin/fecimg/?202101259407150549</t>
  </si>
  <si>
    <t>https://docquery.fec.gov/cgi-bin/fecimg/?202101079396158594</t>
  </si>
  <si>
    <t>EARMARKED FOR NRCC (C00075820)</t>
  </si>
  <si>
    <t>https://docquery.fec.gov/cgi-bin/fecimg/?202101259408909986</t>
  </si>
  <si>
    <t>https://docquery.fec.gov/cgi-bin/fecimg/?202101079396358827</t>
  </si>
  <si>
    <t>https://docquery.fec.gov/cgi-bin/fecimg/?202101079396758756</t>
  </si>
  <si>
    <t>https://docquery.fec.gov/cgi-bin/fecimg/?202101079396888286</t>
  </si>
  <si>
    <t>https://docquery.fec.gov/cgi-bin/fecimg/?202101299415575650</t>
  </si>
  <si>
    <t>EARMARKED FOR NATIONAL VICTORY ACTION FUND (C00760124)</t>
  </si>
  <si>
    <t>https://docquery.fec.gov/cgi-bin/fecimg/?202101299414221554</t>
  </si>
  <si>
    <t>EARMARKED FOR PERDUE FOR SENATE (C00547570)</t>
  </si>
  <si>
    <t>S4GA11285</t>
  </si>
  <si>
    <t>https://docquery.fec.gov/cgi-bin/fecimg/?202101299414229753</t>
  </si>
  <si>
    <t>https://docquery.fec.gov/cgi-bin/fecimg/?202101259408846430</t>
  </si>
  <si>
    <t>https://docquery.fec.gov/cgi-bin/fecimg/?202101149400597866</t>
  </si>
  <si>
    <t>https://docquery.fec.gov/cgi-bin/fecimg/?202101259409096661</t>
  </si>
  <si>
    <t>https://docquery.fec.gov/cgi-bin/fecimg/?202101259409017085</t>
  </si>
  <si>
    <t>EARMARKED FOR JONI FOR IOWA (C00546788)</t>
  </si>
  <si>
    <t>S4IA00129</t>
  </si>
  <si>
    <t>https://docquery.fec.gov/cgi-bin/fecimg/?202101259407193593</t>
  </si>
  <si>
    <t>EARMARKED FOR BYRON DONALDS FOR CONGRESS (C00733329)</t>
  </si>
  <si>
    <t>H2FL14186</t>
  </si>
  <si>
    <t>https://docquery.fec.gov/cgi-bin/fecimg/?202101259407841203</t>
  </si>
  <si>
    <t>https://docquery.fec.gov/cgi-bin/fecimg/?202101079396583759</t>
  </si>
  <si>
    <t>TRANSFER</t>
  </si>
  <si>
    <t>SA12.982671</t>
  </si>
  <si>
    <t>TRANSFER FROM TEAM SCALISE JFC</t>
  </si>
  <si>
    <t>http://docquery.fec.gov/cgi-bin/fecimg/?202010159294902019</t>
  </si>
  <si>
    <t>https://docquery.fec.gov/cgi-bin/fecimg/?202101149401542596</t>
  </si>
  <si>
    <t>JFC TRANSFER: TRUMP MAKE AMERICA GREAT AGAIN COMMITTEE [SA18.6042]</t>
  </si>
  <si>
    <t>https://docquery.fec.gov/cgi-bin/fecimg/?202104209444623430</t>
  </si>
  <si>
    <t>JFC TRANSFER: TRUMP MAKE AMERICA GREAT AGAIN COMMITTEE [SA18.6044]</t>
  </si>
  <si>
    <t>https://docquery.fec.gov/cgi-bin/fecimg/?202104209444623433</t>
  </si>
  <si>
    <t>https://docquery.fec.gov/cgi-bin/fecimg/?202104209444623431</t>
  </si>
  <si>
    <t>https://docquery.fec.gov/cgi-bin/fecimg/?202104209444623432</t>
  </si>
  <si>
    <t>https://docquery.fec.gov/cgi-bin/fecimg/?202101149401571001</t>
  </si>
  <si>
    <t>https://docquery.fec.gov/cgi-bin/fecimg/?202101299415211502</t>
  </si>
  <si>
    <t>https://docquery.fec.gov/cgi-bin/fecimg/?202101259408171157</t>
  </si>
  <si>
    <t>https://docquery.fec.gov/cgi-bin/fecimg/?202101149401310135</t>
  </si>
  <si>
    <t>https://docquery.fec.gov/cgi-bin/fecimg/?202101259406486360</t>
  </si>
  <si>
    <t>https://docquery.fec.gov/cgi-bin/fecimg/?202101259407876099</t>
  </si>
  <si>
    <t>https://docquery.fec.gov/cgi-bin/fecimg/?202101259405534724</t>
  </si>
  <si>
    <t>https://docquery.fec.gov/cgi-bin/fecimg/?202101259406916986</t>
  </si>
  <si>
    <t>https://docquery.fec.gov/cgi-bin/fecimg/?202101149400088459</t>
  </si>
  <si>
    <t>https://docquery.fec.gov/cgi-bin/fecimg/?202101259408172207</t>
  </si>
  <si>
    <t>https://docquery.fec.gov/cgi-bin/fecimg/?202103039432247668</t>
  </si>
  <si>
    <t>https://docquery.fec.gov/cgi-bin/fecimg/?202103039433072214</t>
  </si>
  <si>
    <t>https://docquery.fec.gov/cgi-bin/fecimg/?202103039433070026</t>
  </si>
  <si>
    <t>https://docquery.fec.gov/cgi-bin/fecimg/?202103039432518673</t>
  </si>
  <si>
    <t>https://docquery.fec.gov/cgi-bin/fecimg/?202103039433866306</t>
  </si>
  <si>
    <t>https://docquery.fec.gov/cgi-bin/fecimg/?202103039432253439</t>
  </si>
  <si>
    <t>https://docquery.fec.gov/cgi-bin/fecimg/?202103039432547436</t>
  </si>
  <si>
    <t>EARMARKED FOR MCCONNELL SENATE COMMITTEE (C00193342)</t>
  </si>
  <si>
    <t>https://docquery.fec.gov/cgi-bin/fecimg/?202103039434808668</t>
  </si>
  <si>
    <t>C00762237</t>
  </si>
  <si>
    <t>EARMARKED FOR DEVOLDER SANTOS FOR CONGRESS RECOUNT (C00762237)</t>
  </si>
  <si>
    <t>https://docquery.fec.gov/cgi-bin/fecimg/?202103039434610345</t>
  </si>
  <si>
    <t>EARMARKED FOR MARYOTT FOR CONGRESS (C00666859)</t>
  </si>
  <si>
    <t>https://docquery.fec.gov/cgi-bin/fecimg/?202103039432469022</t>
  </si>
  <si>
    <t>EARMARKED FOR NRSC (C00027466)</t>
  </si>
  <si>
    <t>https://docquery.fec.gov/cgi-bin/fecimg/?202103039435215042</t>
  </si>
  <si>
    <t>https://docquery.fec.gov/cgi-bin/fecimg/?202103039432247498</t>
  </si>
  <si>
    <t>https://docquery.fec.gov/cgi-bin/fecimg/?202103039431437083</t>
  </si>
  <si>
    <t>https://docquery.fec.gov/cgi-bin/fecimg/?202101149400795203</t>
  </si>
  <si>
    <t>https://docquery.fec.gov/cgi-bin/fecimg/?202101149400391466</t>
  </si>
  <si>
    <t>https://docquery.fec.gov/cgi-bin/fecimg/?202101259407391401</t>
  </si>
  <si>
    <t>SA12.102118449</t>
  </si>
  <si>
    <t>TRANSFER FROM TRUMP MAKE AMERICA GREAT AGAIN COMMITTEE</t>
  </si>
  <si>
    <t>https://docquery.fec.gov/cgi-bin/fecimg/?202106249450452972</t>
  </si>
  <si>
    <t>EARMARKED (NON-DIRECTED) THROUGH WINRED</t>
  </si>
  <si>
    <t>https://docquery.fec.gov/cgi-bin/fecimg/?202103109440381751</t>
  </si>
  <si>
    <t>SA12.102118448</t>
  </si>
  <si>
    <t>https://docquery.fec.gov/cgi-bin/fecimg/?202106249450361554</t>
  </si>
  <si>
    <t>SA12.102118447</t>
  </si>
  <si>
    <t>https://docquery.fec.gov/cgi-bin/fecimg/?202106249450252767</t>
  </si>
  <si>
    <t>https://docquery.fec.gov/cgi-bin/fecimg/?202101259408054042</t>
  </si>
  <si>
    <t>https://docquery.fec.gov/cgi-bin/fecimg/?202101259407103839</t>
  </si>
  <si>
    <t>https://docquery.fec.gov/cgi-bin/fecimg/?202101149401377670</t>
  </si>
  <si>
    <t>https://docquery.fec.gov/cgi-bin/fecimg/?202101259408782683</t>
  </si>
  <si>
    <t>S2KY00012</t>
  </si>
  <si>
    <t>https://docquery.fec.gov/cgi-bin/fecimg/?202101259408539060</t>
  </si>
  <si>
    <t>https://docquery.fec.gov/cgi-bin/fecimg/?202101149400085727</t>
  </si>
  <si>
    <t>https://docquery.fec.gov/cgi-bin/fecimg/?202101149400665362</t>
  </si>
  <si>
    <t>https://docquery.fec.gov/cgi-bin/fecimg/?202101149402001549</t>
  </si>
  <si>
    <t>https://docquery.fec.gov/cgi-bin/fecimg/?202101149401046831</t>
  </si>
  <si>
    <t>EARMARKED THROUGH WINRED [SA11A1.4575]</t>
  </si>
  <si>
    <t>https://docquery.fec.gov/cgi-bin/fecimg/?202102089427141209</t>
  </si>
  <si>
    <t>https://docquery.fec.gov/cgi-bin/fecimg/?202101259405633787</t>
  </si>
  <si>
    <t>https://docquery.fec.gov/cgi-bin/fecimg/?202101259408136949</t>
  </si>
  <si>
    <t>https://docquery.fec.gov/cgi-bin/fecimg/?202101259408138527</t>
  </si>
  <si>
    <t>https://docquery.fec.gov/cgi-bin/fecimg/?202101259406915119</t>
  </si>
  <si>
    <t>https://docquery.fec.gov/cgi-bin/fecimg/?202101259406577176</t>
  </si>
  <si>
    <t>https://docquery.fec.gov/cgi-bin/fecimg/?202101259408348519</t>
  </si>
  <si>
    <t>https://docquery.fec.gov/cgi-bin/fecimg/?202101259408543998</t>
  </si>
  <si>
    <t>https://docquery.fec.gov/cgi-bin/fecimg/?202101259408727531</t>
  </si>
  <si>
    <t>https://docquery.fec.gov/cgi-bin/fecimg/?202101259408675394</t>
  </si>
  <si>
    <t>https://docquery.fec.gov/cgi-bin/fecimg/?202101259407225132</t>
  </si>
  <si>
    <t>https://docquery.fec.gov/cgi-bin/fecimg/?202101259409010879</t>
  </si>
  <si>
    <t>https://docquery.fec.gov/cgi-bin/fecimg/?202101259406739670</t>
  </si>
  <si>
    <t>EARMARKED FOR KEVIN MCCARTHY FOR CONGRESS (C00420935)</t>
  </si>
  <si>
    <t>H6CA22125</t>
  </si>
  <si>
    <t>https://docquery.fec.gov/cgi-bin/fecimg/?202101259408728082</t>
  </si>
  <si>
    <t>https://docquery.fec.gov/cgi-bin/fecimg/?202101259407570831</t>
  </si>
  <si>
    <t>https://docquery.fec.gov/cgi-bin/fecimg/?202101259406916573</t>
  </si>
  <si>
    <t>EARMARKED THROUGH WINRED [SA11A1.64144]</t>
  </si>
  <si>
    <t>https://docquery.fec.gov/cgi-bin/fecimg/?202102259428876185</t>
  </si>
  <si>
    <t>https://docquery.fec.gov/cgi-bin/fecimg/?202103039431454827</t>
  </si>
  <si>
    <t>C00665638</t>
  </si>
  <si>
    <t>EARMARKED FOR YOUNG KIM FOR CONGRESS (C00665638)</t>
  </si>
  <si>
    <t>https://docquery.fec.gov/cgi-bin/fecimg/?202103039432260444</t>
  </si>
  <si>
    <t>https://docquery.fec.gov/cgi-bin/fecimg/?202103039432733963</t>
  </si>
  <si>
    <t>https://docquery.fec.gov/cgi-bin/fecimg/?202103039432250870</t>
  </si>
  <si>
    <t>A483E631E09D9431E981</t>
  </si>
  <si>
    <t>SA11AI.1582602</t>
  </si>
  <si>
    <t>SA11AI.1582603</t>
  </si>
  <si>
    <t>SA11AI.1582604</t>
  </si>
  <si>
    <t>SA11AI.1582599</t>
  </si>
  <si>
    <t>SA11AI.1582600</t>
  </si>
  <si>
    <t>A3FB0320EE7914840B4B</t>
  </si>
  <si>
    <t>SA11AI.1582601</t>
  </si>
  <si>
    <t>AF6F8E7866BAB4671B11</t>
  </si>
  <si>
    <t>A3F98367D591F4264B1A</t>
  </si>
  <si>
    <t>A32BED74D3B85487DA14</t>
  </si>
  <si>
    <t>A416D250CCD364110B11</t>
  </si>
  <si>
    <t>A5E31552C130546A5B14</t>
  </si>
  <si>
    <t>AF735D59B56964034AFC</t>
  </si>
  <si>
    <t>AF6ED570C08314B20B7A</t>
  </si>
  <si>
    <t>AED598872614C4CC0AB1</t>
  </si>
  <si>
    <t>AADE5DD626A98460CA4E</t>
  </si>
  <si>
    <t>AEBD490F0598641188F7</t>
  </si>
  <si>
    <t>SA18.326908</t>
  </si>
  <si>
    <t>SA18.326907</t>
  </si>
  <si>
    <t>A4758F2A60A3847D3867</t>
  </si>
  <si>
    <t>SA11AI.480535</t>
  </si>
  <si>
    <t>A8D43BED24634461B8F9</t>
  </si>
  <si>
    <t>SA11AI.480532</t>
  </si>
  <si>
    <t>SA11AI.213767</t>
  </si>
  <si>
    <t>SA11AI.480533</t>
  </si>
  <si>
    <t>SA11AI.480534</t>
  </si>
  <si>
    <t>A8D08D8FEFA9342AB81C</t>
  </si>
  <si>
    <t>A207D3002CC8143FB9CE</t>
  </si>
  <si>
    <t>A09E193ACACDE41678DD</t>
  </si>
  <si>
    <t>SA17A.248222</t>
  </si>
  <si>
    <t>SA11AI.208501</t>
  </si>
  <si>
    <t>SA11AI.124537</t>
  </si>
  <si>
    <t>SA11AI.124538</t>
  </si>
  <si>
    <t>SA11AI.124536</t>
  </si>
  <si>
    <t>SA11AI.124535</t>
  </si>
  <si>
    <t>SA11AI.124540</t>
  </si>
  <si>
    <t>SA11AI.124539</t>
  </si>
  <si>
    <t>A52252B5045AC4EA7ABE</t>
  </si>
  <si>
    <t>SA11AI.43876</t>
  </si>
  <si>
    <t>SA11AI.60544</t>
  </si>
  <si>
    <t>SA11AI.323924</t>
  </si>
  <si>
    <t>ABFBB3962458642E5A5D</t>
  </si>
  <si>
    <t>AA69FEC4E59FD4325ADE</t>
  </si>
  <si>
    <t>A0763BA60B6E44DB0AE9</t>
  </si>
  <si>
    <t>ADDF58F7D11404671A64</t>
  </si>
  <si>
    <t>A68AB2B14DD3A4D02AFA</t>
  </si>
  <si>
    <t>A5AA71FB3EA954932A78</t>
  </si>
  <si>
    <t>ABD020A269CA94D7099A</t>
  </si>
  <si>
    <t>A3CD6753DF5AA42FBB3D</t>
  </si>
  <si>
    <t>A9D5CB93E18264F02B4A</t>
  </si>
  <si>
    <t>A2F931888A1794135A41</t>
  </si>
  <si>
    <t>ADF4FBF25AE3A4867BD1</t>
  </si>
  <si>
    <t>A8477E06EEE1F45D6A8B</t>
  </si>
  <si>
    <t>A6050150D5CD74929B86</t>
  </si>
  <si>
    <t>A469DA9BDC9604F2FA85</t>
  </si>
  <si>
    <t>A4858A338800346F9A29</t>
  </si>
  <si>
    <t>A4889F9FCD57B4D58813</t>
  </si>
  <si>
    <t>ADE31D5BACCFF406CA23</t>
  </si>
  <si>
    <t>SA.966893.13.1</t>
  </si>
  <si>
    <t>ABBAAABB8482D4476816</t>
  </si>
  <si>
    <t>SA18.196896</t>
  </si>
  <si>
    <t>SA18.196903</t>
  </si>
  <si>
    <t>SA18.196897</t>
  </si>
  <si>
    <t>SA18.196898</t>
  </si>
  <si>
    <t>SA18.196899</t>
  </si>
  <si>
    <t>SA18.196900</t>
  </si>
  <si>
    <t>SA18.196901</t>
  </si>
  <si>
    <t>SA18.196902</t>
  </si>
  <si>
    <t>A6B1CE9802C874BD5B60</t>
  </si>
  <si>
    <t>AC2C25D0CF9A4495D8AF</t>
  </si>
  <si>
    <t>A39422630645546A7A0E</t>
  </si>
  <si>
    <t>A5CAE41F5A1EE4C0E9B4</t>
  </si>
  <si>
    <t>A24EF2E7DCE8E4D0A8EA</t>
  </si>
  <si>
    <t>A8C4449CBA75640B1A0A</t>
  </si>
  <si>
    <t>A19DE04875623497C957</t>
  </si>
  <si>
    <t>A947AA031B3614792997</t>
  </si>
  <si>
    <t>A23DE9B600A0F47E79D8</t>
  </si>
  <si>
    <t>A836B2C3FDBD547798F3</t>
  </si>
  <si>
    <t>AF35BEDF47E2A49908D6</t>
  </si>
  <si>
    <t>A85FB4EBD0B0047EBA3C</t>
  </si>
  <si>
    <t>A3A5A13DBA6DF47BD9F9</t>
  </si>
  <si>
    <t>A63B8E8EFA1534C6CB04</t>
  </si>
  <si>
    <t>A7F2F0760A78A429FA6E</t>
  </si>
  <si>
    <t>A22912A0DFD7544E0A84</t>
  </si>
  <si>
    <t>A63F13EB38A934B44AD8</t>
  </si>
  <si>
    <t>AD3F074B7ED114B70A67</t>
  </si>
  <si>
    <t>AA822D53DB336433B92B</t>
  </si>
  <si>
    <t>AF74155CF00FF45F6AEA</t>
  </si>
  <si>
    <t>A3CBED133A3334F7183F</t>
  </si>
  <si>
    <t>A1B04EF9CFC5647FB93A</t>
  </si>
  <si>
    <t>AB4FA66BA795F4D088CF</t>
  </si>
  <si>
    <t>AF4E0C7697A8F425280D</t>
  </si>
  <si>
    <t>A33897932F9584D0C875</t>
  </si>
  <si>
    <t>AA9D2D34DFBA7419A9E7</t>
  </si>
  <si>
    <t>SA.103016300.1.TM32</t>
  </si>
  <si>
    <t>ADF85EF67D1B1457CBC3</t>
  </si>
  <si>
    <t>SA.94045662.1.TM31</t>
  </si>
  <si>
    <t>SA.96452392.1.TM31</t>
  </si>
  <si>
    <t>SA.97757655.1.TM31</t>
  </si>
  <si>
    <t>SA.99540947.1.TM31</t>
  </si>
  <si>
    <t>A8124683110CA4598A4E</t>
  </si>
  <si>
    <t>AE6BBA66DFE2D45D086E</t>
  </si>
  <si>
    <t>A05405490F9EF43EF9F4</t>
  </si>
  <si>
    <t>AB93E901FF2624FCBBB0</t>
  </si>
  <si>
    <t>ABD3F15EF9DE94ACCB3E</t>
  </si>
  <si>
    <t>AEDDFE4C28CD54756B7C</t>
  </si>
  <si>
    <t>AC171C5A1E9484E38A43</t>
  </si>
  <si>
    <t>AAD7174C89C084482805</t>
  </si>
  <si>
    <t>AD9978D119EE04FD1920</t>
  </si>
  <si>
    <t>SA11AI.211140</t>
  </si>
  <si>
    <t>A148E6445435D4F34919</t>
  </si>
  <si>
    <t>AEE05CCC670A3491BB26</t>
  </si>
  <si>
    <t>A38944697129A4454948</t>
  </si>
  <si>
    <t>A5896279B65584210B4D</t>
  </si>
  <si>
    <t>A1F224DC04CCB403EAFB</t>
  </si>
  <si>
    <t>A1D9A1A33C0214EF4B02</t>
  </si>
  <si>
    <t>A728C5E160FAC436EB0E</t>
  </si>
  <si>
    <t>A1EFF18590EC0415B978</t>
  </si>
  <si>
    <t>A63981B176504406685B</t>
  </si>
  <si>
    <t>ABBEE90F449544155B52</t>
  </si>
  <si>
    <t>A847AF65A7F384601B76</t>
  </si>
  <si>
    <t>A9EDB00F3B5CB4BCE9EC</t>
  </si>
  <si>
    <t>A9D49AE5B7C8A4AE6A70</t>
  </si>
  <si>
    <t>A7D85C8E3BEEC4A05B34</t>
  </si>
  <si>
    <t>AC043E72999DC484F985</t>
  </si>
  <si>
    <t>SA11AI.67758</t>
  </si>
  <si>
    <t>A27DDDD4C277B4C8989F</t>
  </si>
  <si>
    <t>A6269C70E8FB74C27B2C</t>
  </si>
  <si>
    <t>A54D0EF29073E48B79EF</t>
  </si>
  <si>
    <t>A90247EDAEF6A48DBABD</t>
  </si>
  <si>
    <t>5108 LEWELLYN RD LAKELAND FL 338100789</t>
  </si>
  <si>
    <t>San Francisco Ca?</t>
  </si>
  <si>
    <t>NY CT?</t>
  </si>
  <si>
    <t>http://docquery.fec.gov/cgi-bin/fecimg/?202012019337235101</t>
  </si>
  <si>
    <t>P/R DEDUCTION ($416.00 MONTHLY)</t>
  </si>
  <si>
    <t>EXECUTIVE VICE PRESIDENT</t>
  </si>
  <si>
    <t>1362 JUNIPER LN</t>
  </si>
  <si>
    <t>THAI-TANG</t>
  </si>
  <si>
    <t>HAU N</t>
  </si>
  <si>
    <t>THAI-TANG, HAU N N MR</t>
  </si>
  <si>
    <t>MR</t>
  </si>
  <si>
    <t>PR209587234585</t>
  </si>
  <si>
    <t>http://docquery.fec.gov/cgi-bin/fecimg/?202010199297279613</t>
  </si>
  <si>
    <t>CHIEF PD &amp; PURCHASING OFFICER</t>
  </si>
  <si>
    <t>FMC US</t>
  </si>
  <si>
    <t>HAU</t>
  </si>
  <si>
    <t>THAI-TANG, HAU N MR</t>
  </si>
  <si>
    <t>PR209587234128</t>
  </si>
  <si>
    <t>http://docquery.fec.gov/cgi-bin/fecimg/?202010219326755627</t>
  </si>
  <si>
    <t>PR209587234207</t>
  </si>
  <si>
    <t>http://docquery.fec.gov/cgi-bin/fecimg/?202009179267222246</t>
  </si>
  <si>
    <t>PR209587233701</t>
  </si>
  <si>
    <t>http://docquery.fec.gov/cgi-bin/fecimg/?202007099244393363</t>
  </si>
  <si>
    <t>PR209587232739</t>
  </si>
  <si>
    <t>http://docquery.fec.gov/cgi-bin/fecimg/?202007099244394512</t>
  </si>
  <si>
    <t>PR209587233026</t>
  </si>
  <si>
    <t>http://docquery.fec.gov/cgi-bin/fecimg/?202003189203874360</t>
  </si>
  <si>
    <t>PR209587232112</t>
  </si>
  <si>
    <t>https://docquery.fec.gov/cgi-bin/fecimg/?202101159404712797</t>
  </si>
  <si>
    <t>CHIEF PRODUCT PLATFORM &amp; OPS</t>
  </si>
  <si>
    <t>PR209587235156</t>
  </si>
  <si>
    <t>http://docquery.fec.gov/cgi-bin/fecimg/?202002189186515551</t>
  </si>
  <si>
    <t>PR209587231849</t>
  </si>
  <si>
    <t>http://docquery.fec.gov/cgi-bin/fecimg/?202008149261306646</t>
  </si>
  <si>
    <t>PR209587233448</t>
  </si>
  <si>
    <t>http://docquery.fec.gov/cgi-bin/fecimg/?201912189166359367</t>
  </si>
  <si>
    <t>PR209587231137</t>
  </si>
  <si>
    <t>http://docquery.fec.gov/cgi-bin/fecimg/?202001289167420168</t>
  </si>
  <si>
    <t>PR209587231700</t>
  </si>
  <si>
    <t>1362 JUNIPER LN BLOOMFIELD HILLS MI 483021959</t>
  </si>
  <si>
    <t>http://docquery.fec.gov/cgi-bin/fecimg/?202012019337235406</t>
  </si>
  <si>
    <t>P/R DEDUCTION ($300.00 MONTHLY)</t>
  </si>
  <si>
    <t>PRESIDENT &amp; CEO</t>
  </si>
  <si>
    <t>GRAND RAPIDS</t>
  </si>
  <si>
    <t>1547 BRIARCLIFF DR. SE</t>
  </si>
  <si>
    <t>HACKETT</t>
  </si>
  <si>
    <t>JAMES P</t>
  </si>
  <si>
    <t>HACKETT, JAMES P P</t>
  </si>
  <si>
    <t>PR868935034585</t>
  </si>
  <si>
    <t>http://docquery.fec.gov/cgi-bin/fecimg/?202010199297279875</t>
  </si>
  <si>
    <t>ADVISOR TO THE OCCE</t>
  </si>
  <si>
    <t>JAMES</t>
  </si>
  <si>
    <t>HACKETT, JAMES P</t>
  </si>
  <si>
    <t>PR868935034128</t>
  </si>
  <si>
    <t>https://docquery.fec.gov/cgi-bin/fecimg/?202101319418519386</t>
  </si>
  <si>
    <t>WI</t>
  </si>
  <si>
    <t>OAK CREEK</t>
  </si>
  <si>
    <t>8455 S HERITAGE CT</t>
  </si>
  <si>
    <t>P.</t>
  </si>
  <si>
    <t>HACKETT, JAMES P.</t>
  </si>
  <si>
    <t>SA11A.21390027</t>
  </si>
  <si>
    <t>http://docquery.fec.gov/cgi-bin/fecimg/?202010219326755902</t>
  </si>
  <si>
    <t>PR868935034207</t>
  </si>
  <si>
    <t>http://docquery.fec.gov/cgi-bin/fecimg/?202009179267222512</t>
  </si>
  <si>
    <t>PR868935033701</t>
  </si>
  <si>
    <t>http://docquery.fec.gov/cgi-bin/fecimg/?202007099244393510</t>
  </si>
  <si>
    <t>PR868935032739</t>
  </si>
  <si>
    <t>http://docquery.fec.gov/cgi-bin/fecimg/?202007099244394662</t>
  </si>
  <si>
    <t>PR868935033026</t>
  </si>
  <si>
    <t>http://docquery.fec.gov/cgi-bin/fecimg/?202003189203874378</t>
  </si>
  <si>
    <t>PR868935032112</t>
  </si>
  <si>
    <t>https://docquery.fec.gov/cgi-bin/fecimg/?202101159404713089</t>
  </si>
  <si>
    <t>PR868935035156</t>
  </si>
  <si>
    <t>http://docquery.fec.gov/cgi-bin/fecimg/?202002189186515568</t>
  </si>
  <si>
    <t>PR868935031849</t>
  </si>
  <si>
    <t>http://docquery.fec.gov/cgi-bin/fecimg/?202008149261306911</t>
  </si>
  <si>
    <t>PR868935033448</t>
  </si>
  <si>
    <t>http://docquery.fec.gov/cgi-bin/fecimg/?201912189166359682</t>
  </si>
  <si>
    <t>PR868935031137</t>
  </si>
  <si>
    <t>http://docquery.fec.gov/cgi-bin/fecimg/?202001289167420483</t>
  </si>
  <si>
    <t>PR868935031700</t>
  </si>
  <si>
    <t>Tim Stone</t>
  </si>
  <si>
    <t>STONE</t>
  </si>
  <si>
    <t>TIM</t>
  </si>
  <si>
    <t>http://docquery.fec.gov/cgi-bin/fecimg/?202010199297279890</t>
  </si>
  <si>
    <t>COHASSET</t>
  </si>
  <si>
    <t>322 JERUSALEM</t>
  </si>
  <si>
    <t>STONE, TIM MR</t>
  </si>
  <si>
    <t>PR929617434128</t>
  </si>
  <si>
    <t>http://docquery.fec.gov/cgi-bin/fecimg/?202010219326755919</t>
  </si>
  <si>
    <t>PR929617434207</t>
  </si>
  <si>
    <t>http://docquery.fec.gov/cgi-bin/fecimg/?202009179267222529</t>
  </si>
  <si>
    <t>VP, CHIEF FINANCIAL OFFICER</t>
  </si>
  <si>
    <t>PR929617433701</t>
  </si>
  <si>
    <t>http://docquery.fec.gov/cgi-bin/fecimg/?202007099244393517</t>
  </si>
  <si>
    <t>CHIEF FINANCIAL OFFICER</t>
  </si>
  <si>
    <t>2987 FRANKLIN STREET, UNIT W</t>
  </si>
  <si>
    <t>PR929617432739</t>
  </si>
  <si>
    <t>http://docquery.fec.gov/cgi-bin/fecimg/?202007099244394670</t>
  </si>
  <si>
    <t>PR929617433026</t>
  </si>
  <si>
    <t>http://docquery.fec.gov/cgi-bin/fecimg/?202003189203874381</t>
  </si>
  <si>
    <t>PR929617432112</t>
  </si>
  <si>
    <t>http://docquery.fec.gov/cgi-bin/fecimg/?202002189186515571</t>
  </si>
  <si>
    <t>PR929617431849</t>
  </si>
  <si>
    <t>http://docquery.fec.gov/cgi-bin/fecimg/?202008149261306926</t>
  </si>
  <si>
    <t>PR929617433448</t>
  </si>
  <si>
    <t>http://docquery.fec.gov/cgi-bin/fecimg/?201912189166359698</t>
  </si>
  <si>
    <t>PR929617431137</t>
  </si>
  <si>
    <t>http://docquery.fec.gov/cgi-bin/fecimg/?202001289167420499</t>
  </si>
  <si>
    <t>PR929617431700</t>
  </si>
  <si>
    <t>1547 BRIAR CLIFF DR. SE GRAND RAPIDS MI 495469689</t>
  </si>
  <si>
    <t>322 JERUSALEM COHASSET MA 20251138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</si>
</sst>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</font>
    <font>
      <u/>
      <sz val="11"/>
      <name val="Times New Roman"/>
      <family val="1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  <font>
      <u/>
      <sz val="12"/>
      <color theme="1"/>
      <name val="Times New Roman"/>
      <family val="1"/>
    </font>
    <font>
      <sz val="10"/>
      <color rgb="FF212B4A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u/>
      <sz val="11"/>
      <color rgb="FF000000"/>
      <name val="Times New Roman"/>
      <family val="1"/>
    </font>
    <font>
      <b/>
      <u/>
      <sz val="1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43" fontId="19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0" xfId="1" applyFont="1" applyAlignment="1" applyProtection="1"/>
    <xf numFmtId="0" fontId="8" fillId="0" borderId="0" xfId="0" applyFont="1"/>
    <xf numFmtId="0" fontId="9" fillId="0" borderId="0" xfId="0" applyFont="1"/>
    <xf numFmtId="0" fontId="10" fillId="0" borderId="0" xfId="1" applyFont="1" applyAlignment="1" applyProtection="1"/>
    <xf numFmtId="0" fontId="11" fillId="0" borderId="0" xfId="1" applyFont="1" applyAlignment="1" applyProtection="1"/>
    <xf numFmtId="3" fontId="12" fillId="0" borderId="0" xfId="0" applyNumberFormat="1" applyFont="1"/>
    <xf numFmtId="0" fontId="12" fillId="0" borderId="0" xfId="0" applyNumberFormat="1" applyFont="1"/>
    <xf numFmtId="0" fontId="7" fillId="0" borderId="0" xfId="0" applyFont="1"/>
    <xf numFmtId="0" fontId="0" fillId="2" borderId="0" xfId="0" applyFill="1"/>
    <xf numFmtId="0" fontId="14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4" fillId="2" borderId="0" xfId="0" applyFont="1" applyFill="1" applyAlignment="1">
      <alignment horizontal="right" wrapText="1"/>
    </xf>
    <xf numFmtId="14" fontId="14" fillId="2" borderId="0" xfId="0" applyNumberFormat="1" applyFont="1" applyFill="1" applyAlignment="1">
      <alignment horizontal="right" wrapText="1"/>
    </xf>
    <xf numFmtId="0" fontId="15" fillId="2" borderId="0" xfId="0" applyFont="1" applyFill="1" applyAlignment="1">
      <alignment wrapText="1"/>
    </xf>
    <xf numFmtId="0" fontId="15" fillId="2" borderId="0" xfId="0" applyFont="1" applyFill="1" applyAlignment="1">
      <alignment horizontal="right" wrapText="1"/>
    </xf>
    <xf numFmtId="14" fontId="15" fillId="2" borderId="0" xfId="0" applyNumberFormat="1" applyFont="1" applyFill="1" applyAlignment="1">
      <alignment horizontal="right" wrapText="1"/>
    </xf>
    <xf numFmtId="0" fontId="16" fillId="2" borderId="0" xfId="0" applyFont="1" applyFill="1" applyAlignment="1">
      <alignment wrapText="1"/>
    </xf>
    <xf numFmtId="0" fontId="17" fillId="0" borderId="0" xfId="0" applyFont="1"/>
    <xf numFmtId="0" fontId="2" fillId="0" borderId="0" xfId="2"/>
    <xf numFmtId="47" fontId="2" fillId="0" borderId="0" xfId="2" applyNumberFormat="1"/>
    <xf numFmtId="22" fontId="2" fillId="0" borderId="0" xfId="2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18" fillId="0" borderId="0" xfId="0" applyFont="1"/>
    <xf numFmtId="0" fontId="8" fillId="0" borderId="0" xfId="1" applyFont="1" applyAlignment="1" applyProtection="1"/>
    <xf numFmtId="15" fontId="3" fillId="0" borderId="0" xfId="0" applyNumberFormat="1" applyFont="1"/>
    <xf numFmtId="0" fontId="1" fillId="0" borderId="0" xfId="4"/>
    <xf numFmtId="47" fontId="1" fillId="0" borderId="0" xfId="4" applyNumberFormat="1"/>
    <xf numFmtId="22" fontId="1" fillId="0" borderId="0" xfId="4" applyNumberFormat="1"/>
    <xf numFmtId="10" fontId="0" fillId="0" borderId="0" xfId="0" applyNumberFormat="1"/>
    <xf numFmtId="164" fontId="3" fillId="0" borderId="0" xfId="3" applyNumberFormat="1" applyFont="1"/>
    <xf numFmtId="17" fontId="3" fillId="0" borderId="0" xfId="0" applyNumberFormat="1" applyFont="1"/>
    <xf numFmtId="0" fontId="1" fillId="0" borderId="0" xfId="4" applyNumberFormat="1"/>
    <xf numFmtId="0" fontId="1" fillId="0" borderId="0" xfId="4" applyAlignment="1">
      <alignment horizontal="left"/>
    </xf>
    <xf numFmtId="0" fontId="1" fillId="0" borderId="0" xfId="4" pivotButton="1"/>
    <xf numFmtId="164" fontId="16" fillId="2" borderId="0" xfId="3" applyNumberFormat="1" applyFont="1" applyFill="1" applyAlignment="1">
      <alignment wrapText="1"/>
    </xf>
    <xf numFmtId="10" fontId="1" fillId="0" borderId="0" xfId="4" applyNumberFormat="1"/>
    <xf numFmtId="0" fontId="15" fillId="2" borderId="0" xfId="0" applyFont="1" applyFill="1" applyAlignment="1">
      <alignment wrapText="1"/>
    </xf>
  </cellXfs>
  <cellStyles count="5">
    <cellStyle name="Comma" xfId="3" builtinId="3"/>
    <cellStyle name="Hyperlink" xfId="1" builtinId="8"/>
    <cellStyle name="Normal" xfId="0" builtinId="0"/>
    <cellStyle name="Normal 2" xfId="2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microsoft.com/office/2006/relationships/xlExternalLinkPath/xlPathMissing" Target="FORDBOD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t Marnell" refreshedDate="44407.577558680554" createdVersion="5" refreshedVersion="5" minRefreshableVersion="3" recordCount="31">
  <cacheSource type="worksheet">
    <worksheetSource ref="A1:AJ32" sheet="Anthony Earley"/>
  </cacheSource>
  <cacheFields count="36">
    <cacheField name="committee_id" numFmtId="0">
      <sharedItems/>
    </cacheField>
    <cacheField name="committee_name" numFmtId="0">
      <sharedItems count="14">
        <s v="MARK KELLY VICTORY FUND"/>
        <s v="GRETCHEN DRISKELL FOR CONGRESS"/>
        <s v="AMY MCGRATH FOR SENATE, INC."/>
        <s v="ACTBLUE"/>
        <s v="PETERS FOR MICHIGAN"/>
        <s v="WIN THE ERA PAC"/>
        <s v="AMY FOR AMERICA"/>
        <s v="WIN THE SENATE 2020"/>
        <s v="MARK KELLY FOR SENATE"/>
        <s v="BIDEN FOR PRESIDENT"/>
        <s v="JON OSSOFF FOR SENATE"/>
        <s v="GEORGIA SENATE VICTORY FUND"/>
        <s v="WARNOCK FOR GEORGIA"/>
        <s v="MJ FOR TEXAS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00115916718301E+17" maxValue="2.0210701945091101E+17"/>
    </cacheField>
    <cacheField name="line_number" numFmtId="0">
      <sharedItems containsMixedTypes="1" containsNumber="1" containsInteger="1" minValue="12" maxValue="12"/>
    </cacheField>
    <cacheField name="transaction_id" numFmtId="0">
      <sharedItems containsMixedTypes="1" containsNumber="1" containsInteger="1" minValue="1040113" maxValue="11438046"/>
    </cacheField>
    <cacheField name="file_number" numFmtId="0">
      <sharedItems containsSemiMixedTypes="0" containsString="0" containsNumber="1" containsInteger="1" minValue="1370394" maxValue="1522129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48301" maxValue="483013253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8-12T00:00:00" maxDate="2020-12-14T00:00:00"/>
    </cacheField>
    <cacheField name="contribution_receipt_amount" numFmtId="0">
      <sharedItems containsSemiMixedTypes="0" containsString="0" containsNumber="1" containsInteger="1" minValue="50" maxValue="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tt Marnell" refreshedDate="44407.599901967595" createdVersion="5" refreshedVersion="5" minRefreshableVersion="3" recordCount="14">
  <cacheSource type="worksheet">
    <worksheetSource ref="A1:AJ15" sheet="Henry Ford III"/>
  </cacheSource>
  <cacheFields count="36">
    <cacheField name="committee_id" numFmtId="0">
      <sharedItems/>
    </cacheField>
    <cacheField name="committee_name" numFmtId="0">
      <sharedItems count="6">
        <s v="FORD MOTOR COMPANY CIVIC ACTION FUND"/>
        <s v="ELISSA SLOTKIN FOR CONGRESS"/>
        <s v="HALEY STEVENS FOR CONGRESS"/>
        <s v="KENNEDY FOR MASSACHUSETTS"/>
        <s v="4 MA PAC"/>
        <s v="PETERS FOR MICHIGAN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809916220301E+17" maxValue="2.0210209942719398E+17"/>
    </cacheField>
    <cacheField name="line_number" numFmtId="0">
      <sharedItems/>
    </cacheField>
    <cacheField name="transaction_id" numFmtId="0">
      <sharedItems containsMixedTypes="1" containsNumber="1" containsInteger="1" minValue="1956274" maxValue="1956274"/>
    </cacheField>
    <cacheField name="file_number" numFmtId="0">
      <sharedItems containsSemiMixedTypes="0" containsString="0" containsNumber="1" containsInteger="1" minValue="1347296" maxValue="1499253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480091334" maxValue="482363758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MixedTypes="1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1-09T00:00:00" maxDate="2021-01-01T00:00:00"/>
    </cacheField>
    <cacheField name="contribution_receipt_amount" numFmtId="0">
      <sharedItems containsSemiMixedTypes="0" containsString="0" containsNumber="1" containsInteger="1" minValue="30" maxValue="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att Marnell" refreshedDate="44407.616637037034" createdVersion="5" refreshedVersion="5" minRefreshableVersion="3" recordCount="5">
  <cacheSource type="worksheet">
    <worksheetSource ref="A1:AJ6" sheet="William Clay Ford"/>
  </cacheSource>
  <cacheFields count="36">
    <cacheField name="committee_id" numFmtId="0">
      <sharedItems/>
    </cacheField>
    <cacheField name="committee_name" numFmtId="0">
      <sharedItems count="4">
        <s v="MICHIGAN REPUBLICAN PARTY"/>
        <s v="GRIDIRON-PAC"/>
        <s v="PETERS FOR MICHIGAN"/>
        <s v="TEAM GRAHAM, INC." u="1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00131918419699E+17" maxValue="2.02102099427192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77045" maxValue="1499253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/>
    </cacheField>
    <cacheField name="contributor_last_name" numFmtId="0">
      <sharedItems/>
    </cacheField>
    <cacheField name="contributor_suffix" numFmtId="0">
      <sharedItems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48101" maxValue="482262251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MixedTypes="1" containsNumber="1" containsInteger="1" minValue="10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664" maxValue="44140"/>
    </cacheField>
    <cacheField name="contribution_receipt_amount" numFmtId="0">
      <sharedItems containsSemiMixedTypes="0" containsString="0" containsNumber="1" containsInteger="1" minValue="50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att Marnell" refreshedDate="44407.656559953706" createdVersion="5" refreshedVersion="5" minRefreshableVersion="3" recordCount="2">
  <cacheSource type="worksheet">
    <worksheetSource ref="A1:AJ3" sheet="William Helman"/>
  </cacheSource>
  <cacheFields count="36">
    <cacheField name="committee_id" numFmtId="0">
      <sharedItems/>
    </cacheField>
    <cacheField name="committee_name" numFmtId="0">
      <sharedItems count="2">
        <s v="ACTBLUE"/>
        <s v="CARUSO-CABRERA FOR NEW YORK"/>
      </sharedItems>
    </cacheField>
    <cacheField name="report_year" numFmtId="0">
      <sharedItems containsSemiMixedTypes="0" containsString="0" containsNumber="1" containsInteger="1" minValue="2020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00520923663398E+17" maxValue="2.0200611923976099E+17"/>
    </cacheField>
    <cacheField name="line_number" numFmtId="0">
      <sharedItems/>
    </cacheField>
    <cacheField name="transaction_id" numFmtId="0">
      <sharedItems containsMixedTypes="1" containsNumber="1" containsInteger="1" minValue="4392419" maxValue="4392419"/>
    </cacheField>
    <cacheField name="file_number" numFmtId="0">
      <sharedItems containsSemiMixedTypes="0" containsString="0" containsNumber="1" containsInteger="1" minValue="1407307" maxValue="1411297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0011" maxValue="100111837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948" maxValue="43948"/>
    </cacheField>
    <cacheField name="contribution_receipt_amount" numFmtId="0">
      <sharedItems containsSemiMixedTypes="0" containsString="0" containsNumber="1" containsInteger="1" minValue="50" maxValue="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Matt Marnell" refreshedDate="44407.683815625001" createdVersion="5" refreshedVersion="5" minRefreshableVersion="3" recordCount="4">
  <cacheSource type="worksheet">
    <worksheetSource ref="A1:CA5" sheet="William Kennard"/>
  </cacheSource>
  <cacheFields count="79">
    <cacheField name="committee_id" numFmtId="0">
      <sharedItems/>
    </cacheField>
    <cacheField name="committee_name" numFmtId="0">
      <sharedItems count="3">
        <s v="DUKE ENERGY CORPORATION PAC"/>
        <s v="ADAIR FOR CONGRESS"/>
        <s v="JIM COSTA FOR CONGRESS"/>
      </sharedItems>
    </cacheField>
    <cacheField name="report_year" numFmtId="0">
      <sharedItems containsSemiMixedTypes="0" containsString="0" containsNumber="1" containsInteger="1" minValue="2019" maxValue="2019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808916136701E+17" maxValue="2.02012319394492E+17"/>
    </cacheField>
    <cacheField name="line_number" numFmtId="0">
      <sharedItems/>
    </cacheField>
    <cacheField name="transaction_id" numFmtId="0">
      <sharedItems containsMixedTypes="1" containsNumber="1" containsInteger="1" minValue="25111003" maxValue="25111011"/>
    </cacheField>
    <cacheField name="file_number" numFmtId="0">
      <sharedItems containsSemiMixedTypes="0" containsString="0" containsNumber="1" containsInteger="1" minValue="1347267" maxValue="1484857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94012736" maxValue="294012736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MixedTypes="1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669" maxValue="43782"/>
    </cacheField>
    <cacheField name="contribution_receipt_amount" numFmtId="0">
      <sharedItems containsSemiMixedTypes="0" containsString="0" containsNumber="1" containsInteger="1" minValue="250" maxValue="2500"/>
    </cacheField>
    <cacheField name="contributor_aggregate_ytd" numFmtId="0">
      <sharedItems containsSemiMixedTypes="0" containsString="0" containsNumber="1" containsInteger="1" minValue="250" maxValue="50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687.126074664353" maxValue="44203.375797418979"/>
    </cacheField>
    <cacheField name="original_sub_id" numFmtId="0">
      <sharedItems containsNonDate="0" containsString="0" containsBlank="1"/>
    </cacheField>
    <cacheField name="back_reference_transaction_id" numFmtId="0">
      <sharedItems containsBlank="1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02202119890601E+18" maxValue="4.0808201916632499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06202120616202E+18" maxValue="4.0809201916632602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Matt Marnell" refreshedDate="44407.690232291665" createdVersion="5" refreshedVersion="5" minRefreshableVersion="3" recordCount="51">
  <cacheSource type="worksheet">
    <worksheetSource ref="A1:AJ52" sheet="Beth Mooney"/>
  </cacheSource>
  <cacheFields count="36">
    <cacheField name="committee_id" numFmtId="0">
      <sharedItems/>
    </cacheField>
    <cacheField name="committee_name" numFmtId="0">
      <sharedItems count="12">
        <s v="BEATTY FOR CONGRESS"/>
        <s v="KEYCORP ADVOCATES FUND"/>
        <s v="ACTBLUE"/>
        <s v="BIDEN VICTORY FUND"/>
        <s v="BIDEN FOR PRESIDENT"/>
        <s v="SARA GIDEON FOR MAINE"/>
        <s v="MARK KELLY FOR SENATE"/>
        <s v="MJ FOR TEXAS"/>
        <s v="CAL FOR NC"/>
        <s v="HICKENLOOPER FOR COLORADO"/>
        <s v="DNC SERVICES CORP / DEMOCRATIC NATIONAL COMMITTEE"/>
        <s v="JON OSSOFF FOR SENATE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007916375802E+17" maxValue="2.0210602944846E+17"/>
    </cacheField>
    <cacheField name="line_number" numFmtId="0">
      <sharedItems containsMixedTypes="1" containsNumber="1" containsInteger="1" minValue="12" maxValue="18"/>
    </cacheField>
    <cacheField name="transaction_id" numFmtId="0">
      <sharedItems containsMixedTypes="1" containsNumber="1" containsInteger="1" minValue="2009443" maxValue="37455716"/>
    </cacheField>
    <cacheField name="file_number" numFmtId="0">
      <sharedItems containsSemiMixedTypes="0" containsString="0" containsNumber="1" containsInteger="1" minValue="1355016" maxValue="1518540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441081119" maxValue="441141217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 containsMixedTypes="1" containsNumber="1" containsInteger="1" minValue="15" maxValue="15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490" maxValue="44125"/>
    </cacheField>
    <cacheField name="contribution_receipt_amount" numFmtId="0">
      <sharedItems containsSemiMixedTypes="0" containsString="0" containsNumber="1" minValue="25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Matt Marnell" refreshedDate="44407.713549537038" createdVersion="5" refreshedVersion="5" minRefreshableVersion="3" recordCount="131">
  <cacheSource type="worksheet">
    <worksheetSource ref="A1:AJ132" sheet="John Thornton"/>
  </cacheSource>
  <cacheFields count="36">
    <cacheField name="committee_id" numFmtId="0">
      <sharedItems/>
    </cacheField>
    <cacheField name="committee_name" numFmtId="0">
      <sharedItems count="7">
        <s v="NATIONAL VICTORY ACTION FUND"/>
        <s v="TRUMP MAKE AMERICA GREAT AGAIN COMMITTEE"/>
        <s v="WINRED"/>
        <s v="DONALD J. TRUMP FOR PRESIDENT, INC."/>
        <s v="BYRON DONALDS FOR CONGRESS"/>
        <s v="SCALISE FOR CONGRESS"/>
        <s v="REPUBLICAN NATIONAL COMMITTEE"/>
      </sharedItems>
    </cacheField>
    <cacheField name="report_year" numFmtId="0">
      <sharedItems containsSemiMixedTypes="0" containsString="0" containsNumber="1" containsInteger="1" minValue="2020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00728926116602E+17" maxValue="2.02106249450452E+17"/>
    </cacheField>
    <cacheField name="line_number" numFmtId="0">
      <sharedItems containsMixedTypes="1" containsNumber="1" containsInteger="1" minValue="12" maxValue="18"/>
    </cacheField>
    <cacheField name="transaction_id" numFmtId="0">
      <sharedItems/>
    </cacheField>
    <cacheField name="file_number" numFmtId="0">
      <sharedItems containsSemiMixedTypes="0" containsString="0" containsNumber="1" containsInteger="1" minValue="1429035" maxValue="1521551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33810" maxValue="338100789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/>
    </cacheField>
    <cacheField name="receipt_type_desc" numFmtId="0">
      <sharedItems containsBlank="1"/>
    </cacheField>
    <cacheField name="receipt_type_full" numFmtId="0">
      <sharedItems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839" maxValue="44194"/>
    </cacheField>
    <cacheField name="contribution_receipt_amount" numFmtId="0">
      <sharedItems containsSemiMixedTypes="0" containsString="0" containsNumber="1" minValue="0.5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Matt Marnell" refreshedDate="44408.378455092592" createdVersion="5" refreshedVersion="5" minRefreshableVersion="3" recordCount="12">
  <cacheSource type="worksheet">
    <worksheetSource ref="A1:AJ13" sheet="Hau Thai-Tang"/>
  </cacheSource>
  <cacheFields count="36">
    <cacheField name="committee_id" numFmtId="0">
      <sharedItems/>
    </cacheField>
    <cacheField name="committee_name" numFmtId="0">
      <sharedItems count="1">
        <s v="FORD MOTOR COMPANY CIVIC ACTION FUND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218916635901E+17" maxValue="2.02101159404712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66669" maxValue="1488043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483021959" maxValue="483021959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11-30T00:00:00" maxDate="2021-01-01T00:00:00"/>
    </cacheField>
    <cacheField name="contribution_receipt_amount" numFmtId="0">
      <sharedItems containsSemiMixedTypes="0" containsString="0" containsNumber="1" containsInteger="1" minValue="416" maxValue="4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Matt Marnell" refreshedDate="44408.406615624997" createdVersion="5" refreshedVersion="5" minRefreshableVersion="3" recordCount="13">
  <cacheSource type="worksheet">
    <worksheetSource ref="A1:AJ14" sheet="James P. Hackett" r:id="rId2"/>
  </cacheSource>
  <cacheFields count="36">
    <cacheField name="committee_id" numFmtId="0">
      <sharedItems/>
    </cacheField>
    <cacheField name="committee_name" numFmtId="0">
      <sharedItems count="2">
        <s v="FORD MOTOR COMPANY CIVIC ACTION FUND"/>
        <s v="NRCC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218916635901E+17" maxValue="2.0210131941851901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66669" maxValue="1496211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495469689" maxValue="531543242"/>
    </cacheField>
    <cacheField name="contributor_employer" numFmtId="0">
      <sharedItems containsBlank="1"/>
    </cacheField>
    <cacheField name="contributor_occupation" numFmtId="0">
      <sharedItems containsBlank="1"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11-30T00:00:00" maxDate="2021-01-01T00:00:00"/>
    </cacheField>
    <cacheField name="contribution_receipt_amount" numFmtId="0">
      <sharedItems containsSemiMixedTypes="0" containsString="0" containsNumber="1" containsInteger="1" minValue="25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Matt Marnell" refreshedDate="44408.420226620372" createdVersion="5" refreshedVersion="5" minRefreshableVersion="3" recordCount="10">
  <cacheSource type="worksheet">
    <worksheetSource ref="A1:AJ11" sheet="Tim Stone"/>
  </cacheSource>
  <cacheFields count="36">
    <cacheField name="committee_id" numFmtId="0">
      <sharedItems/>
    </cacheField>
    <cacheField name="committee_name" numFmtId="0">
      <sharedItems count="17">
        <s v="FORD MOTOR COMPANY CIVIC ACTION FUND"/>
        <s v="ACTBLUE" u="1"/>
        <s v="ALYSE FOR ALASKA" u="1"/>
        <s v="WINRED" u="1"/>
        <s v="NATIONAL DEMOCRATIC TRAINING COMMITTEE PAC" u="1"/>
        <s v="BIDEN VICTORY FUND" u="1"/>
        <s v="FRIENDS OF ANDREW YANG" u="1"/>
        <s v="CITIZENS TO ELECT RUSTY CROWE TO CONGRESS" u="1"/>
        <s v="WIN THE ERA PAC" u="1"/>
        <s v="GENERAL ELECTRIC COMPANY POLITICAL ACTION COMMITTEE (GEPAC)" u="1"/>
        <s v="BIDEN FOR PRESIDENT" u="1"/>
        <s v="TULSI ALOHA" u="1"/>
        <s v="DONALD J. TRUMP FOR PRESIDENT, INC." u="1"/>
        <s v="TRUMP MAKE AMERICA GREAT AGAIN COMMITTEE" u="1"/>
        <s v="SCHOLTEN4IOWA CAMPAIGN COMMITTEE" u="1"/>
        <s v="BECHTEL GROUP, INC. POLITICAL ACTION COMMITTEE (BECHTEL POLITICAL ACTION COMMITTEE)" u="1"/>
        <s v="BERNIE 2020" u="1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218916635901E+17" maxValue="2.0201021932675501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66669" maxValue="1459687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0251138" maxValue="482074262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11-30T00:00:00" maxDate="2020-10-15T00:00:00"/>
    </cacheField>
    <cacheField name="contribution_receipt_amount" numFmtId="0">
      <sharedItems containsSemiMixedTypes="0" containsString="0" containsNumber="1" containsInteger="1" minValue="416" maxValue="4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">
  <r>
    <s v="C00706861"/>
    <x v="0"/>
    <n v="2020"/>
    <s v="Q3"/>
    <n v="2.0201015929500602E+17"/>
    <s v="11AI"/>
    <s v="VVC31W5CPX1"/>
    <n v="1451656"/>
    <m/>
    <s v="IND"/>
    <s v="INDIVIDUAL"/>
    <s v="C00401224"/>
    <m/>
    <s v="EARLEY, ANTHONY"/>
    <s v="N"/>
    <m/>
    <s v="J"/>
    <s v="ANTHONY"/>
    <m/>
    <s v="EARLEY"/>
    <m/>
    <s v="3926 OAKLAND DR"/>
    <m/>
    <s v="BLOOMFIELD HILLS"/>
    <s v="MI"/>
    <n v="483013253"/>
    <s v="NOT EMPLOYED"/>
    <s v="RETIRED"/>
    <s v="C00401224"/>
    <s v="15E"/>
    <s v="EARMARKED CONTRIBUTION"/>
    <m/>
    <m/>
    <m/>
    <d v="2020-09-22T00:00:00"/>
    <n v="500"/>
  </r>
  <r>
    <s v="C00729947"/>
    <x v="1"/>
    <n v="2019"/>
    <s v="YE"/>
    <n v="2.0200115916718301E+17"/>
    <s v="11AI"/>
    <s v="VPFAPSJ7QZ5"/>
    <n v="1370394"/>
    <m/>
    <s v="IND"/>
    <s v="INDIVIDUAL"/>
    <s v="C00401224"/>
    <m/>
    <s v="EARLEY, ANTHONY F JR."/>
    <s v="H"/>
    <m/>
    <s v="P"/>
    <s v="ANTHONY"/>
    <s v="F"/>
    <s v="EARLEY"/>
    <s v="JR."/>
    <s v="3926 OAKLAND DR"/>
    <m/>
    <s v="BLOOMFIELD"/>
    <s v="MI"/>
    <n v="483013253"/>
    <s v="NOT EMPLOYED"/>
    <s v="RETIRED"/>
    <s v="C00401224"/>
    <s v="15E"/>
    <s v="EARMARKED CONTRIBUTION"/>
    <m/>
    <m/>
    <m/>
    <d v="2019-12-04T00:00:00"/>
    <n v="250"/>
  </r>
  <r>
    <s v="C00711549"/>
    <x v="2"/>
    <n v="2020"/>
    <s v="Q3"/>
    <n v="2.0210701945091101E+17"/>
    <s v="11AI"/>
    <s v="11AI-001632190"/>
    <n v="1522129"/>
    <m/>
    <s v="IND"/>
    <s v="INDIVIDUAL"/>
    <m/>
    <m/>
    <s v="EARLEY, ANTHONY"/>
    <s v="S"/>
    <m/>
    <s v="P"/>
    <s v="ANTHONY"/>
    <m/>
    <s v="EARLEY"/>
    <m/>
    <s v="3926 OAKLAND DRIVE"/>
    <m/>
    <s v="BLOOMFIELD HILLS"/>
    <s v="MI"/>
    <n v="48301"/>
    <s v="RETIRED"/>
    <s v="RETIRED"/>
    <m/>
    <m/>
    <m/>
    <m/>
    <s v="X"/>
    <m/>
    <d v="2020-07-31T00:00:00"/>
    <n v="100"/>
  </r>
  <r>
    <s v="C00711549"/>
    <x v="2"/>
    <n v="2020"/>
    <s v="Q3"/>
    <n v="2.0210701945091101E+17"/>
    <s v="11AI"/>
    <s v="11AI-001632191"/>
    <n v="1522129"/>
    <m/>
    <s v="IND"/>
    <s v="INDIVIDUAL"/>
    <m/>
    <m/>
    <s v="EARLEY, ANTHONY"/>
    <s v="S"/>
    <m/>
    <s v="P"/>
    <s v="ANTHONY"/>
    <m/>
    <s v="EARLEY"/>
    <m/>
    <s v="3926 OAKLAND DRIVE"/>
    <m/>
    <s v="BLOOMFIELD HILLS"/>
    <s v="MI"/>
    <n v="48301"/>
    <s v="RETIRED"/>
    <s v="RETIRED"/>
    <m/>
    <m/>
    <m/>
    <m/>
    <s v="X"/>
    <m/>
    <d v="2020-08-17T00:00:00"/>
    <n v="50"/>
  </r>
  <r>
    <s v="C00401224"/>
    <x v="3"/>
    <n v="2019"/>
    <s v="YE"/>
    <n v="2.0200129916945402E+17"/>
    <s v="11AI"/>
    <s v="SA11AI_176139389"/>
    <n v="1378435"/>
    <m/>
    <s v="IND"/>
    <s v="INDIVIDUAL"/>
    <m/>
    <m/>
    <s v="EARLEY, ANTHONY"/>
    <s v="V"/>
    <m/>
    <s v="U"/>
    <s v="ANTHONY"/>
    <m/>
    <s v="EARLEY"/>
    <m/>
    <s v="3926 OAKLAND DR"/>
    <m/>
    <s v="BLOOMFIELD HILLS"/>
    <s v="MI"/>
    <n v="48301"/>
    <s v="NOT EMPLOYED"/>
    <s v="NOT EMPLOYED"/>
    <m/>
    <m/>
    <m/>
    <s v="EARMARK"/>
    <m/>
    <m/>
    <d v="2019-09-09T00:00:00"/>
    <n v="100"/>
  </r>
  <r>
    <s v="C00401224"/>
    <x v="3"/>
    <n v="2019"/>
    <s v="YE"/>
    <n v="2.0200129916945402E+17"/>
    <s v="11AI"/>
    <s v="SA11AI_171568865"/>
    <n v="1378435"/>
    <m/>
    <s v="IND"/>
    <s v="INDIVIDUAL"/>
    <m/>
    <m/>
    <s v="EARLEY, ANTHONY"/>
    <s v="V"/>
    <m/>
    <s v="U"/>
    <s v="ANTHONY"/>
    <m/>
    <s v="EARLEY"/>
    <m/>
    <s v="3926 OAKLAND DR"/>
    <m/>
    <s v="BLOOMFIELD HILLS"/>
    <s v="MI"/>
    <n v="48301"/>
    <s v="NOT EMPLOYED"/>
    <s v="NOT EMPLOYED"/>
    <m/>
    <m/>
    <m/>
    <s v="EARMARK"/>
    <m/>
    <m/>
    <d v="2019-08-12T00:00:00"/>
    <n v="100"/>
  </r>
  <r>
    <s v="C00437889"/>
    <x v="4"/>
    <n v="2020"/>
    <s v="Q1"/>
    <n v="2.0210305944017699E+17"/>
    <s v="11AI"/>
    <s v="VSH8GK2W8Y0"/>
    <n v="1502942"/>
    <m/>
    <s v="IND"/>
    <s v="INDIVIDUAL"/>
    <m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m/>
    <s v="15E"/>
    <s v="EARMARKED CONTRIBUTION"/>
    <m/>
    <m/>
    <m/>
    <d v="2020-01-30T00:00:00"/>
    <n v="900"/>
  </r>
  <r>
    <s v="C00437889"/>
    <x v="4"/>
    <n v="2020"/>
    <s v="Q1"/>
    <n v="2.0210305944017798E+17"/>
    <s v="11AI"/>
    <s v="VSH8GK2QE72"/>
    <n v="1502942"/>
    <m/>
    <s v="IND"/>
    <s v="INDIVIDUAL"/>
    <m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m/>
    <s v="15E"/>
    <s v="EARMARKED CONTRIBUTION"/>
    <m/>
    <m/>
    <m/>
    <d v="2020-01-30T00:00:00"/>
    <n v="1600"/>
  </r>
  <r>
    <s v="C00697441"/>
    <x v="5"/>
    <n v="2019"/>
    <s v="YE"/>
    <n v="2.0200323921565299E+17"/>
    <s v="17A"/>
    <n v="2256395"/>
    <n v="1391818"/>
    <m/>
    <s v="IND"/>
    <s v="INDIVIDUAL"/>
    <s v="C00401224"/>
    <m/>
    <s v="EARLEY, ANTHONY"/>
    <s v="N"/>
    <m/>
    <s v="U"/>
    <s v="ANTHONY"/>
    <m/>
    <s v="EARLEY"/>
    <m/>
    <s v="3926 OAKLAND DR"/>
    <m/>
    <s v="BLOOMFIELD HILLS"/>
    <s v="MI"/>
    <n v="483013253"/>
    <s v="RETIRED"/>
    <s v="RETIRED"/>
    <s v="C00401224"/>
    <s v="15E"/>
    <s v="EARMARKED CONTRIBUTION"/>
    <m/>
    <m/>
    <m/>
    <d v="2019-12-08T00:00:00"/>
    <n v="250"/>
  </r>
  <r>
    <s v="C00696419"/>
    <x v="6"/>
    <n v="2020"/>
    <s v="M2"/>
    <n v="2.0200715924989402E+17"/>
    <s v="17A"/>
    <n v="1238647"/>
    <n v="1424437"/>
    <m/>
    <s v="IND"/>
    <s v="INDIVIDUAL"/>
    <m/>
    <m/>
    <s v="EARLEY, ANTHONY"/>
    <s v="P"/>
    <m/>
    <s v="P"/>
    <s v="ANTHONY"/>
    <m/>
    <s v="EARLEY"/>
    <m/>
    <s v="3926 OAKLAND DR"/>
    <m/>
    <s v="BLOOMFIELD HILLS"/>
    <s v="MI"/>
    <n v="483013253"/>
    <s v="NOT EMPLOYED"/>
    <s v="RETIRED"/>
    <m/>
    <s v="15E"/>
    <s v="EARMARKED CONTRIBUTION"/>
    <m/>
    <m/>
    <m/>
    <d v="2020-01-30T00:00:00"/>
    <n v="1000"/>
  </r>
  <r>
    <s v="C00696419"/>
    <x v="6"/>
    <n v="2019"/>
    <s v="YE"/>
    <n v="2.0200715924981501E+17"/>
    <s v="17A"/>
    <n v="1040113"/>
    <n v="1424315"/>
    <m/>
    <s v="IND"/>
    <s v="INDIVIDUAL"/>
    <m/>
    <m/>
    <s v="EARLEY, ANTHONY"/>
    <s v="P"/>
    <m/>
    <s v="P"/>
    <s v="ANTHONY"/>
    <m/>
    <s v="EARLEY"/>
    <m/>
    <s v="3926 OAKLAND DR"/>
    <m/>
    <s v="BLOOMFIELD HILLS"/>
    <s v="MI"/>
    <n v="483013253"/>
    <s v="NOT EMPLOYED"/>
    <s v="RETIRED"/>
    <m/>
    <s v="15E"/>
    <s v="EARMARKED CONTRIBUTION"/>
    <m/>
    <m/>
    <m/>
    <d v="2019-12-08T00:00:00"/>
    <n v="500"/>
  </r>
  <r>
    <s v="C00751834"/>
    <x v="7"/>
    <n v="2020"/>
    <s v="Q3"/>
    <n v="2.02010149285912E+17"/>
    <s v="11AI"/>
    <n v="7588829"/>
    <n v="1448695"/>
    <m/>
    <s v="IND"/>
    <s v="INDIVIDUAL"/>
    <s v="C00401224"/>
    <m/>
    <s v="EARLEY, ANTHONY"/>
    <s v="S"/>
    <m/>
    <s v="J"/>
    <s v="ANTHONY"/>
    <m/>
    <s v="EARLEY"/>
    <m/>
    <s v="3926 OAKLAND DR"/>
    <m/>
    <s v="BLOOMFIELD HILLS"/>
    <s v="MI"/>
    <n v="483013253"/>
    <s v="NOT EMPLOYED"/>
    <s v="RETIRED"/>
    <s v="C00401224"/>
    <s v="15E"/>
    <s v="EARMARKED CONTRIBUTION"/>
    <m/>
    <m/>
    <m/>
    <d v="2020-08-11T00:00:00"/>
    <n v="500"/>
  </r>
  <r>
    <s v="C00401224"/>
    <x v="3"/>
    <n v="2020"/>
    <s v="M7"/>
    <n v="2.0200720925586202E+17"/>
    <s v="11AI"/>
    <s v="SA11AI_255618189"/>
    <n v="1427110"/>
    <m/>
    <s v="IND"/>
    <s v="INDIVIDUAL"/>
    <m/>
    <m/>
    <s v="EARLEY, ANTHONY"/>
    <s v="V"/>
    <m/>
    <s v="U"/>
    <s v="ANTHONY"/>
    <m/>
    <s v="EARLEY"/>
    <m/>
    <s v="3926 OAKLAND DR"/>
    <m/>
    <s v="BLOOMFIELD HILLS"/>
    <s v="MI"/>
    <n v="48301"/>
    <s v="RETIRED"/>
    <s v="RETIRED"/>
    <m/>
    <m/>
    <m/>
    <s v="EARMARK"/>
    <m/>
    <m/>
    <d v="2020-06-13T00:00:00"/>
    <n v="50"/>
  </r>
  <r>
    <s v="C00401224"/>
    <x v="3"/>
    <n v="2020"/>
    <s v="M7"/>
    <n v="2.0200720925586202E+17"/>
    <s v="11AI"/>
    <s v="SA11AI_262115844"/>
    <n v="1427110"/>
    <m/>
    <s v="IND"/>
    <s v="INDIVIDUAL"/>
    <m/>
    <m/>
    <s v="EARLEY, ANTHONY"/>
    <s v="V"/>
    <m/>
    <s v="U"/>
    <s v="ANTHONY"/>
    <m/>
    <s v="EARLEY"/>
    <m/>
    <s v="3926 OAKLAND DR"/>
    <m/>
    <s v="BLOOMFIELD HILLS"/>
    <s v="MI"/>
    <n v="48301"/>
    <s v="RETIRED"/>
    <s v="RETIRED"/>
    <m/>
    <m/>
    <m/>
    <s v="EARMARK"/>
    <m/>
    <m/>
    <d v="2020-06-30T00:00:00"/>
    <n v="50"/>
  </r>
  <r>
    <s v="C00696526"/>
    <x v="8"/>
    <n v="2020"/>
    <s v="12P"/>
    <n v="2.0200723926080602E+17"/>
    <s v="11AI"/>
    <s v="VVC31SA2X38"/>
    <n v="1428209"/>
    <m/>
    <s v="IND"/>
    <s v="INDIVIDUAL"/>
    <s v="C00401224"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s v="C00401224"/>
    <s v="15E"/>
    <s v="EARMARKED CONTRIBUTION"/>
    <m/>
    <m/>
    <m/>
    <d v="2020-07-10T00:00:00"/>
    <n v="500"/>
  </r>
  <r>
    <s v="C00751834"/>
    <x v="7"/>
    <n v="2020"/>
    <s v="Q3"/>
    <n v="2.0201014928591101E+17"/>
    <s v="11AI"/>
    <n v="7343040"/>
    <n v="1448695"/>
    <m/>
    <s v="IND"/>
    <s v="INDIVIDUAL"/>
    <s v="C00401224"/>
    <m/>
    <s v="EARLEY, ANTHONY"/>
    <s v="S"/>
    <m/>
    <s v="J"/>
    <s v="ANTHONY"/>
    <m/>
    <s v="EARLEY"/>
    <m/>
    <s v="3926 OAKLAND DR"/>
    <m/>
    <s v="BLOOMFIELD HILLS"/>
    <s v="MI"/>
    <n v="483013253"/>
    <s v="NOT EMPLOYED"/>
    <s v="RETIRED"/>
    <s v="C00401224"/>
    <s v="15E"/>
    <s v="EARMARKED CONTRIBUTION"/>
    <m/>
    <m/>
    <m/>
    <d v="2020-07-28T00:00:00"/>
    <n v="1000"/>
  </r>
  <r>
    <s v="C00729947"/>
    <x v="1"/>
    <n v="2020"/>
    <s v="Q1"/>
    <n v="2.0200917926722202E+17"/>
    <s v="11AI"/>
    <s v="VPFAPSM20P9"/>
    <n v="1438571"/>
    <m/>
    <s v="IND"/>
    <s v="INDIVIDUAL"/>
    <s v="C00401224"/>
    <m/>
    <s v="EARLEY, ANTHONY F. JR."/>
    <s v="H"/>
    <m/>
    <s v="P"/>
    <s v="ANTHONY"/>
    <s v="F."/>
    <s v="EARLEY"/>
    <s v="JR."/>
    <s v="3926 OAKLAND DR"/>
    <m/>
    <s v="BLOOMFIELD"/>
    <s v="MI"/>
    <n v="483013253"/>
    <s v="N/A"/>
    <s v="RETIRED"/>
    <s v="C00401224"/>
    <s v="15E"/>
    <s v="EARMARKED CONTRIBUTION"/>
    <m/>
    <m/>
    <m/>
    <d v="2020-03-27T00:00:00"/>
    <n v="500"/>
  </r>
  <r>
    <s v="C00703975"/>
    <x v="9"/>
    <n v="2020"/>
    <s v="M9"/>
    <n v="2.0200920927617501E+17"/>
    <s v="17A"/>
    <n v="9253106"/>
    <n v="1440320"/>
    <m/>
    <s v="IND"/>
    <s v="INDIVIDUAL"/>
    <s v="C00401224"/>
    <m/>
    <s v="EARLEY, ANTHONY"/>
    <s v="P"/>
    <m/>
    <s v="P"/>
    <s v="ANTHONY"/>
    <m/>
    <s v="EARLEY"/>
    <m/>
    <s v="3926 OAKLAND DR"/>
    <m/>
    <s v="BLOOMFIELD HILLS"/>
    <s v="MI"/>
    <n v="483013253"/>
    <s v="RETIRED"/>
    <s v="RETIRED"/>
    <s v="C00401224"/>
    <s v="15E"/>
    <s v="EARMARKED CONTRIBUTION"/>
    <m/>
    <m/>
    <m/>
    <d v="2020-08-10T00:00:00"/>
    <n v="2500"/>
  </r>
  <r>
    <s v="C00729947"/>
    <x v="1"/>
    <n v="2020"/>
    <s v="12G"/>
    <n v="2.0201022933323101E+17"/>
    <s v="11AI"/>
    <s v="VPFAPSV9EZ0"/>
    <n v="1463069"/>
    <m/>
    <s v="IND"/>
    <s v="INDIVIDUAL"/>
    <s v="C00401224"/>
    <m/>
    <s v="EARLEY, ANTHONY F. JR."/>
    <s v="H"/>
    <m/>
    <s v="P"/>
    <s v="ANTHONY"/>
    <s v="F."/>
    <s v="EARLEY"/>
    <s v="JR."/>
    <s v="3926 OAKLAND DR"/>
    <m/>
    <s v="BLOOMFIELD"/>
    <s v="MI"/>
    <n v="483013253"/>
    <s v="N/A"/>
    <s v="RETIRED"/>
    <s v="C00401224"/>
    <s v="15E"/>
    <s v="EARMARKED CONTRIBUTION"/>
    <m/>
    <m/>
    <m/>
    <d v="2020-10-13T00:00:00"/>
    <n v="250"/>
  </r>
  <r>
    <s v="C00696526"/>
    <x v="8"/>
    <n v="2020"/>
    <s v="Q3"/>
    <n v="2.02010159294744E+17"/>
    <n v="12"/>
    <s v="VVC31WE6MP3"/>
    <n v="1451160"/>
    <m/>
    <s v="IND"/>
    <s v="INDIVIDUAL"/>
    <m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m/>
    <s v="15J"/>
    <s v="MEMO (FILER'S % OF CONTRIBUTION GIVEN TO JOIN"/>
    <m/>
    <s v="X"/>
    <m/>
    <d v="2020-09-27T00:00:00"/>
    <n v="500"/>
  </r>
  <r>
    <s v="C00696526"/>
    <x v="8"/>
    <n v="2020"/>
    <s v="Q3"/>
    <n v="2.02010159294744E+17"/>
    <n v="12"/>
    <s v="VVC31SWSVZ4"/>
    <n v="1451160"/>
    <m/>
    <s v="IND"/>
    <s v="INDIVIDUAL"/>
    <m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m/>
    <s v="15J"/>
    <s v="MEMO (FILER'S % OF CONTRIBUTION GIVEN TO JOIN"/>
    <m/>
    <s v="X"/>
    <m/>
    <d v="2020-08-04T00:00:00"/>
    <n v="100"/>
  </r>
  <r>
    <s v="C00718866"/>
    <x v="10"/>
    <n v="2020"/>
    <s v="12R"/>
    <n v="2.0210602944854899E+17"/>
    <s v="11AI"/>
    <n v="5439643"/>
    <n v="1518550"/>
    <m/>
    <s v="IND"/>
    <s v="INDIVIDUAL"/>
    <m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m/>
    <s v="15E"/>
    <s v="EARMARKED CONTRIBUTION"/>
    <m/>
    <m/>
    <m/>
    <d v="2020-12-13T00:00:00"/>
    <n v="500"/>
  </r>
  <r>
    <s v="C00718866"/>
    <x v="10"/>
    <n v="2020"/>
    <s v="12R"/>
    <n v="2.0210602944871398E+17"/>
    <n v="12"/>
    <n v="4631655"/>
    <n v="1518550"/>
    <m/>
    <s v="IND"/>
    <s v="INDIVIDUAL"/>
    <m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m/>
    <s v="15J"/>
    <s v="MEMO (FILER'S % OF CONTRIBUTION GIVEN TO JOIN"/>
    <m/>
    <s v="X"/>
    <m/>
    <d v="2020-11-09T00:00:00"/>
    <n v="500"/>
  </r>
  <r>
    <s v="C00751339"/>
    <x v="11"/>
    <n v="2020"/>
    <s v="30G"/>
    <n v="2.02012039337572E+17"/>
    <s v="11AI"/>
    <n v="3343401"/>
    <n v="1477532"/>
    <m/>
    <s v="IND"/>
    <s v="INDIVIDUAL"/>
    <s v="C00401224"/>
    <m/>
    <s v="EARLEY, ANTHONY"/>
    <s v="N"/>
    <m/>
    <s v="J"/>
    <s v="ANTHONY"/>
    <m/>
    <s v="EARLEY"/>
    <m/>
    <s v="3926 OAKLAND DR"/>
    <m/>
    <s v="BLOOMFIELD HILLS"/>
    <s v="MI"/>
    <n v="483013253"/>
    <s v="NOT EMPLOYED"/>
    <s v="RETIRED"/>
    <s v="C00401224"/>
    <s v="15E"/>
    <s v="EARMARKED CONTRIBUTION"/>
    <m/>
    <m/>
    <m/>
    <d v="2020-11-09T00:00:00"/>
    <n v="1000"/>
  </r>
  <r>
    <s v="C00729947"/>
    <x v="1"/>
    <n v="2020"/>
    <s v="30G"/>
    <n v="2.0201203933829699E+17"/>
    <s v="11AI"/>
    <s v="VPFAPSVM2C3"/>
    <n v="1478911"/>
    <m/>
    <s v="IND"/>
    <s v="INDIVIDUAL"/>
    <s v="C00401224"/>
    <m/>
    <s v="EARLEY, ANTHONY F. JR."/>
    <s v="H"/>
    <m/>
    <s v="P"/>
    <s v="ANTHONY"/>
    <s v="F."/>
    <s v="EARLEY"/>
    <s v="JR."/>
    <s v="3926 OAKLAND DR"/>
    <m/>
    <s v="BLOOMFIELD"/>
    <s v="MI"/>
    <n v="483013253"/>
    <s v="N/A"/>
    <s v="RETIRED"/>
    <s v="C00401224"/>
    <s v="15E"/>
    <s v="EARMARKED CONTRIBUTION"/>
    <m/>
    <m/>
    <m/>
    <d v="2020-10-21T00:00:00"/>
    <n v="250"/>
  </r>
  <r>
    <s v="C00401224"/>
    <x v="3"/>
    <n v="2020"/>
    <s v="30G"/>
    <n v="2.0201204935391901E+17"/>
    <s v="11AI"/>
    <s v="SA11AI_331777233"/>
    <n v="1481637"/>
    <m/>
    <s v="IND"/>
    <s v="INDIVIDUAL"/>
    <m/>
    <m/>
    <s v="EARLEYWINE, ANTHONY"/>
    <s v="V"/>
    <m/>
    <s v="U"/>
    <s v="ANTHONY"/>
    <m/>
    <s v="EARLEYWINE"/>
    <m/>
    <s v="5429 145TH AVE NW"/>
    <m/>
    <s v="RAMSEY"/>
    <s v="MN"/>
    <n v="55303"/>
    <s v="ASSET MARKETING SERVICES"/>
    <s v="SALES ANALYST"/>
    <m/>
    <m/>
    <m/>
    <s v="EARMARK"/>
    <m/>
    <m/>
    <d v="2020-10-21T00:00:00"/>
    <n v="50"/>
  </r>
  <r>
    <s v="C00401224"/>
    <x v="3"/>
    <n v="2020"/>
    <s v="30G"/>
    <n v="2.0201204935391901E+17"/>
    <s v="11AI"/>
    <s v="SA11AI_343487173"/>
    <n v="1481637"/>
    <m/>
    <s v="IND"/>
    <s v="INDIVIDUAL"/>
    <m/>
    <m/>
    <s v="EARLEY, ANTHONY"/>
    <s v="V"/>
    <m/>
    <s v="U"/>
    <s v="ANTHONY"/>
    <m/>
    <s v="EARLEY"/>
    <m/>
    <s v="3926 OAKLAND DR "/>
    <m/>
    <s v="BLOOMFIELD HILLS"/>
    <s v="MI"/>
    <n v="48301"/>
    <s v="RETIRED"/>
    <s v="RETIRED"/>
    <m/>
    <m/>
    <m/>
    <s v="EARMARK"/>
    <m/>
    <m/>
    <d v="2020-11-01T00:00:00"/>
    <n v="150"/>
  </r>
  <r>
    <s v="C00736876"/>
    <x v="12"/>
    <n v="2020"/>
    <s v="12S"/>
    <n v="2.0201224939420099E+17"/>
    <s v="11AI"/>
    <n v="11438046"/>
    <n v="1484293"/>
    <m/>
    <s v="IND"/>
    <s v="INDIVIDUAL"/>
    <s v="C00401224"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s v="C00401224"/>
    <s v="15E"/>
    <s v="EARMARKED CONTRIBUTION"/>
    <m/>
    <m/>
    <m/>
    <d v="2020-12-13T00:00:00"/>
    <n v="500"/>
  </r>
  <r>
    <s v="C00736876"/>
    <x v="12"/>
    <n v="2020"/>
    <s v="12S"/>
    <n v="2.0201224939426899E+17"/>
    <n v="12"/>
    <n v="10090003"/>
    <n v="1484293"/>
    <m/>
    <s v="IND"/>
    <s v="INDIVIDUAL"/>
    <m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m/>
    <s v="15J"/>
    <s v="MEMO (FILER'S % OF CONTRIBUTION GIVEN TO JOIN"/>
    <m/>
    <s v="X"/>
    <m/>
    <d v="2020-11-09T00:00:00"/>
    <n v="500"/>
  </r>
  <r>
    <s v="C00649350"/>
    <x v="13"/>
    <n v="2020"/>
    <s v="30G"/>
    <n v="2.0201203934095002E+17"/>
    <s v="11AI"/>
    <s v="VTR3QWV76E7"/>
    <n v="1480536"/>
    <m/>
    <s v="IND"/>
    <s v="INDIVIDUAL"/>
    <s v="C00401224"/>
    <m/>
    <s v="EARLEY, ANTHONY"/>
    <s v="S"/>
    <m/>
    <s v="P"/>
    <s v="ANTHONY"/>
    <m/>
    <s v="EARLEY"/>
    <m/>
    <s v="3926 OAKLAND DR"/>
    <m/>
    <s v="BLOOMFIELD HILLS"/>
    <s v="MI"/>
    <n v="483013253"/>
    <s v="NOT EMPLOYED"/>
    <s v="RETIRED"/>
    <s v="C00401224"/>
    <s v="15E"/>
    <s v="EARMARKED CONTRIBUTION"/>
    <m/>
    <m/>
    <m/>
    <d v="2020-10-21T00:00:00"/>
    <n v="250"/>
  </r>
  <r>
    <s v="C00401224"/>
    <x v="3"/>
    <n v="2020"/>
    <s v="M9"/>
    <n v="2.02012119367572E+17"/>
    <s v="11AI"/>
    <s v="SA11AI_273658959"/>
    <n v="1482644"/>
    <m/>
    <s v="IND"/>
    <s v="INDIVIDUAL"/>
    <m/>
    <m/>
    <s v="EARLEY, ANTHONY"/>
    <s v="V"/>
    <m/>
    <s v="U"/>
    <s v="ANTHONY"/>
    <m/>
    <s v="EARLEY"/>
    <m/>
    <s v="3926 OAKLAND DR "/>
    <m/>
    <s v="BLOOMFIELD HILLS"/>
    <s v="MI"/>
    <n v="48301"/>
    <s v="RETIRED"/>
    <s v="RETIRED"/>
    <m/>
    <m/>
    <m/>
    <s v="EARMARK"/>
    <m/>
    <m/>
    <d v="2020-08-05T00:00:00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">
  <r>
    <s v="C00046474"/>
    <x v="0"/>
    <n v="2019"/>
    <s v="M8"/>
    <n v="2.0190809916220301E+17"/>
    <s v="11AI"/>
    <s v="PR263716430056"/>
    <n v="1347296"/>
    <m/>
    <s v="IND"/>
    <s v="INDIVIDUAL"/>
    <m/>
    <m/>
    <s v="FORD III, HENRY"/>
    <s v="Q"/>
    <s v="C"/>
    <s v="B"/>
    <s v="HENRY"/>
    <m/>
    <s v="FORD III"/>
    <m/>
    <s v="475 TOOTING LANE"/>
    <m/>
    <s v="BIRMINGHAM"/>
    <s v="MI"/>
    <n v="480091334"/>
    <s v="FORD MOTOR COMPANY"/>
    <s v="STRATEGY SENIOR MANAGER"/>
    <m/>
    <n v="15"/>
    <s v="CONTRIBUTION"/>
    <m/>
    <m/>
    <m/>
    <d v="2019-07-31T00:00:00"/>
    <n v="30"/>
  </r>
  <r>
    <s v="C00046474"/>
    <x v="0"/>
    <n v="2019"/>
    <s v="M9"/>
    <n v="2.0190918916336899E+17"/>
    <s v="11AI"/>
    <s v="PR263716430283"/>
    <n v="1352521"/>
    <m/>
    <s v="IND"/>
    <s v="INDIVIDUAL"/>
    <m/>
    <m/>
    <s v="FORD III, HENRY"/>
    <s v="Q"/>
    <s v="C"/>
    <s v="B"/>
    <s v="HENRY"/>
    <m/>
    <s v="FORD III"/>
    <m/>
    <s v="475 TOOTING LANE"/>
    <m/>
    <s v="BIRMINGHAM"/>
    <s v="MI"/>
    <n v="480091334"/>
    <s v="FORD MOTOR COMPANY"/>
    <s v="STRATEGY SENIOR MANAGER"/>
    <m/>
    <n v="15"/>
    <s v="CONTRIBUTION"/>
    <m/>
    <m/>
    <m/>
    <d v="2019-08-31T00:00:00"/>
    <n v="30"/>
  </r>
  <r>
    <s v="C00046474"/>
    <x v="0"/>
    <n v="2019"/>
    <s v="M10"/>
    <n v="2.0191017916501699E+17"/>
    <s v="11AI"/>
    <s v="PR263716430680"/>
    <n v="1359511"/>
    <m/>
    <s v="IND"/>
    <s v="INDIVIDUAL"/>
    <m/>
    <m/>
    <s v="FORD III, HENRY"/>
    <s v="Q"/>
    <s v="C"/>
    <s v="B"/>
    <s v="HENRY"/>
    <m/>
    <s v="FORD III"/>
    <m/>
    <s v="475 TOOTING LANE"/>
    <m/>
    <s v="BIRMINGHAM"/>
    <s v="MI"/>
    <n v="480091334"/>
    <s v="FORD MOTOR COMPANY"/>
    <s v="STRATEGY SENIOR MANAGER"/>
    <m/>
    <n v="15"/>
    <s v="CONTRIBUTION"/>
    <m/>
    <m/>
    <m/>
    <d v="2019-09-30T00:00:00"/>
    <n v="30"/>
  </r>
  <r>
    <s v="C00650150"/>
    <x v="1"/>
    <n v="2019"/>
    <s v="Q3"/>
    <n v="2.0191015916469798E+17"/>
    <s v="11AI"/>
    <s v="VTQYSJQG6E8"/>
    <n v="1358782"/>
    <m/>
    <s v="IND"/>
    <s v="INDIVIDUAL"/>
    <s v="C00401224"/>
    <m/>
    <s v="FORD, HENRY III"/>
    <s v="H"/>
    <m/>
    <s v="P"/>
    <s v="HENRY"/>
    <m/>
    <s v="FORD"/>
    <s v="III"/>
    <s v="241 LAKE SHORE RD"/>
    <m/>
    <s v="GROSSE POINTE FARMS"/>
    <s v="MI"/>
    <n v="482363758"/>
    <s v="FORD MOTOR COMPANY"/>
    <s v="CONSULTANT"/>
    <s v="C00401224"/>
    <s v="15E"/>
    <s v="EARMARKED CONTRIBUTION"/>
    <m/>
    <m/>
    <m/>
    <d v="2019-09-29T00:00:00"/>
    <n v="2800"/>
  </r>
  <r>
    <s v="C00046474"/>
    <x v="0"/>
    <n v="2019"/>
    <s v="YE"/>
    <n v="2.0200128916742E+17"/>
    <s v="11AI"/>
    <s v="PR263716431700"/>
    <n v="1374056"/>
    <m/>
    <s v="IND"/>
    <s v="INDIVIDUAL"/>
    <m/>
    <m/>
    <s v="FORD III, HENRY"/>
    <s v="Q"/>
    <s v="C"/>
    <s v="B"/>
    <s v="HENRY"/>
    <m/>
    <s v="FORD III"/>
    <m/>
    <s v="475 TOOTING LANE"/>
    <m/>
    <s v="BIRMINGHAM"/>
    <s v="MI"/>
    <n v="480091334"/>
    <s v="FORD MOTOR COMPANY"/>
    <s v="STRATEGY SENIOR MANAGER"/>
    <m/>
    <n v="15"/>
    <s v="CONTRIBUTION"/>
    <m/>
    <m/>
    <m/>
    <d v="2019-12-31T00:00:00"/>
    <n v="30"/>
  </r>
  <r>
    <s v="C00638650"/>
    <x v="2"/>
    <n v="2019"/>
    <s v="Q3"/>
    <n v="2.0191101916532E+17"/>
    <s v="11AI"/>
    <s v="VTEJ1XCY1H1"/>
    <n v="1361434"/>
    <m/>
    <s v="IND"/>
    <s v="INDIVIDUAL"/>
    <s v="C00401224"/>
    <m/>
    <s v="FORD, HENRY III"/>
    <s v="H"/>
    <m/>
    <s v="P"/>
    <s v="HENRY"/>
    <m/>
    <s v="FORD"/>
    <s v="III"/>
    <s v="241 LAKE SHORE RD"/>
    <m/>
    <s v="GROSSE POINTE FARMS"/>
    <s v="MI"/>
    <n v="482363758"/>
    <s v="FORD MOTOR COMPANY"/>
    <s v="CONSULTANT"/>
    <s v="C00401224"/>
    <s v="15E"/>
    <s v="EARMARKED CONTRIBUTION"/>
    <m/>
    <m/>
    <m/>
    <d v="2019-08-23T00:00:00"/>
    <n v="2800"/>
  </r>
  <r>
    <s v="C00638650"/>
    <x v="2"/>
    <n v="2019"/>
    <s v="Q3"/>
    <n v="2.0191101916532099E+17"/>
    <s v="11AI"/>
    <s v="VTEJ1XCY1J9"/>
    <n v="1361434"/>
    <m/>
    <s v="IND"/>
    <s v="INDIVIDUAL"/>
    <s v="C00401224"/>
    <m/>
    <s v="FORD, HENRY III"/>
    <s v="H"/>
    <m/>
    <s v="P"/>
    <s v="HENRY"/>
    <m/>
    <s v="FORD"/>
    <s v="III"/>
    <s v="241 LAKE SHORE RD"/>
    <m/>
    <s v="GROSSE POINTE FARMS"/>
    <s v="MI"/>
    <n v="482363758"/>
    <s v="FORD MOTOR COMPANY"/>
    <s v="CONSULTANT"/>
    <s v="C00401224"/>
    <s v="15E"/>
    <s v="EARMARKED CONTRIBUTION"/>
    <m/>
    <m/>
    <m/>
    <d v="2019-08-23T00:00:00"/>
    <n v="100"/>
  </r>
  <r>
    <s v="C00046474"/>
    <x v="0"/>
    <n v="2019"/>
    <s v="M12"/>
    <n v="2.0191218916635901E+17"/>
    <s v="11AI"/>
    <s v="PR263716431137"/>
    <n v="1366669"/>
    <m/>
    <s v="IND"/>
    <s v="INDIVIDUAL"/>
    <m/>
    <m/>
    <s v="FORD III, HENRY"/>
    <s v="Q"/>
    <s v="C"/>
    <s v="B"/>
    <s v="HENRY"/>
    <m/>
    <s v="FORD III"/>
    <m/>
    <s v="475 TOOTING LANE"/>
    <m/>
    <s v="BIRMINGHAM"/>
    <s v="MI"/>
    <n v="480091334"/>
    <s v="FORD MOTOR COMPANY"/>
    <s v="STRATEGY SENIOR MANAGER"/>
    <m/>
    <n v="15"/>
    <s v="CONTRIBUTION"/>
    <m/>
    <m/>
    <m/>
    <d v="2019-11-30T00:00:00"/>
    <n v="30"/>
  </r>
  <r>
    <s v="C00638650"/>
    <x v="2"/>
    <n v="2019"/>
    <s v="Q1"/>
    <n v="2.0200715924463901E+17"/>
    <s v="11AI"/>
    <s v="VTEJ1WDRTM3"/>
    <n v="1422134"/>
    <m/>
    <s v="IND"/>
    <s v="INDIVIDUAL"/>
    <s v="C00401224"/>
    <m/>
    <s v="FORD, HENRY III"/>
    <s v="H"/>
    <m/>
    <s v="P"/>
    <s v="HENRY"/>
    <m/>
    <s v="FORD"/>
    <s v="III"/>
    <s v="241 LAKE SHORE RD"/>
    <m/>
    <s v="GROSSE POINTE FARMS"/>
    <s v="MI"/>
    <n v="482363758"/>
    <s v="FORD MOTOR COMPANY"/>
    <s v="CONSULTANT"/>
    <s v="C00401224"/>
    <s v="15E"/>
    <s v="EARMARKED CONTRIBUTION"/>
    <m/>
    <m/>
    <m/>
    <d v="2019-01-09T00:00:00"/>
    <n v="2700"/>
  </r>
  <r>
    <s v="C00512970"/>
    <x v="3"/>
    <n v="2020"/>
    <s v="Q2"/>
    <n v="2.02007159250112E+17"/>
    <s v="11AI"/>
    <s v="VNHWQFGRX35"/>
    <n v="1424896"/>
    <m/>
    <s v="IND"/>
    <s v="INDIVIDUAL"/>
    <s v="C00401224"/>
    <m/>
    <s v="FORD III, HENRY"/>
    <s v="S"/>
    <m/>
    <s v="P"/>
    <s v="HENRY"/>
    <m/>
    <s v="FORD III"/>
    <m/>
    <s v="2000 BRUSH ST"/>
    <s v="STE 440"/>
    <s v="DETROIT"/>
    <s v="MI"/>
    <n v="482262251"/>
    <s v="FORD"/>
    <s v="STRATEGY"/>
    <s v="C00401224"/>
    <s v="15E"/>
    <s v="EARMARKED CONTRIBUTION"/>
    <m/>
    <m/>
    <m/>
    <d v="2020-06-30T00:00:00"/>
    <n v="1000"/>
  </r>
  <r>
    <s v="C00543504"/>
    <x v="4"/>
    <n v="2020"/>
    <s v="YE"/>
    <n v="2.02101319418624E+17"/>
    <s v="11AI"/>
    <n v="1956274"/>
    <n v="1496290"/>
    <m/>
    <s v="IND"/>
    <s v="INDIVIDUAL"/>
    <s v="C00401224"/>
    <m/>
    <s v="FORD, HENRY III"/>
    <s v="Q"/>
    <m/>
    <s v="D"/>
    <s v="HENRY"/>
    <m/>
    <s v="FORD"/>
    <s v="III"/>
    <s v="2000 BRUSH ST"/>
    <s v="STE 440"/>
    <s v="DETROIT"/>
    <s v="MI"/>
    <n v="482262251"/>
    <s v="FORD"/>
    <s v="MANAGER"/>
    <s v="C00401224"/>
    <s v="15E"/>
    <s v="EARMARKED CONTRIBUTION"/>
    <m/>
    <m/>
    <m/>
    <d v="2020-12-31T00:00:00"/>
    <n v="500"/>
  </r>
  <r>
    <s v="C00046474"/>
    <x v="0"/>
    <n v="2020"/>
    <s v="12G"/>
    <n v="2.0201021932675501E+17"/>
    <s v="11AI"/>
    <s v="PR263716434207"/>
    <n v="1459687"/>
    <m/>
    <s v="IND"/>
    <s v="INDIVIDUAL"/>
    <m/>
    <m/>
    <s v="FORD III, HENRY"/>
    <s v="Q"/>
    <s v="C"/>
    <s v="B"/>
    <s v="HENRY"/>
    <m/>
    <s v="FORD III"/>
    <m/>
    <s v="475 TOOTING LANE"/>
    <m/>
    <s v="BIRMINGHAM"/>
    <s v="MI"/>
    <n v="480091334"/>
    <s v="FORD MOTOR COMPANY"/>
    <s v="DIRECTOR"/>
    <m/>
    <n v="15"/>
    <s v="CONTRIBUTION"/>
    <m/>
    <m/>
    <m/>
    <d v="2020-10-14T00:00:00"/>
    <n v="30"/>
  </r>
  <r>
    <s v="C00046474"/>
    <x v="0"/>
    <n v="2020"/>
    <s v="30G"/>
    <n v="2.0201201933723501E+17"/>
    <s v="11AI"/>
    <s v="PR263716434585"/>
    <n v="1475097"/>
    <m/>
    <s v="IND"/>
    <s v="INDIVIDUAL"/>
    <m/>
    <m/>
    <s v="FORD III, HENRY"/>
    <s v="Q"/>
    <s v="C"/>
    <s v="B"/>
    <s v="HENRY"/>
    <m/>
    <s v="FORD III"/>
    <m/>
    <s v="475 TOOTING LANE"/>
    <m/>
    <s v="BIRMINGHAM"/>
    <s v="MI"/>
    <n v="480091334"/>
    <s v="FORD MOTOR COMPANY"/>
    <s v="DIRECTOR"/>
    <m/>
    <n v="15"/>
    <s v="CONTRIBUTION"/>
    <m/>
    <m/>
    <m/>
    <d v="2020-11-23T00:00:00"/>
    <n v="30"/>
  </r>
  <r>
    <s v="C00437889"/>
    <x v="5"/>
    <n v="2019"/>
    <s v="Q3"/>
    <n v="2.0210209942719398E+17"/>
    <s v="11AI"/>
    <s v="VSH8GJD7KJ9"/>
    <n v="1499253"/>
    <m/>
    <s v="IND"/>
    <s v="INDIVIDUAL"/>
    <s v="C00401224"/>
    <m/>
    <s v="FORD, HENRY III"/>
    <s v="S"/>
    <m/>
    <s v="P"/>
    <s v="HENRY"/>
    <m/>
    <s v="FORD"/>
    <s v="III"/>
    <s v="2000 BRUSH ST"/>
    <m/>
    <s v="DETROIT"/>
    <s v="MI"/>
    <n v="482262251"/>
    <s v="FORD MOTOR COMPANY"/>
    <s v="STRATEGY"/>
    <s v="C00401224"/>
    <s v="15E"/>
    <s v="EARMARKED CONTRIBUTION"/>
    <m/>
    <m/>
    <m/>
    <d v="2019-09-29T00:00:00"/>
    <n v="28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s v="C00041160"/>
    <x v="0"/>
    <n v="2019"/>
    <s v="YE"/>
    <n v="2.0200131918482202E+17"/>
    <s v="11AI"/>
    <s v="AC6D0363675694C048C9"/>
    <n v="1378361"/>
    <m/>
    <s v="IND"/>
    <s v="INDIVIDUAL"/>
    <m/>
    <s v="MR."/>
    <s v="FORD, WILLIAM C MR. JR."/>
    <s v="Y"/>
    <m/>
    <s v="U"/>
    <s v="WILLIAM"/>
    <s v="C"/>
    <s v="FORD"/>
    <s v="JR."/>
    <s v="2000 BRUSH ST"/>
    <s v="STE 440"/>
    <s v="DETROIT"/>
    <s v="MI"/>
    <n v="482262251"/>
    <s v="FORD MOTOR COMPANY"/>
    <s v="CHAIRMAN OF THE BOARD"/>
    <m/>
    <n v="15"/>
    <s v="CONTRIBUTION"/>
    <m/>
    <m/>
    <m/>
    <n v="43830"/>
    <n v="10000"/>
  </r>
  <r>
    <s v="C00041160"/>
    <x v="0"/>
    <n v="2019"/>
    <s v="YE"/>
    <n v="2.0200131918482202E+17"/>
    <s v="SL1A"/>
    <s v="A12D4014A0E7C477EADB"/>
    <n v="1378361"/>
    <m/>
    <s v="IND"/>
    <s v="INDIVIDUAL"/>
    <m/>
    <s v="MR."/>
    <s v="FORD, WILLIAM C MR. JR."/>
    <s v="Y"/>
    <m/>
    <s v="U"/>
    <s v="WILLIAM"/>
    <s v="C"/>
    <s v="FORD"/>
    <s v="JR."/>
    <s v="2000 BRUSH ST"/>
    <s v="STE 440"/>
    <s v="DETROIT"/>
    <s v="MI"/>
    <n v="482262251"/>
    <s v="FORD MOTOR COMPANY"/>
    <s v="CHAIRMAN OF THE BOARD"/>
    <m/>
    <n v="10"/>
    <s v="NON-FEDERAL RECEIPT FROM PERSONS"/>
    <m/>
    <m/>
    <m/>
    <n v="43830"/>
    <n v="10000"/>
  </r>
  <r>
    <s v="C00451153"/>
    <x v="1"/>
    <n v="2019"/>
    <s v="YE"/>
    <n v="2.0200131918419699E+17"/>
    <s v="11AI"/>
    <s v="A2019-3118914"/>
    <n v="1377045"/>
    <m/>
    <s v="IND"/>
    <s v="INDIVIDUAL"/>
    <m/>
    <m/>
    <s v="FORD, WILLIAM C JR."/>
    <s v="Q"/>
    <m/>
    <s v="B"/>
    <s v="WILLIAM"/>
    <s v="C"/>
    <s v="FORD"/>
    <s v="JR."/>
    <s v="C/O DETROIT LIONS"/>
    <s v="222 REPUBLIC DRIVE"/>
    <s v="ALLEN PARK"/>
    <s v="MI"/>
    <n v="48101"/>
    <s v="DETROIT LIONS"/>
    <s v="OWNER/CHAIRMAN"/>
    <m/>
    <n v="15"/>
    <s v="CONTRIBUTION"/>
    <m/>
    <m/>
    <m/>
    <n v="43815"/>
    <n v="5000"/>
  </r>
  <r>
    <s v="C00451153"/>
    <x v="1"/>
    <n v="2020"/>
    <s v="30G"/>
    <n v="2.0201202933742701E+17"/>
    <s v="11AI"/>
    <s v="A2020-2621925"/>
    <n v="1476407"/>
    <m/>
    <s v="IND"/>
    <s v="INDIVIDUAL"/>
    <m/>
    <m/>
    <s v="FORD, WILLIAM C JR."/>
    <s v="Q"/>
    <m/>
    <s v="B"/>
    <s v="WILLIAM"/>
    <s v="C"/>
    <s v="FORD"/>
    <s v="JR."/>
    <s v="C/O DETROIT LIONS"/>
    <s v="222 REPUBLIC DRIVE"/>
    <s v="ALLEN PARK"/>
    <s v="MI"/>
    <n v="48101"/>
    <s v="DETROIT LIONS"/>
    <s v="OWNER/CHAIRMAN"/>
    <m/>
    <n v="15"/>
    <s v="CONTRIBUTION"/>
    <m/>
    <m/>
    <m/>
    <n v="44140"/>
    <n v="5000"/>
  </r>
  <r>
    <s v="C00437889"/>
    <x v="2"/>
    <n v="2019"/>
    <s v="Q3"/>
    <n v="2.02102099427192E+17"/>
    <s v="11AI"/>
    <s v="VSH8GJ3NXZ2"/>
    <n v="1499253"/>
    <m/>
    <s v="IND"/>
    <s v="INDIVIDUAL"/>
    <s v="C00401224"/>
    <m/>
    <s v="FORD, WILLIAM DAVID JR."/>
    <s v="S"/>
    <m/>
    <s v="P"/>
    <s v="WILLIAM"/>
    <s v="DAVID"/>
    <s v="FORD"/>
    <s v="JR."/>
    <s v="2000 BRUSH ST"/>
    <m/>
    <s v="DETROIT"/>
    <s v="MI"/>
    <n v="482262251"/>
    <s v="FORD"/>
    <s v="CHAIRMAN"/>
    <s v="C00401224"/>
    <s v="15E"/>
    <s v="EARMARKED CONTRIBUTION"/>
    <m/>
    <m/>
    <m/>
    <n v="43664"/>
    <n v="5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">
  <r>
    <s v="C00401224"/>
    <x v="0"/>
    <n v="2020"/>
    <s v="M5"/>
    <n v="2.0200520923663398E+17"/>
    <s v="11AI"/>
    <s v="SA11AI_230059243"/>
    <n v="1407307"/>
    <m/>
    <s v="IND"/>
    <s v="INDIVIDUAL"/>
    <m/>
    <m/>
    <s v="HELMAN, WILLIAM"/>
    <s v="V"/>
    <m/>
    <s v="U"/>
    <s v="WILLIAM"/>
    <m/>
    <s v="HELMAN"/>
    <m/>
    <s v="106 7TH AVE PH 12"/>
    <m/>
    <s v="NEW YORK"/>
    <s v="NY"/>
    <n v="10011"/>
    <s v="GREYLOCK MANAGEMENT"/>
    <s v="BUSINESS"/>
    <m/>
    <m/>
    <m/>
    <s v="CONTRIBUTION TO ACT BLUE"/>
    <m/>
    <m/>
    <n v="43948"/>
    <n v="50"/>
  </r>
  <r>
    <s v="C00738336"/>
    <x v="1"/>
    <n v="2020"/>
    <s v="12P"/>
    <n v="2.0200611923976099E+17"/>
    <s v="11AI"/>
    <n v="4392419"/>
    <n v="1411297"/>
    <m/>
    <s v="IND"/>
    <s v="INDIVIDUAL"/>
    <s v="C00401224"/>
    <m/>
    <s v="HELMAN, WILLIAM"/>
    <s v="H"/>
    <m/>
    <s v="P"/>
    <s v="WILLIAM"/>
    <m/>
    <s v="HELMAN"/>
    <m/>
    <s v="106 7TH AVE"/>
    <s v="PH 12"/>
    <s v="NEW YORK"/>
    <s v="NY"/>
    <n v="100111837"/>
    <s v="GREYLOCK MANAGEMENT"/>
    <s v="BUSINESS"/>
    <s v="C00401224"/>
    <s v="15E"/>
    <s v="EARMARKED CONTRIBUTION"/>
    <m/>
    <m/>
    <m/>
    <n v="43948"/>
    <n v="28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">
  <r>
    <s v="C00083535"/>
    <x v="0"/>
    <n v="2019"/>
    <s v="M8"/>
    <n v="2.0190808916136701E+17"/>
    <s v="11AI"/>
    <n v="25111003"/>
    <n v="1347267"/>
    <m/>
    <s v="IND"/>
    <s v="INDIVIDUAL"/>
    <m/>
    <m/>
    <s v="KENNARD, WILLIAM"/>
    <s v="Q"/>
    <s v="C"/>
    <s v="B"/>
    <s v="WILLIAM"/>
    <m/>
    <s v="KENNARD"/>
    <m/>
    <s v="41 MEETING STREET"/>
    <m/>
    <s v="CHARLESTON"/>
    <s v="SC"/>
    <n v="294012736"/>
    <s v="DUKE ENERGY CORPORATION"/>
    <s v="DIRECTOR"/>
    <m/>
    <n v="15"/>
    <s v="CONTRIBUTION"/>
    <m/>
    <m/>
    <m/>
    <n v="43669"/>
    <n v="2500"/>
    <n v="2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87.126074664353"/>
    <m/>
    <m/>
    <m/>
    <s v="F3X"/>
    <n v="4.0808201916632499E+18"/>
    <s v="t"/>
    <m/>
    <n v="2020"/>
    <s v="SA"/>
    <m/>
    <n v="4.0809201916632602E+18"/>
    <s v="http://docquery.fec.gov/cgi-bin/fecimg/?201908089161367786"/>
    <s v="Contributions From Individuals/Persons Other Than Political Committees"/>
  </r>
  <r>
    <s v="C00083535"/>
    <x v="0"/>
    <n v="2019"/>
    <s v="M8"/>
    <n v="2.0190808916136701E+17"/>
    <s v="11AI"/>
    <n v="25111011"/>
    <n v="1347267"/>
    <m/>
    <s v="IND"/>
    <s v="INDIVIDUAL"/>
    <m/>
    <m/>
    <s v="KENNARD, WILLIAM"/>
    <s v="Q"/>
    <s v="C"/>
    <s v="B"/>
    <s v="WILLIAM"/>
    <m/>
    <s v="KENNARD"/>
    <m/>
    <s v="41 MEETING STREET"/>
    <m/>
    <s v="CHARLESTON"/>
    <s v="SC"/>
    <n v="294012736"/>
    <s v="DUKE ENERGY CORPORATION"/>
    <s v="DIRECTOR"/>
    <m/>
    <n v="15"/>
    <s v="CONTRIBUTION"/>
    <m/>
    <m/>
    <m/>
    <n v="43669"/>
    <n v="2500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87.126074687498"/>
    <m/>
    <m/>
    <m/>
    <s v="F3X"/>
    <n v="4.0808201916632499E+18"/>
    <s v="t"/>
    <m/>
    <n v="2020"/>
    <s v="SA"/>
    <m/>
    <n v="4.0809201916632602E+18"/>
    <s v="http://docquery.fec.gov/cgi-bin/fecimg/?201908089161367787"/>
    <s v="Contributions From Individuals/Persons Other Than Political Committees"/>
  </r>
  <r>
    <s v="C00701052"/>
    <x v="1"/>
    <n v="2019"/>
    <s v="YE"/>
    <n v="2.0200130918248099E+17"/>
    <s v="11AI"/>
    <s v="VVC5RQ8VSQ0"/>
    <n v="1375706"/>
    <m/>
    <s v="IND"/>
    <s v="INDIVIDUAL"/>
    <s v="C00401224"/>
    <m/>
    <s v="KENNARD, WILLIAM"/>
    <s v="H"/>
    <m/>
    <s v="P"/>
    <s v="WILLIAM"/>
    <m/>
    <s v="KENNARD"/>
    <m/>
    <s v="41 MEETING ST"/>
    <m/>
    <s v="CHARLESTON"/>
    <s v="SC"/>
    <n v="294012736"/>
    <s v="NOT EMPLOYED"/>
    <s v="NOT EMPLOYED"/>
    <s v="C00401224"/>
    <s v="15E"/>
    <s v="EARMARKED CONTRIBUTION"/>
    <m/>
    <m/>
    <m/>
    <n v="43776"/>
    <n v="1000"/>
    <n v="10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62.072798136571"/>
    <m/>
    <s v="VVC5RQ8VSQ0E"/>
    <s v="SA11AI"/>
    <s v="F3"/>
    <n v="4.0130202016861199E+18"/>
    <s v="t"/>
    <s v="* EARMARKED CONTRIBUTION: SEE BELOW"/>
    <n v="2020"/>
    <s v="SA"/>
    <m/>
    <n v="4.0131202016863201E+18"/>
    <s v="http://docquery.fec.gov/cgi-bin/fecimg/?202001309182481175"/>
    <s v="Contributions From Individuals/Persons Other Than Political Committees"/>
  </r>
  <r>
    <s v="C00391029"/>
    <x v="2"/>
    <n v="2019"/>
    <s v="YE"/>
    <n v="2.02012319394492E+17"/>
    <s v="11AI"/>
    <s v="AC3670C939426407ABA8"/>
    <n v="1484857"/>
    <m/>
    <s v="IND"/>
    <s v="INDIVIDUAL"/>
    <m/>
    <m/>
    <s v="KENNARD, WILLIAM"/>
    <s v="H"/>
    <m/>
    <s v="P"/>
    <s v="WILLIAM"/>
    <m/>
    <s v="KENNARD"/>
    <m/>
    <s v="41 MEETING ST"/>
    <m/>
    <s v="CHARLESTON"/>
    <s v="SC"/>
    <n v="294012736"/>
    <s v="SELF EMPLOYED"/>
    <s v="INVESTOR"/>
    <m/>
    <n v="15"/>
    <s v="CONTRIBUTION"/>
    <m/>
    <m/>
    <m/>
    <n v="43782"/>
    <n v="250"/>
    <n v="25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4203.375797418979"/>
    <m/>
    <m/>
    <m/>
    <s v="F3"/>
    <n v="4.0102202119890601E+18"/>
    <s v="t"/>
    <m/>
    <n v="2020"/>
    <s v="SA"/>
    <m/>
    <n v="4.0106202120616202E+18"/>
    <s v="https://docquery.fec.gov/cgi-bin/fecimg/?202012319394492388"/>
    <s v="Contributions From Individuals/Persons Other Than Political Committee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1">
  <r>
    <s v="C00507368"/>
    <x v="0"/>
    <n v="2020"/>
    <s v="Q1"/>
    <n v="2.02104149443336E+17"/>
    <s v="11AI"/>
    <s v="VPF6NSKQWT7"/>
    <n v="1510510"/>
    <m/>
    <s v="IND"/>
    <s v="INDIVIDUAL"/>
    <m/>
    <m/>
    <s v="MOONEY, BETH E"/>
    <s v="H"/>
    <m/>
    <s v="P"/>
    <s v="BETH"/>
    <s v="E"/>
    <s v="MOONEY"/>
    <m/>
    <s v="11 COLONY LN"/>
    <m/>
    <s v="BRATENAHL"/>
    <s v="OH"/>
    <n v="441081119"/>
    <s v="KEY BANK"/>
    <s v="CHAIRMAN &amp; CEO"/>
    <m/>
    <n v="15"/>
    <s v="CONTRIBUTION"/>
    <m/>
    <m/>
    <m/>
    <n v="43900"/>
    <n v="1500"/>
  </r>
  <r>
    <s v="C00073155"/>
    <x v="1"/>
    <n v="2019"/>
    <s v="MY"/>
    <n v="2.0191007916375802E+17"/>
    <s v="11AI"/>
    <s v="0BE4E100B6834D5AB3BA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490"/>
    <n v="192.3"/>
  </r>
  <r>
    <s v="C00073155"/>
    <x v="1"/>
    <n v="2019"/>
    <s v="MY"/>
    <n v="2.0191007916375802E+17"/>
    <s v="11AI"/>
    <s v="05458006B5F948F89D89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504"/>
    <n v="192.3"/>
  </r>
  <r>
    <s v="C00073155"/>
    <x v="1"/>
    <n v="2019"/>
    <s v="MY"/>
    <n v="2.0191007916375802E+17"/>
    <s v="11AI"/>
    <s v="E4A7510B69E049E3B856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518"/>
    <n v="192.3"/>
  </r>
  <r>
    <s v="C00073155"/>
    <x v="1"/>
    <n v="2019"/>
    <s v="MY"/>
    <n v="2.0191007916375802E+17"/>
    <s v="11AI"/>
    <s v="E00EBC83F24F4475B036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532"/>
    <n v="192.3"/>
  </r>
  <r>
    <s v="C00073155"/>
    <x v="1"/>
    <n v="2019"/>
    <s v="MY"/>
    <n v="2.0191007916375802E+17"/>
    <s v="11AI"/>
    <s v="95E0140E364547AB8475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546"/>
    <n v="192.3"/>
  </r>
  <r>
    <s v="C00073155"/>
    <x v="1"/>
    <n v="2019"/>
    <s v="MY"/>
    <n v="2.0191007916375802E+17"/>
    <s v="11AI"/>
    <s v="83E3F9636DA74CDCA47B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560"/>
    <n v="192.3"/>
  </r>
  <r>
    <s v="C00073155"/>
    <x v="1"/>
    <n v="2019"/>
    <s v="MY"/>
    <n v="2.0191007916375802E+17"/>
    <s v="11AI"/>
    <s v="4C40E82803FF44B680FB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574"/>
    <n v="192.3"/>
  </r>
  <r>
    <s v="C00073155"/>
    <x v="1"/>
    <n v="2019"/>
    <s v="MY"/>
    <n v="2.0191007916375802E+17"/>
    <s v="11AI"/>
    <s v="79EF0749BBAD433F819E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588"/>
    <n v="192.3"/>
  </r>
  <r>
    <s v="C00073155"/>
    <x v="1"/>
    <n v="2019"/>
    <s v="MY"/>
    <n v="2.0191007916375802E+17"/>
    <s v="11AI"/>
    <s v="D7FC5E6B10C1469BBB2F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602"/>
    <n v="192.3"/>
  </r>
  <r>
    <s v="C00073155"/>
    <x v="1"/>
    <n v="2019"/>
    <s v="MY"/>
    <n v="2.0191007916375802E+17"/>
    <s v="11AI"/>
    <s v="294AF0C6645847AC961B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616"/>
    <n v="192.3"/>
  </r>
  <r>
    <s v="C00073155"/>
    <x v="1"/>
    <n v="2019"/>
    <s v="MY"/>
    <n v="2.0191007916375802E+17"/>
    <s v="11AI"/>
    <s v="6E098666C95F45249F12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630"/>
    <n v="192.3"/>
  </r>
  <r>
    <s v="C00073155"/>
    <x v="1"/>
    <n v="2019"/>
    <s v="MY"/>
    <n v="2.0191007916375802E+17"/>
    <s v="11AI"/>
    <s v="2125829721E6465B820E"/>
    <n v="1355016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644"/>
    <n v="192.3"/>
  </r>
  <r>
    <s v="C00073155"/>
    <x v="1"/>
    <n v="2019"/>
    <s v="YE"/>
    <n v="2.0200124916735101E+17"/>
    <s v="11AI"/>
    <s v="B495CD70900A47FC81EF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658"/>
    <n v="192.3"/>
  </r>
  <r>
    <s v="C00073155"/>
    <x v="1"/>
    <n v="2019"/>
    <s v="YE"/>
    <n v="2.0200124916735101E+17"/>
    <s v="11AI"/>
    <s v="1F697B8D158345DA8D75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672"/>
    <n v="192.3"/>
  </r>
  <r>
    <s v="C00073155"/>
    <x v="1"/>
    <n v="2019"/>
    <s v="YE"/>
    <n v="2.0200124916735101E+17"/>
    <s v="11AI"/>
    <s v="14DB87FA720446038A81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686"/>
    <n v="192.3"/>
  </r>
  <r>
    <s v="C00073155"/>
    <x v="1"/>
    <n v="2019"/>
    <s v="YE"/>
    <n v="2.0200124916735101E+17"/>
    <s v="11AI"/>
    <s v="B6FA058FEEFA4E8B9F29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00"/>
    <n v="192.3"/>
  </r>
  <r>
    <s v="C00073155"/>
    <x v="1"/>
    <n v="2019"/>
    <s v="YE"/>
    <n v="2.0200124916735101E+17"/>
    <s v="11AI"/>
    <s v="AF442DB1BE61429D86A1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14"/>
    <n v="192.3"/>
  </r>
  <r>
    <s v="C00073155"/>
    <x v="1"/>
    <n v="2019"/>
    <s v="YE"/>
    <n v="2.0200124916735101E+17"/>
    <s v="11AI"/>
    <s v="9CF9DC05378A4E25BB6B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28"/>
    <n v="192.3"/>
  </r>
  <r>
    <s v="C00073155"/>
    <x v="1"/>
    <n v="2019"/>
    <s v="YE"/>
    <n v="2.0200124916735101E+17"/>
    <s v="11AI"/>
    <s v="8CAAE4E65D864597A7C4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42"/>
    <n v="192.3"/>
  </r>
  <r>
    <s v="C00073155"/>
    <x v="1"/>
    <n v="2019"/>
    <s v="YE"/>
    <n v="2.0200124916735101E+17"/>
    <s v="11AI"/>
    <s v="9E35AAB2D02F4757B9A5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56"/>
    <n v="192.3"/>
  </r>
  <r>
    <s v="C00073155"/>
    <x v="1"/>
    <n v="2019"/>
    <s v="YE"/>
    <n v="2.0200124916735101E+17"/>
    <s v="11AI"/>
    <s v="B203E1DA5AC446F6AA6D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70"/>
    <n v="192.3"/>
  </r>
  <r>
    <s v="C00073155"/>
    <x v="1"/>
    <n v="2019"/>
    <s v="YE"/>
    <n v="2.0200124916735101E+17"/>
    <s v="11AI"/>
    <s v="0D807C3B8CED4F789DFB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84"/>
    <n v="192.3"/>
  </r>
  <r>
    <s v="C00073155"/>
    <x v="1"/>
    <n v="2019"/>
    <s v="YE"/>
    <n v="2.0200124916735101E+17"/>
    <s v="11AI"/>
    <s v="9E1850739CFA467AB6EF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798"/>
    <n v="192.3"/>
  </r>
  <r>
    <s v="C00073155"/>
    <x v="1"/>
    <n v="2019"/>
    <s v="YE"/>
    <n v="2.0200124916735101E+17"/>
    <s v="11AI"/>
    <s v="9DCE7330D07145BB9B6F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812"/>
    <n v="192.3"/>
  </r>
  <r>
    <s v="C00073155"/>
    <x v="1"/>
    <n v="2019"/>
    <s v="YE"/>
    <n v="2.0200124916735101E+17"/>
    <s v="11AI"/>
    <s v="27B1CCA3C17C48C18C51"/>
    <n v="1372684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826"/>
    <n v="192.3"/>
  </r>
  <r>
    <s v="C00073155"/>
    <x v="1"/>
    <n v="2020"/>
    <s v="M2"/>
    <n v="2.0200217918650701E+17"/>
    <s v="11AI"/>
    <s v="F3D55691BCC14F83ADEA"/>
    <n v="1382591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854"/>
    <n v="192.3"/>
  </r>
  <r>
    <s v="C00073155"/>
    <x v="1"/>
    <n v="2020"/>
    <s v="M3"/>
    <n v="2.0200320920402499E+17"/>
    <s v="11AI"/>
    <s v="04EE482A73AF4D53AE45"/>
    <n v="1391207"/>
    <m/>
    <s v="IND"/>
    <s v="INDIVIDUAL"/>
    <m/>
    <m/>
    <s v="MOONEY, BETH"/>
    <s v="Q"/>
    <s v="C"/>
    <s v="B"/>
    <s v="BETH"/>
    <m/>
    <s v="MOONEY"/>
    <m/>
    <s v="127 PUBLIC SQ"/>
    <m/>
    <s v="CLEVELAND"/>
    <s v="OH"/>
    <n v="441141217"/>
    <s v="KEYCORP"/>
    <s v="CHAIRMAN OF THE BOARD &amp; CEO"/>
    <m/>
    <n v="15"/>
    <s v="CONTRIBUTION"/>
    <m/>
    <m/>
    <m/>
    <n v="43868"/>
    <n v="192.3"/>
  </r>
  <r>
    <s v="C00073155"/>
    <x v="1"/>
    <n v="2020"/>
    <s v="M3"/>
    <n v="2.0200320920402499E+17"/>
    <s v="11AI"/>
    <s v="54ACCFAFBA304A618239"/>
    <n v="1391207"/>
    <m/>
    <s v="IND"/>
    <s v="INDIVIDUAL"/>
    <m/>
    <m/>
    <s v="MOONEY, BETH"/>
    <s v="Q"/>
    <s v="C"/>
    <s v="B"/>
    <s v="BETH"/>
    <m/>
    <s v="MOONEY"/>
    <m/>
    <s v="127 PUBLIC SQ"/>
    <m/>
    <s v="CLEVELAND"/>
    <s v="OH"/>
    <n v="441141217"/>
    <s v="KEYCORP"/>
    <s v="CHAIRMAN OF THE BOARD &amp; CEO"/>
    <m/>
    <n v="15"/>
    <s v="CONTRIBUTION"/>
    <m/>
    <m/>
    <m/>
    <n v="43882"/>
    <n v="192.3"/>
  </r>
  <r>
    <s v="C00073155"/>
    <x v="1"/>
    <n v="2020"/>
    <s v="M4"/>
    <n v="2.0200420921975101E+17"/>
    <s v="11AI"/>
    <s v="CDE5153E0FBB47C6917E"/>
    <n v="1402192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896"/>
    <n v="192.3"/>
  </r>
  <r>
    <s v="C00073155"/>
    <x v="1"/>
    <n v="2020"/>
    <s v="M4"/>
    <n v="2.0200420921975101E+17"/>
    <s v="11AI"/>
    <s v="AC42AB6E814B41408308"/>
    <n v="1402192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910"/>
    <n v="192.3"/>
  </r>
  <r>
    <s v="C00073155"/>
    <x v="1"/>
    <n v="2020"/>
    <s v="M5"/>
    <n v="2.0200519923279699E+17"/>
    <s v="11AI"/>
    <s v="8BD1CF49D629405FB5EB"/>
    <n v="1406467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924"/>
    <n v="192.3"/>
  </r>
  <r>
    <s v="C00073155"/>
    <x v="1"/>
    <n v="2020"/>
    <s v="M5"/>
    <n v="2.0200519923279699E+17"/>
    <s v="11AI"/>
    <s v="DD39285E4A654D3AA07B"/>
    <n v="1406467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938"/>
    <n v="192.3"/>
  </r>
  <r>
    <s v="C00401224"/>
    <x v="2"/>
    <n v="2020"/>
    <s v="M5"/>
    <n v="2.02005209237048E+17"/>
    <s v="11AI"/>
    <s v="SA11AI_231197326"/>
    <n v="1407307"/>
    <m/>
    <s v="IND"/>
    <s v="INDIVIDUAL"/>
    <m/>
    <m/>
    <s v="MOONEY, BETH"/>
    <s v="V"/>
    <m/>
    <s v="U"/>
    <s v="BETH"/>
    <m/>
    <s v="MOONEY"/>
    <m/>
    <s v="11 COLONY LN"/>
    <m/>
    <s v="BRATENAHL"/>
    <s v="OH"/>
    <n v="441081119"/>
    <s v="NOT EMPLOYED"/>
    <s v="NOT EMPLOYED"/>
    <m/>
    <m/>
    <m/>
    <s v="CONTRIBUTION TO ACT BLUE"/>
    <m/>
    <m/>
    <n v="43951"/>
    <n v="25"/>
  </r>
  <r>
    <s v="C00073155"/>
    <x v="1"/>
    <n v="2020"/>
    <s v="M6"/>
    <n v="2.0200618923992998E+17"/>
    <s v="11AI"/>
    <s v="ED1A239CFF3E40649F60"/>
    <n v="1412691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952"/>
    <n v="192.3"/>
  </r>
  <r>
    <s v="C00073155"/>
    <x v="1"/>
    <n v="2020"/>
    <s v="M6"/>
    <n v="2.0200618923992998E+17"/>
    <s v="11AI"/>
    <s v="E01C625B36C34A8390C2"/>
    <n v="1412691"/>
    <m/>
    <s v="IND"/>
    <s v="INDIVIDUAL"/>
    <m/>
    <m/>
    <s v="MOONEY, BETH"/>
    <s v="Q"/>
    <s v="C"/>
    <s v="B"/>
    <s v="BETH"/>
    <m/>
    <s v="MOONEY"/>
    <m/>
    <s v="11 COLONY LN"/>
    <m/>
    <s v="BRATENAHL"/>
    <s v="OH"/>
    <n v="441081119"/>
    <s v="KEYCORP"/>
    <s v="CHAIRMAN OF THE BOARD &amp; CEO"/>
    <m/>
    <n v="15"/>
    <s v="CONTRIBUTION"/>
    <m/>
    <m/>
    <m/>
    <n v="43966"/>
    <n v="192.3"/>
  </r>
  <r>
    <s v="C00744946"/>
    <x v="3"/>
    <n v="2020"/>
    <s v="12G"/>
    <n v="2.0210308944030598E+17"/>
    <s v="11AI"/>
    <n v="19162720"/>
    <n v="1503262"/>
    <m/>
    <s v="IND"/>
    <s v="INDIVIDUAL"/>
    <m/>
    <m/>
    <s v="MOONEY, BETH"/>
    <s v="N"/>
    <m/>
    <s v="J"/>
    <s v="BETH"/>
    <m/>
    <s v="MOONEY"/>
    <m/>
    <s v="11 COLONY LN"/>
    <m/>
    <s v="CLEVELAND"/>
    <s v="OH"/>
    <n v="441081119"/>
    <s v="RETIRED"/>
    <s v="RETIRED"/>
    <m/>
    <n v="15"/>
    <s v="CONTRIBUTION"/>
    <m/>
    <m/>
    <m/>
    <n v="44105"/>
    <n v="10000"/>
  </r>
  <r>
    <s v="C00401224"/>
    <x v="2"/>
    <n v="2020"/>
    <s v="M10"/>
    <n v="2.02012149378724E+17"/>
    <s v="11AI"/>
    <s v="SA11AI_303383429"/>
    <n v="1482832"/>
    <m/>
    <s v="IND"/>
    <s v="INDIVIDUAL"/>
    <m/>
    <m/>
    <s v="MOONEY, BETH"/>
    <s v="V"/>
    <m/>
    <s v="U"/>
    <s v="BETH"/>
    <m/>
    <s v="MOONEY"/>
    <m/>
    <s v="11 COLONY LN"/>
    <m/>
    <s v="BRATENAHL"/>
    <s v="OH"/>
    <n v="441081119"/>
    <s v="NOT EMPLOYED"/>
    <s v="NOT EMPLOYED"/>
    <m/>
    <m/>
    <m/>
    <s v="EARMARK"/>
    <m/>
    <m/>
    <n v="44095"/>
    <n v="50"/>
  </r>
  <r>
    <s v="C00401224"/>
    <x v="2"/>
    <n v="2020"/>
    <s v="M8"/>
    <n v="2.0200820926317402E+17"/>
    <s v="11AI"/>
    <s v="SA11AI_268086757"/>
    <n v="1434463"/>
    <m/>
    <s v="IND"/>
    <s v="INDIVIDUAL"/>
    <m/>
    <m/>
    <s v="MOONEY, BETH"/>
    <s v="V"/>
    <m/>
    <s v="U"/>
    <s v="BETH"/>
    <m/>
    <s v="MOONEY"/>
    <m/>
    <s v="11 COLONY LN"/>
    <m/>
    <s v="BRATENAHL"/>
    <s v="OH"/>
    <n v="441081119"/>
    <s v="NOT EMPLOYED"/>
    <s v="NOT EMPLOYED"/>
    <m/>
    <m/>
    <m/>
    <s v="EARMARK"/>
    <m/>
    <m/>
    <n v="44033"/>
    <n v="50"/>
  </r>
  <r>
    <s v="C00703975"/>
    <x v="4"/>
    <n v="2020"/>
    <s v="12G"/>
    <n v="2.0201022933614899E+17"/>
    <n v="18"/>
    <n v="24543330"/>
    <n v="1463690"/>
    <m/>
    <s v="IND"/>
    <s v="INDIVIDUAL"/>
    <m/>
    <m/>
    <s v="MOONEY, BETH"/>
    <s v="P"/>
    <m/>
    <s v="P"/>
    <s v="BETH"/>
    <m/>
    <s v="MOONEY"/>
    <m/>
    <s v="11 COLONY LN"/>
    <m/>
    <s v="CLEVELAND"/>
    <s v="OH"/>
    <n v="441081119"/>
    <s v="RETIRED"/>
    <s v="RETIRED"/>
    <m/>
    <s v="15J"/>
    <s v="MEMO (FILER'S % OF CONTRIBUTION GIVEN TO JOIN"/>
    <m/>
    <s v="X"/>
    <m/>
    <n v="44105"/>
    <n v="2800"/>
  </r>
  <r>
    <s v="C00709899"/>
    <x v="5"/>
    <n v="2020"/>
    <s v="12G"/>
    <n v="2.0201022933643802E+17"/>
    <s v="11AI"/>
    <s v="VVC97WKAKS7"/>
    <n v="1464149"/>
    <m/>
    <s v="IND"/>
    <s v="INDIVIDUAL"/>
    <s v="C00401224"/>
    <m/>
    <s v="MOONEY, BETH"/>
    <s v="S"/>
    <m/>
    <s v="P"/>
    <s v="BETH"/>
    <m/>
    <s v="MOONEY"/>
    <m/>
    <s v="11 COLONY LN"/>
    <m/>
    <s v="BRATENAHL"/>
    <s v="OH"/>
    <n v="441081119"/>
    <s v="KEYCORP"/>
    <s v="CEO"/>
    <s v="C00401224"/>
    <s v="15E"/>
    <s v="EARMARKED CONTRIBUTION"/>
    <m/>
    <m/>
    <m/>
    <n v="44106"/>
    <n v="1000"/>
  </r>
  <r>
    <s v="C00696526"/>
    <x v="6"/>
    <n v="2020"/>
    <s v="12G"/>
    <n v="2.0201022933541101E+17"/>
    <s v="11AI"/>
    <s v="VVC31WMVSB3"/>
    <n v="1463342"/>
    <m/>
    <s v="IND"/>
    <s v="INDIVIDUAL"/>
    <s v="C00401224"/>
    <m/>
    <s v="MOONEY, BETH"/>
    <s v="S"/>
    <m/>
    <s v="P"/>
    <s v="BETH"/>
    <m/>
    <s v="MOONEY"/>
    <m/>
    <s v="11 COLONY LN"/>
    <m/>
    <s v="BRATENAHL"/>
    <s v="OH"/>
    <n v="441081119"/>
    <s v="KEYCORP"/>
    <s v="CHAIRMAN OF THE BOARD &amp; CEO"/>
    <s v="C00401224"/>
    <s v="15E"/>
    <s v="EARMARKED CONTRIBUTION"/>
    <m/>
    <m/>
    <m/>
    <n v="44106"/>
    <n v="1000"/>
  </r>
  <r>
    <s v="C00649350"/>
    <x v="7"/>
    <n v="2020"/>
    <s v="Q3"/>
    <n v="2.0201015929438E+17"/>
    <s v="11AI"/>
    <s v="VTR3QQTFS10"/>
    <n v="1450337"/>
    <m/>
    <s v="IND"/>
    <s v="INDIVIDUAL"/>
    <s v="C00401224"/>
    <m/>
    <s v="MOONEY, BETH"/>
    <s v="S"/>
    <m/>
    <s v="P"/>
    <s v="BETH"/>
    <m/>
    <s v="MOONEY"/>
    <m/>
    <s v="11 COLONY LN"/>
    <m/>
    <s v="BRATENAHL"/>
    <s v="OH"/>
    <n v="441081119"/>
    <s v="KEYCORP"/>
    <s v="CEO"/>
    <s v="C00401224"/>
    <s v="15E"/>
    <s v="EARMARKED CONTRIBUTION"/>
    <m/>
    <m/>
    <m/>
    <n v="44033"/>
    <n v="500"/>
  </r>
  <r>
    <s v="C00709410"/>
    <x v="8"/>
    <n v="2020"/>
    <s v="12G"/>
    <n v="2.0201201933737798E+17"/>
    <s v="11AI"/>
    <s v="VVC0QWJWNT6"/>
    <n v="1475521"/>
    <m/>
    <s v="IND"/>
    <s v="INDIVIDUAL"/>
    <m/>
    <m/>
    <s v="MOONEY, BETH"/>
    <s v="S"/>
    <m/>
    <s v="P"/>
    <s v="BETH"/>
    <m/>
    <s v="MOONEY"/>
    <m/>
    <s v="11 COLONY LN"/>
    <m/>
    <s v="BRATENAHL"/>
    <s v="OH"/>
    <n v="441081119"/>
    <s v="NOT EMPLOYED"/>
    <s v="NOT EMPLOYED"/>
    <m/>
    <s v="15E"/>
    <s v="EARMARKED CONTRIBUTION"/>
    <m/>
    <m/>
    <m/>
    <n v="44106"/>
    <n v="500"/>
  </r>
  <r>
    <s v="C00716720"/>
    <x v="9"/>
    <n v="2020"/>
    <s v="12G"/>
    <n v="2.0210317944059299E+17"/>
    <s v="11AI"/>
    <n v="7656532"/>
    <n v="1504591"/>
    <m/>
    <s v="IND"/>
    <s v="INDIVIDUAL"/>
    <m/>
    <m/>
    <s v="MOONEY, BETH"/>
    <s v="S"/>
    <m/>
    <s v="P"/>
    <s v="BETH"/>
    <m/>
    <s v="MOONEY"/>
    <m/>
    <s v="11 COLONY LN"/>
    <m/>
    <s v="BRATENAHL"/>
    <s v="OH"/>
    <n v="441081119"/>
    <s v="NOT EMPLOYED"/>
    <s v="NOT EMPLOYED"/>
    <m/>
    <s v="15E"/>
    <s v="EARMARKED CONTRIBUTION"/>
    <m/>
    <m/>
    <m/>
    <n v="44106"/>
    <n v="1000"/>
  </r>
  <r>
    <s v="C00401224"/>
    <x v="2"/>
    <n v="2020"/>
    <s v="30G"/>
    <n v="2.0201204935689101E+17"/>
    <s v="11AI"/>
    <s v="SA11AI_331049850"/>
    <n v="1481637"/>
    <m/>
    <s v="IND"/>
    <s v="INDIVIDUAL"/>
    <s v="C00709410"/>
    <m/>
    <s v="MOONEY, BETH"/>
    <s v="V"/>
    <m/>
    <s v="U"/>
    <s v="BETH"/>
    <m/>
    <s v="MOONEY"/>
    <m/>
    <s v="11 COLONY LN"/>
    <m/>
    <s v="BRATENAHL"/>
    <s v="OH"/>
    <n v="441081119"/>
    <s v="NOT EMPLOYED"/>
    <s v="NOT EMPLOYED"/>
    <s v="C00709410"/>
    <s v="24T"/>
    <s v="EARMARKED INTERMEDIARY TREASURY OUT"/>
    <s v="EARMARK"/>
    <m/>
    <m/>
    <n v="44125"/>
    <n v="50"/>
  </r>
  <r>
    <s v="C00010603"/>
    <x v="10"/>
    <n v="2020"/>
    <s v="12G"/>
    <n v="2.0201022933624198E+17"/>
    <n v="12"/>
    <n v="37455716"/>
    <n v="1463691"/>
    <m/>
    <s v="IND"/>
    <s v="INDIVIDUAL"/>
    <m/>
    <m/>
    <s v="MOONEY, BETH E"/>
    <s v="Y"/>
    <m/>
    <s v="U"/>
    <s v="BETH"/>
    <s v="E"/>
    <s v="MOONEY"/>
    <m/>
    <s v="11 COLONY LN"/>
    <m/>
    <s v="BRATENAHL"/>
    <s v="OH"/>
    <n v="441081119"/>
    <s v="RETIRED"/>
    <s v="RETIRED"/>
    <m/>
    <s v="15J"/>
    <s v="MEMO (FILER'S % OF CONTRIBUTION GIVEN TO JOIN"/>
    <m/>
    <s v="X"/>
    <m/>
    <n v="44105"/>
    <n v="7200"/>
  </r>
  <r>
    <s v="C00709899"/>
    <x v="5"/>
    <n v="2020"/>
    <s v="Q3"/>
    <n v="2.0201203933764198E+17"/>
    <s v="11AI"/>
    <s v="VVC97SG31D6"/>
    <n v="1477776"/>
    <m/>
    <s v="IND"/>
    <s v="INDIVIDUAL"/>
    <m/>
    <m/>
    <s v="MOONEY, BETH"/>
    <s v="S"/>
    <m/>
    <s v="P"/>
    <s v="BETH"/>
    <m/>
    <s v="MOONEY"/>
    <m/>
    <s v="11 COLONY LN"/>
    <m/>
    <s v="BRATENAHL"/>
    <s v="OH"/>
    <n v="441081119"/>
    <s v="KEYCORP"/>
    <s v="CEO"/>
    <m/>
    <s v="15E"/>
    <s v="EARMARKED CONTRIBUTION"/>
    <m/>
    <m/>
    <m/>
    <n v="44033"/>
    <n v="1000"/>
  </r>
  <r>
    <s v="C00709410"/>
    <x v="8"/>
    <n v="2020"/>
    <s v="30G"/>
    <n v="2.0201203933868099E+17"/>
    <s v="11AI"/>
    <s v="VVC0QX645M8"/>
    <n v="1479300"/>
    <m/>
    <s v="IND"/>
    <s v="INDIVIDUAL"/>
    <s v="C00401224"/>
    <m/>
    <s v="MOONEY, BETH"/>
    <s v="S"/>
    <m/>
    <s v="P"/>
    <s v="BETH"/>
    <m/>
    <s v="MOONEY"/>
    <m/>
    <s v="11 COLONY LN"/>
    <m/>
    <s v="BRATENAHL"/>
    <s v="OH"/>
    <n v="441081119"/>
    <s v="NOT EMPLOYED"/>
    <s v="NOT EMPLOYED"/>
    <s v="C00401224"/>
    <s v="15E"/>
    <s v="EARMARKED CONTRIBUTION"/>
    <m/>
    <m/>
    <m/>
    <n v="44125"/>
    <n v="50"/>
  </r>
  <r>
    <s v="C00718866"/>
    <x v="11"/>
    <n v="2020"/>
    <s v="12G"/>
    <n v="2.0210602944846E+17"/>
    <s v="11AI"/>
    <n v="2009443"/>
    <n v="1518540"/>
    <m/>
    <s v="IND"/>
    <s v="INDIVIDUAL"/>
    <s v="C00401224"/>
    <m/>
    <s v="MOONEY, BETH"/>
    <s v="S"/>
    <m/>
    <s v="P"/>
    <s v="BETH"/>
    <m/>
    <s v="MOONEY"/>
    <m/>
    <s v="11 COLONY LN"/>
    <m/>
    <s v="BRATENAHL"/>
    <s v="OH"/>
    <n v="441081119"/>
    <s v="NOT EMPLOYED"/>
    <s v="NOT EMPLOYED"/>
    <s v="C00401224"/>
    <s v="15E"/>
    <s v="EARMARKED CONTRIBUTION"/>
    <m/>
    <m/>
    <m/>
    <n v="44106"/>
    <n v="500"/>
  </r>
  <r>
    <s v="C00401224"/>
    <x v="2"/>
    <n v="2020"/>
    <s v="M9"/>
    <n v="2.0201211936917901E+17"/>
    <s v="11AI"/>
    <s v="SA11AI_281877637"/>
    <n v="1482644"/>
    <m/>
    <s v="IND"/>
    <s v="INDIVIDUAL"/>
    <m/>
    <m/>
    <s v="MOONEY, BETH"/>
    <s v="V"/>
    <m/>
    <s v="U"/>
    <s v="BETH"/>
    <m/>
    <s v="MOONEY"/>
    <m/>
    <s v="11 COLONY LN"/>
    <m/>
    <s v="BRATENAHL"/>
    <s v="OH"/>
    <n v="441081119"/>
    <s v="NOT EMPLOYED"/>
    <s v="NOT EMPLOYED"/>
    <m/>
    <m/>
    <m/>
    <s v="EARMARK"/>
    <m/>
    <m/>
    <n v="44064"/>
    <n v="5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31">
  <r>
    <s v="C00760124"/>
    <x v="0"/>
    <n v="2020"/>
    <s v="YE"/>
    <n v="2.02103109440432E+17"/>
    <s v="11AI"/>
    <s v="A483E631E09D9431E981"/>
    <n v="1503618"/>
    <m/>
    <s v="IND"/>
    <s v="INDIVIDUAL"/>
    <m/>
    <m/>
    <s v="THORNTON, JOHN"/>
    <s v="V"/>
    <m/>
    <s v="U"/>
    <s v="JOHN"/>
    <m/>
    <s v="THORNTON"/>
    <m/>
    <s v="5108 LEWELLYN ROAD"/>
    <m/>
    <s v="LAKELAND"/>
    <s v="FL"/>
    <n v="33810"/>
    <s v="RETIRED"/>
    <s v="RETIRED"/>
    <m/>
    <m/>
    <m/>
    <s v="CONTRIBUTION"/>
    <m/>
    <m/>
    <n v="44166"/>
    <n v="50"/>
  </r>
  <r>
    <s v="C00618371"/>
    <x v="1"/>
    <n v="2020"/>
    <s v="Q3"/>
    <n v="2.02102099427616E+17"/>
    <s v="11AI"/>
    <s v="SA11AI.1582602"/>
    <n v="1499308"/>
    <m/>
    <s v="IND"/>
    <s v="INDIVIDUAL"/>
    <m/>
    <m/>
    <s v="THORNTON, ,, JOHN"/>
    <s v="N"/>
    <m/>
    <s v="J"/>
    <s v="JOHN"/>
    <m/>
    <s v="THORNTON, ,"/>
    <m/>
    <s v="5108 LEWELLYN RD"/>
    <m/>
    <s v="LAKELAND"/>
    <s v="FL"/>
    <n v="33810"/>
    <s v="RETIRED"/>
    <s v="RETIRED"/>
    <m/>
    <m/>
    <m/>
    <s v="EARMARKED THROUGH WINRED [SA11AI.4498]"/>
    <m/>
    <m/>
    <n v="44016"/>
    <n v="42"/>
  </r>
  <r>
    <s v="C00618371"/>
    <x v="1"/>
    <n v="2020"/>
    <s v="Q3"/>
    <n v="2.02102099427616E+17"/>
    <s v="11AI"/>
    <s v="SA11AI.1582603"/>
    <n v="1499308"/>
    <m/>
    <s v="IND"/>
    <s v="INDIVIDUAL"/>
    <m/>
    <m/>
    <s v="THORNTON, ,, JOHN"/>
    <s v="N"/>
    <m/>
    <s v="J"/>
    <s v="JOHN"/>
    <m/>
    <s v="THORNTON, ,"/>
    <m/>
    <s v="5108 LEWELLYN RD"/>
    <m/>
    <s v="LAKELAND"/>
    <s v="FL"/>
    <n v="33810"/>
    <s v="RETIRED"/>
    <s v="RETIRED"/>
    <m/>
    <m/>
    <m/>
    <s v="EARMARKED THROUGH WINRED [SA11AI.4499]"/>
    <m/>
    <m/>
    <n v="44019"/>
    <n v="35"/>
  </r>
  <r>
    <s v="C00618371"/>
    <x v="1"/>
    <n v="2020"/>
    <s v="Q3"/>
    <n v="2.02102099427616E+17"/>
    <s v="11AI"/>
    <s v="SA11AI.1582604"/>
    <n v="1499308"/>
    <m/>
    <s v="IND"/>
    <s v="INDIVIDUAL"/>
    <m/>
    <m/>
    <s v="THORNTON, ,, JOHN"/>
    <s v="N"/>
    <m/>
    <s v="J"/>
    <s v="JOHN"/>
    <m/>
    <s v="THORNTON, ,"/>
    <m/>
    <s v="5108 LEWELLYN RD"/>
    <m/>
    <s v="LAKELAND"/>
    <s v="FL"/>
    <n v="33810"/>
    <s v="RETIRED"/>
    <s v="RETIRED"/>
    <m/>
    <m/>
    <m/>
    <s v="EARMARKED THROUGH WINRED [SA11AI.4504]"/>
    <m/>
    <m/>
    <n v="44026"/>
    <n v="42"/>
  </r>
  <r>
    <s v="C00618371"/>
    <x v="1"/>
    <n v="2020"/>
    <s v="Q3"/>
    <n v="2.02102099427616E+17"/>
    <s v="11AI"/>
    <s v="SA11AI.1582599"/>
    <n v="1499308"/>
    <m/>
    <s v="IND"/>
    <s v="INDIVIDUAL"/>
    <m/>
    <m/>
    <s v="THORNTON, ,, JOHN"/>
    <s v="N"/>
    <m/>
    <s v="J"/>
    <s v="JOHN"/>
    <m/>
    <s v="THORNTON, ,"/>
    <m/>
    <s v="5108 LEWELLYN RD"/>
    <m/>
    <s v="LAKELAND"/>
    <s v="FL"/>
    <n v="33810"/>
    <s v="RETIRED"/>
    <s v="RETIRED"/>
    <m/>
    <m/>
    <m/>
    <s v="EARMARKED THROUGH WINRED [SA11A1.4523]"/>
    <m/>
    <m/>
    <n v="44047"/>
    <n v="42"/>
  </r>
  <r>
    <s v="C00618371"/>
    <x v="1"/>
    <n v="2020"/>
    <s v="Q3"/>
    <n v="2.02102099427616E+17"/>
    <s v="11AI"/>
    <s v="SA11AI.1582600"/>
    <n v="1499308"/>
    <m/>
    <s v="IND"/>
    <s v="INDIVIDUAL"/>
    <m/>
    <m/>
    <s v="THORNTON, ,, JOHN"/>
    <s v="N"/>
    <m/>
    <s v="J"/>
    <s v="JOHN"/>
    <m/>
    <s v="THORNTON, ,"/>
    <m/>
    <s v="5108 LEWELLYN RD"/>
    <m/>
    <s v="LAKELAND"/>
    <s v="FL"/>
    <n v="33810"/>
    <s v="RETIRED"/>
    <s v="RETIRED"/>
    <m/>
    <s v="15E"/>
    <s v="EARMARKED CONTRIBUTION"/>
    <s v="EARMARKED THROUGH WINRED [SA11A1.4540]"/>
    <m/>
    <m/>
    <n v="44078"/>
    <n v="42"/>
  </r>
  <r>
    <s v="C00694323"/>
    <x v="2"/>
    <n v="2020"/>
    <s v="Q3"/>
    <n v="2.0210125940787398E+17"/>
    <s v="11AI"/>
    <s v="A3FB0320EE7914840B4B"/>
    <n v="1490496"/>
    <m/>
    <s v="IND"/>
    <s v="INDIVIDUAL"/>
    <s v="C0049135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91357"/>
    <s v="15E"/>
    <s v="EARMARKED CONTRIBUTION"/>
    <s v="EARMARKED FOR STEVE DAINES FOR MONTANA (C00491357)"/>
    <m/>
    <m/>
    <n v="44078"/>
    <n v="10"/>
  </r>
  <r>
    <s v="C00618371"/>
    <x v="1"/>
    <n v="2020"/>
    <s v="Q3"/>
    <n v="2.02102099427616E+17"/>
    <s v="11AI"/>
    <s v="SA11AI.1582601"/>
    <n v="1499308"/>
    <m/>
    <s v="IND"/>
    <s v="INDIVIDUAL"/>
    <m/>
    <m/>
    <s v="THORNTON, ,, JOHN"/>
    <s v="N"/>
    <m/>
    <s v="J"/>
    <s v="JOHN"/>
    <m/>
    <s v="THORNTON, ,"/>
    <m/>
    <s v="5108 LEWELLYN RD"/>
    <m/>
    <s v="LAKELAND"/>
    <s v="FL"/>
    <n v="33810"/>
    <s v="RETIRED"/>
    <s v="RETIRED"/>
    <m/>
    <s v="15E"/>
    <s v="EARMARKED CONTRIBUTION"/>
    <s v="EARMARKED THROUGH WINRED [SA11A1.4552]"/>
    <m/>
    <m/>
    <n v="44097"/>
    <n v="10"/>
  </r>
  <r>
    <s v="C00694323"/>
    <x v="2"/>
    <n v="2020"/>
    <s v="Q3"/>
    <n v="2.0210125940860499E+17"/>
    <s v="11AI"/>
    <s v="AF6F8E7866BAB4671B11"/>
    <n v="1490496"/>
    <m/>
    <s v="IND"/>
    <s v="INDIVIDUAL"/>
    <s v="C0045882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58828"/>
    <s v="15E"/>
    <s v="EARMARKED CONTRIBUTION"/>
    <s v="EARMARKED FOR TEAM GRAHAM, INC. (C00458828)"/>
    <m/>
    <m/>
    <n v="44095"/>
    <n v="10"/>
  </r>
  <r>
    <s v="C00694323"/>
    <x v="2"/>
    <n v="2020"/>
    <s v="Q3"/>
    <n v="2.0210125940920701E+17"/>
    <s v="11AI"/>
    <s v="A3F98367D591F4264B1A"/>
    <n v="1490496"/>
    <m/>
    <s v="IND"/>
    <s v="INDIVIDUAL"/>
    <s v="C00705236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05236"/>
    <s v="15E"/>
    <s v="EARMARKED CONTRIBUTION"/>
    <s v="EARMARKED FOR JOE COLLINS FOR CONGRESS (C00705236)"/>
    <m/>
    <m/>
    <n v="44104"/>
    <n v="10"/>
  </r>
  <r>
    <s v="C00694323"/>
    <x v="2"/>
    <n v="2020"/>
    <s v="Q3"/>
    <n v="2.0210125940673699E+17"/>
    <s v="11AI"/>
    <s v="A32BED74D3B85487DA14"/>
    <n v="1490496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052"/>
    <n v="15"/>
  </r>
  <r>
    <s v="C00694323"/>
    <x v="2"/>
    <n v="2020"/>
    <s v="Q3"/>
    <n v="2.0210125940901402E+17"/>
    <s v="11AI"/>
    <s v="A416D250CCD364110B11"/>
    <n v="1490496"/>
    <m/>
    <s v="IND"/>
    <s v="INDIVIDUAL"/>
    <s v="C0066604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66040"/>
    <s v="15E"/>
    <s v="EARMARKED CONTRIBUTION"/>
    <s v="EARMARKED FOR MCSALLY FOR SENATE INC (C00666040)"/>
    <m/>
    <m/>
    <n v="44102"/>
    <n v="10"/>
  </r>
  <r>
    <s v="C00694323"/>
    <x v="2"/>
    <n v="2020"/>
    <s v="Q3"/>
    <n v="2.0210125940691398E+17"/>
    <s v="11AI"/>
    <s v="A5E31552C130546A5B14"/>
    <n v="1490496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057"/>
    <n v="5"/>
  </r>
  <r>
    <s v="C00694323"/>
    <x v="2"/>
    <n v="2020"/>
    <s v="Q3"/>
    <n v="2.0210125940582301E+17"/>
    <s v="11AI"/>
    <s v="AF735D59B56964034AFC"/>
    <n v="1490496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026"/>
    <n v="42"/>
  </r>
  <r>
    <s v="C00694323"/>
    <x v="2"/>
    <n v="2020"/>
    <s v="Q3"/>
    <n v="2.0210125940730202E+17"/>
    <s v="11AI"/>
    <s v="AF6ED570C08314B20B7A"/>
    <n v="1490496"/>
    <m/>
    <s v="IND"/>
    <s v="INDIVIDUAL"/>
    <s v="C0050453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504530"/>
    <s v="15E"/>
    <s v="EARMARKED CONTRIBUTION"/>
    <s v="EARMARKED FOR CONGRESSIONAL LEADERSHIP FUND (C00504530)"/>
    <m/>
    <m/>
    <n v="44067"/>
    <n v="5"/>
  </r>
  <r>
    <s v="C00694323"/>
    <x v="2"/>
    <n v="2020"/>
    <s v="Q3"/>
    <n v="2.0210125940878301E+17"/>
    <s v="11AI"/>
    <s v="AED598872614C4CC0AB1"/>
    <n v="1490496"/>
    <m/>
    <s v="IND"/>
    <s v="INDIVIDUAL"/>
    <s v="C0071686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6860"/>
    <s v="15E"/>
    <s v="EARMARKED CONTRIBUTION"/>
    <s v="EARMARKED FOR JASON LEWIS FOR SENATE (C00716860)"/>
    <m/>
    <m/>
    <n v="44098"/>
    <n v="10"/>
  </r>
  <r>
    <s v="C00694323"/>
    <x v="2"/>
    <n v="2020"/>
    <s v="Q3"/>
    <n v="2.0210125940787699E+17"/>
    <s v="11AI"/>
    <s v="AADE5DD626A98460CA4E"/>
    <n v="1490496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078"/>
    <n v="5"/>
  </r>
  <r>
    <s v="C00694323"/>
    <x v="2"/>
    <n v="2020"/>
    <s v="Q3"/>
    <n v="2.0210125940729699E+17"/>
    <s v="11AI"/>
    <s v="AEBD490F0598641188F7"/>
    <n v="1490496"/>
    <m/>
    <s v="IND"/>
    <s v="INDIVIDUAL"/>
    <s v="C00725853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5853"/>
    <s v="15E"/>
    <s v="EARMARKED CONTRIBUTION"/>
    <s v="EARMARKED FOR BURGESS 4 UTAH (C00725853)"/>
    <m/>
    <m/>
    <n v="44067"/>
    <n v="5"/>
  </r>
  <r>
    <s v="C00580100"/>
    <x v="3"/>
    <n v="2020"/>
    <s v="M6"/>
    <n v="2.0200824926697501E+17"/>
    <n v="18"/>
    <s v="SA18.326908"/>
    <n v="1435104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4848]"/>
    <s v="X"/>
    <m/>
    <n v="43928"/>
    <n v="3.75"/>
  </r>
  <r>
    <s v="C00580100"/>
    <x v="3"/>
    <n v="2020"/>
    <s v="M6"/>
    <n v="2.0200824926697501E+17"/>
    <n v="18"/>
    <s v="SA18.326907"/>
    <n v="1435104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4848]"/>
    <s v="X"/>
    <m/>
    <n v="43928"/>
    <n v="26.25"/>
  </r>
  <r>
    <s v="C00694323"/>
    <x v="2"/>
    <n v="2020"/>
    <s v="Q3"/>
    <n v="2.0210125940867398E+17"/>
    <s v="11AI"/>
    <s v="A4758F2A60A3847D3867"/>
    <n v="1490496"/>
    <m/>
    <s v="IND"/>
    <s v="INDIVIDUAL"/>
    <s v="C00710103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0103"/>
    <s v="15E"/>
    <s v="EARMARKED CONTRIBUTION"/>
    <s v="EARMARKED FOR NANCY MACE FOR CONGRESS (C00710103)"/>
    <m/>
    <m/>
    <n v="44096"/>
    <n v="10"/>
  </r>
  <r>
    <s v="C00618371"/>
    <x v="1"/>
    <n v="2020"/>
    <s v="Q2"/>
    <n v="2.0210201942487002E+17"/>
    <s v="11AI"/>
    <s v="SA11AI.480535"/>
    <n v="1497918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452]"/>
    <m/>
    <m/>
    <n v="43996"/>
    <n v="35"/>
  </r>
  <r>
    <s v="C00694323"/>
    <x v="2"/>
    <n v="2020"/>
    <s v="Q3"/>
    <n v="2.02101259408168E+17"/>
    <s v="11AI"/>
    <s v="A8D43BED24634461B8F9"/>
    <n v="1490496"/>
    <m/>
    <s v="IND"/>
    <s v="INDIVIDUAL"/>
    <s v="C0075052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50521"/>
    <s v="15E"/>
    <s v="EARMARKED CONTRIBUTION"/>
    <s v="EARMARKED FOR TEAM SCALISE (C00750521)"/>
    <m/>
    <m/>
    <n v="44086"/>
    <n v="10"/>
  </r>
  <r>
    <s v="C00618371"/>
    <x v="1"/>
    <n v="2020"/>
    <s v="Q2"/>
    <n v="2.0210201942487002E+17"/>
    <s v="11AI"/>
    <s v="SA11AI.480532"/>
    <n v="1497918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403]"/>
    <m/>
    <m/>
    <n v="43928"/>
    <n v="35"/>
  </r>
  <r>
    <s v="C00618371"/>
    <x v="1"/>
    <n v="2020"/>
    <s v="Q2"/>
    <n v="2.0210201942487002E+17"/>
    <s v="11AI"/>
    <s v="SA11AI.213767"/>
    <n v="1497918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403]"/>
    <m/>
    <m/>
    <n v="43928"/>
    <n v="5"/>
  </r>
  <r>
    <s v="C00618371"/>
    <x v="1"/>
    <n v="2020"/>
    <s v="Q2"/>
    <n v="2.0210201942487002E+17"/>
    <s v="11AI"/>
    <s v="SA11AI.480533"/>
    <n v="1497918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425]"/>
    <m/>
    <m/>
    <n v="43958"/>
    <n v="35"/>
  </r>
  <r>
    <s v="C00618371"/>
    <x v="1"/>
    <n v="2020"/>
    <s v="Q2"/>
    <n v="2.0210201942487002E+17"/>
    <s v="11AI"/>
    <s v="SA11AI.480534"/>
    <n v="1497918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447]"/>
    <m/>
    <m/>
    <n v="43989"/>
    <n v="35"/>
  </r>
  <r>
    <s v="C00694323"/>
    <x v="2"/>
    <n v="2020"/>
    <s v="Q3"/>
    <n v="2.0210125940756701E+17"/>
    <s v="11AI"/>
    <s v="A8D08D8FEFA9342AB81C"/>
    <n v="1490496"/>
    <m/>
    <s v="IND"/>
    <s v="INDIVIDUAL"/>
    <s v="C00733394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33394"/>
    <s v="15E"/>
    <s v="EARMARKED CONTRIBUTION"/>
    <s v="EARMARKED FOR TAYLOR FOR CONGRESS 2020 (C00733394)"/>
    <m/>
    <m/>
    <n v="44072"/>
    <n v="12.5"/>
  </r>
  <r>
    <s v="C00694323"/>
    <x v="2"/>
    <n v="2020"/>
    <s v="Q3"/>
    <n v="2.0210125940657798E+17"/>
    <s v="11AI"/>
    <s v="A207D3002CC8143FB9CE"/>
    <n v="1490496"/>
    <m/>
    <s v="IND"/>
    <s v="INDIVIDUAL"/>
    <s v="C0071823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8239"/>
    <s v="15E"/>
    <s v="EARMARKED CONTRIBUTION"/>
    <s v="EARMARKED FOR ANNA PAULINA LUNA FOR CONGRESS (C00718239)"/>
    <m/>
    <m/>
    <n v="44047"/>
    <n v="15"/>
  </r>
  <r>
    <s v="C00694323"/>
    <x v="2"/>
    <n v="2020"/>
    <s v="Q3"/>
    <n v="2.02101259407612E+17"/>
    <s v="11AI"/>
    <s v="A09E193ACACDE41678DD"/>
    <n v="1490496"/>
    <m/>
    <s v="IND"/>
    <s v="INDIVIDUAL"/>
    <s v="C00717322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7322"/>
    <s v="15E"/>
    <s v="EARMARKED CONTRIBUTION"/>
    <s v="EARMARKED FOR RODIMER FOR CONGRESS (C00717322)"/>
    <m/>
    <m/>
    <n v="44073"/>
    <n v="10"/>
  </r>
  <r>
    <s v="C00580100"/>
    <x v="3"/>
    <n v="2020"/>
    <s v="12G"/>
    <n v="2.02103039440152E+17"/>
    <s v="17A"/>
    <s v="SA17A.248222"/>
    <n v="1502733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EARMARKED THROUGH WINRED [SA17A.7586]"/>
    <m/>
    <m/>
    <n v="44111"/>
    <n v="10"/>
  </r>
  <r>
    <s v="C00618371"/>
    <x v="1"/>
    <n v="2020"/>
    <s v="12G"/>
    <n v="2.0210208942714099E+17"/>
    <s v="11AI"/>
    <s v="SA11AI.208501"/>
    <n v="1499074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1.4593]"/>
    <m/>
    <m/>
    <n v="44113"/>
    <n v="45"/>
  </r>
  <r>
    <s v="C00618371"/>
    <x v="1"/>
    <n v="2020"/>
    <s v="Q1"/>
    <n v="2.0200728926116602E+17"/>
    <s v="11AI"/>
    <s v="SA11AI.124537"/>
    <n v="1429035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362]"/>
    <m/>
    <m/>
    <n v="43872"/>
    <n v="42"/>
  </r>
  <r>
    <s v="C00618371"/>
    <x v="1"/>
    <n v="2020"/>
    <s v="Q1"/>
    <n v="2.0200728926116602E+17"/>
    <s v="11AI"/>
    <s v="SA11AI.124538"/>
    <n v="1429035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374]"/>
    <m/>
    <m/>
    <n v="43888"/>
    <n v="42"/>
  </r>
  <r>
    <s v="C00618371"/>
    <x v="1"/>
    <n v="2020"/>
    <s v="Q1"/>
    <n v="2.0200728926116602E+17"/>
    <s v="11AI"/>
    <s v="SA11AI.124536"/>
    <n v="1429035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353]"/>
    <m/>
    <m/>
    <n v="43859"/>
    <n v="42"/>
  </r>
  <r>
    <s v="C00618371"/>
    <x v="1"/>
    <n v="2020"/>
    <s v="Q1"/>
    <n v="2.0200728926116602E+17"/>
    <s v="11AI"/>
    <s v="SA11AI.124535"/>
    <n v="1429035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340]"/>
    <m/>
    <m/>
    <n v="43839"/>
    <n v="5"/>
  </r>
  <r>
    <s v="C00618371"/>
    <x v="1"/>
    <n v="2020"/>
    <s v="Q1"/>
    <n v="2.0200728926116602E+17"/>
    <s v="11AI"/>
    <s v="SA11AI.124540"/>
    <n v="1429035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I.4381]"/>
    <m/>
    <m/>
    <n v="43897"/>
    <n v="35"/>
  </r>
  <r>
    <s v="C00618371"/>
    <x v="1"/>
    <n v="2020"/>
    <s v="Q1"/>
    <n v="2.0200728926116602E+17"/>
    <s v="11AI"/>
    <s v="SA11AI.124539"/>
    <n v="1429035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s v="15E"/>
    <s v="EARMARKED CONTRIBUTION"/>
    <s v="EARMARKED THROUGH WINRED [SA11AI.4396]"/>
    <m/>
    <m/>
    <n v="43917"/>
    <n v="42"/>
  </r>
  <r>
    <s v="C00694323"/>
    <x v="2"/>
    <n v="2020"/>
    <s v="YE"/>
    <n v="2.0210129941421699E+17"/>
    <s v="11AI"/>
    <s v="A52252B5045AC4EA7ABE"/>
    <n v="1494216"/>
    <m/>
    <s v="IND"/>
    <s v="INDIVIDUAL"/>
    <s v="C0072960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9608"/>
    <s v="15E"/>
    <s v="EARMARKED CONTRIBUTION"/>
    <s v="EARMARKED FOR GEORGIANS FOR KELLY LOEFFLER (C00729608)"/>
    <m/>
    <m/>
    <n v="44162"/>
    <n v="10"/>
  </r>
  <r>
    <s v="C00733329"/>
    <x v="4"/>
    <n v="2020"/>
    <s v="Q3"/>
    <n v="2.0201218939337101E+17"/>
    <s v="11AI"/>
    <s v="SA11AI.43876"/>
    <n v="1483278"/>
    <m/>
    <s v="IND"/>
    <s v="INDIVIDUAL"/>
    <m/>
    <m/>
    <s v="THORNTON, JOHN"/>
    <s v="H"/>
    <m/>
    <s v="P"/>
    <s v="JOHN"/>
    <m/>
    <s v="THORNTON"/>
    <m/>
    <s v="5108 LEWELLYN RD"/>
    <m/>
    <s v="LAKELAND"/>
    <s v="FL"/>
    <n v="33810"/>
    <s v="RETIRED"/>
    <s v="RETIRED"/>
    <m/>
    <m/>
    <m/>
    <s v="EARMARKED THROUGH WINRED [SA11A1.36202]"/>
    <m/>
    <m/>
    <n v="44077"/>
    <n v="10"/>
  </r>
  <r>
    <s v="C00733329"/>
    <x v="4"/>
    <n v="2020"/>
    <s v="12G"/>
    <n v="2.0201218939337299E+17"/>
    <s v="11AI"/>
    <s v="SA11AI.60544"/>
    <n v="1483282"/>
    <m/>
    <s v="IND"/>
    <s v="INDIVIDUAL"/>
    <m/>
    <m/>
    <s v="THORNTON, JOHN"/>
    <s v="H"/>
    <m/>
    <s v="P"/>
    <s v="JOHN"/>
    <m/>
    <s v="THORNTON"/>
    <m/>
    <s v="5108 LEWELLYN RD"/>
    <m/>
    <s v="LAKELAND"/>
    <s v="FL"/>
    <n v="33810"/>
    <s v="RETIRED"/>
    <s v="RETIRED"/>
    <m/>
    <m/>
    <m/>
    <s v="EARMARKED THROUGH WINRED [SA11A1.53606]"/>
    <m/>
    <m/>
    <n v="44113"/>
    <n v="1.88"/>
  </r>
  <r>
    <s v="C00618371"/>
    <x v="1"/>
    <n v="2020"/>
    <s v="30G"/>
    <n v="2.021021894286E+17"/>
    <s v="11AI"/>
    <s v="SA11AI.323924"/>
    <n v="1500723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1.4612]"/>
    <m/>
    <m/>
    <n v="44139"/>
    <n v="42"/>
  </r>
  <r>
    <s v="C00694323"/>
    <x v="2"/>
    <n v="2020"/>
    <s v="Q1"/>
    <n v="2.0210107939708701E+17"/>
    <s v="11AI"/>
    <s v="ABFBB3962458642E5A5D"/>
    <n v="1485991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17"/>
    <n v="42"/>
  </r>
  <r>
    <s v="C00694323"/>
    <x v="2"/>
    <n v="2020"/>
    <s v="Q3"/>
    <n v="2.0210125940715002E+17"/>
    <s v="11AI"/>
    <s v="AA69FEC4E59FD4325ADE"/>
    <n v="1490496"/>
    <m/>
    <s v="IND"/>
    <s v="INDIVIDUAL"/>
    <s v="C0072611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6117"/>
    <s v="15E"/>
    <s v="EARMARKED CONTRIBUTION"/>
    <s v="EARMARKED FOR KIM KLACIK FOR CONGRESS (C00726117)"/>
    <m/>
    <m/>
    <n v="44063"/>
    <n v="10"/>
  </r>
  <r>
    <s v="C00694323"/>
    <x v="2"/>
    <n v="2020"/>
    <s v="Q1"/>
    <n v="2.0210107939615802E+17"/>
    <s v="11AI"/>
    <s v="A0763BA60B6E44DB0AE9"/>
    <n v="1485991"/>
    <m/>
    <s v="IND"/>
    <s v="INDIVIDUAL"/>
    <m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m/>
    <m/>
    <m/>
    <s v="EARMARKED FOR TRUMP MAKE AMERICA GREAT AGAIN COMMITTEE (C00618371)"/>
    <m/>
    <m/>
    <n v="43839"/>
    <n v="5"/>
  </r>
  <r>
    <s v="C00694323"/>
    <x v="2"/>
    <n v="2020"/>
    <s v="Q3"/>
    <n v="2.0210125940890899E+17"/>
    <s v="11AI"/>
    <s v="ADDF58F7D11404671A64"/>
    <n v="1490496"/>
    <m/>
    <s v="IND"/>
    <s v="INDIVIDUAL"/>
    <s v="C0007582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075820"/>
    <s v="15E"/>
    <s v="EARMARKED CONTRIBUTION"/>
    <s v="EARMARKED FOR NRCC (C00075820)"/>
    <m/>
    <m/>
    <n v="44100"/>
    <n v="10"/>
  </r>
  <r>
    <s v="C00694323"/>
    <x v="2"/>
    <n v="2020"/>
    <s v="Q1"/>
    <n v="2.0210107939635802E+17"/>
    <s v="11AI"/>
    <s v="A68AB2B14DD3A4D02AFA"/>
    <n v="1485991"/>
    <m/>
    <s v="IND"/>
    <s v="INDIVIDUAL"/>
    <m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m/>
    <m/>
    <m/>
    <s v="EARMARKED FOR TRUMP MAKE AMERICA GREAT AGAIN COMMITTEE (C00618371)"/>
    <m/>
    <m/>
    <n v="43859"/>
    <n v="42"/>
  </r>
  <r>
    <s v="C00694323"/>
    <x v="2"/>
    <n v="2020"/>
    <s v="Q1"/>
    <n v="2.0210107939675802E+17"/>
    <s v="11AI"/>
    <s v="A5AA71FB3EA954932A78"/>
    <n v="1485991"/>
    <m/>
    <s v="IND"/>
    <s v="INDIVIDUAL"/>
    <m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m/>
    <m/>
    <m/>
    <s v="EARMARKED FOR TRUMP MAKE AMERICA GREAT AGAIN COMMITTEE (C00618371)"/>
    <m/>
    <m/>
    <n v="43888"/>
    <n v="42"/>
  </r>
  <r>
    <s v="C00694323"/>
    <x v="2"/>
    <n v="2020"/>
    <s v="Q1"/>
    <n v="2.02101079396888E+17"/>
    <s v="11AI"/>
    <s v="ABD020A269CA94D7099A"/>
    <n v="1485991"/>
    <m/>
    <s v="IND"/>
    <s v="INDIVIDUAL"/>
    <m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m/>
    <m/>
    <m/>
    <s v="EARMARKED FOR TRUMP MAKE AMERICA GREAT AGAIN COMMITTEE (C00618371)"/>
    <m/>
    <m/>
    <n v="43897"/>
    <n v="35"/>
  </r>
  <r>
    <s v="C00694323"/>
    <x v="2"/>
    <n v="2020"/>
    <s v="YE"/>
    <n v="2.0210129941557501E+17"/>
    <s v="11AI"/>
    <s v="A3CD6753DF5AA42FBB3D"/>
    <n v="1494216"/>
    <m/>
    <s v="IND"/>
    <s v="INDIVIDUAL"/>
    <s v="C0072960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9608"/>
    <s v="15E"/>
    <s v="EARMARKED CONTRIBUTION"/>
    <s v="EARMARKED FOR GEORGIANS FOR KELLY LOEFFLER (C00729608)"/>
    <m/>
    <m/>
    <n v="44194"/>
    <n v="20"/>
  </r>
  <r>
    <s v="C00694323"/>
    <x v="2"/>
    <n v="2020"/>
    <s v="YE"/>
    <n v="2.0210129941422099E+17"/>
    <s v="11AI"/>
    <s v="A9D5CB93E18264F02B4A"/>
    <n v="1494216"/>
    <m/>
    <s v="IND"/>
    <s v="INDIVIDUAL"/>
    <s v="C00760124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60124"/>
    <s v="15E"/>
    <s v="EARMARKED CONTRIBUTION"/>
    <s v="EARMARKED FOR NATIONAL VICTORY ACTION FUND (C00760124)"/>
    <m/>
    <m/>
    <n v="44162"/>
    <n v="35"/>
  </r>
  <r>
    <s v="C00694323"/>
    <x v="2"/>
    <n v="2020"/>
    <s v="YE"/>
    <n v="2.0210129941422899E+17"/>
    <s v="11AI"/>
    <s v="A2F931888A1794135A41"/>
    <n v="1494216"/>
    <m/>
    <s v="IND"/>
    <s v="INDIVIDUAL"/>
    <s v="C0054757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547570"/>
    <s v="15E"/>
    <s v="EARMARKED CONTRIBUTION"/>
    <s v="EARMARKED FOR PERDUE FOR SENATE (C00547570)"/>
    <m/>
    <m/>
    <n v="44162"/>
    <n v="10"/>
  </r>
  <r>
    <s v="C00694323"/>
    <x v="2"/>
    <n v="2020"/>
    <s v="Q3"/>
    <n v="2.0210125940884602E+17"/>
    <s v="11AI"/>
    <s v="ADF4FBF25AE3A4867BD1"/>
    <n v="1490496"/>
    <m/>
    <s v="IND"/>
    <s v="INDIVIDUAL"/>
    <s v="C00725853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5853"/>
    <s v="15E"/>
    <s v="EARMARKED CONTRIBUTION"/>
    <s v="EARMARKED FOR BURGESS 4 UTAH (C00725853)"/>
    <m/>
    <m/>
    <n v="44099"/>
    <n v="10"/>
  </r>
  <r>
    <s v="C00694323"/>
    <x v="2"/>
    <n v="2020"/>
    <s v="Q2"/>
    <n v="2.0210114940059699E+17"/>
    <s v="11AI"/>
    <s v="A8477E06EEE1F45D6A8B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55"/>
    <n v="42"/>
  </r>
  <r>
    <s v="C00694323"/>
    <x v="2"/>
    <n v="2020"/>
    <s v="Q3"/>
    <n v="2.02101259409096E+17"/>
    <s v="11AI"/>
    <s v="A6050150D5CD74929B86"/>
    <n v="1490496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103"/>
    <n v="10"/>
  </r>
  <r>
    <s v="C00694323"/>
    <x v="2"/>
    <n v="2020"/>
    <s v="Q3"/>
    <n v="2.0210125940901699E+17"/>
    <s v="11AI"/>
    <s v="A469DA9BDC9604F2FA85"/>
    <n v="1490496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102"/>
    <n v="10"/>
  </r>
  <r>
    <s v="C00694323"/>
    <x v="2"/>
    <n v="2020"/>
    <s v="Q3"/>
    <n v="2.0210125940719299E+17"/>
    <s v="11AI"/>
    <s v="A4858A338800346F9A29"/>
    <n v="1490496"/>
    <m/>
    <s v="IND"/>
    <s v="INDIVIDUAL"/>
    <s v="C0054678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546788"/>
    <s v="15E"/>
    <s v="EARMARKED CONTRIBUTION"/>
    <s v="EARMARKED FOR JONI FOR IOWA (C00546788)"/>
    <m/>
    <m/>
    <n v="44064"/>
    <n v="10"/>
  </r>
  <r>
    <s v="C00694323"/>
    <x v="2"/>
    <n v="2020"/>
    <s v="Q3"/>
    <n v="2.0210125940784099E+17"/>
    <s v="11AI"/>
    <s v="A4889F9FCD57B4D58813"/>
    <n v="1490496"/>
    <m/>
    <s v="IND"/>
    <s v="INDIVIDUAL"/>
    <s v="C0073332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33329"/>
    <s v="15E"/>
    <s v="EARMARKED CONTRIBUTION"/>
    <s v="EARMARKED FOR BYRON DONALDS FOR CONGRESS (C00733329)"/>
    <m/>
    <m/>
    <n v="44077"/>
    <n v="10"/>
  </r>
  <r>
    <s v="C00694323"/>
    <x v="2"/>
    <n v="2020"/>
    <s v="Q1"/>
    <n v="2.0210107939658301E+17"/>
    <s v="11AI"/>
    <s v="ADE31D5BACCFF406CA23"/>
    <n v="1485991"/>
    <m/>
    <s v="IND"/>
    <s v="INDIVIDUAL"/>
    <m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m/>
    <m/>
    <m/>
    <s v="EARMARKED FOR TRUMP MAKE AMERICA GREAT AGAIN COMMITTEE (C00618371)"/>
    <m/>
    <m/>
    <n v="43872"/>
    <n v="42"/>
  </r>
  <r>
    <s v="C00394957"/>
    <x v="5"/>
    <n v="2020"/>
    <s v="Q3"/>
    <n v="2.0201015929490202E+17"/>
    <n v="12"/>
    <s v="SA.966893.13.1"/>
    <n v="1451445"/>
    <m/>
    <s v="IND"/>
    <s v="INDIVIDUAL"/>
    <m/>
    <m/>
    <s v="THORNTON, JOHN"/>
    <s v="H"/>
    <m/>
    <s v="P"/>
    <s v="JOHN"/>
    <m/>
    <s v="THORNTON"/>
    <m/>
    <s v="5108 LEWELLYN RD"/>
    <m/>
    <s v="LAKELAND"/>
    <s v="FL"/>
    <n v="338100789"/>
    <s v="RETIRED"/>
    <s v="RETIRED"/>
    <m/>
    <s v="15J"/>
    <s v="MEMO (FILER'S % OF CONTRIBUTION GIVEN TO JOIN"/>
    <s v="TRANSFER"/>
    <s v="X"/>
    <m/>
    <n v="44074"/>
    <n v="25"/>
  </r>
  <r>
    <s v="C00694323"/>
    <x v="2"/>
    <n v="2020"/>
    <s v="Q2"/>
    <n v="2.0210114940154202E+17"/>
    <s v="11AI"/>
    <s v="ABBAAABB8482D4476816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96"/>
    <n v="35"/>
  </r>
  <r>
    <s v="C00580100"/>
    <x v="3"/>
    <n v="2020"/>
    <s v="M7"/>
    <n v="2.0210420944462301E+17"/>
    <n v="18"/>
    <s v="SA18.196896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6042]"/>
    <s v="X"/>
    <m/>
    <n v="43948"/>
    <n v="31.5"/>
  </r>
  <r>
    <s v="C00580100"/>
    <x v="3"/>
    <n v="2020"/>
    <s v="M7"/>
    <n v="2.0210420944462301E+17"/>
    <n v="18"/>
    <s v="SA18.196903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s v="15J"/>
    <s v="MEMO (FILER'S % OF CONTRIBUTION GIVEN TO JOIN"/>
    <s v="JFC TRANSFER: TRUMP MAKE AMERICA GREAT AGAIN COMMITTEE [SA18.6044]"/>
    <s v="X"/>
    <m/>
    <n v="43996"/>
    <n v="26.25"/>
  </r>
  <r>
    <s v="C00580100"/>
    <x v="3"/>
    <n v="2020"/>
    <s v="M7"/>
    <n v="2.0210420944462301E+17"/>
    <n v="18"/>
    <s v="SA18.196897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6042]"/>
    <s v="X"/>
    <m/>
    <n v="43955"/>
    <n v="31.5"/>
  </r>
  <r>
    <s v="C00580100"/>
    <x v="3"/>
    <n v="2020"/>
    <s v="M7"/>
    <n v="2.0210420944462301E+17"/>
    <n v="18"/>
    <s v="SA18.196898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6042]"/>
    <s v="X"/>
    <m/>
    <n v="43958"/>
    <n v="26.25"/>
  </r>
  <r>
    <s v="C00580100"/>
    <x v="3"/>
    <n v="2020"/>
    <s v="M7"/>
    <n v="2.0210420944462301E+17"/>
    <n v="18"/>
    <s v="SA18.196899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6044]"/>
    <s v="X"/>
    <m/>
    <n v="43978"/>
    <n v="31.5"/>
  </r>
  <r>
    <s v="C00580100"/>
    <x v="3"/>
    <n v="2020"/>
    <s v="M7"/>
    <n v="2.0210420944462301E+17"/>
    <n v="18"/>
    <s v="SA18.196900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6044]"/>
    <s v="X"/>
    <m/>
    <n v="43986"/>
    <n v="31.5"/>
  </r>
  <r>
    <s v="C00580100"/>
    <x v="3"/>
    <n v="2020"/>
    <s v="M7"/>
    <n v="2.0210420944462301E+17"/>
    <n v="18"/>
    <s v="SA18.196901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m/>
    <m/>
    <s v="JFC TRANSFER: TRUMP MAKE AMERICA GREAT AGAIN COMMITTEE [SA18.6044]"/>
    <s v="X"/>
    <m/>
    <n v="43989"/>
    <n v="26.25"/>
  </r>
  <r>
    <s v="C00580100"/>
    <x v="3"/>
    <n v="2020"/>
    <s v="M7"/>
    <n v="2.0210420944462301E+17"/>
    <n v="18"/>
    <s v="SA18.196902"/>
    <n v="1513938"/>
    <m/>
    <s v="IND"/>
    <s v="INDIVIDUAL"/>
    <m/>
    <m/>
    <s v="THORNTON, JOHN"/>
    <s v="P"/>
    <m/>
    <s v="P"/>
    <s v="JOHN"/>
    <m/>
    <s v="THORNTON"/>
    <m/>
    <s v="5108 LEWELLYN RD"/>
    <m/>
    <s v="LAKELAND"/>
    <s v="FL"/>
    <n v="33810"/>
    <s v="RETIRED"/>
    <s v="RETIRED"/>
    <m/>
    <s v="15J"/>
    <s v="MEMO (FILER'S % OF CONTRIBUTION GIVEN TO JOIN"/>
    <s v="JFC TRANSFER: TRUMP MAKE AMERICA GREAT AGAIN COMMITTEE [SA18.6044]"/>
    <s v="X"/>
    <m/>
    <n v="43996"/>
    <n v="31.5"/>
  </r>
  <r>
    <s v="C00694323"/>
    <x v="2"/>
    <n v="2020"/>
    <s v="Q2"/>
    <n v="2.0210114940157101E+17"/>
    <s v="11AI"/>
    <s v="A6B1CE9802C874BD5B60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96"/>
    <n v="42"/>
  </r>
  <r>
    <s v="C00694323"/>
    <x v="2"/>
    <n v="2020"/>
    <s v="YE"/>
    <n v="2.0210129941521101E+17"/>
    <s v="11AI"/>
    <s v="AC2C25D0CF9A4495D8AF"/>
    <n v="1494216"/>
    <m/>
    <s v="IND"/>
    <s v="INDIVIDUAL"/>
    <s v="C0007582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075820"/>
    <s v="15E"/>
    <s v="EARMARKED CONTRIBUTION"/>
    <s v="EARMARKED FOR NRCC (C00075820)"/>
    <m/>
    <m/>
    <n v="44183"/>
    <n v="35"/>
  </r>
  <r>
    <s v="C00694323"/>
    <x v="2"/>
    <n v="2020"/>
    <s v="Q3"/>
    <n v="2.0210125940817101E+17"/>
    <s v="11AI"/>
    <s v="A39422630645546A7A0E"/>
    <n v="1490496"/>
    <m/>
    <s v="IND"/>
    <s v="INDIVIDUAL"/>
    <s v="C0050453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504530"/>
    <s v="15E"/>
    <s v="EARMARKED CONTRIBUTION"/>
    <s v="EARMARKED FOR CONGRESSIONAL LEADERSHIP FUND (C00504530)"/>
    <m/>
    <m/>
    <n v="44086"/>
    <n v="1"/>
  </r>
  <r>
    <s v="C00694323"/>
    <x v="2"/>
    <n v="2020"/>
    <s v="Q2"/>
    <n v="2.0210114940131002E+17"/>
    <s v="11AI"/>
    <s v="A5CAE41F5A1EE4C0E9B4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86"/>
    <n v="42"/>
  </r>
  <r>
    <s v="C00694323"/>
    <x v="2"/>
    <n v="2020"/>
    <s v="Q3"/>
    <n v="2.0210125940648602E+17"/>
    <s v="11AI"/>
    <s v="A24EF2E7DCE8E4D0A8EA"/>
    <n v="1490496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044"/>
    <n v="15"/>
  </r>
  <r>
    <s v="C00694323"/>
    <x v="2"/>
    <n v="2020"/>
    <s v="Q3"/>
    <n v="2.02101259407876E+17"/>
    <s v="11AI"/>
    <s v="A8C4449CBA75640B1A0A"/>
    <n v="1490496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078"/>
    <n v="42"/>
  </r>
  <r>
    <s v="C00694323"/>
    <x v="2"/>
    <n v="2020"/>
    <s v="Q3"/>
    <n v="2.0210125940553402E+17"/>
    <s v="11AI"/>
    <s v="A19DE04875623497C957"/>
    <n v="1490496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016"/>
    <n v="42"/>
  </r>
  <r>
    <s v="C00694323"/>
    <x v="2"/>
    <n v="2020"/>
    <s v="Q3"/>
    <n v="2.02101259406916E+17"/>
    <s v="11AI"/>
    <s v="A947AA031B3614792997"/>
    <n v="1490496"/>
    <m/>
    <s v="IND"/>
    <s v="INDIVIDUAL"/>
    <s v="C0045882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58828"/>
    <s v="15E"/>
    <s v="EARMARKED CONTRIBUTION"/>
    <s v="EARMARKED FOR TEAM GRAHAM, INC. (C00458828)"/>
    <m/>
    <m/>
    <n v="44057"/>
    <n v="15"/>
  </r>
  <r>
    <s v="C00694323"/>
    <x v="2"/>
    <n v="2020"/>
    <s v="Q2"/>
    <n v="2.02101149400088E+17"/>
    <s v="11AI"/>
    <s v="A23DE9B600A0F47E79D8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28"/>
    <n v="35"/>
  </r>
  <r>
    <s v="C00694323"/>
    <x v="2"/>
    <n v="2020"/>
    <s v="Q3"/>
    <n v="2.02101259408172E+17"/>
    <s v="11AI"/>
    <s v="A836B2C3FDBD547798F3"/>
    <n v="1490496"/>
    <m/>
    <s v="IND"/>
    <s v="INDIVIDUAL"/>
    <s v="C00725853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5853"/>
    <s v="15E"/>
    <s v="EARMARKED CONTRIBUTION"/>
    <s v="EARMARKED FOR BURGESS 4 UTAH (C00725853)"/>
    <m/>
    <m/>
    <n v="44086"/>
    <n v="9"/>
  </r>
  <r>
    <s v="C00694323"/>
    <x v="2"/>
    <n v="2020"/>
    <s v="30G"/>
    <n v="2.0210303943224701E+17"/>
    <s v="11AI"/>
    <s v="AF35BEDF47E2A49908D6"/>
    <n v="1502683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127"/>
    <n v="10"/>
  </r>
  <r>
    <s v="C00694323"/>
    <x v="2"/>
    <n v="2020"/>
    <s v="30G"/>
    <n v="2.02103039433072E+17"/>
    <s v="11AI"/>
    <s v="A85FB4EBD0B0047EBA3C"/>
    <n v="1502683"/>
    <m/>
    <s v="IND"/>
    <s v="INDIVIDUAL"/>
    <s v="C00725853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5853"/>
    <s v="15E"/>
    <s v="EARMARKED CONTRIBUTION"/>
    <s v="EARMARKED FOR BURGESS 4 UTAH (C00725853)"/>
    <m/>
    <m/>
    <n v="44134"/>
    <n v="10"/>
  </r>
  <r>
    <s v="C00694323"/>
    <x v="2"/>
    <n v="2020"/>
    <s v="30G"/>
    <n v="2.0210303943307002E+17"/>
    <s v="11AI"/>
    <s v="A3A5A13DBA6DF47BD9F9"/>
    <n v="1502683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134"/>
    <n v="10"/>
  </r>
  <r>
    <s v="C00694323"/>
    <x v="2"/>
    <n v="2020"/>
    <s v="30G"/>
    <n v="2.0210303943251802E+17"/>
    <s v="11AI"/>
    <s v="A63B8E8EFA1534C6CB04"/>
    <n v="1502683"/>
    <m/>
    <s v="IND"/>
    <s v="INDIVIDUAL"/>
    <s v="C0073332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33329"/>
    <s v="15E"/>
    <s v="EARMARKED CONTRIBUTION"/>
    <s v="EARMARKED FOR BYRON DONALDS FOR CONGRESS (C00733329)"/>
    <m/>
    <m/>
    <n v="44130"/>
    <n v="10"/>
  </r>
  <r>
    <s v="C00694323"/>
    <x v="2"/>
    <n v="2020"/>
    <s v="30G"/>
    <n v="2.0210303943386598E+17"/>
    <s v="11AI"/>
    <s v="A7F2F0760A78A429FA6E"/>
    <n v="1502683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139"/>
    <n v="42"/>
  </r>
  <r>
    <s v="C00694323"/>
    <x v="2"/>
    <n v="2020"/>
    <s v="30G"/>
    <n v="2.0210303943225299E+17"/>
    <s v="11AI"/>
    <s v="A22912A0DFD7544E0A84"/>
    <n v="1502683"/>
    <m/>
    <s v="IND"/>
    <s v="INDIVIDUAL"/>
    <s v="C0072611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6117"/>
    <s v="15E"/>
    <s v="EARMARKED CONTRIBUTION"/>
    <s v="EARMARKED FOR KIM KLACIK FOR CONGRESS (C00726117)"/>
    <m/>
    <m/>
    <n v="44127"/>
    <n v="15"/>
  </r>
  <r>
    <s v="C00694323"/>
    <x v="2"/>
    <n v="2020"/>
    <s v="30G"/>
    <n v="2.0210303943254701E+17"/>
    <s v="11AI"/>
    <s v="A63F13EB38A934B44AD8"/>
    <n v="1502683"/>
    <m/>
    <s v="IND"/>
    <s v="INDIVIDUAL"/>
    <s v="C0071686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6860"/>
    <s v="15E"/>
    <s v="EARMARKED CONTRIBUTION"/>
    <s v="EARMARKED FOR JASON LEWIS FOR SENATE (C00716860)"/>
    <m/>
    <m/>
    <n v="44130"/>
    <n v="10"/>
  </r>
  <r>
    <s v="C00694323"/>
    <x v="2"/>
    <n v="2020"/>
    <s v="30G"/>
    <n v="2.02103039434808E+17"/>
    <s v="11AI"/>
    <s v="AD3F074B7ED114B70A67"/>
    <n v="1502683"/>
    <m/>
    <s v="IND"/>
    <s v="INDIVIDUAL"/>
    <s v="C00193342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193342"/>
    <s v="15E"/>
    <s v="EARMARKED CONTRIBUTION"/>
    <s v="EARMARKED FOR MCCONNELL SENATE COMMITTEE (C00193342)"/>
    <m/>
    <m/>
    <n v="44147"/>
    <n v="35"/>
  </r>
  <r>
    <s v="C00694323"/>
    <x v="2"/>
    <n v="2020"/>
    <s v="30G"/>
    <n v="2.0210303943460998E+17"/>
    <s v="11AI"/>
    <s v="AA822D53DB336433B92B"/>
    <n v="1502683"/>
    <m/>
    <s v="IND"/>
    <s v="INDIVIDUAL"/>
    <s v="C0076223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62237"/>
    <s v="15E"/>
    <s v="EARMARKED CONTRIBUTION"/>
    <s v="EARMARKED FOR DEVOLDER SANTOS FOR CONGRESS RECOUNT (C00762237)"/>
    <m/>
    <m/>
    <n v="44145"/>
    <n v="10"/>
  </r>
  <r>
    <s v="C00694323"/>
    <x v="2"/>
    <n v="2020"/>
    <s v="30G"/>
    <n v="2.0210303943246899E+17"/>
    <s v="11AI"/>
    <s v="AF74155CF00FF45F6AEA"/>
    <n v="1502683"/>
    <m/>
    <s v="IND"/>
    <s v="INDIVIDUAL"/>
    <s v="C0066685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66859"/>
    <s v="15E"/>
    <s v="EARMARKED CONTRIBUTION"/>
    <s v="EARMARKED FOR MARYOTT FOR CONGRESS (C00666859)"/>
    <m/>
    <m/>
    <n v="44129"/>
    <n v="10"/>
  </r>
  <r>
    <s v="C00694323"/>
    <x v="2"/>
    <n v="2020"/>
    <s v="30G"/>
    <n v="2.0210303943521501E+17"/>
    <s v="11AI"/>
    <s v="A3CBED133A3334F7183F"/>
    <n v="1502683"/>
    <m/>
    <s v="IND"/>
    <s v="INDIVIDUAL"/>
    <s v="C00027466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027466"/>
    <s v="15E"/>
    <s v="EARMARKED CONTRIBUTION"/>
    <s v="EARMARKED FOR NRSC (C00027466)"/>
    <m/>
    <m/>
    <n v="44153"/>
    <n v="15"/>
  </r>
  <r>
    <s v="C00694323"/>
    <x v="2"/>
    <n v="2020"/>
    <s v="30G"/>
    <n v="2.0210303943224701E+17"/>
    <s v="11AI"/>
    <s v="A1B04EF9CFC5647FB93A"/>
    <n v="1502683"/>
    <m/>
    <s v="IND"/>
    <s v="INDIVIDUAL"/>
    <s v="C0045882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58828"/>
    <s v="15E"/>
    <s v="EARMARKED CONTRIBUTION"/>
    <s v="EARMARKED FOR TEAM GRAHAM, INC. (C00458828)"/>
    <m/>
    <m/>
    <n v="44127"/>
    <n v="10"/>
  </r>
  <r>
    <s v="C00694323"/>
    <x v="2"/>
    <n v="2020"/>
    <s v="30G"/>
    <n v="2.0210303943143699E+17"/>
    <s v="11AI"/>
    <s v="AB4FA66BA795F4D088CF"/>
    <n v="1502683"/>
    <m/>
    <s v="IND"/>
    <s v="INDIVIDUAL"/>
    <s v="C0072611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6117"/>
    <s v="15E"/>
    <s v="EARMARKED CONTRIBUTION"/>
    <s v="EARMARKED FOR KIM KLACIK FOR CONGRESS (C00726117)"/>
    <m/>
    <m/>
    <n v="44119"/>
    <n v="15"/>
  </r>
  <r>
    <s v="C00694323"/>
    <x v="2"/>
    <n v="2020"/>
    <s v="Q2"/>
    <n v="2.0210114940079501E+17"/>
    <s v="11AI"/>
    <s v="AF4E0C7697A8F425280D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65"/>
    <n v="42"/>
  </r>
  <r>
    <s v="C00694323"/>
    <x v="2"/>
    <n v="2020"/>
    <s v="Q2"/>
    <n v="2.0210114940039101E+17"/>
    <s v="11AI"/>
    <s v="A33897932F9584D0C875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48"/>
    <n v="42"/>
  </r>
  <r>
    <s v="C00694323"/>
    <x v="2"/>
    <n v="2020"/>
    <s v="Q3"/>
    <n v="2.0210125940739101E+17"/>
    <s v="11AI"/>
    <s v="AA9D2D34DFBA7419A9E7"/>
    <n v="1490496"/>
    <m/>
    <s v="IND"/>
    <s v="INDIVIDUAL"/>
    <s v="C0075052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50521"/>
    <s v="15E"/>
    <s v="EARMARKED CONTRIBUTION"/>
    <s v="EARMARKED FOR TEAM SCALISE (C00750521)"/>
    <m/>
    <m/>
    <n v="44069"/>
    <n v="25"/>
  </r>
  <r>
    <s v="C00003418"/>
    <x v="6"/>
    <n v="2020"/>
    <s v="30G"/>
    <n v="2.02106249450452E+17"/>
    <n v="12"/>
    <s v="SA.103016300.1.TM32"/>
    <n v="1521551"/>
    <m/>
    <s v="IND"/>
    <s v="INDIVIDUAL"/>
    <m/>
    <m/>
    <s v="THORNTON, JOHN"/>
    <s v="Y"/>
    <m/>
    <s v="U"/>
    <s v="JOHN"/>
    <m/>
    <s v="THORNTON"/>
    <m/>
    <s v="5108 LEWELLYN RD"/>
    <m/>
    <s v="LAKELAND"/>
    <s v="FL"/>
    <n v="338100789"/>
    <s v="RETIRED"/>
    <s v="RETIRED"/>
    <m/>
    <s v="15J"/>
    <s v="MEMO (FILER'S % OF CONTRIBUTION GIVEN TO JOIN"/>
    <s v="CONTRIBUTION"/>
    <s v="X"/>
    <m/>
    <n v="44139"/>
    <n v="39.9"/>
  </r>
  <r>
    <s v="C00760124"/>
    <x v="0"/>
    <n v="2020"/>
    <s v="30G"/>
    <n v="2.0210310944038099E+17"/>
    <s v="11AI"/>
    <s v="ADF85EF67D1B1457CBC3"/>
    <n v="1503611"/>
    <m/>
    <s v="IND"/>
    <s v="INDIVIDUAL"/>
    <m/>
    <m/>
    <s v="THORNTON, JOHN"/>
    <s v="V"/>
    <m/>
    <s v="U"/>
    <s v="JOHN"/>
    <m/>
    <s v="THORNTON"/>
    <m/>
    <s v="5108 LEWELLYN ROAD"/>
    <m/>
    <s v="LAKELAND"/>
    <s v="FL"/>
    <n v="33810"/>
    <s v="RETIRED"/>
    <s v="RETIRED"/>
    <m/>
    <m/>
    <m/>
    <s v="EARMARKED (NON-DIRECTED) THROUGH WINRED"/>
    <m/>
    <m/>
    <n v="44125"/>
    <n v="25"/>
  </r>
  <r>
    <s v="C00003418"/>
    <x v="6"/>
    <n v="2020"/>
    <s v="30G"/>
    <n v="2.0210624945036099E+17"/>
    <n v="12"/>
    <s v="SA.94045662.1.TM31"/>
    <n v="1521551"/>
    <m/>
    <s v="IND"/>
    <s v="INDIVIDUAL"/>
    <m/>
    <m/>
    <s v="THORNTON, JOHN"/>
    <s v="Y"/>
    <m/>
    <s v="U"/>
    <s v="JOHN"/>
    <m/>
    <s v="THORNTON"/>
    <m/>
    <s v="5108 LEWELLYN RD"/>
    <m/>
    <s v="LAKELAND"/>
    <s v="FL"/>
    <n v="338100789"/>
    <s v="RETIRED"/>
    <s v="RETIRED"/>
    <m/>
    <s v="15J"/>
    <s v="MEMO (FILER'S % OF CONTRIBUTION GIVEN TO JOIN"/>
    <s v="CONTRIBUTION"/>
    <s v="X"/>
    <m/>
    <n v="44047"/>
    <n v="10.5"/>
  </r>
  <r>
    <s v="C00003418"/>
    <x v="6"/>
    <n v="2020"/>
    <s v="30G"/>
    <n v="2.0210624945036099E+17"/>
    <n v="12"/>
    <s v="SA.96452392.1.TM31"/>
    <n v="1521551"/>
    <m/>
    <s v="IND"/>
    <s v="INDIVIDUAL"/>
    <m/>
    <m/>
    <s v="THORNTON, JOHN"/>
    <s v="Y"/>
    <m/>
    <s v="U"/>
    <s v="JOHN"/>
    <m/>
    <s v="THORNTON"/>
    <m/>
    <s v="5108 LEWELLYN RD"/>
    <m/>
    <s v="LAKELAND"/>
    <s v="FL"/>
    <n v="338100789"/>
    <s v="RETIRED"/>
    <s v="RETIRED"/>
    <m/>
    <s v="15J"/>
    <s v="MEMO (FILER'S % OF CONTRIBUTION GIVEN TO JOIN"/>
    <s v="CONTRIBUTION"/>
    <s v="X"/>
    <m/>
    <n v="44078"/>
    <n v="2.1"/>
  </r>
  <r>
    <s v="C00003418"/>
    <x v="6"/>
    <n v="2020"/>
    <s v="30G"/>
    <n v="2.02106249450252E+17"/>
    <n v="12"/>
    <s v="SA.97757655.1.TM31"/>
    <n v="1521551"/>
    <m/>
    <s v="IND"/>
    <s v="INDIVIDUAL"/>
    <m/>
    <m/>
    <s v="THORNTON, JOHN"/>
    <s v="Y"/>
    <m/>
    <s v="U"/>
    <s v="JOHN"/>
    <m/>
    <s v="THORNTON"/>
    <m/>
    <s v="5108 LEWELLYN RD"/>
    <m/>
    <s v="LAKELAND"/>
    <s v="FL"/>
    <n v="338100789"/>
    <s v="RETIRED"/>
    <s v="RETIRED"/>
    <m/>
    <s v="15J"/>
    <s v="MEMO (FILER'S % OF CONTRIBUTION GIVEN TO JOIN"/>
    <s v="CONTRIBUTION"/>
    <s v="X"/>
    <m/>
    <n v="44097"/>
    <n v="0.5"/>
  </r>
  <r>
    <s v="C00003418"/>
    <x v="6"/>
    <n v="2020"/>
    <s v="30G"/>
    <n v="2.02106249450252E+17"/>
    <n v="12"/>
    <s v="SA.99540947.1.TM31"/>
    <n v="1521551"/>
    <m/>
    <s v="IND"/>
    <s v="INDIVIDUAL"/>
    <m/>
    <m/>
    <s v="THORNTON, JOHN"/>
    <s v="Y"/>
    <m/>
    <s v="U"/>
    <s v="JOHN"/>
    <m/>
    <s v="THORNTON"/>
    <m/>
    <s v="5108 LEWELLYN RD"/>
    <m/>
    <s v="LAKELAND"/>
    <s v="FL"/>
    <n v="338100789"/>
    <s v="RETIRED"/>
    <s v="RETIRED"/>
    <m/>
    <s v="15J"/>
    <s v="MEMO (FILER'S % OF CONTRIBUTION GIVEN TO JOIN"/>
    <s v="CONTRIBUTION"/>
    <s v="X"/>
    <m/>
    <n v="44113"/>
    <n v="2.25"/>
  </r>
  <r>
    <s v="C00694323"/>
    <x v="2"/>
    <n v="2020"/>
    <s v="Q3"/>
    <n v="2.0210125940805402E+17"/>
    <s v="11AI"/>
    <s v="A8124683110CA4598A4E"/>
    <n v="1490496"/>
    <m/>
    <s v="IND"/>
    <s v="INDIVIDUAL"/>
    <s v="C0045882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58828"/>
    <s v="15E"/>
    <s v="EARMARKED CONTRIBUTION"/>
    <s v="EARMARKED FOR TEAM GRAHAM, INC. (C00458828)"/>
    <m/>
    <m/>
    <n v="44083"/>
    <n v="10"/>
  </r>
  <r>
    <s v="C00694323"/>
    <x v="2"/>
    <n v="2020"/>
    <s v="Q3"/>
    <n v="2.0210125940710301E+17"/>
    <s v="11AI"/>
    <s v="AE6BBA66DFE2D45D086E"/>
    <n v="1490496"/>
    <m/>
    <s v="IND"/>
    <s v="INDIVIDUAL"/>
    <s v="C0072611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6117"/>
    <s v="15E"/>
    <s v="EARMARKED CONTRIBUTION"/>
    <s v="EARMARKED FOR KIM KLACIK FOR CONGRESS (C00726117)"/>
    <m/>
    <m/>
    <n v="44062"/>
    <n v="10"/>
  </r>
  <r>
    <s v="C00694323"/>
    <x v="2"/>
    <n v="2020"/>
    <s v="Q2"/>
    <n v="2.0210114940137699E+17"/>
    <s v="11AI"/>
    <s v="A05405490F9EF43EF9F4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89"/>
    <n v="35"/>
  </r>
  <r>
    <s v="C00694323"/>
    <x v="2"/>
    <n v="2020"/>
    <s v="Q3"/>
    <n v="2.0210125940878202E+17"/>
    <s v="11AI"/>
    <s v="AB93E901FF2624FCBBB0"/>
    <n v="1490496"/>
    <m/>
    <s v="IND"/>
    <s v="INDIVIDUAL"/>
    <s v="C00717322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7322"/>
    <s v="15E"/>
    <s v="EARMARKED CONTRIBUTION"/>
    <s v="EARMARKED FOR RODIMER FOR CONGRESS (C00717322)"/>
    <m/>
    <m/>
    <n v="44098"/>
    <n v="10"/>
  </r>
  <r>
    <s v="C00694323"/>
    <x v="2"/>
    <n v="2020"/>
    <s v="Q3"/>
    <n v="2.0210125940853901E+17"/>
    <s v="11AI"/>
    <s v="ABD3F15EF9DE94ACCB3E"/>
    <n v="1490496"/>
    <m/>
    <s v="IND"/>
    <s v="INDIVIDUAL"/>
    <s v="C00193342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193342"/>
    <s v="15E"/>
    <s v="EARMARKED CONTRIBUTION"/>
    <s v="EARMARKED FOR MCCONNELL SENATE COMMITTEE (C00193342)"/>
    <m/>
    <m/>
    <n v="44094"/>
    <n v="10"/>
  </r>
  <r>
    <s v="C00694323"/>
    <x v="2"/>
    <n v="2020"/>
    <s v="Q2"/>
    <n v="2.0210114940008499E+17"/>
    <s v="11AI"/>
    <s v="AEDDFE4C28CD54756B7C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28"/>
    <n v="5"/>
  </r>
  <r>
    <s v="C00694323"/>
    <x v="2"/>
    <n v="2020"/>
    <s v="Q2"/>
    <n v="2.0210114940066499E+17"/>
    <s v="11AI"/>
    <s v="AC171C5A1E9484E38A43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58"/>
    <n v="35"/>
  </r>
  <r>
    <s v="C00694323"/>
    <x v="2"/>
    <n v="2020"/>
    <s v="Q2"/>
    <n v="2.0210114940200099E+17"/>
    <s v="11AI"/>
    <s v="AAD7174C89C084482805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009"/>
    <n v="42"/>
  </r>
  <r>
    <s v="C00694323"/>
    <x v="2"/>
    <n v="2020"/>
    <s v="Q2"/>
    <n v="2.0210114940104602E+17"/>
    <s v="11AI"/>
    <s v="AD9978D119EE04FD1920"/>
    <n v="1487725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3978"/>
    <n v="42"/>
  </r>
  <r>
    <s v="C00618371"/>
    <x v="1"/>
    <n v="2020"/>
    <s v="12G"/>
    <n v="2.0210208942714099E+17"/>
    <s v="11AI"/>
    <s v="SA11AI.211140"/>
    <n v="1499074"/>
    <m/>
    <s v="IND"/>
    <s v="INDIVIDUAL"/>
    <m/>
    <m/>
    <s v="THORNTON, JOHN"/>
    <s v="N"/>
    <m/>
    <s v="J"/>
    <s v="JOHN"/>
    <m/>
    <s v="THORNTON"/>
    <m/>
    <s v="5108 LEWELLYN RD"/>
    <m/>
    <s v="LAKELAND"/>
    <s v="FL"/>
    <n v="33810"/>
    <s v="RETIRED"/>
    <s v="RETIRED"/>
    <m/>
    <m/>
    <m/>
    <s v="EARMARKED THROUGH WINRED [SA11A1.4575]"/>
    <m/>
    <m/>
    <n v="44108"/>
    <n v="42"/>
  </r>
  <r>
    <s v="C00694323"/>
    <x v="2"/>
    <n v="2020"/>
    <s v="Q3"/>
    <n v="2.0210125940563299E+17"/>
    <s v="11AI"/>
    <s v="A148E6445435D4F34919"/>
    <n v="1490496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019"/>
    <n v="35"/>
  </r>
  <r>
    <s v="C00694323"/>
    <x v="2"/>
    <n v="2020"/>
    <s v="Q3"/>
    <n v="2.02101259408136E+17"/>
    <s v="11AI"/>
    <s v="AEE05CCC670A3491BB26"/>
    <n v="1490496"/>
    <m/>
    <s v="IND"/>
    <s v="INDIVIDUAL"/>
    <s v="C00733394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33394"/>
    <s v="15E"/>
    <s v="EARMARKED CONTRIBUTION"/>
    <s v="EARMARKED FOR TAYLOR FOR CONGRESS 2020 (C00733394)"/>
    <m/>
    <m/>
    <n v="44085"/>
    <n v="9"/>
  </r>
  <r>
    <s v="C00694323"/>
    <x v="2"/>
    <n v="2020"/>
    <s v="Q3"/>
    <n v="2.0210125940813798E+17"/>
    <s v="11AI"/>
    <s v="A38944697129A4454948"/>
    <n v="1490496"/>
    <m/>
    <s v="IND"/>
    <s v="INDIVIDUAL"/>
    <s v="C0050453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504530"/>
    <s v="15E"/>
    <s v="EARMARKED CONTRIBUTION"/>
    <s v="EARMARKED FOR CONGRESSIONAL LEADERSHIP FUND (C00504530)"/>
    <m/>
    <m/>
    <n v="44085"/>
    <n v="1"/>
  </r>
  <r>
    <s v="C00694323"/>
    <x v="2"/>
    <n v="2020"/>
    <s v="Q3"/>
    <n v="2.0210125940691501E+17"/>
    <s v="11AI"/>
    <s v="A5896279B65584210B4D"/>
    <n v="1490496"/>
    <m/>
    <s v="IND"/>
    <s v="INDIVIDUAL"/>
    <s v="C00717322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7322"/>
    <s v="15E"/>
    <s v="EARMARKED CONTRIBUTION"/>
    <s v="EARMARKED FOR RODIMER FOR CONGRESS (C00717322)"/>
    <m/>
    <m/>
    <n v="44057"/>
    <n v="17.760000000000002"/>
  </r>
  <r>
    <s v="C00694323"/>
    <x v="2"/>
    <n v="2020"/>
    <s v="Q3"/>
    <n v="2.0210125940657699E+17"/>
    <s v="11AI"/>
    <s v="A1F224DC04CCB403EAFB"/>
    <n v="1490496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047"/>
    <n v="42"/>
  </r>
  <r>
    <s v="C00694323"/>
    <x v="2"/>
    <n v="2020"/>
    <s v="Q3"/>
    <n v="2.02101259408348E+17"/>
    <s v="11AI"/>
    <s v="A1D9A1A33C0214EF4B02"/>
    <n v="1490496"/>
    <m/>
    <s v="IND"/>
    <s v="INDIVIDUAL"/>
    <s v="C0071823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8239"/>
    <s v="15E"/>
    <s v="EARMARKED CONTRIBUTION"/>
    <s v="EARMARKED FOR ANNA PAULINA LUNA FOR CONGRESS (C00718239)"/>
    <m/>
    <m/>
    <n v="44090"/>
    <n v="10"/>
  </r>
  <r>
    <s v="C00694323"/>
    <x v="2"/>
    <n v="2020"/>
    <s v="Q3"/>
    <n v="2.0210125940854301E+17"/>
    <s v="11AI"/>
    <s v="A728C5E160FAC436EB0E"/>
    <n v="1490496"/>
    <m/>
    <s v="IND"/>
    <s v="INDIVIDUAL"/>
    <s v="C0049135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91357"/>
    <s v="15E"/>
    <s v="EARMARKED CONTRIBUTION"/>
    <s v="EARMARKED FOR STEVE DAINES FOR MONTANA (C00491357)"/>
    <m/>
    <m/>
    <n v="44094"/>
    <n v="10"/>
  </r>
  <r>
    <s v="C00694323"/>
    <x v="2"/>
    <n v="2020"/>
    <s v="Q3"/>
    <n v="2.0210125940872701E+17"/>
    <s v="11AI"/>
    <s v="A1EFF18590EC0415B978"/>
    <n v="1490496"/>
    <m/>
    <s v="IND"/>
    <s v="INDIVIDUAL"/>
    <s v="C00618371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18371"/>
    <s v="15E"/>
    <s v="EARMARKED CONTRIBUTION"/>
    <s v="EARMARKED FOR TRUMP MAKE AMERICA GREAT AGAIN COMMITTEE (C00618371)"/>
    <m/>
    <m/>
    <n v="44097"/>
    <n v="10"/>
  </r>
  <r>
    <s v="C00694323"/>
    <x v="2"/>
    <n v="2020"/>
    <s v="Q3"/>
    <n v="2.0210125940867501E+17"/>
    <s v="11AI"/>
    <s v="A63981B176504406685B"/>
    <n v="1490496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096"/>
    <n v="10"/>
  </r>
  <r>
    <s v="C00694323"/>
    <x v="2"/>
    <n v="2020"/>
    <s v="Q3"/>
    <n v="2.0210125940722499E+17"/>
    <s v="11AI"/>
    <s v="ABBEE90F449544155B52"/>
    <n v="1490496"/>
    <m/>
    <s v="IND"/>
    <s v="INDIVIDUAL"/>
    <s v="C0066604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66040"/>
    <s v="15E"/>
    <s v="EARMARKED CONTRIBUTION"/>
    <s v="EARMARKED FOR MCSALLY FOR SENATE INC (C00666040)"/>
    <m/>
    <m/>
    <n v="44065"/>
    <n v="10"/>
  </r>
  <r>
    <s v="C00694323"/>
    <x v="2"/>
    <n v="2020"/>
    <s v="Q3"/>
    <n v="2.0210125940900998E+17"/>
    <s v="11AI"/>
    <s v="A847AF65A7F384601B76"/>
    <n v="1490496"/>
    <m/>
    <s v="IND"/>
    <s v="INDIVIDUAL"/>
    <s v="C00726117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6117"/>
    <s v="15E"/>
    <s v="EARMARKED CONTRIBUTION"/>
    <s v="EARMARKED FOR KIM KLACIK FOR CONGRESS (C00726117)"/>
    <m/>
    <m/>
    <n v="44102"/>
    <n v="15"/>
  </r>
  <r>
    <s v="C00694323"/>
    <x v="2"/>
    <n v="2020"/>
    <s v="Q3"/>
    <n v="2.0210125940673901E+17"/>
    <s v="11AI"/>
    <s v="A9EDB00F3B5CB4BCE9EC"/>
    <n v="1490496"/>
    <m/>
    <s v="IND"/>
    <s v="INDIVIDUAL"/>
    <s v="C0045882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58828"/>
    <s v="15E"/>
    <s v="EARMARKED CONTRIBUTION"/>
    <s v="EARMARKED FOR TEAM GRAHAM, INC. (C00458828)"/>
    <m/>
    <m/>
    <n v="44052"/>
    <n v="15"/>
  </r>
  <r>
    <s v="C00694323"/>
    <x v="2"/>
    <n v="2020"/>
    <s v="Q3"/>
    <n v="2.02101259408728E+17"/>
    <s v="11AI"/>
    <s v="A9D49AE5B7C8A4AE6A70"/>
    <n v="1490496"/>
    <m/>
    <s v="IND"/>
    <s v="INDIVIDUAL"/>
    <s v="C00420935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420935"/>
    <s v="15E"/>
    <s v="EARMARKED CONTRIBUTION"/>
    <s v="EARMARKED FOR KEVIN MCCARTHY FOR CONGRESS (C00420935)"/>
    <m/>
    <m/>
    <n v="44097"/>
    <n v="10"/>
  </r>
  <r>
    <s v="C00694323"/>
    <x v="2"/>
    <n v="2020"/>
    <s v="Q3"/>
    <n v="2.0210125940756998E+17"/>
    <s v="11AI"/>
    <s v="A7D85C8E3BEEC4A05B34"/>
    <n v="1490496"/>
    <m/>
    <s v="IND"/>
    <s v="INDIVIDUAL"/>
    <s v="C00504530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504530"/>
    <s v="15E"/>
    <s v="EARMARKED CONTRIBUTION"/>
    <s v="EARMARKED FOR CONGRESSIONAL LEADERSHIP FUND (C00504530)"/>
    <m/>
    <m/>
    <n v="44072"/>
    <n v="12.5"/>
  </r>
  <r>
    <s v="C00694323"/>
    <x v="2"/>
    <n v="2020"/>
    <s v="Q3"/>
    <n v="2.02101259406916E+17"/>
    <s v="11AI"/>
    <s v="AC043E72999DC484F985"/>
    <n v="1490496"/>
    <m/>
    <s v="IND"/>
    <s v="INDIVIDUAL"/>
    <s v="C00710103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0103"/>
    <s v="15E"/>
    <s v="EARMARKED CONTRIBUTION"/>
    <s v="EARMARKED FOR NANCY MACE FOR CONGRESS (C00710103)"/>
    <m/>
    <m/>
    <n v="44057"/>
    <n v="15"/>
  </r>
  <r>
    <s v="C00733329"/>
    <x v="4"/>
    <n v="2020"/>
    <s v="30G"/>
    <n v="2.02102259428876E+17"/>
    <s v="11AI"/>
    <s v="SA11AI.67758"/>
    <n v="1502040"/>
    <m/>
    <s v="IND"/>
    <s v="INDIVIDUAL"/>
    <m/>
    <m/>
    <s v="THORNTON, JOHN"/>
    <s v="H"/>
    <m/>
    <s v="P"/>
    <s v="JOHN"/>
    <m/>
    <s v="THORNTON"/>
    <m/>
    <s v="5108 LEWELLYN RD"/>
    <m/>
    <s v="LAKELAND"/>
    <s v="FL"/>
    <n v="33810"/>
    <s v="RETIRED"/>
    <s v="RETIRED"/>
    <m/>
    <m/>
    <m/>
    <s v="EARMARKED THROUGH WINRED [SA11A1.64144]"/>
    <m/>
    <m/>
    <n v="44130"/>
    <n v="10"/>
  </r>
  <r>
    <s v="C00694323"/>
    <x v="2"/>
    <n v="2020"/>
    <s v="30G"/>
    <n v="2.0210303943145402E+17"/>
    <s v="11AI"/>
    <s v="A27DDDD4C277B4C8989F"/>
    <n v="1502683"/>
    <m/>
    <s v="IND"/>
    <s v="INDIVIDUAL"/>
    <s v="C00725853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25853"/>
    <s v="15E"/>
    <s v="EARMARKED CONTRIBUTION"/>
    <s v="EARMARKED FOR BURGESS 4 UTAH (C00725853)"/>
    <m/>
    <m/>
    <n v="44119"/>
    <n v="5"/>
  </r>
  <r>
    <s v="C00694323"/>
    <x v="2"/>
    <n v="2020"/>
    <s v="30G"/>
    <n v="2.0210303943226E+17"/>
    <s v="11AI"/>
    <s v="A6269C70E8FB74C27B2C"/>
    <n v="1502683"/>
    <m/>
    <s v="IND"/>
    <s v="INDIVIDUAL"/>
    <s v="C00665638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665638"/>
    <s v="15E"/>
    <s v="EARMARKED CONTRIBUTION"/>
    <s v="EARMARKED FOR YOUNG KIM FOR CONGRESS (C00665638)"/>
    <m/>
    <m/>
    <n v="44127"/>
    <n v="10"/>
  </r>
  <r>
    <s v="C00694323"/>
    <x v="2"/>
    <n v="2020"/>
    <s v="30G"/>
    <n v="2.0210303943273299E+17"/>
    <s v="11AI"/>
    <s v="A54D0EF29073E48B79EF"/>
    <n v="1502683"/>
    <m/>
    <s v="IND"/>
    <s v="INDIVIDUAL"/>
    <s v="C00717322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7322"/>
    <s v="15E"/>
    <s v="EARMARKED CONTRIBUTION"/>
    <s v="EARMARKED FOR RODIMER FOR CONGRESS (C00717322)"/>
    <m/>
    <m/>
    <n v="44131"/>
    <n v="10"/>
  </r>
  <r>
    <s v="C00694323"/>
    <x v="2"/>
    <n v="2020"/>
    <s v="30G"/>
    <n v="2.0210303943224998E+17"/>
    <s v="11AI"/>
    <s v="A90247EDAEF6A48DBABD"/>
    <n v="1502683"/>
    <m/>
    <s v="IND"/>
    <s v="INDIVIDUAL"/>
    <s v="C00711689"/>
    <m/>
    <s v="THORNTON, JOHN"/>
    <s v="V"/>
    <m/>
    <s v="U"/>
    <s v="JOHN"/>
    <m/>
    <s v="THORNTON"/>
    <m/>
    <s v="5108 LEWELLYN RD"/>
    <m/>
    <s v="LAKELAND"/>
    <s v="FL"/>
    <n v="338100789"/>
    <s v="RETIRED"/>
    <s v="RETIRED"/>
    <s v="C00711689"/>
    <s v="15E"/>
    <s v="EARMARKED CONTRIBUTION"/>
    <s v="EARMARKED FOR LACY JOHNSON FOR CONGRESS (C00711689)"/>
    <m/>
    <m/>
    <n v="44127"/>
    <n v="1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2">
  <r>
    <s v="C00046474"/>
    <x v="0"/>
    <n v="2019"/>
    <s v="YE"/>
    <n v="2.0200128916742E+17"/>
    <s v="11AI"/>
    <s v="PR209587231700"/>
    <n v="1374056"/>
    <m/>
    <s v="IND"/>
    <s v="INDIVIDUAL"/>
    <m/>
    <s v="MR"/>
    <s v="THAI-TANG, HAU N MR"/>
    <s v="Q"/>
    <s v="C"/>
    <s v="B"/>
    <s v="HAU N"/>
    <m/>
    <s v="THAI-TANG"/>
    <m/>
    <s v="1362 JUNIPER LN"/>
    <m/>
    <s v="BLOOMFIELD HILLS"/>
    <s v="MI"/>
    <n v="483021959"/>
    <s v="FORD MOTOR COMPANY"/>
    <s v="EXECUTIVE VICE PRESIDENT"/>
    <m/>
    <n v="15"/>
    <s v="CONTRIBUTION"/>
    <m/>
    <m/>
    <m/>
    <d v="2019-12-31T00:00:00"/>
    <n v="416"/>
  </r>
  <r>
    <s v="C00046474"/>
    <x v="0"/>
    <n v="2019"/>
    <s v="M12"/>
    <n v="2.0191218916635901E+17"/>
    <s v="11AI"/>
    <s v="PR209587231137"/>
    <n v="1366669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ORD MOTOR COMPANY"/>
    <s v="EXECUTIVE VICE PRESIDENT"/>
    <m/>
    <n v="15"/>
    <s v="CONTRIBUTION"/>
    <m/>
    <m/>
    <m/>
    <d v="2019-11-30T00:00:00"/>
    <n v="416"/>
  </r>
  <r>
    <s v="C00046474"/>
    <x v="0"/>
    <n v="2020"/>
    <s v="M8"/>
    <n v="2.0200814926130598E+17"/>
    <s v="11AI"/>
    <s v="PR209587233448"/>
    <n v="1432298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MC US"/>
    <s v="CHIEF PD &amp; PURCHASING OFFICER"/>
    <m/>
    <n v="15"/>
    <s v="CONTRIBUTION"/>
    <m/>
    <m/>
    <m/>
    <d v="2020-07-31T00:00:00"/>
    <n v="416"/>
  </r>
  <r>
    <s v="C00046474"/>
    <x v="0"/>
    <n v="2020"/>
    <s v="M2"/>
    <n v="2.0200218918651501E+17"/>
    <s v="11AI"/>
    <s v="PR209587231849"/>
    <n v="1383073"/>
    <m/>
    <s v="IND"/>
    <s v="INDIVIDUAL"/>
    <m/>
    <s v="MR"/>
    <s v="THAI-TANG, HAU N MR"/>
    <s v="Q"/>
    <s v="C"/>
    <s v="B"/>
    <s v="HAU N"/>
    <m/>
    <s v="THAI-TANG"/>
    <m/>
    <s v="1362 JUNIPER LN"/>
    <m/>
    <s v="BLOOMFIELD HILLS"/>
    <s v="MI"/>
    <n v="483021959"/>
    <s v="FORD MOTOR COMPANY"/>
    <s v="EXECUTIVE VICE PRESIDENT"/>
    <m/>
    <n v="15"/>
    <s v="CONTRIBUTION"/>
    <m/>
    <m/>
    <m/>
    <d v="2020-01-31T00:00:00"/>
    <n v="416"/>
  </r>
  <r>
    <s v="C00046474"/>
    <x v="0"/>
    <n v="2020"/>
    <s v="YE"/>
    <n v="2.02101159404712E+17"/>
    <s v="11AI"/>
    <s v="PR209587235156"/>
    <n v="1488043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MC US"/>
    <s v="CHIEF PRODUCT PLATFORM &amp; OPS"/>
    <m/>
    <n v="15"/>
    <s v="CONTRIBUTION"/>
    <m/>
    <m/>
    <m/>
    <d v="2020-12-31T00:00:00"/>
    <n v="416"/>
  </r>
  <r>
    <s v="C00046474"/>
    <x v="0"/>
    <n v="2020"/>
    <s v="M3"/>
    <n v="2.0200318920387398E+17"/>
    <s v="11AI"/>
    <s v="PR209587232112"/>
    <n v="1390420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ORD MOTOR COMPANY"/>
    <s v="EXECUTIVE VICE PRESIDENT"/>
    <m/>
    <n v="15"/>
    <s v="CONTRIBUTION"/>
    <m/>
    <m/>
    <m/>
    <d v="2020-02-29T00:00:00"/>
    <n v="416"/>
  </r>
  <r>
    <s v="C00046474"/>
    <x v="0"/>
    <n v="2020"/>
    <s v="M7"/>
    <n v="2.0200709924439398E+17"/>
    <s v="11AI"/>
    <s v="PR209587233026"/>
    <n v="1418223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MC US"/>
    <s v="CHIEF PD &amp; PURCHASING OFFICER"/>
    <m/>
    <n v="15"/>
    <s v="CONTRIBUTION"/>
    <m/>
    <m/>
    <m/>
    <d v="2020-06-30T00:00:00"/>
    <n v="416"/>
  </r>
  <r>
    <s v="C00046474"/>
    <x v="0"/>
    <n v="2020"/>
    <s v="M6"/>
    <n v="2.0200709924439299E+17"/>
    <s v="11AI"/>
    <s v="PR209587232739"/>
    <n v="1418185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MC US"/>
    <s v="CHIEF PD &amp; PURCHASING OFFICER"/>
    <m/>
    <n v="15"/>
    <s v="CONTRIBUTION"/>
    <m/>
    <m/>
    <m/>
    <d v="2020-05-31T00:00:00"/>
    <n v="416"/>
  </r>
  <r>
    <s v="C00046474"/>
    <x v="0"/>
    <n v="2020"/>
    <s v="M9"/>
    <n v="2.0200917926722202E+17"/>
    <s v="11AI"/>
    <s v="PR209587233701"/>
    <n v="1438561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MC US"/>
    <s v="CHIEF PD &amp; PURCHASING OFFICER"/>
    <m/>
    <n v="15"/>
    <s v="CONTRIBUTION"/>
    <m/>
    <m/>
    <m/>
    <d v="2020-08-31T00:00:00"/>
    <n v="416"/>
  </r>
  <r>
    <s v="C00046474"/>
    <x v="0"/>
    <n v="2020"/>
    <s v="12G"/>
    <n v="2.0201021932675501E+17"/>
    <s v="11AI"/>
    <s v="PR209587234207"/>
    <n v="1459687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ORD MOTOR COMPANY"/>
    <s v="EXECUTIVE VICE PRESIDENT"/>
    <m/>
    <n v="15"/>
    <s v="CONTRIBUTION"/>
    <m/>
    <m/>
    <m/>
    <d v="2020-10-14T00:00:00"/>
    <n v="416"/>
  </r>
  <r>
    <s v="C00046474"/>
    <x v="0"/>
    <n v="2020"/>
    <s v="M10"/>
    <n v="2.0201019929727901E+17"/>
    <s v="11AI"/>
    <s v="PR209587234128"/>
    <n v="1456209"/>
    <m/>
    <s v="IND"/>
    <s v="INDIVIDUAL"/>
    <m/>
    <s v="MR"/>
    <s v="THAI-TANG, HAU N MR"/>
    <s v="Q"/>
    <s v="C"/>
    <s v="B"/>
    <s v="HAU"/>
    <s v="N"/>
    <s v="THAI-TANG"/>
    <m/>
    <s v="1362 JUNIPER LN"/>
    <m/>
    <s v="BLOOMFIELD HILLS"/>
    <s v="MI"/>
    <n v="483021959"/>
    <s v="FMC US"/>
    <s v="CHIEF PD &amp; PURCHASING OFFICER"/>
    <m/>
    <n v="15"/>
    <s v="CONTRIBUTION"/>
    <m/>
    <m/>
    <m/>
    <d v="2020-09-30T00:00:00"/>
    <n v="416"/>
  </r>
  <r>
    <s v="C00046474"/>
    <x v="0"/>
    <n v="2020"/>
    <s v="30G"/>
    <n v="2.0201201933723501E+17"/>
    <s v="11AI"/>
    <s v="PR209587234585"/>
    <n v="1475097"/>
    <m/>
    <s v="IND"/>
    <s v="INDIVIDUAL"/>
    <m/>
    <s v="MR"/>
    <s v="THAI-TANG, HAU N N MR"/>
    <s v="Q"/>
    <s v="C"/>
    <s v="B"/>
    <s v="HAU N"/>
    <s v="N"/>
    <s v="THAI-TANG"/>
    <m/>
    <s v="1362 JUNIPER LN"/>
    <m/>
    <s v="BLOOMFIELD HILLS"/>
    <s v="MI"/>
    <n v="483021959"/>
    <s v="FORD MOTOR COMPANY"/>
    <s v="EXECUTIVE VICE PRESIDENT"/>
    <m/>
    <n v="15"/>
    <s v="CONTRIBUTION"/>
    <m/>
    <m/>
    <m/>
    <d v="2020-11-23T00:00:00"/>
    <n v="41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13">
  <r>
    <s v="C00046474"/>
    <x v="0"/>
    <n v="2019"/>
    <s v="YE"/>
    <n v="2.0200128916742E+17"/>
    <s v="11AI"/>
    <s v="PR868935031700"/>
    <n v="1374056"/>
    <m/>
    <s v="IND"/>
    <s v="INDIVIDUAL"/>
    <m/>
    <m/>
    <s v="HACKETT, JAMES P"/>
    <s v="Q"/>
    <s v="C"/>
    <s v="B"/>
    <s v="JAMES P"/>
    <m/>
    <s v="HACKETT"/>
    <m/>
    <s v="1547 BRIARCLIFF DR. SE"/>
    <m/>
    <s v="GRAND RAPIDS"/>
    <s v="MI"/>
    <n v="495469689"/>
    <s v="FORD MOTOR COMPANY"/>
    <s v="PRESIDENT &amp; CEO"/>
    <m/>
    <n v="15"/>
    <s v="CONTRIBUTION"/>
    <m/>
    <m/>
    <m/>
    <d v="2019-12-31T00:00:00"/>
    <n v="300"/>
  </r>
  <r>
    <s v="C00046474"/>
    <x v="0"/>
    <n v="2019"/>
    <s v="M12"/>
    <n v="2.0191218916635901E+17"/>
    <s v="11AI"/>
    <s v="PR868935031137"/>
    <n v="1366669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ORD MOTOR COMPANY"/>
    <s v="PRESIDENT &amp; CEO"/>
    <m/>
    <n v="15"/>
    <s v="CONTRIBUTION"/>
    <m/>
    <m/>
    <m/>
    <d v="2019-11-30T00:00:00"/>
    <n v="300"/>
  </r>
  <r>
    <s v="C00046474"/>
    <x v="0"/>
    <n v="2020"/>
    <s v="M8"/>
    <n v="2.0200814926130598E+17"/>
    <s v="11AI"/>
    <s v="PR868935033448"/>
    <n v="1432298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MC US"/>
    <s v="PRESIDENT &amp; CEO"/>
    <m/>
    <n v="15"/>
    <s v="CONTRIBUTION"/>
    <m/>
    <m/>
    <m/>
    <d v="2020-07-31T00:00:00"/>
    <n v="300"/>
  </r>
  <r>
    <s v="C00046474"/>
    <x v="0"/>
    <n v="2020"/>
    <s v="M2"/>
    <n v="2.0200218918651501E+17"/>
    <s v="11AI"/>
    <s v="PR868935031849"/>
    <n v="1383073"/>
    <m/>
    <s v="IND"/>
    <s v="INDIVIDUAL"/>
    <m/>
    <m/>
    <s v="HACKETT, JAMES P"/>
    <s v="Q"/>
    <s v="C"/>
    <s v="B"/>
    <s v="JAMES P"/>
    <m/>
    <s v="HACKETT"/>
    <m/>
    <s v="1547 BRIARCLIFF DR. SE"/>
    <m/>
    <s v="GRAND RAPIDS"/>
    <s v="MI"/>
    <n v="495469689"/>
    <s v="FORD MOTOR COMPANY"/>
    <s v="PRESIDENT &amp; CEO"/>
    <m/>
    <n v="15"/>
    <s v="CONTRIBUTION"/>
    <m/>
    <m/>
    <m/>
    <d v="2020-01-31T00:00:00"/>
    <n v="300"/>
  </r>
  <r>
    <s v="C00046474"/>
    <x v="0"/>
    <n v="2020"/>
    <s v="YE"/>
    <n v="2.0210115940471299E+17"/>
    <s v="11AI"/>
    <s v="PR868935035156"/>
    <n v="1488043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MC US"/>
    <s v="ADVISOR TO THE OCCE"/>
    <m/>
    <n v="15"/>
    <s v="CONTRIBUTION"/>
    <m/>
    <m/>
    <m/>
    <d v="2020-12-31T00:00:00"/>
    <n v="300"/>
  </r>
  <r>
    <s v="C00046474"/>
    <x v="0"/>
    <n v="2020"/>
    <s v="M3"/>
    <n v="2.0200318920387398E+17"/>
    <s v="11AI"/>
    <s v="PR868935032112"/>
    <n v="1390420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ORD MOTOR COMPANY"/>
    <s v="PRESIDENT &amp; CEO"/>
    <m/>
    <n v="15"/>
    <s v="CONTRIBUTION"/>
    <m/>
    <m/>
    <m/>
    <d v="2020-02-29T00:00:00"/>
    <n v="300"/>
  </r>
  <r>
    <s v="C00046474"/>
    <x v="0"/>
    <n v="2020"/>
    <s v="M7"/>
    <n v="2.0200709924439398E+17"/>
    <s v="11AI"/>
    <s v="PR868935033026"/>
    <n v="1418223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MC US"/>
    <s v="PRESIDENT &amp; CEO"/>
    <m/>
    <n v="15"/>
    <s v="CONTRIBUTION"/>
    <m/>
    <m/>
    <m/>
    <d v="2020-06-30T00:00:00"/>
    <n v="300"/>
  </r>
  <r>
    <s v="C00046474"/>
    <x v="0"/>
    <n v="2020"/>
    <s v="M6"/>
    <n v="2.0200709924439299E+17"/>
    <s v="11AI"/>
    <s v="PR868935032739"/>
    <n v="1418185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MC US"/>
    <s v="PRESIDENT &amp; CEO"/>
    <m/>
    <n v="15"/>
    <s v="CONTRIBUTION"/>
    <m/>
    <m/>
    <m/>
    <d v="2020-05-31T00:00:00"/>
    <n v="300"/>
  </r>
  <r>
    <s v="C00046474"/>
    <x v="0"/>
    <n v="2020"/>
    <s v="M9"/>
    <n v="2.0200917926722202E+17"/>
    <s v="11AI"/>
    <s v="PR868935033701"/>
    <n v="1438561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MC US"/>
    <s v="PRESIDENT &amp; CEO"/>
    <m/>
    <n v="15"/>
    <s v="CONTRIBUTION"/>
    <m/>
    <m/>
    <m/>
    <d v="2020-08-31T00:00:00"/>
    <n v="300"/>
  </r>
  <r>
    <s v="C00046474"/>
    <x v="0"/>
    <n v="2020"/>
    <s v="12G"/>
    <n v="2.0201021932675501E+17"/>
    <s v="11AI"/>
    <s v="PR868935034207"/>
    <n v="1459687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ORD MOTOR COMPANY"/>
    <s v="PRESIDENT &amp; CEO"/>
    <m/>
    <n v="15"/>
    <s v="CONTRIBUTION"/>
    <m/>
    <m/>
    <m/>
    <d v="2020-10-14T00:00:00"/>
    <n v="300"/>
  </r>
  <r>
    <s v="C00075820"/>
    <x v="1"/>
    <n v="2020"/>
    <s v="YE"/>
    <n v="2.0210131941851901E+17"/>
    <s v="11AI"/>
    <s v="SA11A.21390027"/>
    <n v="1496211"/>
    <m/>
    <s v="IND"/>
    <s v="INDIVIDUAL"/>
    <m/>
    <m/>
    <s v="HACKETT, JAMES P."/>
    <s v="Y"/>
    <m/>
    <s v="U"/>
    <s v="JAMES"/>
    <s v="P."/>
    <s v="HACKETT"/>
    <m/>
    <s v="8455 S HERITAGE CT"/>
    <m/>
    <s v="OAK CREEK"/>
    <s v="WI"/>
    <n v="531543242"/>
    <m/>
    <m/>
    <m/>
    <n v="15"/>
    <s v="CONTRIBUTION"/>
    <s v="CONTRIBUTION"/>
    <m/>
    <m/>
    <d v="2020-12-09T00:00:00"/>
    <n v="250"/>
  </r>
  <r>
    <s v="C00046474"/>
    <x v="0"/>
    <n v="2020"/>
    <s v="M10"/>
    <n v="2.0201019929727901E+17"/>
    <s v="11AI"/>
    <s v="PR868935034128"/>
    <n v="1456209"/>
    <m/>
    <s v="IND"/>
    <s v="INDIVIDUAL"/>
    <m/>
    <m/>
    <s v="HACKETT, JAMES P"/>
    <s v="Q"/>
    <s v="C"/>
    <s v="B"/>
    <s v="JAMES"/>
    <s v="P"/>
    <s v="HACKETT"/>
    <m/>
    <s v="1547 BRIARCLIFF DR. SE"/>
    <m/>
    <s v="GRAND RAPIDS"/>
    <s v="MI"/>
    <n v="495469689"/>
    <s v="FMC US"/>
    <s v="ADVISOR TO THE OCCE"/>
    <m/>
    <n v="15"/>
    <s v="CONTRIBUTION"/>
    <m/>
    <m/>
    <m/>
    <d v="2020-09-30T00:00:00"/>
    <n v="300"/>
  </r>
  <r>
    <s v="C00046474"/>
    <x v="0"/>
    <n v="2020"/>
    <s v="30G"/>
    <n v="2.0201201933723501E+17"/>
    <s v="11AI"/>
    <s v="PR868935034585"/>
    <n v="1475097"/>
    <m/>
    <s v="IND"/>
    <s v="INDIVIDUAL"/>
    <m/>
    <m/>
    <s v="HACKETT, JAMES P P"/>
    <s v="Q"/>
    <s v="C"/>
    <s v="B"/>
    <s v="JAMES P"/>
    <s v="P"/>
    <s v="HACKETT"/>
    <m/>
    <s v="1547 BRIARCLIFF DR. SE"/>
    <m/>
    <s v="GRAND RAPIDS"/>
    <s v="MI"/>
    <n v="495469689"/>
    <s v="FORD MOTOR COMPANY"/>
    <s v="PRESIDENT &amp; CEO"/>
    <m/>
    <n v="15"/>
    <s v="CONTRIBUTION"/>
    <m/>
    <m/>
    <m/>
    <d v="2020-11-23T00:00:00"/>
    <n v="30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10">
  <r>
    <s v="C00046474"/>
    <x v="0"/>
    <n v="2019"/>
    <s v="YE"/>
    <n v="2.0200128916742E+17"/>
    <s v="11AI"/>
    <s v="PR929617431700"/>
    <n v="1374056"/>
    <m/>
    <s v="IND"/>
    <s v="INDIVIDUAL"/>
    <m/>
    <s v="MR"/>
    <s v="STONE, TIM MR"/>
    <s v="Q"/>
    <s v="C"/>
    <s v="B"/>
    <s v="TIM"/>
    <m/>
    <s v="STONE"/>
    <m/>
    <s v="2987 FRANKLIN STREET, UNIT W"/>
    <m/>
    <s v="DETROIT"/>
    <s v="MI"/>
    <n v="482074262"/>
    <s v="FORD MOTOR COMPANY"/>
    <s v="EXECUTIVE VICE PRESIDENT"/>
    <m/>
    <n v="15"/>
    <s v="CONTRIBUTION"/>
    <m/>
    <m/>
    <m/>
    <d v="2019-12-31T00:00:00"/>
    <n v="416"/>
  </r>
  <r>
    <s v="C00046474"/>
    <x v="0"/>
    <n v="2019"/>
    <s v="M12"/>
    <n v="2.0191218916635901E+17"/>
    <s v="11AI"/>
    <s v="PR929617431137"/>
    <n v="1366669"/>
    <m/>
    <s v="IND"/>
    <s v="INDIVIDUAL"/>
    <m/>
    <s v="MR"/>
    <s v="STONE, TIM MR"/>
    <s v="Q"/>
    <s v="C"/>
    <s v="B"/>
    <s v="TIM"/>
    <m/>
    <s v="STONE"/>
    <m/>
    <s v="2987 FRANKLIN STREET, UNIT W"/>
    <m/>
    <s v="DETROIT"/>
    <s v="MI"/>
    <n v="482074262"/>
    <s v="FORD MOTOR COMPANY"/>
    <s v="EXECUTIVE VICE PRESIDENT"/>
    <m/>
    <n v="15"/>
    <s v="CONTRIBUTION"/>
    <m/>
    <m/>
    <m/>
    <d v="2019-11-30T00:00:00"/>
    <n v="416"/>
  </r>
  <r>
    <s v="C00046474"/>
    <x v="0"/>
    <n v="2020"/>
    <s v="M8"/>
    <n v="2.0200814926130598E+17"/>
    <s v="11AI"/>
    <s v="PR929617433448"/>
    <n v="1432298"/>
    <m/>
    <s v="IND"/>
    <s v="INDIVIDUAL"/>
    <m/>
    <s v="MR"/>
    <s v="STONE, TIM MR"/>
    <s v="Q"/>
    <s v="C"/>
    <s v="B"/>
    <s v="TIM"/>
    <m/>
    <s v="STONE"/>
    <m/>
    <s v="2987 FRANKLIN STREET, UNIT W"/>
    <m/>
    <s v="DETROIT"/>
    <s v="MI"/>
    <n v="482074262"/>
    <s v="FMC US"/>
    <s v="VP, CHIEF FINANCIAL OFFICER"/>
    <m/>
    <n v="15"/>
    <s v="CONTRIBUTION"/>
    <m/>
    <m/>
    <m/>
    <d v="2020-07-31T00:00:00"/>
    <n v="416"/>
  </r>
  <r>
    <s v="C00046474"/>
    <x v="0"/>
    <n v="2020"/>
    <s v="M2"/>
    <n v="2.0200218918651501E+17"/>
    <s v="11AI"/>
    <s v="PR929617431849"/>
    <n v="1383073"/>
    <m/>
    <s v="IND"/>
    <s v="INDIVIDUAL"/>
    <m/>
    <s v="MR"/>
    <s v="STONE, TIM MR"/>
    <s v="Q"/>
    <s v="C"/>
    <s v="B"/>
    <s v="TIM"/>
    <m/>
    <s v="STONE"/>
    <m/>
    <s v="2987 FRANKLIN STREET, UNIT W"/>
    <m/>
    <s v="DETROIT"/>
    <s v="MI"/>
    <n v="482074262"/>
    <s v="FORD MOTOR COMPANY"/>
    <s v="EXECUTIVE VICE PRESIDENT"/>
    <m/>
    <n v="15"/>
    <s v="CONTRIBUTION"/>
    <m/>
    <m/>
    <m/>
    <d v="2020-01-31T00:00:00"/>
    <n v="416"/>
  </r>
  <r>
    <s v="C00046474"/>
    <x v="0"/>
    <n v="2020"/>
    <s v="M3"/>
    <n v="2.0200318920387398E+17"/>
    <s v="11AI"/>
    <s v="PR929617432112"/>
    <n v="1390420"/>
    <m/>
    <s v="IND"/>
    <s v="INDIVIDUAL"/>
    <m/>
    <s v="MR"/>
    <s v="STONE, TIM MR"/>
    <s v="Q"/>
    <s v="C"/>
    <s v="B"/>
    <s v="TIM"/>
    <m/>
    <s v="STONE"/>
    <m/>
    <s v="2987 FRANKLIN STREET, UNIT W"/>
    <m/>
    <s v="DETROIT"/>
    <s v="MI"/>
    <n v="482074262"/>
    <s v="FORD MOTOR COMPANY"/>
    <s v="EXECUTIVE VICE PRESIDENT"/>
    <m/>
    <n v="15"/>
    <s v="CONTRIBUTION"/>
    <m/>
    <m/>
    <m/>
    <d v="2020-02-29T00:00:00"/>
    <n v="416"/>
  </r>
  <r>
    <s v="C00046474"/>
    <x v="0"/>
    <n v="2020"/>
    <s v="M7"/>
    <n v="2.0200709924439398E+17"/>
    <s v="11AI"/>
    <s v="PR929617433026"/>
    <n v="1418223"/>
    <m/>
    <s v="IND"/>
    <s v="INDIVIDUAL"/>
    <m/>
    <s v="MR"/>
    <s v="STONE, TIM MR"/>
    <s v="Q"/>
    <s v="C"/>
    <s v="B"/>
    <s v="TIM"/>
    <m/>
    <s v="STONE"/>
    <m/>
    <s v="2987 FRANKLIN STREET, UNIT W"/>
    <m/>
    <s v="DETROIT"/>
    <s v="MI"/>
    <n v="482074262"/>
    <s v="FMC US"/>
    <s v="CHIEF FINANCIAL OFFICER"/>
    <m/>
    <n v="15"/>
    <s v="CONTRIBUTION"/>
    <m/>
    <m/>
    <m/>
    <d v="2020-06-30T00:00:00"/>
    <n v="416"/>
  </r>
  <r>
    <s v="C00046474"/>
    <x v="0"/>
    <n v="2020"/>
    <s v="M6"/>
    <n v="2.0200709924439299E+17"/>
    <s v="11AI"/>
    <s v="PR929617432739"/>
    <n v="1418185"/>
    <m/>
    <s v="IND"/>
    <s v="INDIVIDUAL"/>
    <m/>
    <s v="MR"/>
    <s v="STONE, TIM MR"/>
    <s v="Q"/>
    <s v="C"/>
    <s v="B"/>
    <s v="TIM"/>
    <m/>
    <s v="STONE"/>
    <m/>
    <s v="2987 FRANKLIN STREET, UNIT W"/>
    <m/>
    <s v="DETROIT"/>
    <s v="MI"/>
    <n v="482074262"/>
    <s v="FMC US"/>
    <s v="CHIEF FINANCIAL OFFICER"/>
    <m/>
    <n v="15"/>
    <s v="CONTRIBUTION"/>
    <m/>
    <m/>
    <m/>
    <d v="2020-05-31T00:00:00"/>
    <n v="416"/>
  </r>
  <r>
    <s v="C00046474"/>
    <x v="0"/>
    <n v="2020"/>
    <s v="M9"/>
    <n v="2.0200917926722202E+17"/>
    <s v="11AI"/>
    <s v="PR929617433701"/>
    <n v="1438561"/>
    <m/>
    <s v="IND"/>
    <s v="INDIVIDUAL"/>
    <m/>
    <s v="MR"/>
    <s v="STONE, TIM MR"/>
    <s v="Q"/>
    <s v="C"/>
    <s v="B"/>
    <s v="TIM"/>
    <m/>
    <s v="STONE"/>
    <m/>
    <s v="322 JERUSALEM"/>
    <m/>
    <s v="COHASSET"/>
    <s v="MA"/>
    <n v="20251138"/>
    <s v="FMC US"/>
    <s v="VP, CHIEF FINANCIAL OFFICER"/>
    <m/>
    <n v="15"/>
    <s v="CONTRIBUTION"/>
    <m/>
    <m/>
    <m/>
    <d v="2020-08-31T00:00:00"/>
    <n v="416"/>
  </r>
  <r>
    <s v="C00046474"/>
    <x v="0"/>
    <n v="2020"/>
    <s v="12G"/>
    <n v="2.0201021932675501E+17"/>
    <s v="11AI"/>
    <s v="PR929617434207"/>
    <n v="1459687"/>
    <m/>
    <s v="IND"/>
    <s v="INDIVIDUAL"/>
    <m/>
    <s v="MR"/>
    <s v="STONE, TIM MR"/>
    <s v="Q"/>
    <s v="C"/>
    <s v="B"/>
    <s v="TIM"/>
    <m/>
    <s v="STONE"/>
    <m/>
    <s v="322 JERUSALEM"/>
    <m/>
    <s v="COHASSET"/>
    <s v="MA"/>
    <n v="20251138"/>
    <s v="FORD MOTOR COMPANY"/>
    <s v="EXECUTIVE VICE PRESIDENT"/>
    <m/>
    <n v="15"/>
    <s v="CONTRIBUTION"/>
    <m/>
    <m/>
    <m/>
    <d v="2020-10-14T00:00:00"/>
    <n v="416"/>
  </r>
  <r>
    <s v="C00046474"/>
    <x v="0"/>
    <n v="2020"/>
    <s v="M10"/>
    <n v="2.0201019929727901E+17"/>
    <s v="11AI"/>
    <s v="PR929617434128"/>
    <n v="1456209"/>
    <m/>
    <s v="IND"/>
    <s v="INDIVIDUAL"/>
    <m/>
    <s v="MR"/>
    <s v="STONE, TIM MR"/>
    <s v="Q"/>
    <s v="C"/>
    <s v="B"/>
    <s v="TIM"/>
    <m/>
    <s v="STONE"/>
    <m/>
    <s v="322 JERUSALEM"/>
    <m/>
    <s v="COHASSET"/>
    <s v="MA"/>
    <n v="20251138"/>
    <s v="FMC US"/>
    <s v="EXECUTIVE VICE PRESIDENT"/>
    <m/>
    <n v="15"/>
    <s v="CONTRIBUTION"/>
    <m/>
    <m/>
    <m/>
    <d v="2020-09-30T00:00:00"/>
    <n v="4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4:B16" firstHeaderRow="1" firstDataRow="1" firstDataCol="1"/>
  <pivotFields count="36">
    <pivotField showAll="0"/>
    <pivotField axis="axisRow" showAll="0">
      <items count="18">
        <item m="1" x="1"/>
        <item m="1" x="2"/>
        <item m="1" x="15"/>
        <item m="1" x="16"/>
        <item m="1" x="10"/>
        <item m="1" x="5"/>
        <item m="1" x="7"/>
        <item m="1" x="12"/>
        <item x="0"/>
        <item m="1" x="6"/>
        <item m="1" x="9"/>
        <item m="1" x="4"/>
        <item m="1" x="14"/>
        <item m="1" x="13"/>
        <item m="1" x="11"/>
        <item m="1" x="8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</pivotFields>
  <rowFields count="1">
    <field x="1"/>
  </rowFields>
  <rowItems count="2">
    <i>
      <x v="8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0:B23" firstHeaderRow="1" firstDataRow="1" firstDataCol="1"/>
  <pivotFields count="3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0:B22" firstHeaderRow="1" firstDataRow="1" firstDataCol="1"/>
  <pivotFields count="36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36:F144" firstHeaderRow="1" firstDataRow="1" firstDataCol="1"/>
  <pivotFields count="36">
    <pivotField showAll="0"/>
    <pivotField axis="axisRow" showAll="0">
      <items count="8">
        <item x="4"/>
        <item x="3"/>
        <item x="0"/>
        <item x="6"/>
        <item x="5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9:B72" firstHeaderRow="1" firstDataRow="1" firstDataCol="1"/>
  <pivotFields count="36">
    <pivotField showAll="0"/>
    <pivotField axis="axisRow" showAll="0">
      <items count="13">
        <item x="2"/>
        <item x="0"/>
        <item x="4"/>
        <item x="3"/>
        <item x="8"/>
        <item x="10"/>
        <item x="9"/>
        <item x="11"/>
        <item x="1"/>
        <item x="6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14" firstHeaderRow="1" firstDataRow="1" firstDataCol="1"/>
  <pivotFields count="79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13" firstHeaderRow="1" firstDataRow="1" firstDataCol="1"/>
  <pivotFields count="36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B13" firstHeaderRow="1" firstDataRow="1" firstDataCol="1"/>
  <pivotFields count="36">
    <pivotField showAll="0"/>
    <pivotField axis="axisRow" showAll="0">
      <items count="5"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9:B26" firstHeaderRow="1" firstDataRow="1" firstDataCol="1"/>
  <pivotFields count="36">
    <pivotField showAll="0"/>
    <pivotField axis="axisRow" showAll="0">
      <items count="7">
        <item x="4"/>
        <item x="1"/>
        <item x="0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35:C50" firstHeaderRow="1" firstDataRow="1" firstDataCol="1"/>
  <pivotFields count="36">
    <pivotField showAll="0"/>
    <pivotField axis="axisRow" showAll="0">
      <items count="15">
        <item x="3"/>
        <item x="6"/>
        <item x="2"/>
        <item x="9"/>
        <item x="11"/>
        <item x="1"/>
        <item x="10"/>
        <item x="8"/>
        <item x="0"/>
        <item x="13"/>
        <item x="4"/>
        <item x="12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topLeftCell="E1" workbookViewId="0">
      <selection activeCell="O3" sqref="O3"/>
    </sheetView>
  </sheetViews>
  <sheetFormatPr defaultColWidth="8.85546875" defaultRowHeight="15" x14ac:dyDescent="0.25"/>
  <cols>
    <col min="1" max="1" width="8.85546875" style="3"/>
    <col min="2" max="2" width="6.7109375" style="3" bestFit="1" customWidth="1"/>
    <col min="3" max="3" width="5.7109375" style="3" bestFit="1" customWidth="1"/>
    <col min="4" max="4" width="76" style="3" customWidth="1"/>
    <col min="5" max="6" width="9.7109375" style="3" bestFit="1" customWidth="1"/>
    <col min="7" max="7" width="12.7109375" style="3" bestFit="1" customWidth="1"/>
    <col min="8" max="8" width="8" style="3" bestFit="1" customWidth="1"/>
    <col min="9" max="9" width="11" style="3" bestFit="1" customWidth="1"/>
    <col min="10" max="10" width="11.140625" style="3" bestFit="1" customWidth="1"/>
    <col min="11" max="11" width="10" style="3" bestFit="1" customWidth="1"/>
    <col min="12" max="14" width="10.42578125" style="45" bestFit="1" customWidth="1"/>
    <col min="15" max="15" width="8.85546875" style="3"/>
    <col min="16" max="16" width="38.42578125" style="3" bestFit="1" customWidth="1"/>
    <col min="17" max="17" width="26" style="3" bestFit="1" customWidth="1"/>
    <col min="18" max="16384" width="8.85546875" style="3"/>
  </cols>
  <sheetData>
    <row r="1" spans="1:18" s="22" customFormat="1" ht="28.5" x14ac:dyDescent="0.2">
      <c r="A1" s="21" t="s">
        <v>11</v>
      </c>
      <c r="B1" s="21" t="s">
        <v>12</v>
      </c>
      <c r="C1" s="21" t="s">
        <v>13</v>
      </c>
      <c r="D1" s="21" t="s">
        <v>10</v>
      </c>
      <c r="E1" s="21" t="s">
        <v>14</v>
      </c>
      <c r="F1" s="21" t="s">
        <v>15</v>
      </c>
      <c r="G1" s="21" t="s">
        <v>16</v>
      </c>
      <c r="H1" s="21" t="s">
        <v>17</v>
      </c>
      <c r="I1" s="21" t="s">
        <v>7</v>
      </c>
      <c r="J1" s="21" t="s">
        <v>5</v>
      </c>
      <c r="K1" s="21" t="s">
        <v>18</v>
      </c>
      <c r="L1" s="50" t="s">
        <v>19</v>
      </c>
      <c r="M1" s="50" t="s">
        <v>20</v>
      </c>
      <c r="N1" s="50" t="s">
        <v>78</v>
      </c>
      <c r="O1" s="21" t="s">
        <v>21</v>
      </c>
      <c r="P1" s="21" t="s">
        <v>22</v>
      </c>
    </row>
    <row r="2" spans="1:18" ht="15.75" x14ac:dyDescent="0.25">
      <c r="A2" s="3" t="s">
        <v>79</v>
      </c>
      <c r="B2" s="3" t="s">
        <v>24</v>
      </c>
      <c r="C2" s="6" t="s">
        <v>0</v>
      </c>
      <c r="D2" s="8" t="s">
        <v>82</v>
      </c>
      <c r="E2" s="3" t="s">
        <v>80</v>
      </c>
      <c r="F2" s="3" t="s">
        <v>48</v>
      </c>
      <c r="G2" s="3" t="s">
        <v>81</v>
      </c>
      <c r="H2" s="3" t="s">
        <v>39</v>
      </c>
      <c r="I2" s="3" t="s">
        <v>83</v>
      </c>
      <c r="J2" s="3">
        <v>63</v>
      </c>
      <c r="Q2" s="3" t="s">
        <v>1576</v>
      </c>
      <c r="R2" s="3" t="s">
        <v>1559</v>
      </c>
    </row>
    <row r="3" spans="1:18" ht="15.75" x14ac:dyDescent="0.25">
      <c r="A3" s="3" t="s">
        <v>79</v>
      </c>
      <c r="B3" s="3" t="s">
        <v>24</v>
      </c>
      <c r="C3" s="6" t="s">
        <v>0</v>
      </c>
      <c r="D3" s="6" t="s">
        <v>87</v>
      </c>
      <c r="E3" s="37" t="s">
        <v>84</v>
      </c>
      <c r="F3" s="3" t="s">
        <v>86</v>
      </c>
      <c r="G3" s="3" t="s">
        <v>85</v>
      </c>
      <c r="H3" s="3" t="s">
        <v>28</v>
      </c>
      <c r="J3" s="3">
        <v>71</v>
      </c>
      <c r="L3" s="45">
        <f>+GETPIVOTDATA("contribution_receipt_amount",'Anthony Earley'!$B$35)</f>
        <v>15100</v>
      </c>
      <c r="P3" s="3" t="s">
        <v>1867</v>
      </c>
      <c r="Q3" s="3" t="s">
        <v>1560</v>
      </c>
    </row>
    <row r="4" spans="1:18" ht="15.75" x14ac:dyDescent="0.25">
      <c r="A4" s="3" t="s">
        <v>79</v>
      </c>
      <c r="B4" s="3" t="s">
        <v>24</v>
      </c>
      <c r="C4" s="6" t="s">
        <v>24</v>
      </c>
      <c r="D4" s="6" t="s">
        <v>91</v>
      </c>
      <c r="E4" s="3" t="s">
        <v>88</v>
      </c>
      <c r="F4" s="3" t="s">
        <v>90</v>
      </c>
      <c r="G4" s="3" t="s">
        <v>89</v>
      </c>
      <c r="H4" s="3" t="s">
        <v>39</v>
      </c>
      <c r="J4" s="3">
        <v>33</v>
      </c>
      <c r="Q4" s="3" t="s">
        <v>1806</v>
      </c>
      <c r="R4" s="3" t="s">
        <v>1559</v>
      </c>
    </row>
    <row r="5" spans="1:18" ht="15.75" x14ac:dyDescent="0.25">
      <c r="A5" s="3" t="s">
        <v>79</v>
      </c>
      <c r="B5" s="3" t="s">
        <v>24</v>
      </c>
      <c r="C5" s="6" t="s">
        <v>24</v>
      </c>
      <c r="D5" s="6" t="s">
        <v>95</v>
      </c>
      <c r="E5" s="3" t="s">
        <v>92</v>
      </c>
      <c r="F5" s="3" t="s">
        <v>93</v>
      </c>
      <c r="G5" s="3" t="s">
        <v>94</v>
      </c>
      <c r="H5" s="3" t="s">
        <v>28</v>
      </c>
      <c r="J5" s="3">
        <v>58</v>
      </c>
      <c r="Q5" s="3" t="s">
        <v>1561</v>
      </c>
      <c r="R5" s="3" t="s">
        <v>1559</v>
      </c>
    </row>
    <row r="6" spans="1:18" ht="15.75" x14ac:dyDescent="0.25">
      <c r="A6" s="3" t="s">
        <v>79</v>
      </c>
      <c r="B6" s="3" t="s">
        <v>24</v>
      </c>
      <c r="C6" s="6" t="s">
        <v>24</v>
      </c>
      <c r="D6" s="6" t="s">
        <v>98</v>
      </c>
      <c r="E6" s="3" t="s">
        <v>96</v>
      </c>
      <c r="G6" s="3" t="s">
        <v>97</v>
      </c>
      <c r="H6" s="3" t="s">
        <v>28</v>
      </c>
      <c r="J6" s="3">
        <v>40</v>
      </c>
      <c r="L6" s="45">
        <f>+'Henry Ford III'!B28</f>
        <v>12700</v>
      </c>
      <c r="N6" s="45">
        <f>+'Henry Ford III'!B29</f>
        <v>210</v>
      </c>
      <c r="P6" s="3" t="s">
        <v>1866</v>
      </c>
      <c r="Q6" s="3" t="s">
        <v>1562</v>
      </c>
    </row>
    <row r="7" spans="1:18" ht="15.75" x14ac:dyDescent="0.25">
      <c r="A7" s="3" t="s">
        <v>79</v>
      </c>
      <c r="B7" s="3" t="s">
        <v>24</v>
      </c>
      <c r="C7" s="6" t="s">
        <v>24</v>
      </c>
      <c r="D7" s="6" t="s">
        <v>102</v>
      </c>
      <c r="E7" s="3" t="s">
        <v>99</v>
      </c>
      <c r="F7" s="3" t="s">
        <v>100</v>
      </c>
      <c r="G7" s="3" t="s">
        <v>101</v>
      </c>
      <c r="H7" s="3" t="s">
        <v>28</v>
      </c>
      <c r="J7" s="3">
        <v>63</v>
      </c>
      <c r="L7" s="45">
        <f>+'William Clay Ford'!B18</f>
        <v>500</v>
      </c>
      <c r="M7" s="45">
        <f>+'William Clay Ford'!B16</f>
        <v>20000</v>
      </c>
      <c r="N7" s="45">
        <f>+'William Clay Ford'!B17</f>
        <v>10000</v>
      </c>
      <c r="P7" s="3" t="s">
        <v>1901</v>
      </c>
      <c r="Q7" s="3" t="s">
        <v>1563</v>
      </c>
    </row>
    <row r="8" spans="1:18" ht="15.75" x14ac:dyDescent="0.25">
      <c r="A8" s="3" t="s">
        <v>79</v>
      </c>
      <c r="B8" s="3" t="s">
        <v>24</v>
      </c>
      <c r="C8" s="6" t="s">
        <v>0</v>
      </c>
      <c r="D8" s="6" t="s">
        <v>105</v>
      </c>
      <c r="E8" s="3" t="s">
        <v>99</v>
      </c>
      <c r="F8" s="3" t="s">
        <v>103</v>
      </c>
      <c r="G8" s="3" t="s">
        <v>104</v>
      </c>
      <c r="H8" s="3" t="s">
        <v>28</v>
      </c>
      <c r="J8" s="3">
        <v>62</v>
      </c>
      <c r="L8" s="45">
        <f>+GETPIVOTDATA("contribution_receipt_amount",'William Helman'!$A$10)</f>
        <v>2850</v>
      </c>
      <c r="P8" s="3" t="s">
        <v>1918</v>
      </c>
      <c r="Q8" s="3" t="s">
        <v>1564</v>
      </c>
    </row>
    <row r="9" spans="1:18" ht="15.75" x14ac:dyDescent="0.25">
      <c r="A9" s="3" t="s">
        <v>79</v>
      </c>
      <c r="B9" s="3" t="s">
        <v>24</v>
      </c>
      <c r="C9" s="6" t="s">
        <v>0</v>
      </c>
      <c r="D9" s="39" t="s">
        <v>109</v>
      </c>
      <c r="E9" s="3" t="s">
        <v>106</v>
      </c>
      <c r="F9" s="3" t="s">
        <v>107</v>
      </c>
      <c r="G9" s="3" t="s">
        <v>108</v>
      </c>
      <c r="H9" s="3" t="s">
        <v>28</v>
      </c>
      <c r="J9" s="3">
        <v>61</v>
      </c>
      <c r="K9" s="40">
        <v>22001</v>
      </c>
      <c r="M9" s="45">
        <f>+'Jon Huntsman'!AJ2</f>
        <v>2800</v>
      </c>
      <c r="P9" s="3" t="s">
        <v>1935</v>
      </c>
      <c r="Q9" s="3" t="s">
        <v>1565</v>
      </c>
    </row>
    <row r="10" spans="1:18" ht="15.75" x14ac:dyDescent="0.25">
      <c r="A10" s="3" t="s">
        <v>79</v>
      </c>
      <c r="B10" s="3" t="s">
        <v>24</v>
      </c>
      <c r="C10" s="6" t="s">
        <v>0</v>
      </c>
      <c r="D10" s="6" t="s">
        <v>115</v>
      </c>
      <c r="E10" s="37" t="s">
        <v>99</v>
      </c>
      <c r="F10" s="3" t="s">
        <v>110</v>
      </c>
      <c r="G10" s="3" t="s">
        <v>111</v>
      </c>
      <c r="H10" s="3" t="s">
        <v>28</v>
      </c>
      <c r="J10" s="3">
        <v>64</v>
      </c>
      <c r="K10" s="40">
        <v>20839</v>
      </c>
      <c r="L10" s="45">
        <f>+'William Kennard'!B15</f>
        <v>1250</v>
      </c>
      <c r="M10" s="45">
        <f>+'William Kennard'!B16</f>
        <v>5000</v>
      </c>
      <c r="P10" s="3" t="s">
        <v>1958</v>
      </c>
      <c r="Q10" s="3" t="s">
        <v>1566</v>
      </c>
    </row>
    <row r="11" spans="1:18" ht="15.75" x14ac:dyDescent="0.25">
      <c r="A11" s="3" t="s">
        <v>79</v>
      </c>
      <c r="B11" s="3" t="s">
        <v>24</v>
      </c>
      <c r="C11" s="6" t="s">
        <v>0</v>
      </c>
      <c r="D11" s="6" t="s">
        <v>116</v>
      </c>
      <c r="E11" s="3" t="s">
        <v>112</v>
      </c>
      <c r="F11" s="3" t="s">
        <v>113</v>
      </c>
      <c r="G11" s="3" t="s">
        <v>114</v>
      </c>
      <c r="H11" s="3" t="s">
        <v>39</v>
      </c>
      <c r="J11" s="3">
        <v>66</v>
      </c>
      <c r="K11" s="3">
        <v>1955</v>
      </c>
      <c r="L11" s="45">
        <f>+GETPIVOTDATA("contribution_receipt_amount",'Beth Mooney'!$A$59)</f>
        <v>33813.200000000004</v>
      </c>
      <c r="P11" s="3" t="s">
        <v>2075</v>
      </c>
      <c r="Q11" s="3" t="s">
        <v>1567</v>
      </c>
    </row>
    <row r="12" spans="1:18" ht="15.75" x14ac:dyDescent="0.25">
      <c r="A12" s="3" t="s">
        <v>79</v>
      </c>
      <c r="B12" s="3" t="s">
        <v>24</v>
      </c>
      <c r="C12" s="6" t="s">
        <v>0</v>
      </c>
      <c r="D12" s="6" t="s">
        <v>120</v>
      </c>
      <c r="E12" s="3" t="s">
        <v>117</v>
      </c>
      <c r="F12" s="3" t="s">
        <v>118</v>
      </c>
      <c r="G12" s="3" t="s">
        <v>119</v>
      </c>
      <c r="H12" s="3" t="s">
        <v>28</v>
      </c>
      <c r="J12" s="3">
        <v>67</v>
      </c>
      <c r="K12" s="40">
        <v>19726</v>
      </c>
      <c r="M12" s="45">
        <f>+GETPIVOTDATA("contribution_receipt_amount",'John Thornton'!$E$136)</f>
        <v>2813.1400000000003</v>
      </c>
      <c r="P12" s="3" t="s">
        <v>2416</v>
      </c>
      <c r="Q12" s="3" t="s">
        <v>1568</v>
      </c>
    </row>
    <row r="13" spans="1:18" ht="15.75" x14ac:dyDescent="0.25">
      <c r="A13" s="3" t="s">
        <v>79</v>
      </c>
      <c r="B13" s="3" t="s">
        <v>24</v>
      </c>
      <c r="C13" s="6" t="s">
        <v>0</v>
      </c>
      <c r="D13" s="6" t="s">
        <v>124</v>
      </c>
      <c r="E13" s="3" t="s">
        <v>121</v>
      </c>
      <c r="F13" s="3" t="s">
        <v>122</v>
      </c>
      <c r="G13" s="3" t="s">
        <v>123</v>
      </c>
      <c r="H13" s="3" t="s">
        <v>28</v>
      </c>
      <c r="J13" s="3">
        <v>65</v>
      </c>
      <c r="K13" s="40">
        <v>21730</v>
      </c>
      <c r="Q13" s="3" t="s">
        <v>1569</v>
      </c>
      <c r="R13" s="3" t="s">
        <v>1559</v>
      </c>
    </row>
    <row r="14" spans="1:18" ht="15.75" x14ac:dyDescent="0.25">
      <c r="A14" s="3" t="s">
        <v>79</v>
      </c>
      <c r="B14" s="3" t="s">
        <v>24</v>
      </c>
      <c r="C14" s="6" t="s">
        <v>0</v>
      </c>
      <c r="D14" s="6" t="s">
        <v>127</v>
      </c>
      <c r="E14" s="3" t="s">
        <v>125</v>
      </c>
      <c r="F14" s="3" t="s">
        <v>107</v>
      </c>
      <c r="G14" s="3" t="s">
        <v>126</v>
      </c>
      <c r="H14" s="3" t="s">
        <v>39</v>
      </c>
      <c r="J14" s="3">
        <v>53</v>
      </c>
      <c r="P14" s="3" t="s">
        <v>2417</v>
      </c>
      <c r="Q14" s="3" t="s">
        <v>1570</v>
      </c>
      <c r="R14" s="3" t="s">
        <v>1559</v>
      </c>
    </row>
    <row r="15" spans="1:18" ht="15.75" x14ac:dyDescent="0.25">
      <c r="A15" s="3" t="s">
        <v>79</v>
      </c>
      <c r="B15" s="3" t="s">
        <v>24</v>
      </c>
      <c r="C15" s="6" t="s">
        <v>0</v>
      </c>
      <c r="D15" s="7" t="s">
        <v>130</v>
      </c>
      <c r="E15" s="3" t="s">
        <v>117</v>
      </c>
      <c r="F15" s="3" t="s">
        <v>128</v>
      </c>
      <c r="G15" s="3" t="s">
        <v>129</v>
      </c>
      <c r="H15" s="3" t="s">
        <v>28</v>
      </c>
      <c r="J15" s="3">
        <v>64</v>
      </c>
      <c r="P15" s="3" t="s">
        <v>2418</v>
      </c>
      <c r="Q15" s="3" t="s">
        <v>1571</v>
      </c>
      <c r="R15" s="3" t="s">
        <v>1559</v>
      </c>
    </row>
    <row r="16" spans="1:18" ht="15.75" x14ac:dyDescent="0.25">
      <c r="A16" s="3" t="s">
        <v>79</v>
      </c>
      <c r="B16" s="3" t="s">
        <v>0</v>
      </c>
      <c r="C16" s="7" t="s">
        <v>24</v>
      </c>
      <c r="D16" s="9" t="s">
        <v>133</v>
      </c>
      <c r="E16" s="37" t="s">
        <v>117</v>
      </c>
      <c r="F16" s="3" t="s">
        <v>131</v>
      </c>
      <c r="G16" s="3" t="s">
        <v>132</v>
      </c>
      <c r="H16" s="3" t="s">
        <v>28</v>
      </c>
      <c r="Q16" s="3" t="s">
        <v>1572</v>
      </c>
      <c r="R16" s="3" t="s">
        <v>1559</v>
      </c>
    </row>
    <row r="17" spans="1:18" ht="15.75" x14ac:dyDescent="0.25">
      <c r="A17" s="3" t="s">
        <v>79</v>
      </c>
      <c r="B17" s="3" t="s">
        <v>0</v>
      </c>
      <c r="C17" s="7" t="s">
        <v>24</v>
      </c>
      <c r="D17" s="7" t="s">
        <v>136</v>
      </c>
      <c r="E17" s="3" t="s">
        <v>134</v>
      </c>
      <c r="G17" s="3" t="s">
        <v>135</v>
      </c>
      <c r="J17" s="45">
        <v>55</v>
      </c>
      <c r="K17" s="40">
        <v>24362</v>
      </c>
      <c r="L17" s="45">
        <f>+GETPIVOTDATA("contribution_receipt_amount",'Hau Thai-Tang'!$A$20,"committee_name","FORD MOTOR COMPANY CIVIC ACTION FUND")*'Hau Thai-Tang'!C22</f>
        <v>1726.7328</v>
      </c>
      <c r="M17" s="45">
        <f>+GETPIVOTDATA("contribution_receipt_amount",'Hau Thai-Tang'!$A$20,"committee_name","FORD MOTOR COMPANY CIVIC ACTION FUND")*'Hau Thai-Tang'!C21</f>
        <v>3265.2672000000002</v>
      </c>
      <c r="P17" s="3" t="s">
        <v>2455</v>
      </c>
      <c r="Q17" s="3" t="s">
        <v>1573</v>
      </c>
    </row>
    <row r="18" spans="1:18" ht="15.75" x14ac:dyDescent="0.25">
      <c r="A18" s="3" t="s">
        <v>79</v>
      </c>
      <c r="B18" s="3" t="s">
        <v>0</v>
      </c>
      <c r="C18" s="7" t="s">
        <v>24</v>
      </c>
      <c r="D18" s="9" t="s">
        <v>140</v>
      </c>
      <c r="E18" s="37" t="s">
        <v>137</v>
      </c>
      <c r="F18" s="3" t="s">
        <v>138</v>
      </c>
      <c r="G18" s="3" t="s">
        <v>139</v>
      </c>
      <c r="J18" s="45">
        <v>56</v>
      </c>
      <c r="K18" s="46">
        <v>24077</v>
      </c>
      <c r="Q18" s="3" t="s">
        <v>1574</v>
      </c>
      <c r="R18" s="3" t="s">
        <v>1559</v>
      </c>
    </row>
    <row r="19" spans="1:18" ht="15.75" x14ac:dyDescent="0.25">
      <c r="A19" s="3" t="s">
        <v>79</v>
      </c>
      <c r="B19" s="3" t="s">
        <v>0</v>
      </c>
      <c r="C19" s="7" t="s">
        <v>24</v>
      </c>
      <c r="D19" s="9" t="s">
        <v>143</v>
      </c>
      <c r="E19" s="37" t="s">
        <v>92</v>
      </c>
      <c r="F19" s="3" t="s">
        <v>141</v>
      </c>
      <c r="G19" s="3" t="s">
        <v>142</v>
      </c>
      <c r="H19" s="3" t="s">
        <v>28</v>
      </c>
      <c r="J19" s="3">
        <v>66</v>
      </c>
      <c r="K19" s="40">
        <v>20201</v>
      </c>
      <c r="L19" s="45">
        <f>+GETPIVOTDATA("contribution_receipt_amount",'James P. Hackett'!$A$20,"committee_name","FORD MOTOR COMPANY CIVIC ACTION FUND")*'James P. Hackett'!F21</f>
        <v>1245.24</v>
      </c>
      <c r="M19" s="45">
        <f>+GETPIVOTDATA("contribution_receipt_amount",'James P. Hackett'!$A$20,"committee_name","FORD MOTOR COMPANY CIVIC ACTION FUND")*'James P. Hackett'!D21+GETPIVOTDATA("contribution_receipt_amount",'James P. Hackett'!$A$20,"committee_name","NRCC")</f>
        <v>2604.7600000000002</v>
      </c>
      <c r="P19" s="3" t="s">
        <v>2526</v>
      </c>
      <c r="Q19" s="3" t="s">
        <v>1575</v>
      </c>
    </row>
    <row r="20" spans="1:18" ht="15.75" x14ac:dyDescent="0.25">
      <c r="A20" s="3" t="s">
        <v>79</v>
      </c>
      <c r="B20" s="3" t="s">
        <v>0</v>
      </c>
      <c r="C20" s="7" t="s">
        <v>24</v>
      </c>
      <c r="D20" s="9" t="s">
        <v>144</v>
      </c>
      <c r="E20" s="37" t="s">
        <v>145</v>
      </c>
      <c r="G20" s="3" t="s">
        <v>146</v>
      </c>
      <c r="H20" s="3" t="s">
        <v>28</v>
      </c>
      <c r="L20" s="45">
        <f>+GETPIVOTDATA("contribution_receipt_amount",'Tim Stone'!$A$14,"committee_name","FORD MOTOR COMPANY CIVIC ACTION FUND")*'Tim Stone'!F15</f>
        <v>1438.944</v>
      </c>
      <c r="M20" s="45">
        <f>+GETPIVOTDATA("contribution_receipt_amount",'Tim Stone'!$A$14,"committee_name","FORD MOTOR COMPANY CIVIC ACTION FUND")*'Tim Stone'!D15</f>
        <v>2721.056</v>
      </c>
      <c r="P20" s="3" t="s">
        <v>2527</v>
      </c>
      <c r="Q20" s="3" t="s">
        <v>2497</v>
      </c>
    </row>
    <row r="21" spans="1:18" ht="15.75" x14ac:dyDescent="0.25">
      <c r="C21" s="7"/>
      <c r="D21" s="9"/>
      <c r="E21" s="5"/>
    </row>
    <row r="22" spans="1:18" ht="15.75" x14ac:dyDescent="0.25">
      <c r="C22" s="7"/>
      <c r="D22" s="9"/>
      <c r="E22" s="5"/>
      <c r="L22" s="45">
        <f>SUM(L2:L21)</f>
        <v>70624.116800000018</v>
      </c>
      <c r="M22" s="45">
        <f>SUM(M2:M21)</f>
        <v>39204.2232</v>
      </c>
      <c r="N22" s="45">
        <f>SUM(N2:N21)</f>
        <v>10210</v>
      </c>
    </row>
    <row r="23" spans="1:18" ht="15.75" x14ac:dyDescent="0.25">
      <c r="C23" s="7"/>
      <c r="D23" s="5"/>
      <c r="E23" s="5"/>
    </row>
    <row r="24" spans="1:18" x14ac:dyDescent="0.25">
      <c r="C24" s="4"/>
    </row>
    <row r="25" spans="1:18" x14ac:dyDescent="0.25">
      <c r="C25" s="4"/>
      <c r="D25" s="5"/>
      <c r="E25" s="5"/>
    </row>
    <row r="26" spans="1:18" x14ac:dyDescent="0.25">
      <c r="C26" s="4"/>
    </row>
    <row r="27" spans="1:18" x14ac:dyDescent="0.25">
      <c r="C27" s="4"/>
      <c r="D27" s="5"/>
      <c r="E27" s="5"/>
    </row>
    <row r="28" spans="1:18" x14ac:dyDescent="0.25">
      <c r="C28" s="4"/>
      <c r="D28" s="5"/>
      <c r="E28" s="5"/>
    </row>
    <row r="29" spans="1:18" x14ac:dyDescent="0.25">
      <c r="C29" s="4"/>
      <c r="D29" s="5"/>
      <c r="E29" s="5"/>
    </row>
    <row r="30" spans="1:18" x14ac:dyDescent="0.25">
      <c r="C30" s="4"/>
    </row>
    <row r="31" spans="1:18" x14ac:dyDescent="0.25">
      <c r="C31" s="4"/>
      <c r="D31" s="5"/>
      <c r="E31" s="5"/>
    </row>
    <row r="32" spans="1:18" x14ac:dyDescent="0.25">
      <c r="C32" s="4"/>
      <c r="D32" s="5"/>
      <c r="E32" s="5"/>
    </row>
    <row r="33" spans="3:5" x14ac:dyDescent="0.25">
      <c r="C33" s="4"/>
      <c r="D33" s="5"/>
      <c r="E33" s="5"/>
    </row>
    <row r="34" spans="3:5" x14ac:dyDescent="0.25">
      <c r="C34" s="4"/>
      <c r="D34" s="5"/>
      <c r="E34" s="5"/>
    </row>
    <row r="35" spans="3:5" x14ac:dyDescent="0.25">
      <c r="C35" s="4"/>
      <c r="D35" s="5"/>
      <c r="E35" s="5"/>
    </row>
    <row r="36" spans="3:5" x14ac:dyDescent="0.25">
      <c r="C36" s="4"/>
      <c r="D36" s="5"/>
      <c r="E36" s="5"/>
    </row>
    <row r="37" spans="3:5" x14ac:dyDescent="0.25">
      <c r="C37" s="4"/>
      <c r="D37" s="5"/>
      <c r="E37" s="5"/>
    </row>
    <row r="38" spans="3:5" x14ac:dyDescent="0.25">
      <c r="C38" s="4"/>
      <c r="D38" s="5"/>
      <c r="E38" s="5"/>
    </row>
    <row r="39" spans="3:5" x14ac:dyDescent="0.25">
      <c r="C39" s="4"/>
      <c r="D39" s="5"/>
      <c r="E39" s="5"/>
    </row>
    <row r="40" spans="3:5" x14ac:dyDescent="0.25">
      <c r="C40" s="4"/>
      <c r="D40" s="5"/>
      <c r="E40" s="5"/>
    </row>
    <row r="41" spans="3:5" x14ac:dyDescent="0.25">
      <c r="C41" s="4"/>
      <c r="D41" s="5"/>
      <c r="E41" s="5"/>
    </row>
    <row r="42" spans="3:5" x14ac:dyDescent="0.25">
      <c r="C42" s="4"/>
      <c r="D42" s="5"/>
      <c r="E42" s="5"/>
    </row>
    <row r="43" spans="3:5" x14ac:dyDescent="0.25">
      <c r="C43" s="4"/>
      <c r="D43" s="5"/>
      <c r="E43" s="5"/>
    </row>
    <row r="44" spans="3:5" x14ac:dyDescent="0.25">
      <c r="C44" s="4"/>
      <c r="D44" s="5"/>
      <c r="E44" s="5"/>
    </row>
    <row r="45" spans="3:5" x14ac:dyDescent="0.25">
      <c r="C45" s="4"/>
      <c r="D45" s="5"/>
      <c r="E45" s="5"/>
    </row>
    <row r="46" spans="3:5" x14ac:dyDescent="0.25">
      <c r="C46" s="4"/>
    </row>
    <row r="47" spans="3:5" x14ac:dyDescent="0.25">
      <c r="C47" s="4"/>
      <c r="D47" s="5"/>
      <c r="E47" s="5"/>
    </row>
    <row r="48" spans="3:5" x14ac:dyDescent="0.25">
      <c r="C48" s="4"/>
      <c r="D48" s="5"/>
      <c r="E48" s="5"/>
    </row>
    <row r="49" spans="3:5" x14ac:dyDescent="0.25">
      <c r="C49" s="4"/>
      <c r="D49" s="5"/>
      <c r="E49" s="5"/>
    </row>
    <row r="50" spans="3:5" x14ac:dyDescent="0.25">
      <c r="C50" s="4"/>
      <c r="D50" s="5"/>
      <c r="E50" s="5"/>
    </row>
    <row r="51" spans="3:5" x14ac:dyDescent="0.25">
      <c r="C51" s="4"/>
    </row>
    <row r="52" spans="3:5" x14ac:dyDescent="0.25">
      <c r="C52" s="4"/>
      <c r="D52" s="5"/>
      <c r="E52" s="5"/>
    </row>
    <row r="53" spans="3:5" x14ac:dyDescent="0.25">
      <c r="C53" s="4"/>
      <c r="D53" s="5"/>
      <c r="E53" s="5"/>
    </row>
    <row r="54" spans="3:5" x14ac:dyDescent="0.25">
      <c r="C54" s="4"/>
      <c r="D54" s="5"/>
      <c r="E54" s="5"/>
    </row>
    <row r="55" spans="3:5" x14ac:dyDescent="0.25">
      <c r="C55" s="4"/>
      <c r="D55" s="5"/>
      <c r="E55" s="5"/>
    </row>
    <row r="56" spans="3:5" x14ac:dyDescent="0.25">
      <c r="C56" s="4"/>
      <c r="D56" s="5"/>
      <c r="E56" s="5"/>
    </row>
    <row r="57" spans="3:5" x14ac:dyDescent="0.25">
      <c r="C57" s="4"/>
      <c r="D57" s="5"/>
      <c r="E57" s="5"/>
    </row>
    <row r="58" spans="3:5" x14ac:dyDescent="0.25">
      <c r="C58" s="4"/>
      <c r="D58" s="5"/>
      <c r="E58" s="5"/>
    </row>
    <row r="59" spans="3:5" x14ac:dyDescent="0.25">
      <c r="C59" s="4"/>
      <c r="D59" s="5"/>
      <c r="E59" s="5"/>
    </row>
    <row r="60" spans="3:5" x14ac:dyDescent="0.25">
      <c r="C60" s="4"/>
      <c r="D60" s="5"/>
      <c r="E60" s="5"/>
    </row>
    <row r="61" spans="3:5" x14ac:dyDescent="0.25">
      <c r="C61" s="4"/>
      <c r="D61" s="5"/>
      <c r="E61" s="5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5"/>
  <sheetViews>
    <sheetView topLeftCell="A196" workbookViewId="0">
      <selection activeCell="E44" sqref="E44:H44"/>
    </sheetView>
  </sheetViews>
  <sheetFormatPr defaultRowHeight="15" x14ac:dyDescent="0.25"/>
  <cols>
    <col min="1" max="1" width="11.140625" bestFit="1" customWidth="1"/>
    <col min="2" max="2" width="87.85546875" customWidth="1"/>
    <col min="4" max="4" width="17.85546875" bestFit="1" customWidth="1"/>
    <col min="7" max="7" width="8.85546875" style="2"/>
    <col min="8" max="8" width="15.28515625" customWidth="1"/>
    <col min="11" max="11" width="22.140625" customWidth="1"/>
    <col min="17" max="17" width="8.85546875" style="2"/>
    <col min="18" max="18" width="16" customWidth="1"/>
  </cols>
  <sheetData>
    <row r="1" spans="1:18" x14ac:dyDescent="0.25">
      <c r="A1" t="s">
        <v>852</v>
      </c>
      <c r="B1" t="s">
        <v>147</v>
      </c>
      <c r="D1" s="12" t="s">
        <v>6</v>
      </c>
      <c r="E1" t="s">
        <v>2</v>
      </c>
      <c r="F1" s="2" t="s">
        <v>4</v>
      </c>
      <c r="G1" t="s">
        <v>3</v>
      </c>
      <c r="H1" s="12" t="s">
        <v>8</v>
      </c>
      <c r="I1" s="12" t="s">
        <v>9</v>
      </c>
    </row>
    <row r="2" spans="1:18" x14ac:dyDescent="0.25">
      <c r="A2" t="s">
        <v>853</v>
      </c>
      <c r="B2" t="s">
        <v>148</v>
      </c>
      <c r="R2" s="1"/>
    </row>
    <row r="3" spans="1:18" ht="15.75" x14ac:dyDescent="0.25">
      <c r="A3" t="s">
        <v>854</v>
      </c>
      <c r="B3" t="s">
        <v>149</v>
      </c>
      <c r="D3" t="s">
        <v>1557</v>
      </c>
      <c r="E3" s="10"/>
      <c r="F3" s="10"/>
      <c r="G3"/>
      <c r="H3" s="7"/>
      <c r="I3" s="7"/>
      <c r="R3" s="1"/>
    </row>
    <row r="4" spans="1:18" x14ac:dyDescent="0.25">
      <c r="A4" t="s">
        <v>855</v>
      </c>
      <c r="B4" t="s">
        <v>150</v>
      </c>
      <c r="H4" s="1"/>
      <c r="R4" s="1"/>
    </row>
    <row r="5" spans="1:18" x14ac:dyDescent="0.25">
      <c r="A5" t="s">
        <v>856</v>
      </c>
      <c r="B5" t="s">
        <v>151</v>
      </c>
      <c r="D5" t="s">
        <v>1</v>
      </c>
      <c r="H5" s="1"/>
      <c r="R5" s="1"/>
    </row>
    <row r="6" spans="1:18" ht="15.75" x14ac:dyDescent="0.25">
      <c r="A6" t="s">
        <v>857</v>
      </c>
      <c r="B6" t="s">
        <v>152</v>
      </c>
      <c r="C6" s="11"/>
      <c r="D6" t="s">
        <v>1</v>
      </c>
      <c r="E6" s="7"/>
      <c r="F6" s="7"/>
      <c r="H6" s="1"/>
      <c r="R6" s="1"/>
    </row>
    <row r="7" spans="1:18" x14ac:dyDescent="0.25">
      <c r="A7" t="s">
        <v>858</v>
      </c>
      <c r="B7" t="s">
        <v>153</v>
      </c>
      <c r="H7" s="1"/>
      <c r="R7" s="1"/>
    </row>
    <row r="8" spans="1:18" x14ac:dyDescent="0.25">
      <c r="A8" t="s">
        <v>859</v>
      </c>
      <c r="B8" t="s">
        <v>154</v>
      </c>
      <c r="D8" t="s">
        <v>1</v>
      </c>
      <c r="H8" s="1"/>
      <c r="R8" s="1"/>
    </row>
    <row r="9" spans="1:18" x14ac:dyDescent="0.25">
      <c r="A9" t="s">
        <v>860</v>
      </c>
      <c r="B9" t="s">
        <v>155</v>
      </c>
      <c r="D9" t="s">
        <v>1</v>
      </c>
      <c r="H9" s="1"/>
      <c r="R9" s="1"/>
    </row>
    <row r="10" spans="1:18" x14ac:dyDescent="0.25">
      <c r="A10" t="s">
        <v>861</v>
      </c>
      <c r="B10" t="s">
        <v>156</v>
      </c>
      <c r="H10" s="1"/>
      <c r="R10" s="1"/>
    </row>
    <row r="11" spans="1:18" x14ac:dyDescent="0.25">
      <c r="A11" t="s">
        <v>862</v>
      </c>
      <c r="B11" t="s">
        <v>157</v>
      </c>
      <c r="D11" t="s">
        <v>1557</v>
      </c>
      <c r="H11" s="1"/>
      <c r="R11" s="1"/>
    </row>
    <row r="12" spans="1:18" x14ac:dyDescent="0.25">
      <c r="A12" t="s">
        <v>863</v>
      </c>
      <c r="B12" t="s">
        <v>158</v>
      </c>
      <c r="D12" t="s">
        <v>1</v>
      </c>
      <c r="H12" s="1"/>
      <c r="R12" s="1"/>
    </row>
    <row r="13" spans="1:18" x14ac:dyDescent="0.25">
      <c r="A13" t="s">
        <v>864</v>
      </c>
      <c r="B13" t="s">
        <v>159</v>
      </c>
      <c r="D13" t="s">
        <v>1557</v>
      </c>
      <c r="H13" s="1"/>
      <c r="R13" s="1"/>
    </row>
    <row r="14" spans="1:18" x14ac:dyDescent="0.25">
      <c r="A14" t="s">
        <v>865</v>
      </c>
      <c r="B14" t="s">
        <v>160</v>
      </c>
      <c r="D14" t="s">
        <v>1</v>
      </c>
      <c r="H14" s="1"/>
      <c r="R14" s="1"/>
    </row>
    <row r="15" spans="1:18" x14ac:dyDescent="0.25">
      <c r="A15" t="s">
        <v>866</v>
      </c>
      <c r="B15" t="s">
        <v>161</v>
      </c>
      <c r="D15" t="s">
        <v>1</v>
      </c>
      <c r="H15" s="1"/>
      <c r="R15" s="1"/>
    </row>
    <row r="16" spans="1:18" x14ac:dyDescent="0.25">
      <c r="A16" t="s">
        <v>867</v>
      </c>
      <c r="B16" t="s">
        <v>162</v>
      </c>
      <c r="D16" t="s">
        <v>1</v>
      </c>
      <c r="H16" s="1"/>
      <c r="R16" s="1"/>
    </row>
    <row r="17" spans="1:18" x14ac:dyDescent="0.25">
      <c r="A17" t="s">
        <v>868</v>
      </c>
      <c r="B17" t="s">
        <v>163</v>
      </c>
      <c r="D17" t="s">
        <v>1</v>
      </c>
      <c r="H17" s="1"/>
      <c r="R17" s="1"/>
    </row>
    <row r="18" spans="1:18" x14ac:dyDescent="0.25">
      <c r="A18" t="s">
        <v>869</v>
      </c>
      <c r="B18" t="s">
        <v>164</v>
      </c>
      <c r="D18" t="s">
        <v>1</v>
      </c>
      <c r="H18" s="1"/>
      <c r="R18" s="1"/>
    </row>
    <row r="19" spans="1:18" x14ac:dyDescent="0.25">
      <c r="A19" t="s">
        <v>870</v>
      </c>
      <c r="B19" t="s">
        <v>165</v>
      </c>
      <c r="D19" t="s">
        <v>1</v>
      </c>
      <c r="H19" s="1"/>
      <c r="R19" s="1"/>
    </row>
    <row r="20" spans="1:18" x14ac:dyDescent="0.25">
      <c r="A20" t="s">
        <v>871</v>
      </c>
      <c r="B20" t="s">
        <v>166</v>
      </c>
      <c r="D20" t="s">
        <v>1557</v>
      </c>
      <c r="H20" s="1"/>
      <c r="R20" s="1"/>
    </row>
    <row r="21" spans="1:18" x14ac:dyDescent="0.25">
      <c r="A21" t="s">
        <v>872</v>
      </c>
      <c r="B21" t="s">
        <v>167</v>
      </c>
      <c r="D21" t="s">
        <v>1557</v>
      </c>
      <c r="H21" s="1"/>
      <c r="R21" s="1"/>
    </row>
    <row r="22" spans="1:18" x14ac:dyDescent="0.25">
      <c r="A22" t="s">
        <v>873</v>
      </c>
      <c r="B22" t="s">
        <v>168</v>
      </c>
      <c r="H22" s="1"/>
      <c r="R22" s="1"/>
    </row>
    <row r="23" spans="1:18" x14ac:dyDescent="0.25">
      <c r="A23" t="s">
        <v>874</v>
      </c>
      <c r="B23" t="s">
        <v>169</v>
      </c>
      <c r="H23" s="1"/>
      <c r="R23" s="1"/>
    </row>
    <row r="24" spans="1:18" x14ac:dyDescent="0.25">
      <c r="A24" t="s">
        <v>875</v>
      </c>
      <c r="B24" t="s">
        <v>170</v>
      </c>
      <c r="D24" t="s">
        <v>1</v>
      </c>
      <c r="H24" s="1"/>
      <c r="R24" s="1"/>
    </row>
    <row r="25" spans="1:18" x14ac:dyDescent="0.25">
      <c r="A25" t="s">
        <v>876</v>
      </c>
      <c r="B25" t="s">
        <v>171</v>
      </c>
      <c r="D25" t="s">
        <v>1557</v>
      </c>
      <c r="H25" s="1"/>
      <c r="R25" s="1"/>
    </row>
    <row r="26" spans="1:18" x14ac:dyDescent="0.25">
      <c r="A26" t="s">
        <v>877</v>
      </c>
      <c r="B26" t="s">
        <v>172</v>
      </c>
      <c r="D26" t="s">
        <v>1557</v>
      </c>
      <c r="H26" s="1"/>
      <c r="R26" s="1"/>
    </row>
    <row r="27" spans="1:18" x14ac:dyDescent="0.25">
      <c r="A27" t="s">
        <v>878</v>
      </c>
      <c r="B27" t="s">
        <v>173</v>
      </c>
      <c r="D27" t="s">
        <v>1</v>
      </c>
      <c r="H27" s="1"/>
      <c r="R27" s="1"/>
    </row>
    <row r="28" spans="1:18" x14ac:dyDescent="0.25">
      <c r="A28" t="s">
        <v>879</v>
      </c>
      <c r="B28" t="s">
        <v>174</v>
      </c>
      <c r="H28" s="1"/>
      <c r="R28" s="1"/>
    </row>
    <row r="29" spans="1:18" x14ac:dyDescent="0.25">
      <c r="A29" t="s">
        <v>880</v>
      </c>
      <c r="B29" t="s">
        <v>175</v>
      </c>
      <c r="H29" s="1"/>
      <c r="R29" s="1"/>
    </row>
    <row r="30" spans="1:18" x14ac:dyDescent="0.25">
      <c r="A30" t="s">
        <v>881</v>
      </c>
      <c r="B30" t="s">
        <v>176</v>
      </c>
      <c r="D30" t="s">
        <v>1557</v>
      </c>
      <c r="H30" s="1"/>
      <c r="R30" s="1"/>
    </row>
    <row r="31" spans="1:18" x14ac:dyDescent="0.25">
      <c r="A31" t="s">
        <v>882</v>
      </c>
      <c r="B31" t="s">
        <v>177</v>
      </c>
      <c r="D31" t="s">
        <v>1557</v>
      </c>
      <c r="H31" s="1"/>
      <c r="R31" s="1"/>
    </row>
    <row r="32" spans="1:18" x14ac:dyDescent="0.25">
      <c r="A32" t="s">
        <v>883</v>
      </c>
      <c r="B32" t="s">
        <v>178</v>
      </c>
      <c r="D32" t="s">
        <v>1</v>
      </c>
      <c r="H32" s="1"/>
      <c r="R32" s="1"/>
    </row>
    <row r="33" spans="1:18" x14ac:dyDescent="0.25">
      <c r="A33" t="s">
        <v>884</v>
      </c>
      <c r="B33" t="s">
        <v>179</v>
      </c>
      <c r="H33" s="1"/>
      <c r="R33" s="1"/>
    </row>
    <row r="34" spans="1:18" x14ac:dyDescent="0.25">
      <c r="A34" t="s">
        <v>885</v>
      </c>
      <c r="B34" t="s">
        <v>180</v>
      </c>
      <c r="D34" t="s">
        <v>1557</v>
      </c>
      <c r="H34" s="1"/>
      <c r="R34" s="1"/>
    </row>
    <row r="35" spans="1:18" x14ac:dyDescent="0.25">
      <c r="A35" t="s">
        <v>886</v>
      </c>
      <c r="B35" t="s">
        <v>181</v>
      </c>
      <c r="D35" t="s">
        <v>1</v>
      </c>
      <c r="H35" s="1"/>
      <c r="R35" s="1"/>
    </row>
    <row r="36" spans="1:18" x14ac:dyDescent="0.25">
      <c r="A36" t="s">
        <v>887</v>
      </c>
      <c r="B36" t="s">
        <v>182</v>
      </c>
      <c r="D36" t="s">
        <v>1</v>
      </c>
      <c r="H36" s="1"/>
      <c r="R36" s="1"/>
    </row>
    <row r="37" spans="1:18" x14ac:dyDescent="0.25">
      <c r="A37" t="s">
        <v>888</v>
      </c>
      <c r="B37" t="s">
        <v>183</v>
      </c>
      <c r="D37" t="s">
        <v>1</v>
      </c>
      <c r="H37" s="1"/>
      <c r="R37" s="1"/>
    </row>
    <row r="38" spans="1:18" x14ac:dyDescent="0.25">
      <c r="A38" t="s">
        <v>889</v>
      </c>
      <c r="B38" t="s">
        <v>184</v>
      </c>
      <c r="D38" t="s">
        <v>1557</v>
      </c>
      <c r="H38" s="1"/>
      <c r="R38" s="1"/>
    </row>
    <row r="39" spans="1:18" x14ac:dyDescent="0.25">
      <c r="A39" t="s">
        <v>890</v>
      </c>
      <c r="B39" t="s">
        <v>185</v>
      </c>
      <c r="H39" s="1"/>
      <c r="R39" s="1"/>
    </row>
    <row r="40" spans="1:18" x14ac:dyDescent="0.25">
      <c r="A40" t="s">
        <v>891</v>
      </c>
      <c r="B40" t="s">
        <v>186</v>
      </c>
      <c r="D40" t="s">
        <v>1</v>
      </c>
      <c r="H40" s="1"/>
      <c r="R40" s="1"/>
    </row>
    <row r="41" spans="1:18" x14ac:dyDescent="0.25">
      <c r="A41" t="s">
        <v>892</v>
      </c>
      <c r="B41" t="s">
        <v>187</v>
      </c>
      <c r="H41" s="1"/>
      <c r="R41" s="1"/>
    </row>
    <row r="42" spans="1:18" x14ac:dyDescent="0.25">
      <c r="A42" t="s">
        <v>893</v>
      </c>
      <c r="B42" t="s">
        <v>188</v>
      </c>
      <c r="D42" t="s">
        <v>1557</v>
      </c>
      <c r="H42" s="1"/>
      <c r="R42" s="1"/>
    </row>
    <row r="43" spans="1:18" x14ac:dyDescent="0.25">
      <c r="A43" t="s">
        <v>894</v>
      </c>
      <c r="B43" t="s">
        <v>189</v>
      </c>
      <c r="D43" t="s">
        <v>1</v>
      </c>
      <c r="H43" s="1"/>
      <c r="R43" s="1"/>
    </row>
    <row r="44" spans="1:18" x14ac:dyDescent="0.25">
      <c r="A44" t="s">
        <v>895</v>
      </c>
      <c r="B44" t="s">
        <v>190</v>
      </c>
      <c r="D44" t="s">
        <v>1</v>
      </c>
      <c r="E44" s="44">
        <v>0.65410000000000001</v>
      </c>
      <c r="F44" s="41" t="s">
        <v>1</v>
      </c>
      <c r="G44" s="44">
        <f>1-E44</f>
        <v>0.34589999999999999</v>
      </c>
      <c r="H44" s="41" t="s">
        <v>1557</v>
      </c>
      <c r="R44" s="1"/>
    </row>
    <row r="45" spans="1:18" x14ac:dyDescent="0.25">
      <c r="A45" t="s">
        <v>896</v>
      </c>
      <c r="B45" t="s">
        <v>191</v>
      </c>
      <c r="H45" s="1"/>
      <c r="R45" s="1"/>
    </row>
    <row r="46" spans="1:18" x14ac:dyDescent="0.25">
      <c r="A46" t="s">
        <v>897</v>
      </c>
      <c r="B46" t="s">
        <v>192</v>
      </c>
      <c r="D46" t="s">
        <v>1</v>
      </c>
      <c r="H46" s="1"/>
      <c r="R46" s="1"/>
    </row>
    <row r="47" spans="1:18" x14ac:dyDescent="0.25">
      <c r="A47" t="s">
        <v>898</v>
      </c>
      <c r="B47" t="s">
        <v>193</v>
      </c>
      <c r="H47" s="1"/>
      <c r="R47" s="1"/>
    </row>
    <row r="48" spans="1:18" x14ac:dyDescent="0.25">
      <c r="A48" t="s">
        <v>899</v>
      </c>
      <c r="B48" t="s">
        <v>194</v>
      </c>
      <c r="H48" s="1"/>
      <c r="R48" s="1"/>
    </row>
    <row r="49" spans="1:18" x14ac:dyDescent="0.25">
      <c r="A49" t="s">
        <v>900</v>
      </c>
      <c r="B49" t="s">
        <v>195</v>
      </c>
      <c r="D49" t="s">
        <v>1557</v>
      </c>
      <c r="H49" s="1"/>
      <c r="R49" s="1"/>
    </row>
    <row r="50" spans="1:18" x14ac:dyDescent="0.25">
      <c r="A50" t="s">
        <v>901</v>
      </c>
      <c r="B50" t="s">
        <v>196</v>
      </c>
      <c r="D50" t="s">
        <v>1</v>
      </c>
      <c r="H50" s="1"/>
      <c r="R50" s="1"/>
    </row>
    <row r="51" spans="1:18" x14ac:dyDescent="0.25">
      <c r="A51" t="s">
        <v>902</v>
      </c>
      <c r="B51" t="s">
        <v>197</v>
      </c>
      <c r="D51" t="s">
        <v>1</v>
      </c>
      <c r="H51" s="1"/>
      <c r="R51" s="1"/>
    </row>
    <row r="52" spans="1:18" x14ac:dyDescent="0.25">
      <c r="A52" t="s">
        <v>903</v>
      </c>
      <c r="B52" t="s">
        <v>198</v>
      </c>
      <c r="H52" s="1"/>
      <c r="R52" s="1"/>
    </row>
    <row r="53" spans="1:18" x14ac:dyDescent="0.25">
      <c r="A53" t="s">
        <v>904</v>
      </c>
      <c r="B53" t="s">
        <v>199</v>
      </c>
      <c r="H53" s="1"/>
      <c r="R53" s="1"/>
    </row>
    <row r="54" spans="1:18" x14ac:dyDescent="0.25">
      <c r="A54" t="s">
        <v>905</v>
      </c>
      <c r="B54" t="s">
        <v>200</v>
      </c>
      <c r="D54" t="s">
        <v>1</v>
      </c>
      <c r="H54" s="1"/>
      <c r="R54" s="1"/>
    </row>
    <row r="55" spans="1:18" x14ac:dyDescent="0.25">
      <c r="A55" t="s">
        <v>906</v>
      </c>
      <c r="B55" t="s">
        <v>201</v>
      </c>
      <c r="H55" s="1"/>
      <c r="R55" s="1"/>
    </row>
    <row r="56" spans="1:18" x14ac:dyDescent="0.25">
      <c r="A56" t="s">
        <v>907</v>
      </c>
      <c r="B56" t="s">
        <v>202</v>
      </c>
      <c r="H56" s="1"/>
      <c r="R56" s="1"/>
    </row>
    <row r="57" spans="1:18" x14ac:dyDescent="0.25">
      <c r="A57" t="s">
        <v>908</v>
      </c>
      <c r="B57" t="s">
        <v>203</v>
      </c>
      <c r="D57" t="s">
        <v>1</v>
      </c>
      <c r="H57" s="1"/>
      <c r="R57" s="1"/>
    </row>
    <row r="58" spans="1:18" x14ac:dyDescent="0.25">
      <c r="A58" t="s">
        <v>909</v>
      </c>
      <c r="B58" t="s">
        <v>204</v>
      </c>
      <c r="D58" t="s">
        <v>1557</v>
      </c>
      <c r="H58" s="1"/>
      <c r="R58" s="1"/>
    </row>
    <row r="59" spans="1:18" x14ac:dyDescent="0.25">
      <c r="A59" t="s">
        <v>910</v>
      </c>
      <c r="B59" t="s">
        <v>205</v>
      </c>
      <c r="H59" s="1"/>
      <c r="R59" s="1"/>
    </row>
    <row r="60" spans="1:18" x14ac:dyDescent="0.25">
      <c r="A60" t="s">
        <v>911</v>
      </c>
      <c r="B60" t="s">
        <v>206</v>
      </c>
      <c r="D60" t="s">
        <v>1557</v>
      </c>
      <c r="H60" s="1"/>
      <c r="R60" s="1"/>
    </row>
    <row r="61" spans="1:18" x14ac:dyDescent="0.25">
      <c r="A61" t="s">
        <v>912</v>
      </c>
      <c r="B61" t="s">
        <v>207</v>
      </c>
      <c r="H61" s="1"/>
      <c r="R61" s="1"/>
    </row>
    <row r="62" spans="1:18" x14ac:dyDescent="0.25">
      <c r="A62" t="s">
        <v>913</v>
      </c>
      <c r="B62" t="s">
        <v>208</v>
      </c>
      <c r="H62" s="1"/>
      <c r="R62" s="1"/>
    </row>
    <row r="63" spans="1:18" x14ac:dyDescent="0.25">
      <c r="A63" t="s">
        <v>914</v>
      </c>
      <c r="B63" t="s">
        <v>209</v>
      </c>
      <c r="D63" t="s">
        <v>1557</v>
      </c>
      <c r="H63" s="1"/>
      <c r="R63" s="1"/>
    </row>
    <row r="64" spans="1:18" x14ac:dyDescent="0.25">
      <c r="A64" t="s">
        <v>915</v>
      </c>
      <c r="B64" t="s">
        <v>210</v>
      </c>
      <c r="D64" t="s">
        <v>1</v>
      </c>
      <c r="H64" s="1"/>
      <c r="R64" s="1"/>
    </row>
    <row r="65" spans="1:18" x14ac:dyDescent="0.25">
      <c r="A65" t="s">
        <v>916</v>
      </c>
      <c r="B65" t="s">
        <v>211</v>
      </c>
      <c r="H65" s="1"/>
      <c r="R65" s="1"/>
    </row>
    <row r="66" spans="1:18" x14ac:dyDescent="0.25">
      <c r="A66" t="s">
        <v>917</v>
      </c>
      <c r="B66" t="s">
        <v>212</v>
      </c>
      <c r="H66" s="1"/>
      <c r="R66" s="1"/>
    </row>
    <row r="67" spans="1:18" x14ac:dyDescent="0.25">
      <c r="A67" t="s">
        <v>918</v>
      </c>
      <c r="B67" t="s">
        <v>213</v>
      </c>
      <c r="H67" s="1"/>
      <c r="R67" s="1"/>
    </row>
    <row r="68" spans="1:18" x14ac:dyDescent="0.25">
      <c r="A68" t="s">
        <v>919</v>
      </c>
      <c r="B68" t="s">
        <v>214</v>
      </c>
      <c r="D68" t="s">
        <v>1</v>
      </c>
      <c r="H68" s="1"/>
      <c r="R68" s="1"/>
    </row>
    <row r="69" spans="1:18" x14ac:dyDescent="0.25">
      <c r="A69" t="s">
        <v>920</v>
      </c>
      <c r="B69" t="s">
        <v>215</v>
      </c>
      <c r="D69" t="s">
        <v>1</v>
      </c>
      <c r="H69" s="1"/>
      <c r="R69" s="1"/>
    </row>
    <row r="70" spans="1:18" x14ac:dyDescent="0.25">
      <c r="A70" t="s">
        <v>921</v>
      </c>
      <c r="B70" t="s">
        <v>216</v>
      </c>
      <c r="D70" t="s">
        <v>1557</v>
      </c>
      <c r="H70" s="1"/>
      <c r="R70" s="1"/>
    </row>
    <row r="71" spans="1:18" x14ac:dyDescent="0.25">
      <c r="A71" t="s">
        <v>922</v>
      </c>
      <c r="B71" t="s">
        <v>217</v>
      </c>
      <c r="D71" t="s">
        <v>1557</v>
      </c>
      <c r="H71" s="1"/>
      <c r="R71" s="1"/>
    </row>
    <row r="72" spans="1:18" x14ac:dyDescent="0.25">
      <c r="A72" t="s">
        <v>923</v>
      </c>
      <c r="B72" t="s">
        <v>218</v>
      </c>
      <c r="D72" t="s">
        <v>1</v>
      </c>
      <c r="H72" s="1"/>
      <c r="R72" s="1"/>
    </row>
    <row r="73" spans="1:18" x14ac:dyDescent="0.25">
      <c r="A73" t="s">
        <v>924</v>
      </c>
      <c r="B73" t="s">
        <v>219</v>
      </c>
      <c r="D73" t="s">
        <v>1</v>
      </c>
      <c r="H73" s="1"/>
      <c r="R73" s="1"/>
    </row>
    <row r="74" spans="1:18" x14ac:dyDescent="0.25">
      <c r="A74" t="s">
        <v>925</v>
      </c>
      <c r="B74" t="s">
        <v>220</v>
      </c>
      <c r="D74" t="s">
        <v>1557</v>
      </c>
      <c r="H74" s="1"/>
      <c r="R74" s="1"/>
    </row>
    <row r="75" spans="1:18" x14ac:dyDescent="0.25">
      <c r="A75" t="s">
        <v>926</v>
      </c>
      <c r="B75" t="s">
        <v>221</v>
      </c>
      <c r="D75" t="s">
        <v>1</v>
      </c>
      <c r="H75" s="1"/>
      <c r="R75" s="1"/>
    </row>
    <row r="76" spans="1:18" x14ac:dyDescent="0.25">
      <c r="A76" t="s">
        <v>927</v>
      </c>
      <c r="B76" t="s">
        <v>222</v>
      </c>
      <c r="D76" t="s">
        <v>1557</v>
      </c>
      <c r="H76" s="1"/>
      <c r="R76" s="1"/>
    </row>
    <row r="77" spans="1:18" x14ac:dyDescent="0.25">
      <c r="A77" t="s">
        <v>928</v>
      </c>
      <c r="B77" t="s">
        <v>223</v>
      </c>
      <c r="D77" t="s">
        <v>1</v>
      </c>
      <c r="H77" s="1"/>
      <c r="R77" s="1"/>
    </row>
    <row r="78" spans="1:18" x14ac:dyDescent="0.25">
      <c r="A78" t="s">
        <v>929</v>
      </c>
      <c r="B78" t="s">
        <v>224</v>
      </c>
      <c r="D78" t="s">
        <v>1557</v>
      </c>
      <c r="H78" s="1"/>
      <c r="R78" s="1"/>
    </row>
    <row r="79" spans="1:18" x14ac:dyDescent="0.25">
      <c r="A79" t="s">
        <v>930</v>
      </c>
      <c r="B79" t="s">
        <v>225</v>
      </c>
      <c r="D79" t="s">
        <v>1557</v>
      </c>
      <c r="H79" s="1"/>
      <c r="R79" s="1"/>
    </row>
    <row r="80" spans="1:18" x14ac:dyDescent="0.25">
      <c r="A80" t="s">
        <v>931</v>
      </c>
      <c r="B80" t="s">
        <v>226</v>
      </c>
      <c r="D80" t="s">
        <v>1557</v>
      </c>
      <c r="H80" s="1"/>
      <c r="R80" s="1"/>
    </row>
    <row r="81" spans="1:18" x14ac:dyDescent="0.25">
      <c r="A81" t="s">
        <v>932</v>
      </c>
      <c r="B81" t="s">
        <v>227</v>
      </c>
      <c r="H81" s="1"/>
      <c r="R81" s="1"/>
    </row>
    <row r="82" spans="1:18" x14ac:dyDescent="0.25">
      <c r="A82" t="s">
        <v>933</v>
      </c>
      <c r="B82" t="s">
        <v>228</v>
      </c>
      <c r="D82" t="s">
        <v>1557</v>
      </c>
      <c r="H82" s="1"/>
      <c r="R82" s="1"/>
    </row>
    <row r="83" spans="1:18" x14ac:dyDescent="0.25">
      <c r="A83" t="s">
        <v>934</v>
      </c>
      <c r="B83" t="s">
        <v>229</v>
      </c>
      <c r="D83" t="s">
        <v>1</v>
      </c>
      <c r="H83" s="1"/>
      <c r="R83" s="1"/>
    </row>
    <row r="84" spans="1:18" x14ac:dyDescent="0.25">
      <c r="A84" t="s">
        <v>935</v>
      </c>
      <c r="B84" t="s">
        <v>230</v>
      </c>
      <c r="D84" t="s">
        <v>1557</v>
      </c>
      <c r="H84" s="1"/>
      <c r="R84" s="1"/>
    </row>
    <row r="85" spans="1:18" x14ac:dyDescent="0.25">
      <c r="A85" t="s">
        <v>936</v>
      </c>
      <c r="B85" t="s">
        <v>231</v>
      </c>
      <c r="D85" t="s">
        <v>1</v>
      </c>
      <c r="H85" s="1"/>
      <c r="R85" s="1"/>
    </row>
    <row r="86" spans="1:18" x14ac:dyDescent="0.25">
      <c r="A86" t="s">
        <v>937</v>
      </c>
      <c r="B86" t="s">
        <v>232</v>
      </c>
      <c r="H86" s="1"/>
      <c r="R86" s="1"/>
    </row>
    <row r="87" spans="1:18" x14ac:dyDescent="0.25">
      <c r="A87" t="s">
        <v>938</v>
      </c>
      <c r="B87" t="s">
        <v>233</v>
      </c>
      <c r="H87" s="1"/>
      <c r="R87" s="1"/>
    </row>
    <row r="88" spans="1:18" x14ac:dyDescent="0.25">
      <c r="A88" t="s">
        <v>939</v>
      </c>
      <c r="B88" t="s">
        <v>234</v>
      </c>
      <c r="H88" s="1"/>
      <c r="R88" s="1"/>
    </row>
    <row r="89" spans="1:18" x14ac:dyDescent="0.25">
      <c r="A89" t="s">
        <v>940</v>
      </c>
      <c r="B89" t="s">
        <v>235</v>
      </c>
      <c r="H89" s="1"/>
      <c r="R89" s="1"/>
    </row>
    <row r="90" spans="1:18" x14ac:dyDescent="0.25">
      <c r="A90" t="s">
        <v>941</v>
      </c>
      <c r="B90" t="s">
        <v>236</v>
      </c>
      <c r="D90" t="s">
        <v>1557</v>
      </c>
      <c r="H90" s="1"/>
      <c r="R90" s="1"/>
    </row>
    <row r="91" spans="1:18" x14ac:dyDescent="0.25">
      <c r="A91" t="s">
        <v>942</v>
      </c>
      <c r="B91" t="s">
        <v>237</v>
      </c>
      <c r="D91" t="s">
        <v>1557</v>
      </c>
      <c r="H91" s="1"/>
      <c r="R91" s="1"/>
    </row>
    <row r="92" spans="1:18" x14ac:dyDescent="0.25">
      <c r="A92" t="s">
        <v>943</v>
      </c>
      <c r="B92" t="s">
        <v>238</v>
      </c>
      <c r="D92" t="s">
        <v>1557</v>
      </c>
      <c r="H92" s="1"/>
      <c r="R92" s="1"/>
    </row>
    <row r="93" spans="1:18" x14ac:dyDescent="0.25">
      <c r="A93" t="s">
        <v>944</v>
      </c>
      <c r="B93" t="s">
        <v>239</v>
      </c>
      <c r="H93" s="1"/>
      <c r="R93" s="1"/>
    </row>
    <row r="94" spans="1:18" x14ac:dyDescent="0.25">
      <c r="A94" t="s">
        <v>945</v>
      </c>
      <c r="B94" t="s">
        <v>240</v>
      </c>
      <c r="H94" s="1"/>
      <c r="R94" s="1"/>
    </row>
    <row r="95" spans="1:18" x14ac:dyDescent="0.25">
      <c r="A95" t="s">
        <v>946</v>
      </c>
      <c r="B95" t="s">
        <v>241</v>
      </c>
      <c r="H95" s="1"/>
      <c r="R95" s="1"/>
    </row>
    <row r="96" spans="1:18" x14ac:dyDescent="0.25">
      <c r="A96" t="s">
        <v>947</v>
      </c>
      <c r="B96" t="s">
        <v>242</v>
      </c>
      <c r="H96" s="1"/>
      <c r="R96" s="1"/>
    </row>
    <row r="97" spans="1:18" x14ac:dyDescent="0.25">
      <c r="A97" t="s">
        <v>948</v>
      </c>
      <c r="B97" t="s">
        <v>243</v>
      </c>
      <c r="H97" s="1"/>
      <c r="R97" s="1"/>
    </row>
    <row r="98" spans="1:18" x14ac:dyDescent="0.25">
      <c r="A98" t="s">
        <v>949</v>
      </c>
      <c r="B98" t="s">
        <v>244</v>
      </c>
      <c r="D98" t="s">
        <v>1</v>
      </c>
      <c r="H98" s="1"/>
      <c r="R98" s="1"/>
    </row>
    <row r="99" spans="1:18" x14ac:dyDescent="0.25">
      <c r="A99" t="s">
        <v>950</v>
      </c>
      <c r="B99" t="s">
        <v>245</v>
      </c>
      <c r="D99" t="s">
        <v>1558</v>
      </c>
      <c r="H99" s="1"/>
      <c r="R99" s="1"/>
    </row>
    <row r="100" spans="1:18" x14ac:dyDescent="0.25">
      <c r="A100" t="s">
        <v>951</v>
      </c>
      <c r="B100" t="s">
        <v>246</v>
      </c>
      <c r="H100" s="1"/>
      <c r="R100" s="1"/>
    </row>
    <row r="101" spans="1:18" x14ac:dyDescent="0.25">
      <c r="A101" t="s">
        <v>952</v>
      </c>
      <c r="B101" t="s">
        <v>247</v>
      </c>
      <c r="D101" t="s">
        <v>1</v>
      </c>
      <c r="H101" s="1"/>
      <c r="R101" s="1"/>
    </row>
    <row r="102" spans="1:18" x14ac:dyDescent="0.25">
      <c r="A102" t="s">
        <v>953</v>
      </c>
      <c r="B102" t="s">
        <v>248</v>
      </c>
      <c r="H102" s="1"/>
      <c r="R102" s="1"/>
    </row>
    <row r="103" spans="1:18" x14ac:dyDescent="0.25">
      <c r="A103" t="s">
        <v>954</v>
      </c>
      <c r="B103" t="s">
        <v>249</v>
      </c>
      <c r="H103" s="1"/>
      <c r="R103" s="1"/>
    </row>
    <row r="104" spans="1:18" x14ac:dyDescent="0.25">
      <c r="A104" t="s">
        <v>955</v>
      </c>
      <c r="B104" t="s">
        <v>250</v>
      </c>
      <c r="H104" s="1"/>
      <c r="R104" s="1"/>
    </row>
    <row r="105" spans="1:18" x14ac:dyDescent="0.25">
      <c r="A105" t="s">
        <v>956</v>
      </c>
      <c r="B105" t="s">
        <v>251</v>
      </c>
      <c r="H105" s="1"/>
      <c r="R105" s="1"/>
    </row>
    <row r="106" spans="1:18" x14ac:dyDescent="0.25">
      <c r="A106" t="s">
        <v>957</v>
      </c>
      <c r="B106" t="s">
        <v>252</v>
      </c>
      <c r="H106" s="1"/>
      <c r="R106" s="1"/>
    </row>
    <row r="107" spans="1:18" x14ac:dyDescent="0.25">
      <c r="A107" t="s">
        <v>958</v>
      </c>
      <c r="B107" t="s">
        <v>253</v>
      </c>
      <c r="H107" s="1"/>
      <c r="R107" s="1"/>
    </row>
    <row r="108" spans="1:18" x14ac:dyDescent="0.25">
      <c r="A108" t="s">
        <v>959</v>
      </c>
      <c r="B108" t="s">
        <v>254</v>
      </c>
      <c r="H108" s="1"/>
      <c r="R108" s="1"/>
    </row>
    <row r="109" spans="1:18" x14ac:dyDescent="0.25">
      <c r="A109" t="s">
        <v>960</v>
      </c>
      <c r="B109" t="s">
        <v>255</v>
      </c>
      <c r="H109" s="1"/>
      <c r="R109" s="1"/>
    </row>
    <row r="110" spans="1:18" x14ac:dyDescent="0.25">
      <c r="A110" t="s">
        <v>961</v>
      </c>
      <c r="B110" t="s">
        <v>256</v>
      </c>
      <c r="H110" s="1"/>
      <c r="R110" s="1"/>
    </row>
    <row r="111" spans="1:18" x14ac:dyDescent="0.25">
      <c r="A111" t="s">
        <v>962</v>
      </c>
      <c r="B111" t="s">
        <v>257</v>
      </c>
      <c r="H111" s="1"/>
      <c r="R111" s="1"/>
    </row>
    <row r="112" spans="1:18" x14ac:dyDescent="0.25">
      <c r="A112" t="s">
        <v>963</v>
      </c>
      <c r="B112" t="s">
        <v>258</v>
      </c>
      <c r="H112" s="1"/>
      <c r="R112" s="1"/>
    </row>
    <row r="113" spans="1:18" x14ac:dyDescent="0.25">
      <c r="A113" t="s">
        <v>964</v>
      </c>
      <c r="B113" t="s">
        <v>259</v>
      </c>
      <c r="H113" s="1"/>
      <c r="R113" s="1"/>
    </row>
    <row r="114" spans="1:18" x14ac:dyDescent="0.25">
      <c r="A114" t="s">
        <v>965</v>
      </c>
      <c r="B114" t="s">
        <v>260</v>
      </c>
      <c r="H114" s="1"/>
      <c r="R114" s="1"/>
    </row>
    <row r="115" spans="1:18" x14ac:dyDescent="0.25">
      <c r="A115" t="s">
        <v>966</v>
      </c>
      <c r="B115" t="s">
        <v>261</v>
      </c>
      <c r="H115" s="1"/>
      <c r="R115" s="1"/>
    </row>
    <row r="116" spans="1:18" x14ac:dyDescent="0.25">
      <c r="A116" t="s">
        <v>967</v>
      </c>
      <c r="B116" t="s">
        <v>262</v>
      </c>
      <c r="H116" s="1"/>
      <c r="R116" s="1"/>
    </row>
    <row r="117" spans="1:18" x14ac:dyDescent="0.25">
      <c r="A117" t="s">
        <v>968</v>
      </c>
      <c r="B117" t="s">
        <v>263</v>
      </c>
      <c r="H117" s="1"/>
      <c r="R117" s="1"/>
    </row>
    <row r="118" spans="1:18" x14ac:dyDescent="0.25">
      <c r="A118" t="s">
        <v>969</v>
      </c>
      <c r="B118" t="s">
        <v>264</v>
      </c>
      <c r="H118" s="1"/>
      <c r="R118" s="1"/>
    </row>
    <row r="119" spans="1:18" x14ac:dyDescent="0.25">
      <c r="A119" t="s">
        <v>970</v>
      </c>
      <c r="B119" t="s">
        <v>265</v>
      </c>
      <c r="H119" s="1"/>
      <c r="R119" s="1"/>
    </row>
    <row r="120" spans="1:18" x14ac:dyDescent="0.25">
      <c r="A120" t="s">
        <v>971</v>
      </c>
      <c r="B120" t="s">
        <v>266</v>
      </c>
      <c r="D120" t="s">
        <v>1557</v>
      </c>
      <c r="H120" s="1"/>
      <c r="R120" s="1"/>
    </row>
    <row r="121" spans="1:18" x14ac:dyDescent="0.25">
      <c r="A121" t="s">
        <v>972</v>
      </c>
      <c r="B121" t="s">
        <v>267</v>
      </c>
      <c r="H121" s="1"/>
      <c r="R121" s="1"/>
    </row>
    <row r="122" spans="1:18" x14ac:dyDescent="0.25">
      <c r="A122" t="s">
        <v>973</v>
      </c>
      <c r="B122" t="s">
        <v>268</v>
      </c>
      <c r="H122" s="1"/>
      <c r="R122" s="1"/>
    </row>
    <row r="123" spans="1:18" x14ac:dyDescent="0.25">
      <c r="A123" t="s">
        <v>974</v>
      </c>
      <c r="B123" t="s">
        <v>269</v>
      </c>
      <c r="D123" t="s">
        <v>1557</v>
      </c>
      <c r="H123" s="1"/>
      <c r="R123" s="1"/>
    </row>
    <row r="124" spans="1:18" x14ac:dyDescent="0.25">
      <c r="A124" t="s">
        <v>975</v>
      </c>
      <c r="B124" t="s">
        <v>270</v>
      </c>
      <c r="H124" s="1"/>
      <c r="R124" s="1"/>
    </row>
    <row r="125" spans="1:18" x14ac:dyDescent="0.25">
      <c r="A125" t="s">
        <v>976</v>
      </c>
      <c r="B125" t="s">
        <v>271</v>
      </c>
      <c r="H125" s="1"/>
      <c r="R125" s="1"/>
    </row>
    <row r="126" spans="1:18" x14ac:dyDescent="0.25">
      <c r="A126" t="s">
        <v>977</v>
      </c>
      <c r="B126" t="s">
        <v>272</v>
      </c>
      <c r="H126" s="1"/>
      <c r="R126" s="1"/>
    </row>
    <row r="127" spans="1:18" x14ac:dyDescent="0.25">
      <c r="A127" t="s">
        <v>978</v>
      </c>
      <c r="B127" t="s">
        <v>273</v>
      </c>
      <c r="H127" s="1"/>
      <c r="R127" s="1"/>
    </row>
    <row r="128" spans="1:18" x14ac:dyDescent="0.25">
      <c r="A128" t="s">
        <v>979</v>
      </c>
      <c r="B128" t="s">
        <v>274</v>
      </c>
      <c r="D128" t="s">
        <v>1557</v>
      </c>
      <c r="H128" s="1"/>
      <c r="R128" s="1"/>
    </row>
    <row r="129" spans="1:18" x14ac:dyDescent="0.25">
      <c r="A129" t="s">
        <v>980</v>
      </c>
      <c r="B129" t="s">
        <v>275</v>
      </c>
      <c r="H129" s="1"/>
      <c r="R129" s="1"/>
    </row>
    <row r="130" spans="1:18" x14ac:dyDescent="0.25">
      <c r="A130" t="s">
        <v>981</v>
      </c>
      <c r="B130" t="s">
        <v>276</v>
      </c>
      <c r="H130" s="1"/>
      <c r="R130" s="1"/>
    </row>
    <row r="131" spans="1:18" x14ac:dyDescent="0.25">
      <c r="A131" t="s">
        <v>982</v>
      </c>
      <c r="B131" t="s">
        <v>277</v>
      </c>
      <c r="H131" s="1"/>
      <c r="R131" s="1"/>
    </row>
    <row r="132" spans="1:18" x14ac:dyDescent="0.25">
      <c r="A132" t="s">
        <v>983</v>
      </c>
      <c r="B132" t="s">
        <v>278</v>
      </c>
      <c r="H132" s="1"/>
      <c r="R132" s="1"/>
    </row>
    <row r="133" spans="1:18" x14ac:dyDescent="0.25">
      <c r="A133" t="s">
        <v>984</v>
      </c>
      <c r="B133" t="s">
        <v>279</v>
      </c>
      <c r="H133" s="1"/>
      <c r="R133" s="1"/>
    </row>
    <row r="134" spans="1:18" x14ac:dyDescent="0.25">
      <c r="A134" t="s">
        <v>985</v>
      </c>
      <c r="B134" t="s">
        <v>280</v>
      </c>
      <c r="D134" t="s">
        <v>1</v>
      </c>
      <c r="H134" s="1"/>
      <c r="R134" s="1"/>
    </row>
    <row r="135" spans="1:18" x14ac:dyDescent="0.25">
      <c r="A135" t="s">
        <v>986</v>
      </c>
      <c r="B135" t="s">
        <v>281</v>
      </c>
      <c r="H135" s="1"/>
      <c r="R135" s="1"/>
    </row>
    <row r="136" spans="1:18" x14ac:dyDescent="0.25">
      <c r="A136" t="s">
        <v>987</v>
      </c>
      <c r="B136" t="s">
        <v>282</v>
      </c>
      <c r="D136" t="s">
        <v>1</v>
      </c>
      <c r="H136" s="1"/>
      <c r="R136" s="1"/>
    </row>
    <row r="137" spans="1:18" x14ac:dyDescent="0.25">
      <c r="A137" t="s">
        <v>988</v>
      </c>
      <c r="B137" t="s">
        <v>283</v>
      </c>
      <c r="H137" s="1"/>
      <c r="R137" s="1"/>
    </row>
    <row r="138" spans="1:18" x14ac:dyDescent="0.25">
      <c r="A138" t="s">
        <v>989</v>
      </c>
      <c r="B138" t="s">
        <v>284</v>
      </c>
      <c r="H138" s="1"/>
      <c r="R138" s="1"/>
    </row>
    <row r="139" spans="1:18" x14ac:dyDescent="0.25">
      <c r="A139" t="s">
        <v>990</v>
      </c>
      <c r="B139" t="s">
        <v>285</v>
      </c>
      <c r="H139" s="1"/>
      <c r="R139" s="1"/>
    </row>
    <row r="140" spans="1:18" x14ac:dyDescent="0.25">
      <c r="A140" t="s">
        <v>991</v>
      </c>
      <c r="B140" t="s">
        <v>286</v>
      </c>
      <c r="H140" s="1"/>
      <c r="R140" s="1"/>
    </row>
    <row r="141" spans="1:18" x14ac:dyDescent="0.25">
      <c r="A141" t="s">
        <v>992</v>
      </c>
      <c r="B141" t="s">
        <v>287</v>
      </c>
      <c r="H141" s="1"/>
      <c r="R141" s="1"/>
    </row>
    <row r="142" spans="1:18" x14ac:dyDescent="0.25">
      <c r="A142" t="s">
        <v>993</v>
      </c>
      <c r="B142" t="s">
        <v>288</v>
      </c>
      <c r="H142" s="1"/>
      <c r="R142" s="1"/>
    </row>
    <row r="143" spans="1:18" x14ac:dyDescent="0.25">
      <c r="A143" t="s">
        <v>994</v>
      </c>
      <c r="B143" t="s">
        <v>289</v>
      </c>
      <c r="H143" s="1"/>
      <c r="R143" s="1"/>
    </row>
    <row r="144" spans="1:18" x14ac:dyDescent="0.25">
      <c r="A144" t="s">
        <v>995</v>
      </c>
      <c r="B144" t="s">
        <v>290</v>
      </c>
      <c r="H144" s="1"/>
      <c r="R144" s="1"/>
    </row>
    <row r="145" spans="1:18" x14ac:dyDescent="0.25">
      <c r="A145" t="s">
        <v>996</v>
      </c>
      <c r="B145" t="s">
        <v>291</v>
      </c>
      <c r="H145" s="1"/>
      <c r="R145" s="1"/>
    </row>
    <row r="146" spans="1:18" x14ac:dyDescent="0.25">
      <c r="A146" t="s">
        <v>997</v>
      </c>
      <c r="B146" t="s">
        <v>292</v>
      </c>
      <c r="H146" s="1"/>
      <c r="R146" s="1"/>
    </row>
    <row r="147" spans="1:18" x14ac:dyDescent="0.25">
      <c r="A147" t="s">
        <v>998</v>
      </c>
      <c r="B147" t="s">
        <v>293</v>
      </c>
      <c r="D147" t="s">
        <v>1</v>
      </c>
      <c r="H147" s="1"/>
      <c r="R147" s="1"/>
    </row>
    <row r="148" spans="1:18" x14ac:dyDescent="0.25">
      <c r="A148" t="s">
        <v>999</v>
      </c>
      <c r="B148" t="s">
        <v>294</v>
      </c>
      <c r="H148" s="1"/>
      <c r="R148" s="1"/>
    </row>
    <row r="149" spans="1:18" x14ac:dyDescent="0.25">
      <c r="A149" t="s">
        <v>1000</v>
      </c>
      <c r="B149" t="s">
        <v>295</v>
      </c>
      <c r="H149" s="1"/>
      <c r="R149" s="1"/>
    </row>
    <row r="150" spans="1:18" x14ac:dyDescent="0.25">
      <c r="A150" t="s">
        <v>1001</v>
      </c>
      <c r="B150" t="s">
        <v>296</v>
      </c>
      <c r="H150" s="1"/>
      <c r="R150" s="1"/>
    </row>
    <row r="151" spans="1:18" x14ac:dyDescent="0.25">
      <c r="A151" t="s">
        <v>1002</v>
      </c>
      <c r="B151" t="s">
        <v>297</v>
      </c>
      <c r="H151" s="1"/>
      <c r="R151" s="1"/>
    </row>
    <row r="152" spans="1:18" x14ac:dyDescent="0.25">
      <c r="A152" t="s">
        <v>1003</v>
      </c>
      <c r="B152" t="s">
        <v>298</v>
      </c>
      <c r="D152" t="s">
        <v>1557</v>
      </c>
      <c r="H152" s="1"/>
      <c r="R152" s="1"/>
    </row>
    <row r="153" spans="1:18" x14ac:dyDescent="0.25">
      <c r="A153" t="s">
        <v>1004</v>
      </c>
      <c r="B153" t="s">
        <v>299</v>
      </c>
      <c r="D153" t="s">
        <v>1</v>
      </c>
      <c r="H153" s="1"/>
      <c r="R153" s="1"/>
    </row>
    <row r="154" spans="1:18" x14ac:dyDescent="0.25">
      <c r="A154" t="s">
        <v>1005</v>
      </c>
      <c r="B154" t="s">
        <v>300</v>
      </c>
      <c r="H154" s="1"/>
      <c r="R154" s="1"/>
    </row>
    <row r="155" spans="1:18" x14ac:dyDescent="0.25">
      <c r="A155" t="s">
        <v>1006</v>
      </c>
      <c r="B155" t="s">
        <v>301</v>
      </c>
      <c r="H155" s="1"/>
      <c r="R155" s="1"/>
    </row>
    <row r="156" spans="1:18" x14ac:dyDescent="0.25">
      <c r="A156" t="s">
        <v>1007</v>
      </c>
      <c r="B156" t="s">
        <v>302</v>
      </c>
      <c r="H156" s="1"/>
      <c r="R156" s="1"/>
    </row>
    <row r="157" spans="1:18" x14ac:dyDescent="0.25">
      <c r="A157" t="s">
        <v>1008</v>
      </c>
      <c r="B157" t="s">
        <v>303</v>
      </c>
      <c r="H157" s="1"/>
      <c r="R157" s="1"/>
    </row>
    <row r="158" spans="1:18" x14ac:dyDescent="0.25">
      <c r="A158" t="s">
        <v>1009</v>
      </c>
      <c r="B158" t="s">
        <v>304</v>
      </c>
      <c r="H158" s="1"/>
      <c r="R158" s="1"/>
    </row>
    <row r="159" spans="1:18" x14ac:dyDescent="0.25">
      <c r="A159" t="s">
        <v>1010</v>
      </c>
      <c r="B159" t="s">
        <v>305</v>
      </c>
      <c r="H159" s="1"/>
      <c r="R159" s="1"/>
    </row>
    <row r="160" spans="1:18" x14ac:dyDescent="0.25">
      <c r="A160" t="s">
        <v>1011</v>
      </c>
      <c r="B160" t="s">
        <v>306</v>
      </c>
      <c r="D160" t="s">
        <v>1</v>
      </c>
      <c r="H160" s="1"/>
      <c r="R160" s="1"/>
    </row>
    <row r="161" spans="1:18" x14ac:dyDescent="0.25">
      <c r="A161" t="s">
        <v>1012</v>
      </c>
      <c r="B161" t="s">
        <v>307</v>
      </c>
      <c r="H161" s="1"/>
      <c r="R161" s="1"/>
    </row>
    <row r="162" spans="1:18" x14ac:dyDescent="0.25">
      <c r="A162" t="s">
        <v>1013</v>
      </c>
      <c r="B162" t="s">
        <v>308</v>
      </c>
      <c r="D162" t="s">
        <v>1557</v>
      </c>
      <c r="H162" s="1"/>
      <c r="R162" s="1"/>
    </row>
    <row r="163" spans="1:18" x14ac:dyDescent="0.25">
      <c r="A163" t="s">
        <v>1014</v>
      </c>
      <c r="B163" t="s">
        <v>309</v>
      </c>
      <c r="D163" t="s">
        <v>1557</v>
      </c>
      <c r="H163" s="1"/>
      <c r="R163" s="1"/>
    </row>
    <row r="164" spans="1:18" x14ac:dyDescent="0.25">
      <c r="A164" t="s">
        <v>1015</v>
      </c>
      <c r="B164" t="s">
        <v>310</v>
      </c>
      <c r="H164" s="1"/>
      <c r="R164" s="1"/>
    </row>
    <row r="165" spans="1:18" x14ac:dyDescent="0.25">
      <c r="A165" t="s">
        <v>1016</v>
      </c>
      <c r="B165" t="s">
        <v>311</v>
      </c>
      <c r="H165" s="1"/>
      <c r="R165" s="1"/>
    </row>
    <row r="166" spans="1:18" x14ac:dyDescent="0.25">
      <c r="A166" t="s">
        <v>1017</v>
      </c>
      <c r="B166" t="s">
        <v>312</v>
      </c>
      <c r="H166" s="1"/>
      <c r="R166" s="1"/>
    </row>
    <row r="167" spans="1:18" x14ac:dyDescent="0.25">
      <c r="A167" t="s">
        <v>1018</v>
      </c>
      <c r="B167" t="s">
        <v>313</v>
      </c>
      <c r="H167" s="1"/>
      <c r="R167" s="1"/>
    </row>
    <row r="168" spans="1:18" x14ac:dyDescent="0.25">
      <c r="A168" t="s">
        <v>1019</v>
      </c>
      <c r="B168" t="s">
        <v>314</v>
      </c>
      <c r="D168" t="s">
        <v>1557</v>
      </c>
      <c r="H168" s="1"/>
      <c r="R168" s="1"/>
    </row>
    <row r="169" spans="1:18" x14ac:dyDescent="0.25">
      <c r="A169" t="s">
        <v>1020</v>
      </c>
      <c r="B169" t="s">
        <v>315</v>
      </c>
      <c r="H169" s="1"/>
      <c r="R169" s="1"/>
    </row>
    <row r="170" spans="1:18" x14ac:dyDescent="0.25">
      <c r="A170" t="s">
        <v>1021</v>
      </c>
      <c r="B170" t="s">
        <v>316</v>
      </c>
      <c r="H170" s="1"/>
      <c r="R170" s="1"/>
    </row>
    <row r="171" spans="1:18" x14ac:dyDescent="0.25">
      <c r="A171" t="s">
        <v>1022</v>
      </c>
      <c r="B171" t="s">
        <v>317</v>
      </c>
      <c r="H171" s="1"/>
      <c r="R171" s="1"/>
    </row>
    <row r="172" spans="1:18" x14ac:dyDescent="0.25">
      <c r="A172" t="s">
        <v>1023</v>
      </c>
      <c r="B172" t="s">
        <v>318</v>
      </c>
      <c r="D172" t="s">
        <v>1</v>
      </c>
      <c r="H172" s="1"/>
      <c r="R172" s="1"/>
    </row>
    <row r="173" spans="1:18" x14ac:dyDescent="0.25">
      <c r="A173" t="s">
        <v>1024</v>
      </c>
      <c r="B173" t="s">
        <v>319</v>
      </c>
      <c r="H173" s="1"/>
      <c r="R173" s="1"/>
    </row>
    <row r="174" spans="1:18" x14ac:dyDescent="0.25">
      <c r="A174" t="s">
        <v>1025</v>
      </c>
      <c r="B174" t="s">
        <v>320</v>
      </c>
      <c r="D174" t="s">
        <v>1</v>
      </c>
      <c r="H174" s="1"/>
      <c r="R174" s="1"/>
    </row>
    <row r="175" spans="1:18" x14ac:dyDescent="0.25">
      <c r="A175" t="s">
        <v>1026</v>
      </c>
      <c r="B175" t="s">
        <v>321</v>
      </c>
      <c r="D175" t="s">
        <v>1</v>
      </c>
      <c r="H175" s="1"/>
      <c r="R175" s="1"/>
    </row>
    <row r="176" spans="1:18" x14ac:dyDescent="0.25">
      <c r="A176" t="s">
        <v>1027</v>
      </c>
      <c r="B176" t="s">
        <v>322</v>
      </c>
      <c r="H176" s="1"/>
      <c r="R176" s="1"/>
    </row>
    <row r="177" spans="1:18" x14ac:dyDescent="0.25">
      <c r="A177" t="s">
        <v>1028</v>
      </c>
      <c r="B177" t="s">
        <v>323</v>
      </c>
      <c r="H177" s="1"/>
      <c r="R177" s="1"/>
    </row>
    <row r="178" spans="1:18" x14ac:dyDescent="0.25">
      <c r="A178" t="s">
        <v>1029</v>
      </c>
      <c r="B178" t="s">
        <v>324</v>
      </c>
      <c r="H178" s="1"/>
      <c r="R178" s="1"/>
    </row>
    <row r="179" spans="1:18" x14ac:dyDescent="0.25">
      <c r="A179" t="s">
        <v>1030</v>
      </c>
      <c r="B179" t="s">
        <v>325</v>
      </c>
      <c r="H179" s="1"/>
      <c r="R179" s="1"/>
    </row>
    <row r="180" spans="1:18" x14ac:dyDescent="0.25">
      <c r="A180" t="s">
        <v>1031</v>
      </c>
      <c r="B180" t="s">
        <v>326</v>
      </c>
      <c r="H180" s="1"/>
      <c r="R180" s="1"/>
    </row>
    <row r="181" spans="1:18" x14ac:dyDescent="0.25">
      <c r="A181" t="s">
        <v>1032</v>
      </c>
      <c r="B181" t="s">
        <v>327</v>
      </c>
      <c r="H181" s="1"/>
      <c r="R181" s="1"/>
    </row>
    <row r="182" spans="1:18" x14ac:dyDescent="0.25">
      <c r="A182" t="s">
        <v>1033</v>
      </c>
      <c r="B182" t="s">
        <v>328</v>
      </c>
      <c r="H182" s="1"/>
      <c r="R182" s="1"/>
    </row>
    <row r="183" spans="1:18" x14ac:dyDescent="0.25">
      <c r="A183" t="s">
        <v>1034</v>
      </c>
      <c r="B183" t="s">
        <v>329</v>
      </c>
      <c r="H183" s="1"/>
      <c r="R183" s="1"/>
    </row>
    <row r="184" spans="1:18" x14ac:dyDescent="0.25">
      <c r="A184" t="s">
        <v>1035</v>
      </c>
      <c r="B184" t="s">
        <v>330</v>
      </c>
      <c r="H184" s="1"/>
      <c r="R184" s="1"/>
    </row>
    <row r="185" spans="1:18" x14ac:dyDescent="0.25">
      <c r="A185" t="s">
        <v>1036</v>
      </c>
      <c r="B185" t="s">
        <v>331</v>
      </c>
      <c r="H185" s="1"/>
      <c r="R185" s="1"/>
    </row>
    <row r="186" spans="1:18" x14ac:dyDescent="0.25">
      <c r="A186" t="s">
        <v>1037</v>
      </c>
      <c r="B186" t="s">
        <v>332</v>
      </c>
      <c r="H186" s="1"/>
      <c r="R186" s="1"/>
    </row>
    <row r="187" spans="1:18" x14ac:dyDescent="0.25">
      <c r="A187" t="s">
        <v>1038</v>
      </c>
      <c r="B187" t="s">
        <v>333</v>
      </c>
      <c r="H187" s="1"/>
      <c r="R187" s="1"/>
    </row>
    <row r="188" spans="1:18" x14ac:dyDescent="0.25">
      <c r="A188" t="s">
        <v>1039</v>
      </c>
      <c r="B188" t="s">
        <v>334</v>
      </c>
      <c r="H188" s="1"/>
      <c r="R188" s="1"/>
    </row>
    <row r="189" spans="1:18" x14ac:dyDescent="0.25">
      <c r="A189" t="s">
        <v>1040</v>
      </c>
      <c r="B189" t="s">
        <v>335</v>
      </c>
      <c r="H189" s="1"/>
      <c r="R189" s="1"/>
    </row>
    <row r="190" spans="1:18" x14ac:dyDescent="0.25">
      <c r="A190" t="s">
        <v>1041</v>
      </c>
      <c r="B190" t="s">
        <v>336</v>
      </c>
      <c r="H190" s="1"/>
      <c r="R190" s="1"/>
    </row>
    <row r="191" spans="1:18" x14ac:dyDescent="0.25">
      <c r="A191" t="s">
        <v>1042</v>
      </c>
      <c r="B191" t="s">
        <v>337</v>
      </c>
      <c r="H191" s="1"/>
      <c r="R191" s="1"/>
    </row>
    <row r="192" spans="1:18" x14ac:dyDescent="0.25">
      <c r="A192" t="s">
        <v>1043</v>
      </c>
      <c r="B192" t="s">
        <v>338</v>
      </c>
      <c r="D192" t="s">
        <v>1</v>
      </c>
      <c r="H192" s="1"/>
      <c r="R192" s="1"/>
    </row>
    <row r="193" spans="1:18" x14ac:dyDescent="0.25">
      <c r="A193" t="s">
        <v>1044</v>
      </c>
      <c r="B193" t="s">
        <v>339</v>
      </c>
      <c r="H193" s="1"/>
      <c r="R193" s="1"/>
    </row>
    <row r="194" spans="1:18" x14ac:dyDescent="0.25">
      <c r="A194" t="s">
        <v>1045</v>
      </c>
      <c r="B194" t="s">
        <v>340</v>
      </c>
      <c r="H194" s="1"/>
      <c r="R194" s="1"/>
    </row>
    <row r="195" spans="1:18" x14ac:dyDescent="0.25">
      <c r="A195" t="s">
        <v>1046</v>
      </c>
      <c r="B195" t="s">
        <v>341</v>
      </c>
      <c r="H195" s="1"/>
      <c r="R195" s="1"/>
    </row>
    <row r="196" spans="1:18" x14ac:dyDescent="0.25">
      <c r="A196" t="s">
        <v>1047</v>
      </c>
      <c r="B196" t="s">
        <v>342</v>
      </c>
      <c r="H196" s="1"/>
      <c r="R196" s="1"/>
    </row>
    <row r="197" spans="1:18" x14ac:dyDescent="0.25">
      <c r="A197" t="s">
        <v>1048</v>
      </c>
      <c r="B197" t="s">
        <v>343</v>
      </c>
      <c r="H197" s="1"/>
      <c r="R197" s="1"/>
    </row>
    <row r="198" spans="1:18" x14ac:dyDescent="0.25">
      <c r="A198" t="s">
        <v>1049</v>
      </c>
      <c r="B198" t="s">
        <v>344</v>
      </c>
      <c r="D198" t="s">
        <v>1</v>
      </c>
      <c r="H198" s="1"/>
      <c r="R198" s="1"/>
    </row>
    <row r="199" spans="1:18" x14ac:dyDescent="0.25">
      <c r="A199" t="s">
        <v>1050</v>
      </c>
      <c r="B199" t="s">
        <v>345</v>
      </c>
      <c r="D199" t="s">
        <v>1</v>
      </c>
      <c r="H199" s="1"/>
      <c r="R199" s="1"/>
    </row>
    <row r="200" spans="1:18" x14ac:dyDescent="0.25">
      <c r="A200" t="s">
        <v>1051</v>
      </c>
      <c r="B200" t="s">
        <v>346</v>
      </c>
      <c r="H200" s="1"/>
      <c r="R200" s="1"/>
    </row>
    <row r="201" spans="1:18" x14ac:dyDescent="0.25">
      <c r="A201" t="s">
        <v>1052</v>
      </c>
      <c r="B201" t="s">
        <v>347</v>
      </c>
      <c r="H201" s="1"/>
      <c r="R201" s="1"/>
    </row>
    <row r="202" spans="1:18" x14ac:dyDescent="0.25">
      <c r="A202" t="s">
        <v>1053</v>
      </c>
      <c r="B202" t="s">
        <v>348</v>
      </c>
      <c r="H202" s="1"/>
      <c r="R202" s="1"/>
    </row>
    <row r="203" spans="1:18" x14ac:dyDescent="0.25">
      <c r="A203" t="s">
        <v>1054</v>
      </c>
      <c r="B203" t="s">
        <v>349</v>
      </c>
      <c r="D203" t="s">
        <v>1</v>
      </c>
      <c r="H203" s="1"/>
      <c r="R203" s="1"/>
    </row>
    <row r="204" spans="1:18" x14ac:dyDescent="0.25">
      <c r="A204" t="s">
        <v>1055</v>
      </c>
      <c r="B204" t="s">
        <v>350</v>
      </c>
      <c r="H204" s="1"/>
      <c r="R204" s="1"/>
    </row>
    <row r="205" spans="1:18" x14ac:dyDescent="0.25">
      <c r="A205" t="s">
        <v>1056</v>
      </c>
      <c r="B205" t="s">
        <v>351</v>
      </c>
      <c r="H205" s="1"/>
      <c r="R205" s="1"/>
    </row>
    <row r="206" spans="1:18" x14ac:dyDescent="0.25">
      <c r="A206" t="s">
        <v>1057</v>
      </c>
      <c r="B206" t="s">
        <v>352</v>
      </c>
      <c r="D206" t="s">
        <v>1</v>
      </c>
      <c r="H206" s="1"/>
      <c r="R206" s="1"/>
    </row>
    <row r="207" spans="1:18" x14ac:dyDescent="0.25">
      <c r="A207" t="s">
        <v>1058</v>
      </c>
      <c r="B207" t="s">
        <v>353</v>
      </c>
      <c r="H207" s="1"/>
      <c r="R207" s="1"/>
    </row>
    <row r="208" spans="1:18" x14ac:dyDescent="0.25">
      <c r="A208" t="s">
        <v>1059</v>
      </c>
      <c r="B208" t="s">
        <v>354</v>
      </c>
      <c r="H208" s="1"/>
      <c r="R208" s="1"/>
    </row>
    <row r="209" spans="1:18" x14ac:dyDescent="0.25">
      <c r="A209" t="s">
        <v>1060</v>
      </c>
      <c r="B209" t="s">
        <v>355</v>
      </c>
      <c r="H209" s="1"/>
      <c r="R209" s="1"/>
    </row>
    <row r="210" spans="1:18" x14ac:dyDescent="0.25">
      <c r="A210" t="s">
        <v>1061</v>
      </c>
      <c r="B210" t="s">
        <v>356</v>
      </c>
      <c r="H210" s="1"/>
      <c r="R210" s="1"/>
    </row>
    <row r="211" spans="1:18" x14ac:dyDescent="0.25">
      <c r="A211" t="s">
        <v>1062</v>
      </c>
      <c r="B211" t="s">
        <v>357</v>
      </c>
      <c r="H211" s="1"/>
      <c r="R211" s="1"/>
    </row>
    <row r="212" spans="1:18" x14ac:dyDescent="0.25">
      <c r="A212" t="s">
        <v>1063</v>
      </c>
      <c r="B212" t="s">
        <v>358</v>
      </c>
      <c r="H212" s="1"/>
      <c r="R212" s="1"/>
    </row>
    <row r="213" spans="1:18" x14ac:dyDescent="0.25">
      <c r="A213" t="s">
        <v>1064</v>
      </c>
      <c r="B213" t="s">
        <v>359</v>
      </c>
      <c r="D213" t="s">
        <v>1557</v>
      </c>
      <c r="H213" s="1"/>
      <c r="R213" s="1"/>
    </row>
    <row r="214" spans="1:18" x14ac:dyDescent="0.25">
      <c r="A214" t="s">
        <v>1065</v>
      </c>
      <c r="B214" t="s">
        <v>360</v>
      </c>
      <c r="H214" s="1"/>
      <c r="R214" s="1"/>
    </row>
    <row r="215" spans="1:18" x14ac:dyDescent="0.25">
      <c r="A215" t="s">
        <v>1066</v>
      </c>
      <c r="B215" t="s">
        <v>361</v>
      </c>
      <c r="H215" s="1"/>
      <c r="R215" s="1"/>
    </row>
    <row r="216" spans="1:18" x14ac:dyDescent="0.25">
      <c r="A216" t="s">
        <v>1067</v>
      </c>
      <c r="B216" t="s">
        <v>362</v>
      </c>
      <c r="H216" s="1"/>
      <c r="R216" s="1"/>
    </row>
    <row r="217" spans="1:18" x14ac:dyDescent="0.25">
      <c r="A217" t="s">
        <v>1068</v>
      </c>
      <c r="B217" t="s">
        <v>363</v>
      </c>
      <c r="H217" s="1"/>
      <c r="R217" s="1"/>
    </row>
    <row r="218" spans="1:18" x14ac:dyDescent="0.25">
      <c r="A218" t="s">
        <v>1069</v>
      </c>
      <c r="B218" t="s">
        <v>364</v>
      </c>
      <c r="H218" s="1"/>
      <c r="R218" s="1"/>
    </row>
    <row r="219" spans="1:18" x14ac:dyDescent="0.25">
      <c r="A219" t="s">
        <v>1070</v>
      </c>
      <c r="B219" t="s">
        <v>365</v>
      </c>
      <c r="H219" s="1"/>
      <c r="R219" s="1"/>
    </row>
    <row r="220" spans="1:18" x14ac:dyDescent="0.25">
      <c r="A220" t="s">
        <v>1071</v>
      </c>
      <c r="B220" t="s">
        <v>366</v>
      </c>
      <c r="H220" s="1"/>
      <c r="R220" s="1"/>
    </row>
    <row r="221" spans="1:18" x14ac:dyDescent="0.25">
      <c r="A221" t="s">
        <v>1072</v>
      </c>
      <c r="B221" t="s">
        <v>367</v>
      </c>
      <c r="H221" s="1"/>
      <c r="R221" s="1"/>
    </row>
    <row r="222" spans="1:18" x14ac:dyDescent="0.25">
      <c r="A222" t="s">
        <v>1073</v>
      </c>
      <c r="B222" t="s">
        <v>368</v>
      </c>
      <c r="H222" s="1"/>
      <c r="R222" s="1"/>
    </row>
    <row r="223" spans="1:18" x14ac:dyDescent="0.25">
      <c r="A223" t="s">
        <v>1074</v>
      </c>
      <c r="B223" t="s">
        <v>369</v>
      </c>
      <c r="H223" s="1"/>
      <c r="R223" s="1"/>
    </row>
    <row r="224" spans="1:18" x14ac:dyDescent="0.25">
      <c r="A224" t="s">
        <v>1075</v>
      </c>
      <c r="B224" t="s">
        <v>370</v>
      </c>
      <c r="H224" s="1"/>
      <c r="R224" s="1"/>
    </row>
    <row r="225" spans="1:18" x14ac:dyDescent="0.25">
      <c r="A225" t="s">
        <v>1076</v>
      </c>
      <c r="B225" t="s">
        <v>371</v>
      </c>
      <c r="H225" s="1"/>
      <c r="R225" s="1"/>
    </row>
    <row r="226" spans="1:18" x14ac:dyDescent="0.25">
      <c r="A226" t="s">
        <v>1077</v>
      </c>
      <c r="B226" t="s">
        <v>372</v>
      </c>
      <c r="H226" s="1"/>
      <c r="R226" s="1"/>
    </row>
    <row r="227" spans="1:18" x14ac:dyDescent="0.25">
      <c r="A227" t="s">
        <v>1078</v>
      </c>
      <c r="B227" t="s">
        <v>373</v>
      </c>
      <c r="D227" t="s">
        <v>1</v>
      </c>
      <c r="H227" s="1"/>
      <c r="R227" s="1"/>
    </row>
    <row r="228" spans="1:18" x14ac:dyDescent="0.25">
      <c r="A228" t="s">
        <v>1079</v>
      </c>
      <c r="B228" t="s">
        <v>374</v>
      </c>
      <c r="D228" t="s">
        <v>1557</v>
      </c>
      <c r="H228" s="1"/>
      <c r="R228" s="1"/>
    </row>
    <row r="229" spans="1:18" x14ac:dyDescent="0.25">
      <c r="A229" t="s">
        <v>1080</v>
      </c>
      <c r="B229" t="s">
        <v>375</v>
      </c>
      <c r="H229" s="1"/>
      <c r="R229" s="1"/>
    </row>
    <row r="230" spans="1:18" x14ac:dyDescent="0.25">
      <c r="A230" t="s">
        <v>1081</v>
      </c>
      <c r="B230" t="s">
        <v>376</v>
      </c>
      <c r="H230" s="1"/>
      <c r="R230" s="1"/>
    </row>
    <row r="231" spans="1:18" x14ac:dyDescent="0.25">
      <c r="A231" t="s">
        <v>1082</v>
      </c>
      <c r="B231" t="s">
        <v>377</v>
      </c>
      <c r="H231" s="1"/>
      <c r="R231" s="1"/>
    </row>
    <row r="232" spans="1:18" x14ac:dyDescent="0.25">
      <c r="A232" t="s">
        <v>1083</v>
      </c>
      <c r="B232" t="s">
        <v>378</v>
      </c>
      <c r="H232" s="1"/>
      <c r="R232" s="1"/>
    </row>
    <row r="233" spans="1:18" x14ac:dyDescent="0.25">
      <c r="A233" t="s">
        <v>1084</v>
      </c>
      <c r="B233" t="s">
        <v>379</v>
      </c>
      <c r="H233" s="1"/>
      <c r="R233" s="1"/>
    </row>
    <row r="234" spans="1:18" x14ac:dyDescent="0.25">
      <c r="A234" t="s">
        <v>1085</v>
      </c>
      <c r="B234" t="s">
        <v>380</v>
      </c>
      <c r="H234" s="1"/>
      <c r="R234" s="1"/>
    </row>
    <row r="235" spans="1:18" x14ac:dyDescent="0.25">
      <c r="A235" t="s">
        <v>1086</v>
      </c>
      <c r="B235" t="s">
        <v>381</v>
      </c>
      <c r="H235" s="1"/>
      <c r="R235" s="1"/>
    </row>
    <row r="236" spans="1:18" x14ac:dyDescent="0.25">
      <c r="A236" t="s">
        <v>1087</v>
      </c>
      <c r="B236" t="s">
        <v>382</v>
      </c>
      <c r="H236" s="1"/>
      <c r="R236" s="1"/>
    </row>
    <row r="237" spans="1:18" x14ac:dyDescent="0.25">
      <c r="A237" t="s">
        <v>1088</v>
      </c>
      <c r="B237" t="s">
        <v>383</v>
      </c>
      <c r="H237" s="1"/>
      <c r="R237" s="1"/>
    </row>
    <row r="238" spans="1:18" x14ac:dyDescent="0.25">
      <c r="A238" t="s">
        <v>1089</v>
      </c>
      <c r="B238" t="s">
        <v>384</v>
      </c>
      <c r="H238" s="1"/>
      <c r="R238" s="1"/>
    </row>
    <row r="239" spans="1:18" x14ac:dyDescent="0.25">
      <c r="A239" t="s">
        <v>1090</v>
      </c>
      <c r="B239" t="s">
        <v>385</v>
      </c>
      <c r="D239" t="s">
        <v>1</v>
      </c>
      <c r="H239" s="1"/>
      <c r="R239" s="1"/>
    </row>
    <row r="240" spans="1:18" x14ac:dyDescent="0.25">
      <c r="A240" t="s">
        <v>1091</v>
      </c>
      <c r="B240" t="s">
        <v>386</v>
      </c>
      <c r="D240" t="s">
        <v>1557</v>
      </c>
      <c r="H240" s="1"/>
      <c r="R240" s="1"/>
    </row>
    <row r="241" spans="1:18" x14ac:dyDescent="0.25">
      <c r="A241" t="s">
        <v>1092</v>
      </c>
      <c r="B241" t="s">
        <v>387</v>
      </c>
      <c r="H241" s="1"/>
      <c r="R241" s="1"/>
    </row>
    <row r="242" spans="1:18" x14ac:dyDescent="0.25">
      <c r="A242" t="s">
        <v>1093</v>
      </c>
      <c r="B242" t="s">
        <v>388</v>
      </c>
      <c r="H242" s="1"/>
      <c r="R242" s="1"/>
    </row>
    <row r="243" spans="1:18" x14ac:dyDescent="0.25">
      <c r="A243" t="s">
        <v>1094</v>
      </c>
      <c r="B243" t="s">
        <v>389</v>
      </c>
      <c r="H243" s="1"/>
      <c r="R243" s="1"/>
    </row>
    <row r="244" spans="1:18" x14ac:dyDescent="0.25">
      <c r="A244" t="s">
        <v>1095</v>
      </c>
      <c r="B244" t="s">
        <v>390</v>
      </c>
      <c r="H244" s="1"/>
      <c r="R244" s="1"/>
    </row>
    <row r="245" spans="1:18" x14ac:dyDescent="0.25">
      <c r="A245" t="s">
        <v>1096</v>
      </c>
      <c r="B245" t="s">
        <v>391</v>
      </c>
      <c r="H245" s="1"/>
      <c r="R245" s="1"/>
    </row>
    <row r="246" spans="1:18" x14ac:dyDescent="0.25">
      <c r="A246" t="s">
        <v>1097</v>
      </c>
      <c r="B246" t="s">
        <v>392</v>
      </c>
      <c r="H246" s="1"/>
      <c r="R246" s="1"/>
    </row>
    <row r="247" spans="1:18" x14ac:dyDescent="0.25">
      <c r="A247" t="s">
        <v>1098</v>
      </c>
      <c r="B247" t="s">
        <v>393</v>
      </c>
      <c r="H247" s="1"/>
      <c r="R247" s="1"/>
    </row>
    <row r="248" spans="1:18" x14ac:dyDescent="0.25">
      <c r="A248" t="s">
        <v>1099</v>
      </c>
      <c r="B248" t="s">
        <v>394</v>
      </c>
      <c r="H248" s="1"/>
      <c r="R248" s="1"/>
    </row>
    <row r="249" spans="1:18" x14ac:dyDescent="0.25">
      <c r="A249" t="s">
        <v>1100</v>
      </c>
      <c r="B249" t="s">
        <v>395</v>
      </c>
      <c r="H249" s="1"/>
      <c r="R249" s="1"/>
    </row>
    <row r="250" spans="1:18" x14ac:dyDescent="0.25">
      <c r="A250" t="s">
        <v>1101</v>
      </c>
      <c r="B250" t="s">
        <v>396</v>
      </c>
      <c r="H250" s="1"/>
      <c r="R250" s="1"/>
    </row>
    <row r="251" spans="1:18" x14ac:dyDescent="0.25">
      <c r="A251" t="s">
        <v>1102</v>
      </c>
      <c r="B251" t="s">
        <v>397</v>
      </c>
      <c r="H251" s="1"/>
      <c r="R251" s="1"/>
    </row>
    <row r="252" spans="1:18" x14ac:dyDescent="0.25">
      <c r="A252" t="s">
        <v>1103</v>
      </c>
      <c r="B252" t="s">
        <v>398</v>
      </c>
      <c r="H252" s="1"/>
      <c r="R252" s="1"/>
    </row>
    <row r="253" spans="1:18" x14ac:dyDescent="0.25">
      <c r="A253" t="s">
        <v>1104</v>
      </c>
      <c r="B253" t="s">
        <v>399</v>
      </c>
      <c r="H253" s="1"/>
      <c r="R253" s="1"/>
    </row>
    <row r="254" spans="1:18" x14ac:dyDescent="0.25">
      <c r="A254" t="s">
        <v>1105</v>
      </c>
      <c r="B254" t="s">
        <v>400</v>
      </c>
      <c r="H254" s="1"/>
      <c r="R254" s="1"/>
    </row>
    <row r="255" spans="1:18" x14ac:dyDescent="0.25">
      <c r="A255" t="s">
        <v>1106</v>
      </c>
      <c r="B255" t="s">
        <v>401</v>
      </c>
      <c r="H255" s="1"/>
      <c r="R255" s="1"/>
    </row>
    <row r="256" spans="1:18" x14ac:dyDescent="0.25">
      <c r="A256" t="s">
        <v>1107</v>
      </c>
      <c r="B256" t="s">
        <v>402</v>
      </c>
      <c r="H256" s="1"/>
      <c r="R256" s="1"/>
    </row>
    <row r="257" spans="1:18" x14ac:dyDescent="0.25">
      <c r="A257" t="s">
        <v>1108</v>
      </c>
      <c r="B257" t="s">
        <v>403</v>
      </c>
      <c r="H257" s="1"/>
      <c r="R257" s="1"/>
    </row>
    <row r="258" spans="1:18" x14ac:dyDescent="0.25">
      <c r="A258" t="s">
        <v>1109</v>
      </c>
      <c r="B258" t="s">
        <v>404</v>
      </c>
      <c r="D258" t="s">
        <v>1557</v>
      </c>
      <c r="H258" s="1"/>
      <c r="R258" s="1"/>
    </row>
    <row r="259" spans="1:18" x14ac:dyDescent="0.25">
      <c r="A259" t="s">
        <v>1110</v>
      </c>
      <c r="B259" t="s">
        <v>405</v>
      </c>
      <c r="D259" t="s">
        <v>1557</v>
      </c>
      <c r="H259" s="1"/>
      <c r="R259" s="1"/>
    </row>
    <row r="260" spans="1:18" x14ac:dyDescent="0.25">
      <c r="A260" t="s">
        <v>1111</v>
      </c>
      <c r="B260" t="s">
        <v>406</v>
      </c>
      <c r="H260" s="1"/>
      <c r="R260" s="1"/>
    </row>
    <row r="261" spans="1:18" x14ac:dyDescent="0.25">
      <c r="A261" t="s">
        <v>1112</v>
      </c>
      <c r="B261" t="s">
        <v>407</v>
      </c>
      <c r="H261" s="1"/>
      <c r="R261" s="1"/>
    </row>
    <row r="262" spans="1:18" x14ac:dyDescent="0.25">
      <c r="A262" t="s">
        <v>1113</v>
      </c>
      <c r="B262" t="s">
        <v>408</v>
      </c>
      <c r="H262" s="1"/>
      <c r="R262" s="1"/>
    </row>
    <row r="263" spans="1:18" x14ac:dyDescent="0.25">
      <c r="A263" t="s">
        <v>1114</v>
      </c>
      <c r="B263" t="s">
        <v>409</v>
      </c>
      <c r="H263" s="1"/>
      <c r="R263" s="1"/>
    </row>
    <row r="264" spans="1:18" x14ac:dyDescent="0.25">
      <c r="A264" t="s">
        <v>1115</v>
      </c>
      <c r="B264" t="s">
        <v>410</v>
      </c>
      <c r="H264" s="1"/>
      <c r="R264" s="1"/>
    </row>
    <row r="265" spans="1:18" x14ac:dyDescent="0.25">
      <c r="A265" t="s">
        <v>1116</v>
      </c>
      <c r="B265" t="s">
        <v>411</v>
      </c>
      <c r="H265" s="1"/>
      <c r="R265" s="1"/>
    </row>
    <row r="266" spans="1:18" x14ac:dyDescent="0.25">
      <c r="A266" t="s">
        <v>1117</v>
      </c>
      <c r="B266" t="s">
        <v>412</v>
      </c>
      <c r="H266" s="1"/>
      <c r="R266" s="1"/>
    </row>
    <row r="267" spans="1:18" x14ac:dyDescent="0.25">
      <c r="A267" t="s">
        <v>1118</v>
      </c>
      <c r="B267" t="s">
        <v>413</v>
      </c>
      <c r="H267" s="1"/>
      <c r="R267" s="1"/>
    </row>
    <row r="268" spans="1:18" x14ac:dyDescent="0.25">
      <c r="A268" t="s">
        <v>1119</v>
      </c>
      <c r="B268" t="s">
        <v>414</v>
      </c>
      <c r="H268" s="1"/>
      <c r="R268" s="1"/>
    </row>
    <row r="269" spans="1:18" x14ac:dyDescent="0.25">
      <c r="A269" t="s">
        <v>1120</v>
      </c>
      <c r="B269" t="s">
        <v>415</v>
      </c>
      <c r="H269" s="1"/>
      <c r="R269" s="1"/>
    </row>
    <row r="270" spans="1:18" x14ac:dyDescent="0.25">
      <c r="A270" t="s">
        <v>1121</v>
      </c>
      <c r="B270" t="s">
        <v>416</v>
      </c>
      <c r="H270" s="1"/>
      <c r="R270" s="1"/>
    </row>
    <row r="271" spans="1:18" x14ac:dyDescent="0.25">
      <c r="A271" t="s">
        <v>1122</v>
      </c>
      <c r="B271" t="s">
        <v>417</v>
      </c>
      <c r="H271" s="1"/>
      <c r="R271" s="1"/>
    </row>
    <row r="272" spans="1:18" x14ac:dyDescent="0.25">
      <c r="A272" t="s">
        <v>1123</v>
      </c>
      <c r="B272" t="s">
        <v>418</v>
      </c>
      <c r="H272" s="1"/>
      <c r="R272" s="1"/>
    </row>
    <row r="273" spans="1:18" x14ac:dyDescent="0.25">
      <c r="A273" t="s">
        <v>1124</v>
      </c>
      <c r="B273" t="s">
        <v>419</v>
      </c>
      <c r="H273" s="1"/>
      <c r="R273" s="1"/>
    </row>
    <row r="274" spans="1:18" x14ac:dyDescent="0.25">
      <c r="A274" t="s">
        <v>1125</v>
      </c>
      <c r="B274" t="s">
        <v>420</v>
      </c>
      <c r="H274" s="1"/>
      <c r="R274" s="1"/>
    </row>
    <row r="275" spans="1:18" x14ac:dyDescent="0.25">
      <c r="A275" t="s">
        <v>1126</v>
      </c>
      <c r="B275" t="s">
        <v>421</v>
      </c>
      <c r="H275" s="1"/>
      <c r="R275" s="1"/>
    </row>
    <row r="276" spans="1:18" x14ac:dyDescent="0.25">
      <c r="A276" t="s">
        <v>1127</v>
      </c>
      <c r="B276" t="s">
        <v>422</v>
      </c>
      <c r="H276" s="1"/>
      <c r="R276" s="1"/>
    </row>
    <row r="277" spans="1:18" x14ac:dyDescent="0.25">
      <c r="A277" t="s">
        <v>1128</v>
      </c>
      <c r="B277" t="s">
        <v>423</v>
      </c>
      <c r="H277" s="1"/>
      <c r="R277" s="1"/>
    </row>
    <row r="278" spans="1:18" x14ac:dyDescent="0.25">
      <c r="A278" t="s">
        <v>1129</v>
      </c>
      <c r="B278" t="s">
        <v>424</v>
      </c>
      <c r="H278" s="1"/>
      <c r="R278" s="1"/>
    </row>
    <row r="279" spans="1:18" x14ac:dyDescent="0.25">
      <c r="A279" t="s">
        <v>1130</v>
      </c>
      <c r="B279" t="s">
        <v>425</v>
      </c>
      <c r="H279" s="1"/>
      <c r="R279" s="1"/>
    </row>
    <row r="280" spans="1:18" x14ac:dyDescent="0.25">
      <c r="A280" t="s">
        <v>1131</v>
      </c>
      <c r="B280" t="s">
        <v>426</v>
      </c>
      <c r="H280" s="1"/>
      <c r="R280" s="1"/>
    </row>
    <row r="281" spans="1:18" x14ac:dyDescent="0.25">
      <c r="A281" t="s">
        <v>1132</v>
      </c>
      <c r="B281" t="s">
        <v>427</v>
      </c>
      <c r="H281" s="1"/>
      <c r="R281" s="1"/>
    </row>
    <row r="282" spans="1:18" x14ac:dyDescent="0.25">
      <c r="A282" t="s">
        <v>1133</v>
      </c>
      <c r="B282" t="s">
        <v>428</v>
      </c>
      <c r="H282" s="1"/>
      <c r="R282" s="1"/>
    </row>
    <row r="283" spans="1:18" x14ac:dyDescent="0.25">
      <c r="A283" t="s">
        <v>1134</v>
      </c>
      <c r="B283" t="s">
        <v>429</v>
      </c>
      <c r="D283" t="s">
        <v>1</v>
      </c>
      <c r="H283" s="1"/>
      <c r="R283" s="1"/>
    </row>
    <row r="284" spans="1:18" x14ac:dyDescent="0.25">
      <c r="A284" t="s">
        <v>1135</v>
      </c>
      <c r="B284" t="s">
        <v>430</v>
      </c>
      <c r="H284" s="1"/>
      <c r="R284" s="1"/>
    </row>
    <row r="285" spans="1:18" x14ac:dyDescent="0.25">
      <c r="A285" t="s">
        <v>1136</v>
      </c>
      <c r="B285" t="s">
        <v>431</v>
      </c>
      <c r="D285" t="s">
        <v>1</v>
      </c>
      <c r="H285" s="1"/>
      <c r="R285" s="1"/>
    </row>
    <row r="286" spans="1:18" x14ac:dyDescent="0.25">
      <c r="A286" t="s">
        <v>1137</v>
      </c>
      <c r="B286" t="s">
        <v>432</v>
      </c>
      <c r="D286" t="s">
        <v>1</v>
      </c>
      <c r="H286" s="1"/>
      <c r="R286" s="1"/>
    </row>
    <row r="287" spans="1:18" x14ac:dyDescent="0.25">
      <c r="A287" t="s">
        <v>1138</v>
      </c>
      <c r="B287" t="s">
        <v>433</v>
      </c>
      <c r="D287" t="s">
        <v>1</v>
      </c>
      <c r="H287" s="1"/>
      <c r="R287" s="1"/>
    </row>
    <row r="288" spans="1:18" x14ac:dyDescent="0.25">
      <c r="A288" t="s">
        <v>1139</v>
      </c>
      <c r="B288" t="s">
        <v>434</v>
      </c>
      <c r="H288" s="1"/>
      <c r="R288" s="1"/>
    </row>
    <row r="289" spans="1:18" x14ac:dyDescent="0.25">
      <c r="A289" t="s">
        <v>1140</v>
      </c>
      <c r="B289" t="s">
        <v>435</v>
      </c>
      <c r="H289" s="1"/>
      <c r="R289" s="1"/>
    </row>
    <row r="290" spans="1:18" x14ac:dyDescent="0.25">
      <c r="A290" t="s">
        <v>1141</v>
      </c>
      <c r="B290" t="s">
        <v>436</v>
      </c>
      <c r="H290" s="1"/>
      <c r="R290" s="1"/>
    </row>
    <row r="291" spans="1:18" x14ac:dyDescent="0.25">
      <c r="A291" t="s">
        <v>1142</v>
      </c>
      <c r="B291" t="s">
        <v>437</v>
      </c>
      <c r="H291" s="1"/>
      <c r="R291" s="1"/>
    </row>
    <row r="292" spans="1:18" x14ac:dyDescent="0.25">
      <c r="A292" t="s">
        <v>1143</v>
      </c>
      <c r="B292" t="s">
        <v>438</v>
      </c>
      <c r="H292" s="1"/>
      <c r="R292" s="1"/>
    </row>
    <row r="293" spans="1:18" x14ac:dyDescent="0.25">
      <c r="A293" t="s">
        <v>1144</v>
      </c>
      <c r="B293" t="s">
        <v>439</v>
      </c>
      <c r="H293" s="1"/>
      <c r="R293" s="1"/>
    </row>
    <row r="294" spans="1:18" x14ac:dyDescent="0.25">
      <c r="A294" t="s">
        <v>1145</v>
      </c>
      <c r="B294" t="s">
        <v>440</v>
      </c>
      <c r="H294" s="1"/>
      <c r="R294" s="1"/>
    </row>
    <row r="295" spans="1:18" x14ac:dyDescent="0.25">
      <c r="A295" t="s">
        <v>1146</v>
      </c>
      <c r="B295" t="s">
        <v>441</v>
      </c>
      <c r="D295" t="s">
        <v>1557</v>
      </c>
      <c r="H295" s="1"/>
      <c r="R295" s="1"/>
    </row>
    <row r="296" spans="1:18" x14ac:dyDescent="0.25">
      <c r="A296" t="s">
        <v>1147</v>
      </c>
      <c r="B296" t="s">
        <v>442</v>
      </c>
      <c r="H296" s="1"/>
      <c r="R296" s="1"/>
    </row>
    <row r="297" spans="1:18" x14ac:dyDescent="0.25">
      <c r="A297" t="s">
        <v>1148</v>
      </c>
      <c r="B297" t="s">
        <v>443</v>
      </c>
      <c r="H297" s="1"/>
      <c r="R297" s="1"/>
    </row>
    <row r="298" spans="1:18" x14ac:dyDescent="0.25">
      <c r="A298" t="s">
        <v>1149</v>
      </c>
      <c r="B298" t="s">
        <v>444</v>
      </c>
      <c r="H298" s="1"/>
      <c r="R298" s="1"/>
    </row>
    <row r="299" spans="1:18" x14ac:dyDescent="0.25">
      <c r="A299" t="s">
        <v>1150</v>
      </c>
      <c r="B299" t="s">
        <v>445</v>
      </c>
      <c r="H299" s="1"/>
      <c r="R299" s="1"/>
    </row>
    <row r="300" spans="1:18" x14ac:dyDescent="0.25">
      <c r="A300" t="s">
        <v>1151</v>
      </c>
      <c r="B300" t="s">
        <v>446</v>
      </c>
      <c r="H300" s="1"/>
      <c r="R300" s="1"/>
    </row>
    <row r="301" spans="1:18" x14ac:dyDescent="0.25">
      <c r="A301" t="s">
        <v>1152</v>
      </c>
      <c r="B301" t="s">
        <v>447</v>
      </c>
      <c r="D301" t="s">
        <v>1557</v>
      </c>
      <c r="H301" s="1"/>
      <c r="R301" s="1"/>
    </row>
    <row r="302" spans="1:18" x14ac:dyDescent="0.25">
      <c r="A302" t="s">
        <v>1153</v>
      </c>
      <c r="B302" t="s">
        <v>448</v>
      </c>
      <c r="D302" t="s">
        <v>1557</v>
      </c>
      <c r="H302" s="1"/>
      <c r="R302" s="1"/>
    </row>
    <row r="303" spans="1:18" x14ac:dyDescent="0.25">
      <c r="A303" t="s">
        <v>1154</v>
      </c>
      <c r="B303" t="s">
        <v>449</v>
      </c>
      <c r="D303" t="s">
        <v>1</v>
      </c>
      <c r="H303" s="1"/>
      <c r="R303" s="1"/>
    </row>
    <row r="304" spans="1:18" x14ac:dyDescent="0.25">
      <c r="A304" t="s">
        <v>1155</v>
      </c>
      <c r="B304" t="s">
        <v>450</v>
      </c>
      <c r="H304" s="1"/>
      <c r="R304" s="1"/>
    </row>
    <row r="305" spans="1:18" x14ac:dyDescent="0.25">
      <c r="A305" t="s">
        <v>1156</v>
      </c>
      <c r="B305" t="s">
        <v>451</v>
      </c>
      <c r="H305" s="1"/>
      <c r="R305" s="1"/>
    </row>
    <row r="306" spans="1:18" x14ac:dyDescent="0.25">
      <c r="A306" t="s">
        <v>1157</v>
      </c>
      <c r="B306" t="s">
        <v>452</v>
      </c>
      <c r="D306" t="s">
        <v>1</v>
      </c>
      <c r="H306" s="1"/>
      <c r="R306" s="1"/>
    </row>
    <row r="307" spans="1:18" x14ac:dyDescent="0.25">
      <c r="A307" t="s">
        <v>1158</v>
      </c>
      <c r="B307" t="s">
        <v>453</v>
      </c>
      <c r="H307" s="1"/>
      <c r="R307" s="1"/>
    </row>
    <row r="308" spans="1:18" x14ac:dyDescent="0.25">
      <c r="A308" t="s">
        <v>1159</v>
      </c>
      <c r="B308" t="s">
        <v>454</v>
      </c>
      <c r="H308" s="1"/>
      <c r="R308" s="1"/>
    </row>
    <row r="309" spans="1:18" x14ac:dyDescent="0.25">
      <c r="A309" t="s">
        <v>1160</v>
      </c>
      <c r="B309" t="s">
        <v>455</v>
      </c>
      <c r="H309" s="1"/>
      <c r="R309" s="1"/>
    </row>
    <row r="310" spans="1:18" x14ac:dyDescent="0.25">
      <c r="A310" t="s">
        <v>1161</v>
      </c>
      <c r="B310" t="s">
        <v>456</v>
      </c>
      <c r="H310" s="1"/>
      <c r="R310" s="1"/>
    </row>
    <row r="311" spans="1:18" x14ac:dyDescent="0.25">
      <c r="A311" t="s">
        <v>1162</v>
      </c>
      <c r="B311" t="s">
        <v>457</v>
      </c>
      <c r="H311" s="1"/>
      <c r="R311" s="1"/>
    </row>
    <row r="312" spans="1:18" x14ac:dyDescent="0.25">
      <c r="A312" t="s">
        <v>1163</v>
      </c>
      <c r="B312" t="s">
        <v>458</v>
      </c>
      <c r="H312" s="1"/>
      <c r="R312" s="1"/>
    </row>
    <row r="313" spans="1:18" x14ac:dyDescent="0.25">
      <c r="A313" t="s">
        <v>1164</v>
      </c>
      <c r="B313" t="s">
        <v>459</v>
      </c>
      <c r="H313" s="1"/>
      <c r="R313" s="1"/>
    </row>
    <row r="314" spans="1:18" x14ac:dyDescent="0.25">
      <c r="A314" t="s">
        <v>1165</v>
      </c>
      <c r="B314" t="s">
        <v>460</v>
      </c>
      <c r="H314" s="1"/>
      <c r="R314" s="1"/>
    </row>
    <row r="315" spans="1:18" x14ac:dyDescent="0.25">
      <c r="A315" t="s">
        <v>1166</v>
      </c>
      <c r="B315" t="s">
        <v>461</v>
      </c>
      <c r="H315" s="1"/>
      <c r="R315" s="1"/>
    </row>
    <row r="316" spans="1:18" x14ac:dyDescent="0.25">
      <c r="A316" t="s">
        <v>1167</v>
      </c>
      <c r="B316" t="s">
        <v>462</v>
      </c>
      <c r="D316" t="s">
        <v>1</v>
      </c>
      <c r="H316" s="1"/>
      <c r="R316" s="1"/>
    </row>
    <row r="317" spans="1:18" x14ac:dyDescent="0.25">
      <c r="A317" t="s">
        <v>1168</v>
      </c>
      <c r="B317" t="s">
        <v>463</v>
      </c>
      <c r="H317" s="1"/>
      <c r="R317" s="1"/>
    </row>
    <row r="318" spans="1:18" x14ac:dyDescent="0.25">
      <c r="A318" t="s">
        <v>1169</v>
      </c>
      <c r="B318" t="s">
        <v>464</v>
      </c>
      <c r="H318" s="1"/>
      <c r="R318" s="1"/>
    </row>
    <row r="319" spans="1:18" x14ac:dyDescent="0.25">
      <c r="A319" t="s">
        <v>1170</v>
      </c>
      <c r="B319" t="s">
        <v>465</v>
      </c>
      <c r="D319" t="s">
        <v>1</v>
      </c>
      <c r="H319" s="1"/>
      <c r="R319" s="1"/>
    </row>
    <row r="320" spans="1:18" x14ac:dyDescent="0.25">
      <c r="A320" t="s">
        <v>1171</v>
      </c>
      <c r="B320" t="s">
        <v>466</v>
      </c>
      <c r="H320" s="1"/>
      <c r="R320" s="1"/>
    </row>
    <row r="321" spans="1:18" x14ac:dyDescent="0.25">
      <c r="A321" t="s">
        <v>1172</v>
      </c>
      <c r="B321" t="s">
        <v>467</v>
      </c>
      <c r="H321" s="1"/>
      <c r="R321" s="1"/>
    </row>
    <row r="322" spans="1:18" x14ac:dyDescent="0.25">
      <c r="A322" t="s">
        <v>1173</v>
      </c>
      <c r="B322" t="s">
        <v>468</v>
      </c>
      <c r="H322" s="1"/>
      <c r="R322" s="1"/>
    </row>
    <row r="323" spans="1:18" x14ac:dyDescent="0.25">
      <c r="A323" t="s">
        <v>1174</v>
      </c>
      <c r="B323" t="s">
        <v>469</v>
      </c>
      <c r="H323" s="1"/>
      <c r="R323" s="1"/>
    </row>
    <row r="324" spans="1:18" x14ac:dyDescent="0.25">
      <c r="A324" t="s">
        <v>1175</v>
      </c>
      <c r="B324" t="s">
        <v>470</v>
      </c>
      <c r="H324" s="1"/>
      <c r="R324" s="1"/>
    </row>
    <row r="325" spans="1:18" x14ac:dyDescent="0.25">
      <c r="A325" t="s">
        <v>1176</v>
      </c>
      <c r="B325" t="s">
        <v>471</v>
      </c>
      <c r="H325" s="1"/>
      <c r="R325" s="1"/>
    </row>
    <row r="326" spans="1:18" x14ac:dyDescent="0.25">
      <c r="A326" t="s">
        <v>1177</v>
      </c>
      <c r="B326" t="s">
        <v>472</v>
      </c>
      <c r="D326" t="s">
        <v>1557</v>
      </c>
      <c r="H326" s="1"/>
      <c r="R326" s="1"/>
    </row>
    <row r="327" spans="1:18" x14ac:dyDescent="0.25">
      <c r="A327" t="s">
        <v>1178</v>
      </c>
      <c r="B327" t="s">
        <v>473</v>
      </c>
      <c r="H327" s="1"/>
      <c r="R327" s="1"/>
    </row>
    <row r="328" spans="1:18" x14ac:dyDescent="0.25">
      <c r="A328" t="s">
        <v>1179</v>
      </c>
      <c r="B328" t="s">
        <v>474</v>
      </c>
      <c r="H328" s="1"/>
      <c r="R328" s="1"/>
    </row>
    <row r="329" spans="1:18" x14ac:dyDescent="0.25">
      <c r="A329" t="s">
        <v>1180</v>
      </c>
      <c r="B329" t="s">
        <v>475</v>
      </c>
      <c r="H329" s="1"/>
      <c r="R329" s="1"/>
    </row>
    <row r="330" spans="1:18" x14ac:dyDescent="0.25">
      <c r="A330" t="s">
        <v>1181</v>
      </c>
      <c r="B330" t="s">
        <v>476</v>
      </c>
      <c r="H330" s="1"/>
      <c r="R330" s="1"/>
    </row>
    <row r="331" spans="1:18" x14ac:dyDescent="0.25">
      <c r="A331" t="s">
        <v>1182</v>
      </c>
      <c r="B331" t="s">
        <v>477</v>
      </c>
      <c r="H331" s="1"/>
      <c r="R331" s="1"/>
    </row>
    <row r="332" spans="1:18" x14ac:dyDescent="0.25">
      <c r="A332" t="s">
        <v>1183</v>
      </c>
      <c r="B332" t="s">
        <v>478</v>
      </c>
      <c r="H332" s="1"/>
      <c r="R332" s="1"/>
    </row>
    <row r="333" spans="1:18" x14ac:dyDescent="0.25">
      <c r="A333" t="s">
        <v>1184</v>
      </c>
      <c r="B333" t="s">
        <v>479</v>
      </c>
      <c r="H333" s="1"/>
      <c r="R333" s="1"/>
    </row>
    <row r="334" spans="1:18" x14ac:dyDescent="0.25">
      <c r="A334" t="s">
        <v>1185</v>
      </c>
      <c r="B334" t="s">
        <v>480</v>
      </c>
      <c r="H334" s="1"/>
      <c r="R334" s="1"/>
    </row>
    <row r="335" spans="1:18" x14ac:dyDescent="0.25">
      <c r="A335" t="s">
        <v>1186</v>
      </c>
      <c r="B335" t="s">
        <v>481</v>
      </c>
      <c r="H335" s="1"/>
      <c r="R335" s="1"/>
    </row>
    <row r="336" spans="1:18" x14ac:dyDescent="0.25">
      <c r="A336" t="s">
        <v>1187</v>
      </c>
      <c r="B336" t="s">
        <v>482</v>
      </c>
      <c r="D336" t="s">
        <v>1</v>
      </c>
      <c r="H336" s="1"/>
      <c r="R336" s="1"/>
    </row>
    <row r="337" spans="1:18" x14ac:dyDescent="0.25">
      <c r="A337" t="s">
        <v>1188</v>
      </c>
      <c r="B337" t="s">
        <v>483</v>
      </c>
      <c r="H337" s="1"/>
      <c r="R337" s="1"/>
    </row>
    <row r="338" spans="1:18" x14ac:dyDescent="0.25">
      <c r="A338" t="s">
        <v>1189</v>
      </c>
      <c r="B338" t="s">
        <v>484</v>
      </c>
      <c r="H338" s="1"/>
      <c r="R338" s="1"/>
    </row>
    <row r="339" spans="1:18" x14ac:dyDescent="0.25">
      <c r="A339" t="s">
        <v>1190</v>
      </c>
      <c r="B339" t="s">
        <v>485</v>
      </c>
      <c r="D339" t="s">
        <v>1</v>
      </c>
      <c r="H339" s="1"/>
      <c r="R339" s="1"/>
    </row>
    <row r="340" spans="1:18" x14ac:dyDescent="0.25">
      <c r="A340" t="s">
        <v>1191</v>
      </c>
      <c r="B340" t="s">
        <v>486</v>
      </c>
      <c r="D340" t="s">
        <v>1</v>
      </c>
      <c r="H340" s="1"/>
      <c r="R340" s="1"/>
    </row>
    <row r="341" spans="1:18" x14ac:dyDescent="0.25">
      <c r="A341" t="s">
        <v>1192</v>
      </c>
      <c r="B341" t="s">
        <v>487</v>
      </c>
      <c r="H341" s="1"/>
      <c r="R341" s="1"/>
    </row>
    <row r="342" spans="1:18" x14ac:dyDescent="0.25">
      <c r="A342" t="s">
        <v>1193</v>
      </c>
      <c r="B342" t="s">
        <v>488</v>
      </c>
      <c r="D342" t="s">
        <v>1</v>
      </c>
      <c r="H342" s="1"/>
      <c r="R342" s="1"/>
    </row>
    <row r="343" spans="1:18" x14ac:dyDescent="0.25">
      <c r="A343" t="s">
        <v>1194</v>
      </c>
      <c r="B343" t="s">
        <v>489</v>
      </c>
      <c r="H343" s="1"/>
      <c r="R343" s="1"/>
    </row>
    <row r="344" spans="1:18" x14ac:dyDescent="0.25">
      <c r="A344" t="s">
        <v>1195</v>
      </c>
      <c r="B344" t="s">
        <v>490</v>
      </c>
      <c r="H344" s="1"/>
      <c r="R344" s="1"/>
    </row>
    <row r="345" spans="1:18" x14ac:dyDescent="0.25">
      <c r="A345" t="s">
        <v>1196</v>
      </c>
      <c r="B345" t="s">
        <v>491</v>
      </c>
      <c r="H345" s="1"/>
      <c r="R345" s="1"/>
    </row>
    <row r="346" spans="1:18" x14ac:dyDescent="0.25">
      <c r="A346" t="s">
        <v>1197</v>
      </c>
      <c r="B346" t="s">
        <v>492</v>
      </c>
      <c r="H346" s="1"/>
      <c r="R346" s="1"/>
    </row>
    <row r="347" spans="1:18" x14ac:dyDescent="0.25">
      <c r="A347" t="s">
        <v>1198</v>
      </c>
      <c r="B347" t="s">
        <v>493</v>
      </c>
      <c r="D347" t="s">
        <v>1557</v>
      </c>
      <c r="H347" s="1"/>
      <c r="R347" s="1"/>
    </row>
    <row r="348" spans="1:18" x14ac:dyDescent="0.25">
      <c r="A348" t="s">
        <v>1199</v>
      </c>
      <c r="B348" t="s">
        <v>494</v>
      </c>
      <c r="H348" s="1"/>
      <c r="R348" s="1"/>
    </row>
    <row r="349" spans="1:18" x14ac:dyDescent="0.25">
      <c r="A349" t="s">
        <v>1200</v>
      </c>
      <c r="B349" t="s">
        <v>495</v>
      </c>
      <c r="D349" t="s">
        <v>1557</v>
      </c>
      <c r="H349" s="1"/>
      <c r="R349" s="1"/>
    </row>
    <row r="350" spans="1:18" x14ac:dyDescent="0.25">
      <c r="A350" t="s">
        <v>1201</v>
      </c>
      <c r="B350" t="s">
        <v>496</v>
      </c>
      <c r="H350" s="1"/>
      <c r="R350" s="1"/>
    </row>
    <row r="351" spans="1:18" x14ac:dyDescent="0.25">
      <c r="A351" t="s">
        <v>1202</v>
      </c>
      <c r="B351" t="s">
        <v>497</v>
      </c>
      <c r="H351" s="1"/>
      <c r="R351" s="1"/>
    </row>
    <row r="352" spans="1:18" x14ac:dyDescent="0.25">
      <c r="A352" t="s">
        <v>1203</v>
      </c>
      <c r="B352" t="s">
        <v>498</v>
      </c>
      <c r="H352" s="1"/>
      <c r="R352" s="1"/>
    </row>
    <row r="353" spans="1:18" x14ac:dyDescent="0.25">
      <c r="A353" t="s">
        <v>1204</v>
      </c>
      <c r="B353" t="s">
        <v>499</v>
      </c>
      <c r="H353" s="1"/>
      <c r="R353" s="1"/>
    </row>
    <row r="354" spans="1:18" x14ac:dyDescent="0.25">
      <c r="A354" t="s">
        <v>1205</v>
      </c>
      <c r="B354" t="s">
        <v>500</v>
      </c>
      <c r="H354" s="1"/>
      <c r="R354" s="1"/>
    </row>
    <row r="355" spans="1:18" x14ac:dyDescent="0.25">
      <c r="A355" t="s">
        <v>1206</v>
      </c>
      <c r="B355" t="s">
        <v>501</v>
      </c>
      <c r="H355" s="1"/>
      <c r="R355" s="1"/>
    </row>
    <row r="356" spans="1:18" x14ac:dyDescent="0.25">
      <c r="A356" t="s">
        <v>1207</v>
      </c>
      <c r="B356" t="s">
        <v>502</v>
      </c>
      <c r="D356" t="s">
        <v>1557</v>
      </c>
      <c r="H356" s="1"/>
      <c r="R356" s="1"/>
    </row>
    <row r="357" spans="1:18" x14ac:dyDescent="0.25">
      <c r="A357" t="s">
        <v>1208</v>
      </c>
      <c r="B357" t="s">
        <v>503</v>
      </c>
      <c r="H357" s="1"/>
      <c r="R357" s="1"/>
    </row>
    <row r="358" spans="1:18" x14ac:dyDescent="0.25">
      <c r="A358" t="s">
        <v>1209</v>
      </c>
      <c r="B358" t="s">
        <v>504</v>
      </c>
      <c r="H358" s="1"/>
      <c r="R358" s="1"/>
    </row>
    <row r="359" spans="1:18" x14ac:dyDescent="0.25">
      <c r="A359" t="s">
        <v>1210</v>
      </c>
      <c r="B359" t="s">
        <v>505</v>
      </c>
      <c r="H359" s="1"/>
      <c r="R359" s="1"/>
    </row>
    <row r="360" spans="1:18" x14ac:dyDescent="0.25">
      <c r="A360" t="s">
        <v>1211</v>
      </c>
      <c r="B360" t="s">
        <v>506</v>
      </c>
      <c r="H360" s="1"/>
      <c r="R360" s="1"/>
    </row>
    <row r="361" spans="1:18" x14ac:dyDescent="0.25">
      <c r="A361" t="s">
        <v>1212</v>
      </c>
      <c r="B361" t="s">
        <v>507</v>
      </c>
      <c r="H361" s="1"/>
      <c r="R361" s="1"/>
    </row>
    <row r="362" spans="1:18" x14ac:dyDescent="0.25">
      <c r="A362" t="s">
        <v>1213</v>
      </c>
      <c r="B362" t="s">
        <v>508</v>
      </c>
      <c r="D362" t="s">
        <v>1557</v>
      </c>
      <c r="H362" s="1"/>
      <c r="R362" s="1"/>
    </row>
    <row r="363" spans="1:18" x14ac:dyDescent="0.25">
      <c r="A363" t="s">
        <v>1214</v>
      </c>
      <c r="B363" t="s">
        <v>509</v>
      </c>
      <c r="H363" s="1"/>
      <c r="R363" s="1"/>
    </row>
    <row r="364" spans="1:18" x14ac:dyDescent="0.25">
      <c r="A364" t="s">
        <v>1215</v>
      </c>
      <c r="B364" t="s">
        <v>510</v>
      </c>
      <c r="H364" s="1"/>
      <c r="R364" s="1"/>
    </row>
    <row r="365" spans="1:18" x14ac:dyDescent="0.25">
      <c r="A365" t="s">
        <v>1216</v>
      </c>
      <c r="B365" t="s">
        <v>511</v>
      </c>
      <c r="H365" s="1"/>
      <c r="R365" s="1"/>
    </row>
    <row r="366" spans="1:18" x14ac:dyDescent="0.25">
      <c r="A366" t="s">
        <v>1217</v>
      </c>
      <c r="B366" t="s">
        <v>512</v>
      </c>
      <c r="H366" s="1"/>
      <c r="R366" s="1"/>
    </row>
    <row r="367" spans="1:18" x14ac:dyDescent="0.25">
      <c r="A367" t="s">
        <v>1218</v>
      </c>
      <c r="B367" t="s">
        <v>513</v>
      </c>
      <c r="H367" s="1"/>
      <c r="R367" s="1"/>
    </row>
    <row r="368" spans="1:18" x14ac:dyDescent="0.25">
      <c r="A368" t="s">
        <v>1219</v>
      </c>
      <c r="B368" t="s">
        <v>514</v>
      </c>
      <c r="H368" s="1"/>
      <c r="R368" s="1"/>
    </row>
    <row r="369" spans="1:18" x14ac:dyDescent="0.25">
      <c r="A369" t="s">
        <v>1220</v>
      </c>
      <c r="B369" t="s">
        <v>515</v>
      </c>
      <c r="H369" s="1"/>
      <c r="R369" s="1"/>
    </row>
    <row r="370" spans="1:18" x14ac:dyDescent="0.25">
      <c r="A370" t="s">
        <v>1221</v>
      </c>
      <c r="B370" t="s">
        <v>516</v>
      </c>
      <c r="H370" s="1"/>
      <c r="R370" s="1"/>
    </row>
    <row r="371" spans="1:18" x14ac:dyDescent="0.25">
      <c r="A371" t="s">
        <v>1222</v>
      </c>
      <c r="B371" t="s">
        <v>517</v>
      </c>
      <c r="D371" t="s">
        <v>1557</v>
      </c>
      <c r="H371" s="1"/>
      <c r="R371" s="1"/>
    </row>
    <row r="372" spans="1:18" x14ac:dyDescent="0.25">
      <c r="A372" t="s">
        <v>1223</v>
      </c>
      <c r="B372" t="s">
        <v>518</v>
      </c>
      <c r="H372" s="1"/>
      <c r="R372" s="1"/>
    </row>
    <row r="373" spans="1:18" x14ac:dyDescent="0.25">
      <c r="A373" t="s">
        <v>1224</v>
      </c>
      <c r="B373" t="s">
        <v>519</v>
      </c>
      <c r="H373" s="1"/>
      <c r="R373" s="1"/>
    </row>
    <row r="374" spans="1:18" x14ac:dyDescent="0.25">
      <c r="A374" t="s">
        <v>1225</v>
      </c>
      <c r="B374" t="s">
        <v>520</v>
      </c>
      <c r="H374" s="1"/>
      <c r="R374" s="1"/>
    </row>
    <row r="375" spans="1:18" x14ac:dyDescent="0.25">
      <c r="A375" t="s">
        <v>1226</v>
      </c>
      <c r="B375" t="s">
        <v>521</v>
      </c>
      <c r="H375" s="1"/>
      <c r="R375" s="1"/>
    </row>
    <row r="376" spans="1:18" x14ac:dyDescent="0.25">
      <c r="A376" t="s">
        <v>1227</v>
      </c>
      <c r="B376" t="s">
        <v>522</v>
      </c>
      <c r="H376" s="1"/>
      <c r="R376" s="1"/>
    </row>
    <row r="377" spans="1:18" x14ac:dyDescent="0.25">
      <c r="A377" t="s">
        <v>1228</v>
      </c>
      <c r="B377" t="s">
        <v>523</v>
      </c>
      <c r="H377" s="1"/>
      <c r="R377" s="1"/>
    </row>
    <row r="378" spans="1:18" x14ac:dyDescent="0.25">
      <c r="A378" t="s">
        <v>1229</v>
      </c>
      <c r="B378" t="s">
        <v>524</v>
      </c>
      <c r="H378" s="1"/>
      <c r="R378" s="1"/>
    </row>
    <row r="379" spans="1:18" x14ac:dyDescent="0.25">
      <c r="A379" t="s">
        <v>1230</v>
      </c>
      <c r="B379" t="s">
        <v>525</v>
      </c>
      <c r="H379" s="1"/>
      <c r="R379" s="1"/>
    </row>
    <row r="380" spans="1:18" x14ac:dyDescent="0.25">
      <c r="A380" t="s">
        <v>1231</v>
      </c>
      <c r="B380" t="s">
        <v>526</v>
      </c>
      <c r="H380" s="1"/>
      <c r="R380" s="1"/>
    </row>
    <row r="381" spans="1:18" x14ac:dyDescent="0.25">
      <c r="A381" t="s">
        <v>1232</v>
      </c>
      <c r="B381" t="s">
        <v>527</v>
      </c>
      <c r="H381" s="1"/>
      <c r="R381" s="1"/>
    </row>
    <row r="382" spans="1:18" x14ac:dyDescent="0.25">
      <c r="A382" t="s">
        <v>1233</v>
      </c>
      <c r="B382" t="s">
        <v>528</v>
      </c>
      <c r="H382" s="1"/>
      <c r="R382" s="1"/>
    </row>
    <row r="383" spans="1:18" x14ac:dyDescent="0.25">
      <c r="A383" t="s">
        <v>1234</v>
      </c>
      <c r="B383" t="s">
        <v>529</v>
      </c>
      <c r="H383" s="1"/>
      <c r="R383" s="1"/>
    </row>
    <row r="384" spans="1:18" x14ac:dyDescent="0.25">
      <c r="A384" t="s">
        <v>1235</v>
      </c>
      <c r="B384" t="s">
        <v>530</v>
      </c>
      <c r="H384" s="1"/>
      <c r="R384" s="1"/>
    </row>
    <row r="385" spans="1:18" x14ac:dyDescent="0.25">
      <c r="A385" t="s">
        <v>1236</v>
      </c>
      <c r="B385" t="s">
        <v>531</v>
      </c>
      <c r="H385" s="1"/>
      <c r="R385" s="1"/>
    </row>
    <row r="386" spans="1:18" x14ac:dyDescent="0.25">
      <c r="A386" t="s">
        <v>1237</v>
      </c>
      <c r="B386" t="s">
        <v>532</v>
      </c>
      <c r="H386" s="1"/>
      <c r="R386" s="1"/>
    </row>
    <row r="387" spans="1:18" x14ac:dyDescent="0.25">
      <c r="A387" t="s">
        <v>1238</v>
      </c>
      <c r="B387" t="s">
        <v>533</v>
      </c>
      <c r="H387" s="1"/>
      <c r="R387" s="1"/>
    </row>
    <row r="388" spans="1:18" x14ac:dyDescent="0.25">
      <c r="A388" t="s">
        <v>1239</v>
      </c>
      <c r="B388" t="s">
        <v>534</v>
      </c>
      <c r="H388" s="1"/>
      <c r="R388" s="1"/>
    </row>
    <row r="389" spans="1:18" x14ac:dyDescent="0.25">
      <c r="A389" t="s">
        <v>1240</v>
      </c>
      <c r="B389" t="s">
        <v>535</v>
      </c>
      <c r="H389" s="1"/>
      <c r="R389" s="1"/>
    </row>
    <row r="390" spans="1:18" x14ac:dyDescent="0.25">
      <c r="A390" t="s">
        <v>1241</v>
      </c>
      <c r="B390" t="s">
        <v>536</v>
      </c>
      <c r="H390" s="1"/>
      <c r="R390" s="1"/>
    </row>
    <row r="391" spans="1:18" x14ac:dyDescent="0.25">
      <c r="A391" t="s">
        <v>1242</v>
      </c>
      <c r="B391" t="s">
        <v>537</v>
      </c>
      <c r="H391" s="1"/>
      <c r="R391" s="1"/>
    </row>
    <row r="392" spans="1:18" x14ac:dyDescent="0.25">
      <c r="A392" t="s">
        <v>1243</v>
      </c>
      <c r="B392" t="s">
        <v>538</v>
      </c>
      <c r="H392" s="1"/>
      <c r="R392" s="1"/>
    </row>
    <row r="393" spans="1:18" x14ac:dyDescent="0.25">
      <c r="A393" t="s">
        <v>1244</v>
      </c>
      <c r="B393" t="s">
        <v>539</v>
      </c>
      <c r="H393" s="1"/>
      <c r="R393" s="1"/>
    </row>
    <row r="394" spans="1:18" x14ac:dyDescent="0.25">
      <c r="A394" t="s">
        <v>1245</v>
      </c>
      <c r="B394" t="s">
        <v>540</v>
      </c>
      <c r="H394" s="1"/>
      <c r="R394" s="1"/>
    </row>
    <row r="395" spans="1:18" x14ac:dyDescent="0.25">
      <c r="A395" t="s">
        <v>1246</v>
      </c>
      <c r="B395" t="s">
        <v>541</v>
      </c>
      <c r="H395" s="1"/>
      <c r="R395" s="1"/>
    </row>
    <row r="396" spans="1:18" x14ac:dyDescent="0.25">
      <c r="A396" t="s">
        <v>1247</v>
      </c>
      <c r="B396" t="s">
        <v>542</v>
      </c>
      <c r="H396" s="1"/>
      <c r="R396" s="1"/>
    </row>
    <row r="397" spans="1:18" x14ac:dyDescent="0.25">
      <c r="A397" t="s">
        <v>1248</v>
      </c>
      <c r="B397" t="s">
        <v>543</v>
      </c>
      <c r="H397" s="1"/>
      <c r="R397" s="1"/>
    </row>
    <row r="398" spans="1:18" x14ac:dyDescent="0.25">
      <c r="A398" t="s">
        <v>1249</v>
      </c>
      <c r="B398" t="s">
        <v>544</v>
      </c>
      <c r="H398" s="1"/>
      <c r="R398" s="1"/>
    </row>
    <row r="399" spans="1:18" x14ac:dyDescent="0.25">
      <c r="A399" t="s">
        <v>1250</v>
      </c>
      <c r="B399" t="s">
        <v>545</v>
      </c>
      <c r="H399" s="1"/>
      <c r="R399" s="1"/>
    </row>
    <row r="400" spans="1:18" x14ac:dyDescent="0.25">
      <c r="A400" t="s">
        <v>1251</v>
      </c>
      <c r="B400" t="s">
        <v>546</v>
      </c>
      <c r="H400" s="1"/>
      <c r="R400" s="1"/>
    </row>
    <row r="401" spans="1:18" x14ac:dyDescent="0.25">
      <c r="A401" t="s">
        <v>1252</v>
      </c>
      <c r="B401" t="s">
        <v>547</v>
      </c>
      <c r="H401" s="1"/>
      <c r="R401" s="1"/>
    </row>
    <row r="402" spans="1:18" x14ac:dyDescent="0.25">
      <c r="A402" t="s">
        <v>1253</v>
      </c>
      <c r="B402" t="s">
        <v>548</v>
      </c>
      <c r="H402" s="1"/>
      <c r="R402" s="1"/>
    </row>
    <row r="403" spans="1:18" x14ac:dyDescent="0.25">
      <c r="A403" t="s">
        <v>1254</v>
      </c>
      <c r="B403" t="s">
        <v>549</v>
      </c>
      <c r="D403" t="s">
        <v>1</v>
      </c>
      <c r="H403" s="1"/>
      <c r="R403" s="1"/>
    </row>
    <row r="404" spans="1:18" x14ac:dyDescent="0.25">
      <c r="A404" t="s">
        <v>1255</v>
      </c>
      <c r="B404" t="s">
        <v>550</v>
      </c>
      <c r="H404" s="1"/>
      <c r="R404" s="1"/>
    </row>
    <row r="405" spans="1:18" x14ac:dyDescent="0.25">
      <c r="A405" t="s">
        <v>1256</v>
      </c>
      <c r="B405" t="s">
        <v>551</v>
      </c>
      <c r="H405" s="1"/>
      <c r="R405" s="1"/>
    </row>
    <row r="406" spans="1:18" x14ac:dyDescent="0.25">
      <c r="A406" t="s">
        <v>1257</v>
      </c>
      <c r="B406" t="s">
        <v>552</v>
      </c>
      <c r="H406" s="1"/>
      <c r="R406" s="1"/>
    </row>
    <row r="407" spans="1:18" x14ac:dyDescent="0.25">
      <c r="A407" t="s">
        <v>1258</v>
      </c>
      <c r="B407" t="s">
        <v>553</v>
      </c>
      <c r="H407" s="1"/>
      <c r="R407" s="1"/>
    </row>
    <row r="408" spans="1:18" x14ac:dyDescent="0.25">
      <c r="A408" t="s">
        <v>1259</v>
      </c>
      <c r="B408" t="s">
        <v>554</v>
      </c>
      <c r="H408" s="1"/>
      <c r="R408" s="1"/>
    </row>
    <row r="409" spans="1:18" x14ac:dyDescent="0.25">
      <c r="A409" t="s">
        <v>1260</v>
      </c>
      <c r="B409" t="s">
        <v>555</v>
      </c>
      <c r="H409" s="1"/>
      <c r="R409" s="1"/>
    </row>
    <row r="410" spans="1:18" x14ac:dyDescent="0.25">
      <c r="A410" t="s">
        <v>1261</v>
      </c>
      <c r="B410" t="s">
        <v>556</v>
      </c>
      <c r="D410" t="s">
        <v>1</v>
      </c>
      <c r="H410" s="1"/>
      <c r="R410" s="1"/>
    </row>
    <row r="411" spans="1:18" x14ac:dyDescent="0.25">
      <c r="A411" t="s">
        <v>1262</v>
      </c>
      <c r="B411" t="s">
        <v>557</v>
      </c>
      <c r="H411" s="1"/>
      <c r="R411" s="1"/>
    </row>
    <row r="412" spans="1:18" x14ac:dyDescent="0.25">
      <c r="A412" t="s">
        <v>1263</v>
      </c>
      <c r="B412" t="s">
        <v>558</v>
      </c>
      <c r="H412" s="1"/>
      <c r="R412" s="1"/>
    </row>
    <row r="413" spans="1:18" x14ac:dyDescent="0.25">
      <c r="A413" t="s">
        <v>1264</v>
      </c>
      <c r="B413" t="s">
        <v>559</v>
      </c>
      <c r="H413" s="1"/>
      <c r="R413" s="1"/>
    </row>
    <row r="414" spans="1:18" x14ac:dyDescent="0.25">
      <c r="A414" t="s">
        <v>1265</v>
      </c>
      <c r="B414" t="s">
        <v>560</v>
      </c>
      <c r="H414" s="1"/>
      <c r="R414" s="1"/>
    </row>
    <row r="415" spans="1:18" x14ac:dyDescent="0.25">
      <c r="A415" t="s">
        <v>1266</v>
      </c>
      <c r="B415" t="s">
        <v>561</v>
      </c>
      <c r="H415" s="1"/>
      <c r="R415" s="1"/>
    </row>
    <row r="416" spans="1:18" x14ac:dyDescent="0.25">
      <c r="A416" t="s">
        <v>1267</v>
      </c>
      <c r="B416" t="s">
        <v>562</v>
      </c>
      <c r="H416" s="1"/>
      <c r="R416" s="1"/>
    </row>
    <row r="417" spans="1:18" x14ac:dyDescent="0.25">
      <c r="A417" t="s">
        <v>1268</v>
      </c>
      <c r="B417" t="s">
        <v>563</v>
      </c>
      <c r="H417" s="1"/>
      <c r="R417" s="1"/>
    </row>
    <row r="418" spans="1:18" x14ac:dyDescent="0.25">
      <c r="A418" t="s">
        <v>1269</v>
      </c>
      <c r="B418" t="s">
        <v>564</v>
      </c>
      <c r="D418" t="s">
        <v>1</v>
      </c>
      <c r="H418" s="1"/>
      <c r="R418" s="1"/>
    </row>
    <row r="419" spans="1:18" x14ac:dyDescent="0.25">
      <c r="A419" t="s">
        <v>1270</v>
      </c>
      <c r="B419" t="s">
        <v>565</v>
      </c>
      <c r="H419" s="1"/>
      <c r="R419" s="1"/>
    </row>
    <row r="420" spans="1:18" x14ac:dyDescent="0.25">
      <c r="A420" t="s">
        <v>1271</v>
      </c>
      <c r="B420" t="s">
        <v>566</v>
      </c>
      <c r="H420" s="1"/>
      <c r="R420" s="1"/>
    </row>
    <row r="421" spans="1:18" x14ac:dyDescent="0.25">
      <c r="A421" t="s">
        <v>1272</v>
      </c>
      <c r="B421" t="s">
        <v>567</v>
      </c>
      <c r="H421" s="1"/>
      <c r="R421" s="1"/>
    </row>
    <row r="422" spans="1:18" x14ac:dyDescent="0.25">
      <c r="A422" t="s">
        <v>1273</v>
      </c>
      <c r="B422" t="s">
        <v>568</v>
      </c>
      <c r="H422" s="1"/>
      <c r="R422" s="1"/>
    </row>
    <row r="423" spans="1:18" x14ac:dyDescent="0.25">
      <c r="A423" t="s">
        <v>1274</v>
      </c>
      <c r="B423" t="s">
        <v>569</v>
      </c>
      <c r="H423" s="1"/>
      <c r="R423" s="1"/>
    </row>
    <row r="424" spans="1:18" x14ac:dyDescent="0.25">
      <c r="A424" t="s">
        <v>1275</v>
      </c>
      <c r="B424" t="s">
        <v>570</v>
      </c>
      <c r="H424" s="1"/>
      <c r="R424" s="1"/>
    </row>
    <row r="425" spans="1:18" x14ac:dyDescent="0.25">
      <c r="A425" t="s">
        <v>1276</v>
      </c>
      <c r="B425" t="s">
        <v>571</v>
      </c>
      <c r="H425" s="1"/>
      <c r="R425" s="1"/>
    </row>
    <row r="426" spans="1:18" x14ac:dyDescent="0.25">
      <c r="A426" t="s">
        <v>1277</v>
      </c>
      <c r="B426" t="s">
        <v>572</v>
      </c>
      <c r="D426" t="s">
        <v>1557</v>
      </c>
      <c r="H426" s="1"/>
      <c r="R426" s="1"/>
    </row>
    <row r="427" spans="1:18" x14ac:dyDescent="0.25">
      <c r="A427" t="s">
        <v>1278</v>
      </c>
      <c r="B427" t="s">
        <v>573</v>
      </c>
      <c r="H427" s="1"/>
      <c r="R427" s="1"/>
    </row>
    <row r="428" spans="1:18" x14ac:dyDescent="0.25">
      <c r="A428" t="s">
        <v>1279</v>
      </c>
      <c r="B428" t="s">
        <v>574</v>
      </c>
      <c r="H428" s="1"/>
      <c r="R428" s="1"/>
    </row>
    <row r="429" spans="1:18" x14ac:dyDescent="0.25">
      <c r="A429" t="s">
        <v>1280</v>
      </c>
      <c r="B429" t="s">
        <v>575</v>
      </c>
      <c r="H429" s="1"/>
      <c r="R429" s="1"/>
    </row>
    <row r="430" spans="1:18" x14ac:dyDescent="0.25">
      <c r="A430" t="s">
        <v>1281</v>
      </c>
      <c r="B430" t="s">
        <v>576</v>
      </c>
      <c r="H430" s="1"/>
      <c r="R430" s="1"/>
    </row>
    <row r="431" spans="1:18" x14ac:dyDescent="0.25">
      <c r="A431" t="s">
        <v>1282</v>
      </c>
      <c r="B431" t="s">
        <v>577</v>
      </c>
      <c r="H431" s="1"/>
      <c r="R431" s="1"/>
    </row>
    <row r="432" spans="1:18" x14ac:dyDescent="0.25">
      <c r="A432" t="s">
        <v>1283</v>
      </c>
      <c r="B432" t="s">
        <v>578</v>
      </c>
      <c r="H432" s="1"/>
      <c r="R432" s="1"/>
    </row>
    <row r="433" spans="1:18" x14ac:dyDescent="0.25">
      <c r="A433" t="s">
        <v>1284</v>
      </c>
      <c r="B433" t="s">
        <v>579</v>
      </c>
      <c r="H433" s="1"/>
      <c r="R433" s="1"/>
    </row>
    <row r="434" spans="1:18" x14ac:dyDescent="0.25">
      <c r="A434" t="s">
        <v>1285</v>
      </c>
      <c r="B434" t="s">
        <v>580</v>
      </c>
      <c r="D434" t="s">
        <v>1</v>
      </c>
      <c r="H434" s="1"/>
      <c r="R434" s="1"/>
    </row>
    <row r="435" spans="1:18" x14ac:dyDescent="0.25">
      <c r="A435" t="s">
        <v>1286</v>
      </c>
      <c r="B435" t="s">
        <v>581</v>
      </c>
      <c r="H435" s="1"/>
      <c r="R435" s="1"/>
    </row>
    <row r="436" spans="1:18" x14ac:dyDescent="0.25">
      <c r="A436" t="s">
        <v>1287</v>
      </c>
      <c r="B436" t="s">
        <v>582</v>
      </c>
      <c r="H436" s="1"/>
      <c r="R436" s="1"/>
    </row>
    <row r="437" spans="1:18" x14ac:dyDescent="0.25">
      <c r="A437" t="s">
        <v>1288</v>
      </c>
      <c r="B437" t="s">
        <v>583</v>
      </c>
      <c r="H437" s="1"/>
      <c r="R437" s="1"/>
    </row>
    <row r="438" spans="1:18" x14ac:dyDescent="0.25">
      <c r="A438" t="s">
        <v>1289</v>
      </c>
      <c r="B438" t="s">
        <v>584</v>
      </c>
      <c r="H438" s="1"/>
      <c r="R438" s="1"/>
    </row>
    <row r="439" spans="1:18" x14ac:dyDescent="0.25">
      <c r="A439" t="s">
        <v>1290</v>
      </c>
      <c r="B439" t="s">
        <v>585</v>
      </c>
      <c r="H439" s="1"/>
      <c r="R439" s="1"/>
    </row>
    <row r="440" spans="1:18" x14ac:dyDescent="0.25">
      <c r="A440" t="s">
        <v>1291</v>
      </c>
      <c r="B440" t="s">
        <v>586</v>
      </c>
      <c r="H440" s="1"/>
      <c r="R440" s="1"/>
    </row>
    <row r="441" spans="1:18" x14ac:dyDescent="0.25">
      <c r="A441" t="s">
        <v>1292</v>
      </c>
      <c r="B441" t="s">
        <v>587</v>
      </c>
      <c r="H441" s="1"/>
      <c r="R441" s="1"/>
    </row>
    <row r="442" spans="1:18" x14ac:dyDescent="0.25">
      <c r="A442" t="s">
        <v>1293</v>
      </c>
      <c r="B442" t="s">
        <v>588</v>
      </c>
      <c r="H442" s="1"/>
      <c r="R442" s="1"/>
    </row>
    <row r="443" spans="1:18" x14ac:dyDescent="0.25">
      <c r="A443" t="s">
        <v>1294</v>
      </c>
      <c r="B443" t="s">
        <v>589</v>
      </c>
      <c r="H443" s="1"/>
      <c r="R443" s="1"/>
    </row>
    <row r="444" spans="1:18" x14ac:dyDescent="0.25">
      <c r="A444" t="s">
        <v>1295</v>
      </c>
      <c r="B444" t="s">
        <v>590</v>
      </c>
      <c r="H444" s="1"/>
      <c r="R444" s="1"/>
    </row>
    <row r="445" spans="1:18" x14ac:dyDescent="0.25">
      <c r="A445" t="s">
        <v>1296</v>
      </c>
      <c r="B445" t="s">
        <v>591</v>
      </c>
      <c r="H445" s="1"/>
      <c r="R445" s="1"/>
    </row>
    <row r="446" spans="1:18" x14ac:dyDescent="0.25">
      <c r="A446" t="s">
        <v>1297</v>
      </c>
      <c r="B446" t="s">
        <v>592</v>
      </c>
      <c r="H446" s="1"/>
      <c r="R446" s="1"/>
    </row>
    <row r="447" spans="1:18" x14ac:dyDescent="0.25">
      <c r="A447" t="s">
        <v>1298</v>
      </c>
      <c r="B447" t="s">
        <v>593</v>
      </c>
      <c r="H447" s="1"/>
      <c r="R447" s="1"/>
    </row>
    <row r="448" spans="1:18" x14ac:dyDescent="0.25">
      <c r="A448" t="s">
        <v>1299</v>
      </c>
      <c r="B448" t="s">
        <v>594</v>
      </c>
      <c r="H448" s="1"/>
      <c r="R448" s="1"/>
    </row>
    <row r="449" spans="1:18" x14ac:dyDescent="0.25">
      <c r="A449" t="s">
        <v>1300</v>
      </c>
      <c r="B449" t="s">
        <v>595</v>
      </c>
      <c r="H449" s="1"/>
      <c r="R449" s="1"/>
    </row>
    <row r="450" spans="1:18" x14ac:dyDescent="0.25">
      <c r="A450" t="s">
        <v>1301</v>
      </c>
      <c r="B450" t="s">
        <v>596</v>
      </c>
      <c r="H450" s="1"/>
      <c r="R450" s="1"/>
    </row>
    <row r="451" spans="1:18" x14ac:dyDescent="0.25">
      <c r="A451" t="s">
        <v>1302</v>
      </c>
      <c r="B451" t="s">
        <v>597</v>
      </c>
      <c r="H451" s="1"/>
      <c r="R451" s="1"/>
    </row>
    <row r="452" spans="1:18" x14ac:dyDescent="0.25">
      <c r="A452" t="s">
        <v>1303</v>
      </c>
      <c r="B452" t="s">
        <v>598</v>
      </c>
      <c r="D452" t="s">
        <v>1557</v>
      </c>
      <c r="H452" s="1"/>
      <c r="R452" s="1"/>
    </row>
    <row r="453" spans="1:18" x14ac:dyDescent="0.25">
      <c r="A453" t="s">
        <v>1304</v>
      </c>
      <c r="B453" t="s">
        <v>599</v>
      </c>
      <c r="H453" s="1"/>
      <c r="R453" s="1"/>
    </row>
    <row r="454" spans="1:18" x14ac:dyDescent="0.25">
      <c r="A454" t="s">
        <v>1305</v>
      </c>
      <c r="B454" t="s">
        <v>600</v>
      </c>
      <c r="H454" s="1"/>
      <c r="R454" s="1"/>
    </row>
    <row r="455" spans="1:18" x14ac:dyDescent="0.25">
      <c r="A455" t="s">
        <v>1306</v>
      </c>
      <c r="B455" t="s">
        <v>601</v>
      </c>
      <c r="H455" s="1"/>
      <c r="R455" s="1"/>
    </row>
    <row r="456" spans="1:18" x14ac:dyDescent="0.25">
      <c r="A456" t="s">
        <v>1307</v>
      </c>
      <c r="B456" t="s">
        <v>602</v>
      </c>
      <c r="H456" s="1"/>
      <c r="R456" s="1"/>
    </row>
    <row r="457" spans="1:18" x14ac:dyDescent="0.25">
      <c r="A457" t="s">
        <v>1308</v>
      </c>
      <c r="B457" t="s">
        <v>603</v>
      </c>
      <c r="H457" s="1"/>
      <c r="R457" s="1"/>
    </row>
    <row r="458" spans="1:18" x14ac:dyDescent="0.25">
      <c r="A458" t="s">
        <v>1309</v>
      </c>
      <c r="B458" t="s">
        <v>604</v>
      </c>
      <c r="D458" t="s">
        <v>1</v>
      </c>
      <c r="H458" s="1"/>
      <c r="R458" s="1"/>
    </row>
    <row r="459" spans="1:18" x14ac:dyDescent="0.25">
      <c r="A459" t="s">
        <v>1310</v>
      </c>
      <c r="B459" t="s">
        <v>605</v>
      </c>
      <c r="D459" t="s">
        <v>1557</v>
      </c>
      <c r="H459" s="1"/>
      <c r="R459" s="1"/>
    </row>
    <row r="460" spans="1:18" x14ac:dyDescent="0.25">
      <c r="A460" t="s">
        <v>1311</v>
      </c>
      <c r="B460" t="s">
        <v>606</v>
      </c>
      <c r="H460" s="1"/>
      <c r="R460" s="1"/>
    </row>
    <row r="461" spans="1:18" x14ac:dyDescent="0.25">
      <c r="A461" t="s">
        <v>1312</v>
      </c>
      <c r="B461" t="s">
        <v>607</v>
      </c>
      <c r="H461" s="1"/>
      <c r="R461" s="1"/>
    </row>
    <row r="462" spans="1:18" x14ac:dyDescent="0.25">
      <c r="A462" t="s">
        <v>1313</v>
      </c>
      <c r="B462" t="s">
        <v>608</v>
      </c>
      <c r="H462" s="1"/>
      <c r="R462" s="1"/>
    </row>
    <row r="463" spans="1:18" x14ac:dyDescent="0.25">
      <c r="A463" t="s">
        <v>1314</v>
      </c>
      <c r="B463" t="s">
        <v>609</v>
      </c>
      <c r="H463" s="1"/>
      <c r="R463" s="1"/>
    </row>
    <row r="464" spans="1:18" x14ac:dyDescent="0.25">
      <c r="A464" t="s">
        <v>1315</v>
      </c>
      <c r="B464" t="s">
        <v>610</v>
      </c>
      <c r="H464" s="1"/>
      <c r="R464" s="1"/>
    </row>
    <row r="465" spans="1:18" x14ac:dyDescent="0.25">
      <c r="A465" t="s">
        <v>1316</v>
      </c>
      <c r="B465" t="s">
        <v>611</v>
      </c>
      <c r="H465" s="1"/>
      <c r="R465" s="1"/>
    </row>
    <row r="466" spans="1:18" x14ac:dyDescent="0.25">
      <c r="A466" t="s">
        <v>1317</v>
      </c>
      <c r="B466" t="s">
        <v>612</v>
      </c>
      <c r="H466" s="1"/>
      <c r="R466" s="1"/>
    </row>
    <row r="467" spans="1:18" x14ac:dyDescent="0.25">
      <c r="A467" t="s">
        <v>1318</v>
      </c>
      <c r="B467" t="s">
        <v>613</v>
      </c>
      <c r="H467" s="1"/>
      <c r="R467" s="1"/>
    </row>
    <row r="468" spans="1:18" x14ac:dyDescent="0.25">
      <c r="A468" t="s">
        <v>1319</v>
      </c>
      <c r="B468" t="s">
        <v>614</v>
      </c>
      <c r="H468" s="1"/>
      <c r="R468" s="1"/>
    </row>
    <row r="469" spans="1:18" x14ac:dyDescent="0.25">
      <c r="A469" t="s">
        <v>1320</v>
      </c>
      <c r="B469" t="s">
        <v>615</v>
      </c>
      <c r="H469" s="1"/>
      <c r="R469" s="1"/>
    </row>
    <row r="470" spans="1:18" x14ac:dyDescent="0.25">
      <c r="A470" t="s">
        <v>1321</v>
      </c>
      <c r="B470" t="s">
        <v>616</v>
      </c>
      <c r="H470" s="1"/>
      <c r="R470" s="1"/>
    </row>
    <row r="471" spans="1:18" x14ac:dyDescent="0.25">
      <c r="A471" t="s">
        <v>1322</v>
      </c>
      <c r="B471" t="s">
        <v>617</v>
      </c>
      <c r="H471" s="1"/>
      <c r="R471" s="1"/>
    </row>
    <row r="472" spans="1:18" x14ac:dyDescent="0.25">
      <c r="A472" t="s">
        <v>1323</v>
      </c>
      <c r="B472" t="s">
        <v>618</v>
      </c>
      <c r="H472" s="1"/>
      <c r="R472" s="1"/>
    </row>
    <row r="473" spans="1:18" x14ac:dyDescent="0.25">
      <c r="A473" t="s">
        <v>1324</v>
      </c>
      <c r="B473" t="s">
        <v>619</v>
      </c>
      <c r="H473" s="1"/>
      <c r="R473" s="1"/>
    </row>
    <row r="474" spans="1:18" x14ac:dyDescent="0.25">
      <c r="A474" t="s">
        <v>1325</v>
      </c>
      <c r="B474" t="s">
        <v>620</v>
      </c>
      <c r="H474" s="1"/>
      <c r="R474" s="1"/>
    </row>
    <row r="475" spans="1:18" x14ac:dyDescent="0.25">
      <c r="A475" t="s">
        <v>1326</v>
      </c>
      <c r="B475" t="s">
        <v>621</v>
      </c>
      <c r="H475" s="1"/>
      <c r="R475" s="1"/>
    </row>
    <row r="476" spans="1:18" x14ac:dyDescent="0.25">
      <c r="A476" t="s">
        <v>1327</v>
      </c>
      <c r="B476" t="s">
        <v>622</v>
      </c>
      <c r="H476" s="1"/>
      <c r="R476" s="1"/>
    </row>
    <row r="477" spans="1:18" x14ac:dyDescent="0.25">
      <c r="A477" t="s">
        <v>1328</v>
      </c>
      <c r="B477" t="s">
        <v>623</v>
      </c>
      <c r="H477" s="1"/>
      <c r="R477" s="1"/>
    </row>
    <row r="478" spans="1:18" x14ac:dyDescent="0.25">
      <c r="A478" t="s">
        <v>1329</v>
      </c>
      <c r="B478" t="s">
        <v>624</v>
      </c>
      <c r="D478" t="s">
        <v>1</v>
      </c>
      <c r="H478" s="1"/>
      <c r="R478" s="1"/>
    </row>
    <row r="479" spans="1:18" x14ac:dyDescent="0.25">
      <c r="A479" t="s">
        <v>1330</v>
      </c>
      <c r="B479" t="s">
        <v>625</v>
      </c>
      <c r="H479" s="1"/>
      <c r="R479" s="1"/>
    </row>
    <row r="480" spans="1:18" x14ac:dyDescent="0.25">
      <c r="A480" t="s">
        <v>1331</v>
      </c>
      <c r="B480" t="s">
        <v>626</v>
      </c>
      <c r="H480" s="1"/>
      <c r="R480" s="1"/>
    </row>
    <row r="481" spans="1:18" x14ac:dyDescent="0.25">
      <c r="A481" t="s">
        <v>1332</v>
      </c>
      <c r="B481" t="s">
        <v>627</v>
      </c>
      <c r="H481" s="1"/>
      <c r="R481" s="1"/>
    </row>
    <row r="482" spans="1:18" x14ac:dyDescent="0.25">
      <c r="A482" t="s">
        <v>1333</v>
      </c>
      <c r="B482" t="s">
        <v>628</v>
      </c>
      <c r="H482" s="1"/>
      <c r="R482" s="1"/>
    </row>
    <row r="483" spans="1:18" x14ac:dyDescent="0.25">
      <c r="A483" t="s">
        <v>1334</v>
      </c>
      <c r="B483" t="s">
        <v>629</v>
      </c>
      <c r="H483" s="1"/>
      <c r="R483" s="1"/>
    </row>
    <row r="484" spans="1:18" x14ac:dyDescent="0.25">
      <c r="A484" t="s">
        <v>1335</v>
      </c>
      <c r="B484" t="s">
        <v>630</v>
      </c>
      <c r="H484" s="1"/>
      <c r="R484" s="1"/>
    </row>
    <row r="485" spans="1:18" x14ac:dyDescent="0.25">
      <c r="A485" t="s">
        <v>1336</v>
      </c>
      <c r="B485" t="s">
        <v>631</v>
      </c>
      <c r="D485" t="s">
        <v>1</v>
      </c>
      <c r="H485" s="1"/>
      <c r="R485" s="1"/>
    </row>
    <row r="486" spans="1:18" x14ac:dyDescent="0.25">
      <c r="A486" t="s">
        <v>1337</v>
      </c>
      <c r="B486" t="s">
        <v>632</v>
      </c>
      <c r="H486" s="1"/>
      <c r="R486" s="1"/>
    </row>
    <row r="487" spans="1:18" x14ac:dyDescent="0.25">
      <c r="A487" t="s">
        <v>1338</v>
      </c>
      <c r="B487" t="s">
        <v>633</v>
      </c>
      <c r="H487" s="1"/>
      <c r="R487" s="1"/>
    </row>
    <row r="488" spans="1:18" x14ac:dyDescent="0.25">
      <c r="A488" t="s">
        <v>1339</v>
      </c>
      <c r="B488" t="s">
        <v>634</v>
      </c>
      <c r="H488" s="1"/>
      <c r="R488" s="1"/>
    </row>
    <row r="489" spans="1:18" x14ac:dyDescent="0.25">
      <c r="A489" t="s">
        <v>1340</v>
      </c>
      <c r="B489" t="s">
        <v>635</v>
      </c>
      <c r="H489" s="1"/>
      <c r="R489" s="1"/>
    </row>
    <row r="490" spans="1:18" x14ac:dyDescent="0.25">
      <c r="A490" t="s">
        <v>1341</v>
      </c>
      <c r="B490" t="s">
        <v>636</v>
      </c>
      <c r="H490" s="1"/>
      <c r="R490" s="1"/>
    </row>
    <row r="491" spans="1:18" x14ac:dyDescent="0.25">
      <c r="A491" t="s">
        <v>1342</v>
      </c>
      <c r="B491" t="s">
        <v>637</v>
      </c>
      <c r="H491" s="1"/>
      <c r="R491" s="1"/>
    </row>
    <row r="492" spans="1:18" x14ac:dyDescent="0.25">
      <c r="A492" t="s">
        <v>1343</v>
      </c>
      <c r="B492" t="s">
        <v>638</v>
      </c>
      <c r="H492" s="1"/>
      <c r="R492" s="1"/>
    </row>
    <row r="493" spans="1:18" x14ac:dyDescent="0.25">
      <c r="A493" t="s">
        <v>1344</v>
      </c>
      <c r="B493" t="s">
        <v>639</v>
      </c>
      <c r="D493" t="s">
        <v>1</v>
      </c>
      <c r="H493" s="1"/>
      <c r="R493" s="1"/>
    </row>
    <row r="494" spans="1:18" x14ac:dyDescent="0.25">
      <c r="A494" t="s">
        <v>1345</v>
      </c>
      <c r="B494" t="s">
        <v>640</v>
      </c>
      <c r="H494" s="1"/>
      <c r="R494" s="1"/>
    </row>
    <row r="495" spans="1:18" x14ac:dyDescent="0.25">
      <c r="A495" t="s">
        <v>1346</v>
      </c>
      <c r="B495" t="s">
        <v>641</v>
      </c>
      <c r="H495" s="1"/>
      <c r="R495" s="1"/>
    </row>
    <row r="496" spans="1:18" x14ac:dyDescent="0.25">
      <c r="A496" t="s">
        <v>1347</v>
      </c>
      <c r="B496" t="s">
        <v>642</v>
      </c>
      <c r="H496" s="1"/>
      <c r="R496" s="1"/>
    </row>
    <row r="497" spans="1:18" x14ac:dyDescent="0.25">
      <c r="A497" t="s">
        <v>1348</v>
      </c>
      <c r="B497" t="s">
        <v>643</v>
      </c>
      <c r="H497" s="1"/>
      <c r="R497" s="1"/>
    </row>
    <row r="498" spans="1:18" x14ac:dyDescent="0.25">
      <c r="A498" t="s">
        <v>1349</v>
      </c>
      <c r="B498" t="s">
        <v>644</v>
      </c>
      <c r="H498" s="1"/>
      <c r="R498" s="1"/>
    </row>
    <row r="499" spans="1:18" x14ac:dyDescent="0.25">
      <c r="A499" t="s">
        <v>1350</v>
      </c>
      <c r="B499" t="s">
        <v>645</v>
      </c>
      <c r="H499" s="1"/>
      <c r="R499" s="1"/>
    </row>
    <row r="500" spans="1:18" x14ac:dyDescent="0.25">
      <c r="A500" t="s">
        <v>1351</v>
      </c>
      <c r="B500" t="s">
        <v>646</v>
      </c>
      <c r="H500" s="1"/>
      <c r="R500" s="1"/>
    </row>
    <row r="501" spans="1:18" x14ac:dyDescent="0.25">
      <c r="A501" t="s">
        <v>1352</v>
      </c>
      <c r="B501" t="s">
        <v>647</v>
      </c>
      <c r="D501" t="s">
        <v>1</v>
      </c>
      <c r="H501" s="1"/>
      <c r="R501" s="1"/>
    </row>
    <row r="502" spans="1:18" x14ac:dyDescent="0.25">
      <c r="A502" t="s">
        <v>1353</v>
      </c>
      <c r="B502" t="s">
        <v>648</v>
      </c>
      <c r="H502" s="1"/>
      <c r="R502" s="1"/>
    </row>
    <row r="503" spans="1:18" x14ac:dyDescent="0.25">
      <c r="A503" t="s">
        <v>1354</v>
      </c>
      <c r="B503" t="s">
        <v>649</v>
      </c>
      <c r="D503" t="s">
        <v>1557</v>
      </c>
      <c r="H503" s="1"/>
      <c r="R503" s="1"/>
    </row>
    <row r="504" spans="1:18" x14ac:dyDescent="0.25">
      <c r="A504" t="s">
        <v>1355</v>
      </c>
      <c r="B504" t="s">
        <v>650</v>
      </c>
      <c r="H504" s="1"/>
      <c r="R504" s="1"/>
    </row>
    <row r="505" spans="1:18" x14ac:dyDescent="0.25">
      <c r="A505" t="s">
        <v>1356</v>
      </c>
      <c r="B505" t="s">
        <v>651</v>
      </c>
      <c r="H505" s="1"/>
      <c r="R505" s="1"/>
    </row>
    <row r="506" spans="1:18" x14ac:dyDescent="0.25">
      <c r="A506" t="s">
        <v>1357</v>
      </c>
      <c r="B506" t="s">
        <v>652</v>
      </c>
      <c r="D506" t="s">
        <v>1</v>
      </c>
      <c r="H506" s="1"/>
      <c r="R506" s="1"/>
    </row>
    <row r="507" spans="1:18" x14ac:dyDescent="0.25">
      <c r="A507" t="s">
        <v>1358</v>
      </c>
      <c r="B507" t="s">
        <v>653</v>
      </c>
      <c r="H507" s="1"/>
      <c r="R507" s="1"/>
    </row>
    <row r="508" spans="1:18" x14ac:dyDescent="0.25">
      <c r="A508" t="s">
        <v>1359</v>
      </c>
      <c r="B508" t="s">
        <v>654</v>
      </c>
      <c r="H508" s="1"/>
      <c r="R508" s="1"/>
    </row>
    <row r="509" spans="1:18" x14ac:dyDescent="0.25">
      <c r="A509" t="s">
        <v>1360</v>
      </c>
      <c r="B509" t="s">
        <v>655</v>
      </c>
      <c r="H509" s="1"/>
      <c r="R509" s="1"/>
    </row>
    <row r="510" spans="1:18" x14ac:dyDescent="0.25">
      <c r="A510" t="s">
        <v>1361</v>
      </c>
      <c r="B510" t="s">
        <v>656</v>
      </c>
      <c r="H510" s="1"/>
      <c r="R510" s="1"/>
    </row>
    <row r="511" spans="1:18" x14ac:dyDescent="0.25">
      <c r="A511" t="s">
        <v>1362</v>
      </c>
      <c r="B511" t="s">
        <v>657</v>
      </c>
      <c r="H511" s="1"/>
      <c r="R511" s="1"/>
    </row>
    <row r="512" spans="1:18" x14ac:dyDescent="0.25">
      <c r="A512" t="s">
        <v>1363</v>
      </c>
      <c r="B512" t="s">
        <v>658</v>
      </c>
      <c r="H512" s="1"/>
      <c r="R512" s="1"/>
    </row>
    <row r="513" spans="1:18" x14ac:dyDescent="0.25">
      <c r="A513" t="s">
        <v>1364</v>
      </c>
      <c r="B513" t="s">
        <v>659</v>
      </c>
      <c r="H513" s="1"/>
      <c r="R513" s="1"/>
    </row>
    <row r="514" spans="1:18" x14ac:dyDescent="0.25">
      <c r="A514" t="s">
        <v>1365</v>
      </c>
      <c r="B514" t="s">
        <v>660</v>
      </c>
      <c r="H514" s="1"/>
      <c r="R514" s="1"/>
    </row>
    <row r="515" spans="1:18" x14ac:dyDescent="0.25">
      <c r="A515" t="s">
        <v>1366</v>
      </c>
      <c r="B515" t="s">
        <v>661</v>
      </c>
      <c r="H515" s="1"/>
      <c r="R515" s="1"/>
    </row>
    <row r="516" spans="1:18" x14ac:dyDescent="0.25">
      <c r="A516" t="s">
        <v>1367</v>
      </c>
      <c r="B516" t="s">
        <v>662</v>
      </c>
      <c r="H516" s="1"/>
      <c r="R516" s="1"/>
    </row>
    <row r="517" spans="1:18" x14ac:dyDescent="0.25">
      <c r="A517" t="s">
        <v>1368</v>
      </c>
      <c r="B517" t="s">
        <v>663</v>
      </c>
      <c r="H517" s="1"/>
      <c r="R517" s="1"/>
    </row>
    <row r="518" spans="1:18" x14ac:dyDescent="0.25">
      <c r="A518" t="s">
        <v>1369</v>
      </c>
      <c r="B518" t="s">
        <v>664</v>
      </c>
      <c r="H518" s="1"/>
      <c r="R518" s="1"/>
    </row>
    <row r="519" spans="1:18" x14ac:dyDescent="0.25">
      <c r="A519" t="s">
        <v>1370</v>
      </c>
      <c r="B519" t="s">
        <v>665</v>
      </c>
      <c r="H519" s="1"/>
      <c r="R519" s="1"/>
    </row>
    <row r="520" spans="1:18" x14ac:dyDescent="0.25">
      <c r="A520" t="s">
        <v>1371</v>
      </c>
      <c r="B520" t="s">
        <v>666</v>
      </c>
      <c r="H520" s="1"/>
      <c r="R520" s="1"/>
    </row>
    <row r="521" spans="1:18" x14ac:dyDescent="0.25">
      <c r="A521" t="s">
        <v>1372</v>
      </c>
      <c r="B521" t="s">
        <v>667</v>
      </c>
      <c r="H521" s="1"/>
      <c r="R521" s="1"/>
    </row>
    <row r="522" spans="1:18" x14ac:dyDescent="0.25">
      <c r="A522" t="s">
        <v>1373</v>
      </c>
      <c r="B522" t="s">
        <v>668</v>
      </c>
      <c r="H522" s="1"/>
      <c r="R522" s="1"/>
    </row>
    <row r="523" spans="1:18" x14ac:dyDescent="0.25">
      <c r="A523" t="s">
        <v>1374</v>
      </c>
      <c r="B523" t="s">
        <v>669</v>
      </c>
      <c r="H523" s="1"/>
      <c r="R523" s="1"/>
    </row>
    <row r="524" spans="1:18" x14ac:dyDescent="0.25">
      <c r="A524" t="s">
        <v>1375</v>
      </c>
      <c r="B524" t="s">
        <v>670</v>
      </c>
      <c r="H524" s="1"/>
      <c r="R524" s="1"/>
    </row>
    <row r="525" spans="1:18" x14ac:dyDescent="0.25">
      <c r="A525" t="s">
        <v>1376</v>
      </c>
      <c r="B525" t="s">
        <v>671</v>
      </c>
      <c r="H525" s="1"/>
      <c r="R525" s="1"/>
    </row>
    <row r="526" spans="1:18" x14ac:dyDescent="0.25">
      <c r="A526" t="s">
        <v>1377</v>
      </c>
      <c r="B526" t="s">
        <v>672</v>
      </c>
      <c r="H526" s="1"/>
      <c r="R526" s="1"/>
    </row>
    <row r="527" spans="1:18" x14ac:dyDescent="0.25">
      <c r="A527" t="s">
        <v>1378</v>
      </c>
      <c r="B527" t="s">
        <v>673</v>
      </c>
      <c r="H527" s="1"/>
      <c r="R527" s="1"/>
    </row>
    <row r="528" spans="1:18" x14ac:dyDescent="0.25">
      <c r="A528" t="s">
        <v>1379</v>
      </c>
      <c r="B528" t="s">
        <v>674</v>
      </c>
      <c r="H528" s="1"/>
      <c r="R528" s="1"/>
    </row>
    <row r="529" spans="1:18" x14ac:dyDescent="0.25">
      <c r="A529" t="s">
        <v>1380</v>
      </c>
      <c r="B529" t="s">
        <v>675</v>
      </c>
      <c r="D529" t="s">
        <v>1</v>
      </c>
      <c r="H529" s="1"/>
      <c r="R529" s="1"/>
    </row>
    <row r="530" spans="1:18" x14ac:dyDescent="0.25">
      <c r="A530" t="s">
        <v>1381</v>
      </c>
      <c r="B530" t="s">
        <v>676</v>
      </c>
      <c r="H530" s="1"/>
      <c r="R530" s="1"/>
    </row>
    <row r="531" spans="1:18" x14ac:dyDescent="0.25">
      <c r="A531" t="s">
        <v>1382</v>
      </c>
      <c r="B531" t="s">
        <v>677</v>
      </c>
      <c r="H531" s="1"/>
      <c r="R531" s="1"/>
    </row>
    <row r="532" spans="1:18" x14ac:dyDescent="0.25">
      <c r="A532" t="s">
        <v>1383</v>
      </c>
      <c r="B532" t="s">
        <v>678</v>
      </c>
      <c r="H532" s="1"/>
      <c r="R532" s="1"/>
    </row>
    <row r="533" spans="1:18" x14ac:dyDescent="0.25">
      <c r="A533" t="s">
        <v>1384</v>
      </c>
      <c r="B533" t="s">
        <v>679</v>
      </c>
      <c r="H533" s="1"/>
      <c r="R533" s="1"/>
    </row>
    <row r="534" spans="1:18" x14ac:dyDescent="0.25">
      <c r="A534" t="s">
        <v>1385</v>
      </c>
      <c r="B534" t="s">
        <v>680</v>
      </c>
      <c r="H534" s="1"/>
      <c r="R534" s="1"/>
    </row>
    <row r="535" spans="1:18" x14ac:dyDescent="0.25">
      <c r="A535" t="s">
        <v>1386</v>
      </c>
      <c r="B535" t="s">
        <v>681</v>
      </c>
      <c r="H535" s="1"/>
      <c r="R535" s="1"/>
    </row>
    <row r="536" spans="1:18" x14ac:dyDescent="0.25">
      <c r="A536" t="s">
        <v>1387</v>
      </c>
      <c r="B536" t="s">
        <v>682</v>
      </c>
      <c r="H536" s="1"/>
      <c r="R536" s="1"/>
    </row>
    <row r="537" spans="1:18" x14ac:dyDescent="0.25">
      <c r="A537" t="s">
        <v>1388</v>
      </c>
      <c r="B537" t="s">
        <v>683</v>
      </c>
      <c r="H537" s="1"/>
      <c r="R537" s="1"/>
    </row>
    <row r="538" spans="1:18" x14ac:dyDescent="0.25">
      <c r="A538" t="s">
        <v>1389</v>
      </c>
      <c r="B538" t="s">
        <v>684</v>
      </c>
      <c r="H538" s="1"/>
      <c r="R538" s="1"/>
    </row>
    <row r="539" spans="1:18" x14ac:dyDescent="0.25">
      <c r="A539" t="s">
        <v>1390</v>
      </c>
      <c r="B539" t="s">
        <v>685</v>
      </c>
      <c r="H539" s="1"/>
      <c r="R539" s="1"/>
    </row>
    <row r="540" spans="1:18" x14ac:dyDescent="0.25">
      <c r="A540" t="s">
        <v>1391</v>
      </c>
      <c r="B540" t="s">
        <v>686</v>
      </c>
      <c r="H540" s="1"/>
      <c r="R540" s="1"/>
    </row>
    <row r="541" spans="1:18" x14ac:dyDescent="0.25">
      <c r="A541" t="s">
        <v>1392</v>
      </c>
      <c r="B541" t="s">
        <v>687</v>
      </c>
      <c r="H541" s="1"/>
      <c r="R541" s="1"/>
    </row>
    <row r="542" spans="1:18" x14ac:dyDescent="0.25">
      <c r="A542" t="s">
        <v>1393</v>
      </c>
      <c r="B542" t="s">
        <v>688</v>
      </c>
      <c r="H542" s="1"/>
      <c r="R542" s="1"/>
    </row>
    <row r="543" spans="1:18" x14ac:dyDescent="0.25">
      <c r="A543" t="s">
        <v>1394</v>
      </c>
      <c r="B543" t="s">
        <v>689</v>
      </c>
      <c r="H543" s="1"/>
      <c r="R543" s="1"/>
    </row>
    <row r="544" spans="1:18" x14ac:dyDescent="0.25">
      <c r="A544" t="s">
        <v>1395</v>
      </c>
      <c r="B544" t="s">
        <v>690</v>
      </c>
      <c r="H544" s="1"/>
      <c r="R544" s="1"/>
    </row>
    <row r="545" spans="1:18" x14ac:dyDescent="0.25">
      <c r="A545" t="s">
        <v>1396</v>
      </c>
      <c r="B545" t="s">
        <v>691</v>
      </c>
      <c r="H545" s="1"/>
      <c r="R545" s="1"/>
    </row>
    <row r="546" spans="1:18" x14ac:dyDescent="0.25">
      <c r="A546" t="s">
        <v>1397</v>
      </c>
      <c r="B546" t="s">
        <v>692</v>
      </c>
      <c r="H546" s="1"/>
      <c r="R546" s="1"/>
    </row>
    <row r="547" spans="1:18" x14ac:dyDescent="0.25">
      <c r="A547" t="s">
        <v>1398</v>
      </c>
      <c r="B547" t="s">
        <v>693</v>
      </c>
      <c r="H547" s="1"/>
      <c r="R547" s="1"/>
    </row>
    <row r="548" spans="1:18" x14ac:dyDescent="0.25">
      <c r="A548" t="s">
        <v>1399</v>
      </c>
      <c r="B548" t="s">
        <v>694</v>
      </c>
      <c r="H548" s="1"/>
      <c r="R548" s="1"/>
    </row>
    <row r="549" spans="1:18" x14ac:dyDescent="0.25">
      <c r="A549" t="s">
        <v>1400</v>
      </c>
      <c r="B549" t="s">
        <v>695</v>
      </c>
      <c r="H549" s="1"/>
      <c r="R549" s="1"/>
    </row>
    <row r="550" spans="1:18" x14ac:dyDescent="0.25">
      <c r="A550" t="s">
        <v>1401</v>
      </c>
      <c r="B550" t="s">
        <v>696</v>
      </c>
      <c r="H550" s="1"/>
      <c r="R550" s="1"/>
    </row>
    <row r="551" spans="1:18" x14ac:dyDescent="0.25">
      <c r="A551" t="s">
        <v>1402</v>
      </c>
      <c r="B551" t="s">
        <v>697</v>
      </c>
      <c r="H551" s="1"/>
      <c r="R551" s="1"/>
    </row>
    <row r="552" spans="1:18" x14ac:dyDescent="0.25">
      <c r="A552" t="s">
        <v>1403</v>
      </c>
      <c r="B552" t="s">
        <v>698</v>
      </c>
      <c r="H552" s="1"/>
      <c r="R552" s="1"/>
    </row>
    <row r="553" spans="1:18" x14ac:dyDescent="0.25">
      <c r="A553" t="s">
        <v>1404</v>
      </c>
      <c r="B553" t="s">
        <v>699</v>
      </c>
      <c r="H553" s="1"/>
      <c r="R553" s="1"/>
    </row>
    <row r="554" spans="1:18" x14ac:dyDescent="0.25">
      <c r="A554" t="s">
        <v>1405</v>
      </c>
      <c r="B554" t="s">
        <v>700</v>
      </c>
      <c r="H554" s="1"/>
      <c r="R554" s="1"/>
    </row>
    <row r="555" spans="1:18" x14ac:dyDescent="0.25">
      <c r="A555" t="s">
        <v>1406</v>
      </c>
      <c r="B555" t="s">
        <v>701</v>
      </c>
      <c r="H555" s="1"/>
      <c r="R555" s="1"/>
    </row>
    <row r="556" spans="1:18" x14ac:dyDescent="0.25">
      <c r="A556" t="s">
        <v>1407</v>
      </c>
      <c r="B556" t="s">
        <v>702</v>
      </c>
      <c r="H556" s="1"/>
      <c r="R556" s="1"/>
    </row>
    <row r="557" spans="1:18" x14ac:dyDescent="0.25">
      <c r="A557" t="s">
        <v>1408</v>
      </c>
      <c r="B557" t="s">
        <v>703</v>
      </c>
      <c r="H557" s="1"/>
      <c r="R557" s="1"/>
    </row>
    <row r="558" spans="1:18" x14ac:dyDescent="0.25">
      <c r="A558" t="s">
        <v>1409</v>
      </c>
      <c r="B558" t="s">
        <v>704</v>
      </c>
      <c r="H558" s="1"/>
      <c r="R558" s="1"/>
    </row>
    <row r="559" spans="1:18" x14ac:dyDescent="0.25">
      <c r="A559" t="s">
        <v>1410</v>
      </c>
      <c r="B559" t="s">
        <v>705</v>
      </c>
      <c r="H559" s="1"/>
      <c r="R559" s="1"/>
    </row>
    <row r="560" spans="1:18" x14ac:dyDescent="0.25">
      <c r="A560" t="s">
        <v>1411</v>
      </c>
      <c r="B560" t="s">
        <v>706</v>
      </c>
      <c r="H560" s="1"/>
      <c r="R560" s="1"/>
    </row>
    <row r="561" spans="1:18" x14ac:dyDescent="0.25">
      <c r="A561" t="s">
        <v>1412</v>
      </c>
      <c r="B561" t="s">
        <v>707</v>
      </c>
      <c r="H561" s="1"/>
      <c r="R561" s="1"/>
    </row>
    <row r="562" spans="1:18" x14ac:dyDescent="0.25">
      <c r="A562" t="s">
        <v>1413</v>
      </c>
      <c r="B562" t="s">
        <v>708</v>
      </c>
      <c r="H562" s="1"/>
      <c r="R562" s="1"/>
    </row>
    <row r="563" spans="1:18" x14ac:dyDescent="0.25">
      <c r="A563" t="s">
        <v>1414</v>
      </c>
      <c r="B563" t="s">
        <v>709</v>
      </c>
      <c r="H563" s="1"/>
      <c r="R563" s="1"/>
    </row>
    <row r="564" spans="1:18" x14ac:dyDescent="0.25">
      <c r="A564" t="s">
        <v>1415</v>
      </c>
      <c r="B564" t="s">
        <v>710</v>
      </c>
      <c r="H564" s="1"/>
      <c r="R564" s="1"/>
    </row>
    <row r="565" spans="1:18" x14ac:dyDescent="0.25">
      <c r="A565" t="s">
        <v>1416</v>
      </c>
      <c r="B565" t="s">
        <v>711</v>
      </c>
      <c r="H565" s="1"/>
      <c r="R565" s="1"/>
    </row>
    <row r="566" spans="1:18" x14ac:dyDescent="0.25">
      <c r="A566" t="s">
        <v>1417</v>
      </c>
      <c r="B566" t="s">
        <v>712</v>
      </c>
      <c r="H566" s="1"/>
      <c r="R566" s="1"/>
    </row>
    <row r="567" spans="1:18" x14ac:dyDescent="0.25">
      <c r="A567" t="s">
        <v>1418</v>
      </c>
      <c r="B567" t="s">
        <v>713</v>
      </c>
      <c r="H567" s="1"/>
      <c r="R567" s="1"/>
    </row>
    <row r="568" spans="1:18" x14ac:dyDescent="0.25">
      <c r="A568" t="s">
        <v>1419</v>
      </c>
      <c r="B568" t="s">
        <v>714</v>
      </c>
      <c r="H568" s="1"/>
      <c r="R568" s="1"/>
    </row>
    <row r="569" spans="1:18" x14ac:dyDescent="0.25">
      <c r="A569" t="s">
        <v>1420</v>
      </c>
      <c r="B569" t="s">
        <v>715</v>
      </c>
      <c r="H569" s="1"/>
      <c r="R569" s="1"/>
    </row>
    <row r="570" spans="1:18" x14ac:dyDescent="0.25">
      <c r="A570" t="s">
        <v>1421</v>
      </c>
      <c r="B570" t="s">
        <v>716</v>
      </c>
      <c r="H570" s="1"/>
      <c r="R570" s="1"/>
    </row>
    <row r="571" spans="1:18" x14ac:dyDescent="0.25">
      <c r="A571" t="s">
        <v>1422</v>
      </c>
      <c r="B571" t="s">
        <v>717</v>
      </c>
      <c r="D571" t="s">
        <v>1557</v>
      </c>
      <c r="H571" s="1"/>
      <c r="R571" s="1"/>
    </row>
    <row r="572" spans="1:18" x14ac:dyDescent="0.25">
      <c r="A572" t="s">
        <v>1423</v>
      </c>
      <c r="B572" t="s">
        <v>718</v>
      </c>
      <c r="H572" s="1"/>
      <c r="R572" s="1"/>
    </row>
    <row r="573" spans="1:18" x14ac:dyDescent="0.25">
      <c r="A573" t="s">
        <v>1424</v>
      </c>
      <c r="B573" t="s">
        <v>719</v>
      </c>
      <c r="H573" s="1"/>
      <c r="R573" s="1"/>
    </row>
    <row r="574" spans="1:18" x14ac:dyDescent="0.25">
      <c r="A574" t="s">
        <v>1425</v>
      </c>
      <c r="B574" t="s">
        <v>720</v>
      </c>
      <c r="H574" s="1"/>
      <c r="R574" s="1"/>
    </row>
    <row r="575" spans="1:18" x14ac:dyDescent="0.25">
      <c r="A575" t="s">
        <v>1426</v>
      </c>
      <c r="B575" t="s">
        <v>721</v>
      </c>
      <c r="H575" s="1"/>
      <c r="R575" s="1"/>
    </row>
    <row r="576" spans="1:18" x14ac:dyDescent="0.25">
      <c r="A576" t="s">
        <v>1427</v>
      </c>
      <c r="B576" t="s">
        <v>722</v>
      </c>
      <c r="H576" s="1"/>
      <c r="R576" s="1"/>
    </row>
    <row r="577" spans="1:18" x14ac:dyDescent="0.25">
      <c r="A577" t="s">
        <v>1428</v>
      </c>
      <c r="B577" t="s">
        <v>723</v>
      </c>
      <c r="H577" s="1"/>
      <c r="R577" s="1"/>
    </row>
    <row r="578" spans="1:18" x14ac:dyDescent="0.25">
      <c r="A578" t="s">
        <v>1429</v>
      </c>
      <c r="B578" t="s">
        <v>724</v>
      </c>
      <c r="H578" s="1"/>
      <c r="R578" s="1"/>
    </row>
    <row r="579" spans="1:18" x14ac:dyDescent="0.25">
      <c r="A579" t="s">
        <v>1430</v>
      </c>
      <c r="B579" t="s">
        <v>725</v>
      </c>
      <c r="H579" s="1"/>
      <c r="R579" s="1"/>
    </row>
    <row r="580" spans="1:18" x14ac:dyDescent="0.25">
      <c r="A580" t="s">
        <v>1431</v>
      </c>
      <c r="B580" t="s">
        <v>726</v>
      </c>
      <c r="H580" s="1"/>
      <c r="R580" s="1"/>
    </row>
    <row r="581" spans="1:18" x14ac:dyDescent="0.25">
      <c r="A581" t="s">
        <v>1432</v>
      </c>
      <c r="B581" t="s">
        <v>727</v>
      </c>
      <c r="H581" s="1"/>
      <c r="R581" s="1"/>
    </row>
    <row r="582" spans="1:18" x14ac:dyDescent="0.25">
      <c r="A582" t="s">
        <v>1433</v>
      </c>
      <c r="B582" t="s">
        <v>728</v>
      </c>
      <c r="H582" s="1"/>
      <c r="R582" s="1"/>
    </row>
    <row r="583" spans="1:18" x14ac:dyDescent="0.25">
      <c r="A583" t="s">
        <v>1434</v>
      </c>
      <c r="B583" t="s">
        <v>729</v>
      </c>
      <c r="H583" s="1"/>
      <c r="R583" s="1"/>
    </row>
    <row r="584" spans="1:18" x14ac:dyDescent="0.25">
      <c r="A584" t="s">
        <v>1435</v>
      </c>
      <c r="B584" t="s">
        <v>730</v>
      </c>
      <c r="H584" s="1"/>
      <c r="R584" s="1"/>
    </row>
    <row r="585" spans="1:18" x14ac:dyDescent="0.25">
      <c r="A585" t="s">
        <v>1436</v>
      </c>
      <c r="B585" t="s">
        <v>731</v>
      </c>
      <c r="H585" s="1"/>
      <c r="R585" s="1"/>
    </row>
    <row r="586" spans="1:18" x14ac:dyDescent="0.25">
      <c r="A586" t="s">
        <v>1437</v>
      </c>
      <c r="B586" t="s">
        <v>732</v>
      </c>
      <c r="D586" t="s">
        <v>1557</v>
      </c>
      <c r="H586" s="1"/>
      <c r="R586" s="1"/>
    </row>
    <row r="587" spans="1:18" x14ac:dyDescent="0.25">
      <c r="A587" t="s">
        <v>1438</v>
      </c>
      <c r="B587" t="s">
        <v>733</v>
      </c>
      <c r="H587" s="1"/>
      <c r="R587" s="1"/>
    </row>
    <row r="588" spans="1:18" x14ac:dyDescent="0.25">
      <c r="A588" t="s">
        <v>1439</v>
      </c>
      <c r="B588" t="s">
        <v>734</v>
      </c>
      <c r="H588" s="1"/>
      <c r="R588" s="1"/>
    </row>
    <row r="589" spans="1:18" x14ac:dyDescent="0.25">
      <c r="A589" t="s">
        <v>1440</v>
      </c>
      <c r="B589" t="s">
        <v>735</v>
      </c>
      <c r="H589" s="1"/>
      <c r="R589" s="1"/>
    </row>
    <row r="590" spans="1:18" x14ac:dyDescent="0.25">
      <c r="A590" t="s">
        <v>1441</v>
      </c>
      <c r="B590" t="s">
        <v>736</v>
      </c>
      <c r="H590" s="1"/>
      <c r="R590" s="1"/>
    </row>
    <row r="591" spans="1:18" x14ac:dyDescent="0.25">
      <c r="A591" t="s">
        <v>1442</v>
      </c>
      <c r="B591" t="s">
        <v>737</v>
      </c>
      <c r="H591" s="1"/>
      <c r="R591" s="1"/>
    </row>
    <row r="592" spans="1:18" x14ac:dyDescent="0.25">
      <c r="A592" t="s">
        <v>1443</v>
      </c>
      <c r="B592" t="s">
        <v>738</v>
      </c>
      <c r="H592" s="1"/>
      <c r="R592" s="1"/>
    </row>
    <row r="593" spans="1:18" x14ac:dyDescent="0.25">
      <c r="A593" t="s">
        <v>1444</v>
      </c>
      <c r="B593" t="s">
        <v>739</v>
      </c>
      <c r="H593" s="1"/>
      <c r="R593" s="1"/>
    </row>
    <row r="594" spans="1:18" x14ac:dyDescent="0.25">
      <c r="A594" t="s">
        <v>1445</v>
      </c>
      <c r="B594" t="s">
        <v>740</v>
      </c>
      <c r="H594" s="1"/>
      <c r="R594" s="1"/>
    </row>
    <row r="595" spans="1:18" x14ac:dyDescent="0.25">
      <c r="A595" t="s">
        <v>1446</v>
      </c>
      <c r="B595" t="s">
        <v>741</v>
      </c>
      <c r="H595" s="1"/>
      <c r="R595" s="1"/>
    </row>
    <row r="596" spans="1:18" x14ac:dyDescent="0.25">
      <c r="A596" t="s">
        <v>1447</v>
      </c>
      <c r="B596" t="s">
        <v>742</v>
      </c>
      <c r="H596" s="1"/>
      <c r="R596" s="1"/>
    </row>
    <row r="597" spans="1:18" x14ac:dyDescent="0.25">
      <c r="A597" t="s">
        <v>1448</v>
      </c>
      <c r="B597" t="s">
        <v>743</v>
      </c>
      <c r="H597" s="1"/>
    </row>
    <row r="598" spans="1:18" x14ac:dyDescent="0.25">
      <c r="A598" t="s">
        <v>1449</v>
      </c>
      <c r="B598" t="s">
        <v>744</v>
      </c>
      <c r="H598" s="1"/>
    </row>
    <row r="599" spans="1:18" x14ac:dyDescent="0.25">
      <c r="A599" t="s">
        <v>1450</v>
      </c>
      <c r="B599" t="s">
        <v>745</v>
      </c>
      <c r="H599" s="1"/>
    </row>
    <row r="600" spans="1:18" x14ac:dyDescent="0.25">
      <c r="A600" t="s">
        <v>1451</v>
      </c>
      <c r="B600" t="s">
        <v>746</v>
      </c>
      <c r="H600" s="1"/>
    </row>
    <row r="601" spans="1:18" x14ac:dyDescent="0.25">
      <c r="A601" t="s">
        <v>1452</v>
      </c>
      <c r="B601" t="s">
        <v>747</v>
      </c>
      <c r="H601" s="1"/>
    </row>
    <row r="602" spans="1:18" x14ac:dyDescent="0.25">
      <c r="A602" t="s">
        <v>1453</v>
      </c>
      <c r="B602" t="s">
        <v>748</v>
      </c>
      <c r="H602" s="1"/>
    </row>
    <row r="603" spans="1:18" x14ac:dyDescent="0.25">
      <c r="A603" t="s">
        <v>1454</v>
      </c>
      <c r="B603" t="s">
        <v>749</v>
      </c>
      <c r="H603" s="1"/>
    </row>
    <row r="604" spans="1:18" x14ac:dyDescent="0.25">
      <c r="A604" t="s">
        <v>1455</v>
      </c>
      <c r="B604" t="s">
        <v>750</v>
      </c>
      <c r="H604" s="1"/>
    </row>
    <row r="605" spans="1:18" x14ac:dyDescent="0.25">
      <c r="A605" t="s">
        <v>1456</v>
      </c>
      <c r="B605" t="s">
        <v>751</v>
      </c>
      <c r="H605" s="1"/>
    </row>
    <row r="606" spans="1:18" x14ac:dyDescent="0.25">
      <c r="A606" t="s">
        <v>1457</v>
      </c>
      <c r="B606" t="s">
        <v>752</v>
      </c>
      <c r="H606" s="1"/>
    </row>
    <row r="607" spans="1:18" x14ac:dyDescent="0.25">
      <c r="A607" t="s">
        <v>1458</v>
      </c>
      <c r="B607" t="s">
        <v>753</v>
      </c>
      <c r="H607" s="1"/>
    </row>
    <row r="608" spans="1:18" x14ac:dyDescent="0.25">
      <c r="A608" t="s">
        <v>1459</v>
      </c>
      <c r="B608" t="s">
        <v>754</v>
      </c>
      <c r="H608" s="1"/>
    </row>
    <row r="609" spans="1:8" x14ac:dyDescent="0.25">
      <c r="A609" t="s">
        <v>1460</v>
      </c>
      <c r="B609" t="s">
        <v>755</v>
      </c>
      <c r="H609" s="1"/>
    </row>
    <row r="610" spans="1:8" x14ac:dyDescent="0.25">
      <c r="A610" t="s">
        <v>1461</v>
      </c>
      <c r="B610" t="s">
        <v>756</v>
      </c>
      <c r="H610" s="1"/>
    </row>
    <row r="611" spans="1:8" x14ac:dyDescent="0.25">
      <c r="A611" t="s">
        <v>1462</v>
      </c>
      <c r="B611" t="s">
        <v>757</v>
      </c>
      <c r="H611" s="1"/>
    </row>
    <row r="612" spans="1:8" x14ac:dyDescent="0.25">
      <c r="A612" t="s">
        <v>1463</v>
      </c>
      <c r="B612" t="s">
        <v>758</v>
      </c>
      <c r="H612" s="1"/>
    </row>
    <row r="613" spans="1:8" x14ac:dyDescent="0.25">
      <c r="A613" t="s">
        <v>1464</v>
      </c>
      <c r="B613" t="s">
        <v>759</v>
      </c>
      <c r="H613" s="1"/>
    </row>
    <row r="614" spans="1:8" x14ac:dyDescent="0.25">
      <c r="A614" t="s">
        <v>1465</v>
      </c>
      <c r="B614" t="s">
        <v>760</v>
      </c>
      <c r="H614" s="1"/>
    </row>
    <row r="615" spans="1:8" x14ac:dyDescent="0.25">
      <c r="A615" t="s">
        <v>1466</v>
      </c>
      <c r="B615" t="s">
        <v>761</v>
      </c>
      <c r="H615" s="1"/>
    </row>
    <row r="616" spans="1:8" x14ac:dyDescent="0.25">
      <c r="A616" t="s">
        <v>1467</v>
      </c>
      <c r="B616" t="s">
        <v>762</v>
      </c>
      <c r="H616" s="1"/>
    </row>
    <row r="617" spans="1:8" x14ac:dyDescent="0.25">
      <c r="A617" t="s">
        <v>1468</v>
      </c>
      <c r="B617" t="s">
        <v>763</v>
      </c>
      <c r="H617" s="1"/>
    </row>
    <row r="618" spans="1:8" x14ac:dyDescent="0.25">
      <c r="A618" t="s">
        <v>1469</v>
      </c>
      <c r="B618" t="s">
        <v>764</v>
      </c>
      <c r="H618" s="1"/>
    </row>
    <row r="619" spans="1:8" x14ac:dyDescent="0.25">
      <c r="A619" t="s">
        <v>1470</v>
      </c>
      <c r="B619" t="s">
        <v>765</v>
      </c>
      <c r="H619" s="1"/>
    </row>
    <row r="620" spans="1:8" x14ac:dyDescent="0.25">
      <c r="A620" t="s">
        <v>1471</v>
      </c>
      <c r="B620" t="s">
        <v>766</v>
      </c>
      <c r="H620" s="1"/>
    </row>
    <row r="621" spans="1:8" x14ac:dyDescent="0.25">
      <c r="A621" t="s">
        <v>1472</v>
      </c>
      <c r="B621" t="s">
        <v>767</v>
      </c>
      <c r="H621" s="1"/>
    </row>
    <row r="622" spans="1:8" x14ac:dyDescent="0.25">
      <c r="A622" t="s">
        <v>1473</v>
      </c>
      <c r="B622" t="s">
        <v>768</v>
      </c>
      <c r="H622" s="1"/>
    </row>
    <row r="623" spans="1:8" x14ac:dyDescent="0.25">
      <c r="A623" t="s">
        <v>1474</v>
      </c>
      <c r="B623" t="s">
        <v>769</v>
      </c>
      <c r="H623" s="1"/>
    </row>
    <row r="624" spans="1:8" x14ac:dyDescent="0.25">
      <c r="A624" t="s">
        <v>1475</v>
      </c>
      <c r="B624" t="s">
        <v>770</v>
      </c>
      <c r="H624" s="1"/>
    </row>
    <row r="625" spans="1:8" x14ac:dyDescent="0.25">
      <c r="A625" t="s">
        <v>1476</v>
      </c>
      <c r="B625" t="s">
        <v>771</v>
      </c>
      <c r="H625" s="1"/>
    </row>
    <row r="626" spans="1:8" x14ac:dyDescent="0.25">
      <c r="A626" t="s">
        <v>1477</v>
      </c>
      <c r="B626" t="s">
        <v>772</v>
      </c>
      <c r="H626" s="1"/>
    </row>
    <row r="627" spans="1:8" x14ac:dyDescent="0.25">
      <c r="A627" t="s">
        <v>1478</v>
      </c>
      <c r="B627" t="s">
        <v>773</v>
      </c>
      <c r="H627" s="1"/>
    </row>
    <row r="628" spans="1:8" x14ac:dyDescent="0.25">
      <c r="A628" t="s">
        <v>1479</v>
      </c>
      <c r="B628" t="s">
        <v>774</v>
      </c>
      <c r="H628" s="1"/>
    </row>
    <row r="629" spans="1:8" x14ac:dyDescent="0.25">
      <c r="A629" t="s">
        <v>1480</v>
      </c>
      <c r="B629" t="s">
        <v>775</v>
      </c>
      <c r="H629" s="1"/>
    </row>
    <row r="630" spans="1:8" x14ac:dyDescent="0.25">
      <c r="A630" t="s">
        <v>1481</v>
      </c>
      <c r="B630" t="s">
        <v>776</v>
      </c>
      <c r="H630" s="1"/>
    </row>
    <row r="631" spans="1:8" x14ac:dyDescent="0.25">
      <c r="A631" t="s">
        <v>1482</v>
      </c>
      <c r="B631" t="s">
        <v>777</v>
      </c>
      <c r="H631" s="1"/>
    </row>
    <row r="632" spans="1:8" x14ac:dyDescent="0.25">
      <c r="A632" t="s">
        <v>1483</v>
      </c>
      <c r="B632" t="s">
        <v>778</v>
      </c>
      <c r="H632" s="1"/>
    </row>
    <row r="633" spans="1:8" x14ac:dyDescent="0.25">
      <c r="A633" t="s">
        <v>1484</v>
      </c>
      <c r="B633" t="s">
        <v>779</v>
      </c>
      <c r="H633" s="1"/>
    </row>
    <row r="634" spans="1:8" x14ac:dyDescent="0.25">
      <c r="A634" t="s">
        <v>1485</v>
      </c>
      <c r="B634" t="s">
        <v>780</v>
      </c>
      <c r="H634" s="1"/>
    </row>
    <row r="635" spans="1:8" x14ac:dyDescent="0.25">
      <c r="A635" t="s">
        <v>1486</v>
      </c>
      <c r="B635" t="s">
        <v>781</v>
      </c>
      <c r="H635" s="1"/>
    </row>
    <row r="636" spans="1:8" x14ac:dyDescent="0.25">
      <c r="A636" t="s">
        <v>1487</v>
      </c>
      <c r="B636" t="s">
        <v>782</v>
      </c>
      <c r="H636" s="1"/>
    </row>
    <row r="637" spans="1:8" x14ac:dyDescent="0.25">
      <c r="A637" t="s">
        <v>1488</v>
      </c>
      <c r="B637" t="s">
        <v>783</v>
      </c>
      <c r="H637" s="1"/>
    </row>
    <row r="638" spans="1:8" x14ac:dyDescent="0.25">
      <c r="A638" t="s">
        <v>1489</v>
      </c>
      <c r="B638" t="s">
        <v>784</v>
      </c>
      <c r="H638" s="1"/>
    </row>
    <row r="639" spans="1:8" x14ac:dyDescent="0.25">
      <c r="A639" t="s">
        <v>1490</v>
      </c>
      <c r="B639" t="s">
        <v>785</v>
      </c>
      <c r="H639" s="1"/>
    </row>
    <row r="640" spans="1:8" x14ac:dyDescent="0.25">
      <c r="A640" t="s">
        <v>1491</v>
      </c>
      <c r="B640" t="s">
        <v>786</v>
      </c>
      <c r="H640" s="1"/>
    </row>
    <row r="641" spans="1:8" x14ac:dyDescent="0.25">
      <c r="A641" t="s">
        <v>1492</v>
      </c>
      <c r="B641" t="s">
        <v>787</v>
      </c>
      <c r="H641" s="1"/>
    </row>
    <row r="642" spans="1:8" x14ac:dyDescent="0.25">
      <c r="A642" t="s">
        <v>1493</v>
      </c>
      <c r="B642" t="s">
        <v>788</v>
      </c>
      <c r="H642" s="1"/>
    </row>
    <row r="643" spans="1:8" x14ac:dyDescent="0.25">
      <c r="A643" t="s">
        <v>1494</v>
      </c>
      <c r="B643" t="s">
        <v>789</v>
      </c>
      <c r="H643" s="1"/>
    </row>
    <row r="644" spans="1:8" x14ac:dyDescent="0.25">
      <c r="A644" t="s">
        <v>1495</v>
      </c>
      <c r="B644" t="s">
        <v>790</v>
      </c>
      <c r="H644" s="1"/>
    </row>
    <row r="645" spans="1:8" x14ac:dyDescent="0.25">
      <c r="A645" t="s">
        <v>1496</v>
      </c>
      <c r="B645" t="s">
        <v>791</v>
      </c>
      <c r="H645" s="1"/>
    </row>
    <row r="646" spans="1:8" x14ac:dyDescent="0.25">
      <c r="A646" t="s">
        <v>1497</v>
      </c>
      <c r="B646" t="s">
        <v>792</v>
      </c>
      <c r="H646" s="1"/>
    </row>
    <row r="647" spans="1:8" x14ac:dyDescent="0.25">
      <c r="A647" t="s">
        <v>1498</v>
      </c>
      <c r="B647" t="s">
        <v>793</v>
      </c>
      <c r="H647" s="1"/>
    </row>
    <row r="648" spans="1:8" x14ac:dyDescent="0.25">
      <c r="A648" t="s">
        <v>1499</v>
      </c>
      <c r="B648" t="s">
        <v>794</v>
      </c>
      <c r="H648" s="1"/>
    </row>
    <row r="649" spans="1:8" x14ac:dyDescent="0.25">
      <c r="A649" t="s">
        <v>1500</v>
      </c>
      <c r="B649" t="s">
        <v>795</v>
      </c>
      <c r="H649" s="1"/>
    </row>
    <row r="650" spans="1:8" x14ac:dyDescent="0.25">
      <c r="A650" t="s">
        <v>1501</v>
      </c>
      <c r="B650" t="s">
        <v>796</v>
      </c>
      <c r="H650" s="1"/>
    </row>
    <row r="651" spans="1:8" x14ac:dyDescent="0.25">
      <c r="A651" t="s">
        <v>1502</v>
      </c>
      <c r="B651" t="s">
        <v>797</v>
      </c>
      <c r="H651" s="1"/>
    </row>
    <row r="652" spans="1:8" x14ac:dyDescent="0.25">
      <c r="A652" t="s">
        <v>1503</v>
      </c>
      <c r="B652" t="s">
        <v>798</v>
      </c>
      <c r="H652" s="1"/>
    </row>
    <row r="653" spans="1:8" x14ac:dyDescent="0.25">
      <c r="A653" t="s">
        <v>1504</v>
      </c>
      <c r="B653" t="s">
        <v>799</v>
      </c>
      <c r="D653" t="s">
        <v>1557</v>
      </c>
      <c r="H653" s="1"/>
    </row>
    <row r="654" spans="1:8" x14ac:dyDescent="0.25">
      <c r="A654" t="s">
        <v>1505</v>
      </c>
      <c r="B654" t="s">
        <v>800</v>
      </c>
      <c r="H654" s="1"/>
    </row>
    <row r="655" spans="1:8" x14ac:dyDescent="0.25">
      <c r="A655" t="s">
        <v>1506</v>
      </c>
      <c r="B655" t="s">
        <v>801</v>
      </c>
      <c r="D655" t="s">
        <v>1</v>
      </c>
      <c r="H655" s="1"/>
    </row>
    <row r="656" spans="1:8" x14ac:dyDescent="0.25">
      <c r="A656" t="s">
        <v>1507</v>
      </c>
      <c r="B656" t="s">
        <v>802</v>
      </c>
      <c r="H656" s="1"/>
    </row>
    <row r="657" spans="1:8" x14ac:dyDescent="0.25">
      <c r="A657" t="s">
        <v>1508</v>
      </c>
      <c r="B657" t="s">
        <v>803</v>
      </c>
      <c r="H657" s="1"/>
    </row>
    <row r="658" spans="1:8" x14ac:dyDescent="0.25">
      <c r="A658" t="s">
        <v>1509</v>
      </c>
      <c r="B658" t="s">
        <v>804</v>
      </c>
      <c r="H658" s="1"/>
    </row>
    <row r="659" spans="1:8" x14ac:dyDescent="0.25">
      <c r="A659" t="s">
        <v>1510</v>
      </c>
      <c r="B659" t="s">
        <v>805</v>
      </c>
      <c r="H659" s="1"/>
    </row>
    <row r="660" spans="1:8" x14ac:dyDescent="0.25">
      <c r="A660" t="s">
        <v>1511</v>
      </c>
      <c r="B660" t="s">
        <v>806</v>
      </c>
      <c r="D660" t="s">
        <v>1557</v>
      </c>
      <c r="H660" s="1"/>
    </row>
    <row r="661" spans="1:8" x14ac:dyDescent="0.25">
      <c r="A661" t="s">
        <v>1512</v>
      </c>
      <c r="B661" t="s">
        <v>807</v>
      </c>
      <c r="H661" s="1"/>
    </row>
    <row r="662" spans="1:8" x14ac:dyDescent="0.25">
      <c r="A662" t="s">
        <v>1513</v>
      </c>
      <c r="B662" t="s">
        <v>808</v>
      </c>
      <c r="H662" s="1"/>
    </row>
    <row r="663" spans="1:8" x14ac:dyDescent="0.25">
      <c r="A663" t="s">
        <v>1514</v>
      </c>
      <c r="B663" t="s">
        <v>809</v>
      </c>
      <c r="H663" s="1"/>
    </row>
    <row r="664" spans="1:8" x14ac:dyDescent="0.25">
      <c r="A664" t="s">
        <v>1515</v>
      </c>
      <c r="B664" t="s">
        <v>810</v>
      </c>
      <c r="H664" s="1"/>
    </row>
    <row r="665" spans="1:8" x14ac:dyDescent="0.25">
      <c r="A665" t="s">
        <v>1516</v>
      </c>
      <c r="B665" t="s">
        <v>811</v>
      </c>
      <c r="H665" s="1"/>
    </row>
    <row r="666" spans="1:8" x14ac:dyDescent="0.25">
      <c r="A666" t="s">
        <v>1517</v>
      </c>
      <c r="B666" t="s">
        <v>812</v>
      </c>
      <c r="H666" s="1"/>
    </row>
    <row r="667" spans="1:8" x14ac:dyDescent="0.25">
      <c r="A667" t="s">
        <v>1518</v>
      </c>
      <c r="B667" t="s">
        <v>813</v>
      </c>
      <c r="H667" s="1"/>
    </row>
    <row r="668" spans="1:8" x14ac:dyDescent="0.25">
      <c r="A668" t="s">
        <v>1519</v>
      </c>
      <c r="B668" t="s">
        <v>814</v>
      </c>
      <c r="H668" s="1"/>
    </row>
    <row r="669" spans="1:8" x14ac:dyDescent="0.25">
      <c r="A669" t="s">
        <v>1520</v>
      </c>
      <c r="B669" t="s">
        <v>815</v>
      </c>
      <c r="H669" s="1"/>
    </row>
    <row r="670" spans="1:8" x14ac:dyDescent="0.25">
      <c r="A670" t="s">
        <v>1521</v>
      </c>
      <c r="B670" t="s">
        <v>816</v>
      </c>
      <c r="H670" s="1"/>
    </row>
    <row r="671" spans="1:8" x14ac:dyDescent="0.25">
      <c r="A671" t="s">
        <v>1522</v>
      </c>
      <c r="B671" t="s">
        <v>817</v>
      </c>
      <c r="H671" s="1"/>
    </row>
    <row r="672" spans="1:8" x14ac:dyDescent="0.25">
      <c r="A672" t="s">
        <v>1523</v>
      </c>
      <c r="B672" t="s">
        <v>818</v>
      </c>
      <c r="D672" t="s">
        <v>1557</v>
      </c>
      <c r="H672" s="1"/>
    </row>
    <row r="673" spans="1:8" x14ac:dyDescent="0.25">
      <c r="A673" t="s">
        <v>1524</v>
      </c>
      <c r="B673" t="s">
        <v>819</v>
      </c>
      <c r="D673" t="s">
        <v>1557</v>
      </c>
      <c r="H673" s="1"/>
    </row>
    <row r="674" spans="1:8" x14ac:dyDescent="0.25">
      <c r="A674" t="s">
        <v>1525</v>
      </c>
      <c r="B674" t="s">
        <v>820</v>
      </c>
      <c r="D674" t="s">
        <v>1557</v>
      </c>
      <c r="H674" s="1"/>
    </row>
    <row r="675" spans="1:8" x14ac:dyDescent="0.25">
      <c r="A675" t="s">
        <v>1526</v>
      </c>
      <c r="B675" t="s">
        <v>821</v>
      </c>
      <c r="H675" s="1"/>
    </row>
    <row r="676" spans="1:8" x14ac:dyDescent="0.25">
      <c r="A676" t="s">
        <v>1527</v>
      </c>
      <c r="B676" t="s">
        <v>822</v>
      </c>
      <c r="H676" s="1"/>
    </row>
    <row r="677" spans="1:8" x14ac:dyDescent="0.25">
      <c r="A677" t="s">
        <v>1528</v>
      </c>
      <c r="B677" t="s">
        <v>823</v>
      </c>
      <c r="D677" t="s">
        <v>1557</v>
      </c>
      <c r="H677" s="1"/>
    </row>
    <row r="678" spans="1:8" x14ac:dyDescent="0.25">
      <c r="A678" t="s">
        <v>1529</v>
      </c>
      <c r="B678" t="s">
        <v>824</v>
      </c>
      <c r="D678" t="s">
        <v>1</v>
      </c>
      <c r="H678" s="1"/>
    </row>
    <row r="679" spans="1:8" x14ac:dyDescent="0.25">
      <c r="A679" t="s">
        <v>1530</v>
      </c>
      <c r="B679" t="s">
        <v>825</v>
      </c>
      <c r="D679" t="s">
        <v>1</v>
      </c>
      <c r="H679" s="1"/>
    </row>
    <row r="680" spans="1:8" x14ac:dyDescent="0.25">
      <c r="A680" t="s">
        <v>1531</v>
      </c>
      <c r="B680" t="s">
        <v>826</v>
      </c>
      <c r="H680" s="1"/>
    </row>
    <row r="681" spans="1:8" x14ac:dyDescent="0.25">
      <c r="A681" t="s">
        <v>1532</v>
      </c>
      <c r="B681" t="s">
        <v>827</v>
      </c>
      <c r="H681" s="1"/>
    </row>
    <row r="682" spans="1:8" x14ac:dyDescent="0.25">
      <c r="A682" t="s">
        <v>1533</v>
      </c>
      <c r="B682" t="s">
        <v>828</v>
      </c>
      <c r="H682" s="1"/>
    </row>
    <row r="683" spans="1:8" x14ac:dyDescent="0.25">
      <c r="A683" t="s">
        <v>1534</v>
      </c>
      <c r="B683" t="s">
        <v>829</v>
      </c>
      <c r="H683" s="1"/>
    </row>
    <row r="684" spans="1:8" x14ac:dyDescent="0.25">
      <c r="A684" t="s">
        <v>1535</v>
      </c>
      <c r="B684" t="s">
        <v>830</v>
      </c>
      <c r="H684" s="1"/>
    </row>
    <row r="685" spans="1:8" x14ac:dyDescent="0.25">
      <c r="A685" t="s">
        <v>1536</v>
      </c>
      <c r="B685" t="s">
        <v>831</v>
      </c>
      <c r="H685" s="1"/>
    </row>
    <row r="686" spans="1:8" x14ac:dyDescent="0.25">
      <c r="A686" t="s">
        <v>1537</v>
      </c>
      <c r="B686" t="s">
        <v>832</v>
      </c>
      <c r="H686" s="1"/>
    </row>
    <row r="687" spans="1:8" x14ac:dyDescent="0.25">
      <c r="A687" t="s">
        <v>1538</v>
      </c>
      <c r="B687" t="s">
        <v>833</v>
      </c>
      <c r="H687" s="1"/>
    </row>
    <row r="688" spans="1:8" x14ac:dyDescent="0.25">
      <c r="A688" t="s">
        <v>1539</v>
      </c>
      <c r="B688" t="s">
        <v>834</v>
      </c>
      <c r="H688" s="1"/>
    </row>
    <row r="689" spans="1:8" x14ac:dyDescent="0.25">
      <c r="A689" t="s">
        <v>1540</v>
      </c>
      <c r="B689" t="s">
        <v>835</v>
      </c>
      <c r="H689" s="1"/>
    </row>
    <row r="690" spans="1:8" x14ac:dyDescent="0.25">
      <c r="A690" t="s">
        <v>1541</v>
      </c>
      <c r="B690" t="s">
        <v>836</v>
      </c>
      <c r="D690" t="s">
        <v>1</v>
      </c>
      <c r="H690" s="1"/>
    </row>
    <row r="691" spans="1:8" x14ac:dyDescent="0.25">
      <c r="A691" t="s">
        <v>1542</v>
      </c>
      <c r="B691" t="s">
        <v>837</v>
      </c>
      <c r="H691" s="1"/>
    </row>
    <row r="692" spans="1:8" x14ac:dyDescent="0.25">
      <c r="A692" t="s">
        <v>1543</v>
      </c>
      <c r="B692" t="s">
        <v>838</v>
      </c>
      <c r="H692" s="1"/>
    </row>
    <row r="693" spans="1:8" x14ac:dyDescent="0.25">
      <c r="A693" t="s">
        <v>1544</v>
      </c>
      <c r="B693" t="s">
        <v>839</v>
      </c>
      <c r="H693" s="1"/>
    </row>
    <row r="694" spans="1:8" x14ac:dyDescent="0.25">
      <c r="A694" t="s">
        <v>1545</v>
      </c>
      <c r="B694" t="s">
        <v>840</v>
      </c>
      <c r="D694" t="s">
        <v>1</v>
      </c>
      <c r="H694" s="1"/>
    </row>
    <row r="695" spans="1:8" x14ac:dyDescent="0.25">
      <c r="A695" t="s">
        <v>1546</v>
      </c>
      <c r="B695" t="s">
        <v>841</v>
      </c>
      <c r="H695" s="1"/>
    </row>
    <row r="696" spans="1:8" x14ac:dyDescent="0.25">
      <c r="A696" t="s">
        <v>1547</v>
      </c>
      <c r="B696" t="s">
        <v>842</v>
      </c>
      <c r="H696" s="1"/>
    </row>
    <row r="697" spans="1:8" x14ac:dyDescent="0.25">
      <c r="A697" t="s">
        <v>1548</v>
      </c>
      <c r="B697" t="s">
        <v>843</v>
      </c>
      <c r="H697" s="1"/>
    </row>
    <row r="698" spans="1:8" x14ac:dyDescent="0.25">
      <c r="A698" t="s">
        <v>1549</v>
      </c>
      <c r="B698" t="s">
        <v>844</v>
      </c>
      <c r="H698" s="1"/>
    </row>
    <row r="699" spans="1:8" x14ac:dyDescent="0.25">
      <c r="A699" t="s">
        <v>1550</v>
      </c>
      <c r="B699" t="s">
        <v>845</v>
      </c>
      <c r="H699" s="1"/>
    </row>
    <row r="700" spans="1:8" x14ac:dyDescent="0.25">
      <c r="A700" t="s">
        <v>1551</v>
      </c>
      <c r="B700" t="s">
        <v>846</v>
      </c>
      <c r="H700" s="1"/>
    </row>
    <row r="701" spans="1:8" x14ac:dyDescent="0.25">
      <c r="A701" t="s">
        <v>1552</v>
      </c>
      <c r="B701" t="s">
        <v>847</v>
      </c>
      <c r="D701" t="s">
        <v>1557</v>
      </c>
      <c r="H701" s="1"/>
    </row>
    <row r="702" spans="1:8" x14ac:dyDescent="0.25">
      <c r="A702" t="s">
        <v>1553</v>
      </c>
      <c r="B702" t="s">
        <v>848</v>
      </c>
      <c r="H702" s="1"/>
    </row>
    <row r="703" spans="1:8" x14ac:dyDescent="0.25">
      <c r="A703" t="s">
        <v>1554</v>
      </c>
      <c r="B703" t="s">
        <v>849</v>
      </c>
      <c r="D703" t="s">
        <v>1557</v>
      </c>
      <c r="H703" s="1"/>
    </row>
    <row r="704" spans="1:8" x14ac:dyDescent="0.25">
      <c r="A704" t="s">
        <v>1555</v>
      </c>
      <c r="B704" t="s">
        <v>850</v>
      </c>
      <c r="H704" s="1"/>
    </row>
    <row r="705" spans="1:8" x14ac:dyDescent="0.25">
      <c r="A705" t="s">
        <v>1556</v>
      </c>
      <c r="B705" t="s">
        <v>851</v>
      </c>
      <c r="H705" s="1"/>
    </row>
    <row r="706" spans="1:8" x14ac:dyDescent="0.25">
      <c r="H706" s="1"/>
    </row>
    <row r="707" spans="1:8" x14ac:dyDescent="0.25">
      <c r="H707" s="1"/>
    </row>
    <row r="708" spans="1:8" x14ac:dyDescent="0.25">
      <c r="H708" s="1"/>
    </row>
    <row r="709" spans="1:8" x14ac:dyDescent="0.25">
      <c r="H709" s="1"/>
    </row>
    <row r="710" spans="1:8" x14ac:dyDescent="0.25">
      <c r="H710" s="1"/>
    </row>
    <row r="711" spans="1:8" x14ac:dyDescent="0.25">
      <c r="H711" s="1"/>
    </row>
    <row r="712" spans="1:8" x14ac:dyDescent="0.25">
      <c r="H712" s="1"/>
    </row>
    <row r="713" spans="1:8" x14ac:dyDescent="0.25">
      <c r="H713" s="1"/>
    </row>
    <row r="714" spans="1:8" x14ac:dyDescent="0.25">
      <c r="H714" s="1"/>
    </row>
    <row r="715" spans="1:8" x14ac:dyDescent="0.25">
      <c r="H715" s="1"/>
    </row>
    <row r="716" spans="1:8" x14ac:dyDescent="0.25">
      <c r="H716" s="1"/>
    </row>
    <row r="717" spans="1:8" x14ac:dyDescent="0.25">
      <c r="H717" s="1"/>
    </row>
    <row r="718" spans="1:8" x14ac:dyDescent="0.25">
      <c r="H718" s="1"/>
    </row>
    <row r="719" spans="1:8" x14ac:dyDescent="0.25">
      <c r="H719" s="1"/>
    </row>
    <row r="720" spans="1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</sheetData>
  <sortState ref="K2:R594">
    <sortCondition ref="M2:M594"/>
  </sortState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2"/>
  <sheetViews>
    <sheetView topLeftCell="V1" workbookViewId="0">
      <selection activeCell="V13" sqref="V13"/>
    </sheetView>
  </sheetViews>
  <sheetFormatPr defaultRowHeight="12.75" x14ac:dyDescent="0.2"/>
  <cols>
    <col min="1" max="1" width="41.42578125" style="41" customWidth="1"/>
    <col min="2" max="2" width="34.5703125" style="41" bestFit="1" customWidth="1"/>
    <col min="3" max="34" width="9.140625" style="41"/>
    <col min="35" max="35" width="23.42578125" style="41" bestFit="1" customWidth="1"/>
    <col min="36" max="16384" width="9.140625" style="41"/>
  </cols>
  <sheetData>
    <row r="1" spans="1:79" x14ac:dyDescent="0.2">
      <c r="A1" s="41" t="s">
        <v>852</v>
      </c>
      <c r="B1" s="41" t="s">
        <v>147</v>
      </c>
      <c r="C1" s="41" t="s">
        <v>1802</v>
      </c>
      <c r="D1" s="41" t="s">
        <v>1801</v>
      </c>
      <c r="E1" s="41" t="s">
        <v>1800</v>
      </c>
      <c r="F1" s="41" t="s">
        <v>1799</v>
      </c>
      <c r="G1" s="41" t="s">
        <v>1798</v>
      </c>
      <c r="H1" s="41" t="s">
        <v>1797</v>
      </c>
      <c r="I1" s="41" t="s">
        <v>147</v>
      </c>
      <c r="J1" s="41" t="s">
        <v>1796</v>
      </c>
      <c r="K1" s="41" t="s">
        <v>1795</v>
      </c>
      <c r="L1" s="41" t="s">
        <v>1794</v>
      </c>
      <c r="M1" s="41" t="s">
        <v>1793</v>
      </c>
      <c r="N1" s="41" t="s">
        <v>1792</v>
      </c>
      <c r="O1" s="41" t="s">
        <v>1791</v>
      </c>
      <c r="P1" s="41" t="s">
        <v>1790</v>
      </c>
      <c r="Q1" s="41" t="s">
        <v>1789</v>
      </c>
      <c r="R1" s="41" t="s">
        <v>1788</v>
      </c>
      <c r="S1" s="41" t="s">
        <v>1787</v>
      </c>
      <c r="T1" s="41" t="s">
        <v>1786</v>
      </c>
      <c r="U1" s="41" t="s">
        <v>1785</v>
      </c>
      <c r="V1" s="41" t="s">
        <v>1784</v>
      </c>
      <c r="W1" s="41" t="s">
        <v>1783</v>
      </c>
      <c r="X1" s="41" t="s">
        <v>1782</v>
      </c>
      <c r="Y1" s="41" t="s">
        <v>1781</v>
      </c>
      <c r="Z1" s="41" t="s">
        <v>1780</v>
      </c>
      <c r="AA1" s="41" t="s">
        <v>1779</v>
      </c>
      <c r="AB1" s="41" t="s">
        <v>1778</v>
      </c>
      <c r="AC1" s="41" t="s">
        <v>1777</v>
      </c>
      <c r="AD1" s="41" t="s">
        <v>1776</v>
      </c>
      <c r="AE1" s="41" t="s">
        <v>1775</v>
      </c>
      <c r="AF1" s="41" t="s">
        <v>1774</v>
      </c>
      <c r="AG1" s="41" t="s">
        <v>1773</v>
      </c>
      <c r="AH1" s="41" t="s">
        <v>1772</v>
      </c>
      <c r="AI1" s="41" t="s">
        <v>1771</v>
      </c>
      <c r="AJ1" s="41" t="s">
        <v>1770</v>
      </c>
      <c r="AK1" s="41" t="s">
        <v>1769</v>
      </c>
      <c r="AL1" s="41" t="s">
        <v>1768</v>
      </c>
      <c r="AM1" s="41" t="s">
        <v>1767</v>
      </c>
      <c r="AN1" s="41" t="s">
        <v>1766</v>
      </c>
      <c r="AO1" s="41" t="s">
        <v>1765</v>
      </c>
      <c r="AP1" s="41" t="s">
        <v>1764</v>
      </c>
      <c r="AQ1" s="41" t="s">
        <v>1763</v>
      </c>
      <c r="AR1" s="41" t="s">
        <v>1762</v>
      </c>
      <c r="AS1" s="41" t="s">
        <v>1761</v>
      </c>
      <c r="AT1" s="41" t="s">
        <v>1760</v>
      </c>
      <c r="AU1" s="41" t="s">
        <v>1759</v>
      </c>
      <c r="AV1" s="41" t="s">
        <v>1758</v>
      </c>
      <c r="AW1" s="41" t="s">
        <v>1757</v>
      </c>
      <c r="AX1" s="41" t="s">
        <v>1756</v>
      </c>
      <c r="AY1" s="41" t="s">
        <v>1755</v>
      </c>
      <c r="AZ1" s="41" t="s">
        <v>1754</v>
      </c>
      <c r="BA1" s="41" t="s">
        <v>1753</v>
      </c>
      <c r="BB1" s="41" t="s">
        <v>1752</v>
      </c>
      <c r="BC1" s="41" t="s">
        <v>1751</v>
      </c>
      <c r="BD1" s="41" t="s">
        <v>1750</v>
      </c>
      <c r="BE1" s="41" t="s">
        <v>1749</v>
      </c>
      <c r="BF1" s="41" t="s">
        <v>1748</v>
      </c>
      <c r="BG1" s="41" t="s">
        <v>1747</v>
      </c>
      <c r="BH1" s="41" t="s">
        <v>1746</v>
      </c>
      <c r="BI1" s="41" t="s">
        <v>1745</v>
      </c>
      <c r="BJ1" s="41" t="s">
        <v>1744</v>
      </c>
      <c r="BK1" s="41" t="s">
        <v>1743</v>
      </c>
      <c r="BL1" s="41" t="s">
        <v>1742</v>
      </c>
      <c r="BM1" s="41" t="s">
        <v>1741</v>
      </c>
      <c r="BN1" s="41" t="s">
        <v>1740</v>
      </c>
      <c r="BO1" s="41" t="s">
        <v>1739</v>
      </c>
      <c r="BP1" s="41" t="s">
        <v>1738</v>
      </c>
      <c r="BQ1" s="41" t="s">
        <v>1737</v>
      </c>
      <c r="BR1" s="41" t="s">
        <v>1736</v>
      </c>
      <c r="BS1" s="41" t="s">
        <v>1735</v>
      </c>
      <c r="BT1" s="41" t="s">
        <v>1734</v>
      </c>
      <c r="BU1" s="41" t="s">
        <v>1733</v>
      </c>
      <c r="BV1" s="41" t="s">
        <v>1732</v>
      </c>
      <c r="BW1" s="41" t="s">
        <v>1731</v>
      </c>
      <c r="BX1" s="41" t="s">
        <v>1730</v>
      </c>
      <c r="BY1" s="41" t="s">
        <v>1729</v>
      </c>
      <c r="BZ1" s="41" t="s">
        <v>1728</v>
      </c>
      <c r="CA1" s="41" t="s">
        <v>1727</v>
      </c>
    </row>
    <row r="2" spans="1:79" x14ac:dyDescent="0.2">
      <c r="A2" s="41" t="s">
        <v>895</v>
      </c>
      <c r="B2" s="41" t="s">
        <v>190</v>
      </c>
      <c r="C2" s="41">
        <v>2019</v>
      </c>
      <c r="D2" s="41" t="s">
        <v>1696</v>
      </c>
      <c r="E2" s="41">
        <v>2.0200128916742E+17</v>
      </c>
      <c r="F2" s="41" t="s">
        <v>1598</v>
      </c>
      <c r="G2" s="41" t="s">
        <v>2525</v>
      </c>
      <c r="H2" s="41">
        <v>1374056</v>
      </c>
      <c r="J2" s="41" t="s">
        <v>1596</v>
      </c>
      <c r="K2" s="41" t="s">
        <v>1595</v>
      </c>
      <c r="M2" s="41" t="s">
        <v>2426</v>
      </c>
      <c r="N2" s="41" t="s">
        <v>2503</v>
      </c>
      <c r="O2" s="41" t="s">
        <v>64</v>
      </c>
      <c r="P2" s="41" t="s">
        <v>1676</v>
      </c>
      <c r="Q2" s="41" t="s">
        <v>32</v>
      </c>
      <c r="R2" s="41" t="s">
        <v>2499</v>
      </c>
      <c r="T2" s="41" t="s">
        <v>2498</v>
      </c>
      <c r="V2" s="41" t="s">
        <v>2512</v>
      </c>
      <c r="X2" s="41" t="s">
        <v>1811</v>
      </c>
      <c r="Y2" s="41" t="s">
        <v>15</v>
      </c>
      <c r="Z2" s="41">
        <v>482074262</v>
      </c>
      <c r="AA2" s="41" t="s">
        <v>1810</v>
      </c>
      <c r="AB2" s="41" t="s">
        <v>2421</v>
      </c>
      <c r="AD2" s="41">
        <v>15</v>
      </c>
      <c r="AE2" s="41" t="s">
        <v>1819</v>
      </c>
      <c r="AI2" s="43">
        <v>43830</v>
      </c>
      <c r="AJ2" s="41">
        <v>416</v>
      </c>
      <c r="AK2" s="41">
        <v>1248</v>
      </c>
      <c r="BG2" s="41" t="s">
        <v>26</v>
      </c>
      <c r="BI2" s="41" t="s">
        <v>1648</v>
      </c>
      <c r="BK2" s="41" t="s">
        <v>48</v>
      </c>
      <c r="BL2" s="41" t="s">
        <v>1584</v>
      </c>
      <c r="BM2" s="41" t="s">
        <v>1583</v>
      </c>
      <c r="BN2" s="42">
        <v>43859.073122488429</v>
      </c>
      <c r="BR2" s="41" t="s">
        <v>1582</v>
      </c>
      <c r="BS2" s="41">
        <v>4.01282020168591E+18</v>
      </c>
      <c r="BT2" s="41" t="s">
        <v>1581</v>
      </c>
      <c r="BU2" s="41" t="s">
        <v>2420</v>
      </c>
      <c r="BV2" s="41">
        <v>2020</v>
      </c>
      <c r="BW2" s="41" t="s">
        <v>1579</v>
      </c>
      <c r="BY2" s="41">
        <v>4.0128202016860001E+18</v>
      </c>
      <c r="BZ2" s="41" t="s">
        <v>2524</v>
      </c>
      <c r="CA2" s="41" t="s">
        <v>1577</v>
      </c>
    </row>
    <row r="3" spans="1:79" x14ac:dyDescent="0.2">
      <c r="A3" s="41" t="s">
        <v>895</v>
      </c>
      <c r="B3" s="41" t="s">
        <v>190</v>
      </c>
      <c r="C3" s="41">
        <v>2019</v>
      </c>
      <c r="D3" s="41" t="s">
        <v>1845</v>
      </c>
      <c r="E3" s="41">
        <v>2.0191218916635901E+17</v>
      </c>
      <c r="F3" s="41" t="s">
        <v>1598</v>
      </c>
      <c r="G3" s="41" t="s">
        <v>2523</v>
      </c>
      <c r="H3" s="41">
        <v>1366669</v>
      </c>
      <c r="J3" s="41" t="s">
        <v>1596</v>
      </c>
      <c r="K3" s="41" t="s">
        <v>1595</v>
      </c>
      <c r="M3" s="41" t="s">
        <v>2426</v>
      </c>
      <c r="N3" s="41" t="s">
        <v>2503</v>
      </c>
      <c r="O3" s="41" t="s">
        <v>64</v>
      </c>
      <c r="P3" s="41" t="s">
        <v>1676</v>
      </c>
      <c r="Q3" s="41" t="s">
        <v>32</v>
      </c>
      <c r="R3" s="41" t="s">
        <v>2499</v>
      </c>
      <c r="T3" s="41" t="s">
        <v>2498</v>
      </c>
      <c r="V3" s="41" t="s">
        <v>2512</v>
      </c>
      <c r="X3" s="41" t="s">
        <v>1811</v>
      </c>
      <c r="Y3" s="41" t="s">
        <v>15</v>
      </c>
      <c r="Z3" s="41">
        <v>482074262</v>
      </c>
      <c r="AA3" s="41" t="s">
        <v>1810</v>
      </c>
      <c r="AB3" s="41" t="s">
        <v>2421</v>
      </c>
      <c r="AD3" s="41">
        <v>15</v>
      </c>
      <c r="AE3" s="41" t="s">
        <v>1819</v>
      </c>
      <c r="AI3" s="43">
        <v>43799</v>
      </c>
      <c r="AJ3" s="41">
        <v>416</v>
      </c>
      <c r="AK3" s="41">
        <v>832</v>
      </c>
      <c r="BG3" s="41" t="s">
        <v>26</v>
      </c>
      <c r="BI3" s="41" t="s">
        <v>1648</v>
      </c>
      <c r="BK3" s="41" t="s">
        <v>48</v>
      </c>
      <c r="BL3" s="41" t="s">
        <v>1584</v>
      </c>
      <c r="BM3" s="41" t="s">
        <v>1583</v>
      </c>
      <c r="BN3" s="42">
        <v>43818.07188826389</v>
      </c>
      <c r="BR3" s="41" t="s">
        <v>1582</v>
      </c>
      <c r="BS3" s="41">
        <v>4.1218201916816502E+18</v>
      </c>
      <c r="BT3" s="41" t="s">
        <v>1581</v>
      </c>
      <c r="BU3" s="41" t="s">
        <v>2420</v>
      </c>
      <c r="BV3" s="41">
        <v>2020</v>
      </c>
      <c r="BW3" s="41" t="s">
        <v>1579</v>
      </c>
      <c r="BY3" s="41">
        <v>4.1218201916816799E+18</v>
      </c>
      <c r="BZ3" s="41" t="s">
        <v>2522</v>
      </c>
      <c r="CA3" s="41" t="s">
        <v>1577</v>
      </c>
    </row>
    <row r="4" spans="1:79" x14ac:dyDescent="0.2">
      <c r="A4" s="41" t="s">
        <v>895</v>
      </c>
      <c r="B4" s="41" t="s">
        <v>190</v>
      </c>
      <c r="C4" s="41">
        <v>2020</v>
      </c>
      <c r="D4" s="41" t="s">
        <v>1865</v>
      </c>
      <c r="E4" s="41">
        <v>2.0200814926130598E+17</v>
      </c>
      <c r="F4" s="41" t="s">
        <v>1598</v>
      </c>
      <c r="G4" s="41" t="s">
        <v>2521</v>
      </c>
      <c r="H4" s="41">
        <v>1432298</v>
      </c>
      <c r="J4" s="41" t="s">
        <v>1596</v>
      </c>
      <c r="K4" s="41" t="s">
        <v>1595</v>
      </c>
      <c r="M4" s="41" t="s">
        <v>2426</v>
      </c>
      <c r="N4" s="41" t="s">
        <v>2503</v>
      </c>
      <c r="O4" s="41" t="s">
        <v>64</v>
      </c>
      <c r="P4" s="41" t="s">
        <v>1676</v>
      </c>
      <c r="Q4" s="41" t="s">
        <v>32</v>
      </c>
      <c r="R4" s="41" t="s">
        <v>2499</v>
      </c>
      <c r="T4" s="41" t="s">
        <v>2498</v>
      </c>
      <c r="V4" s="41" t="s">
        <v>2512</v>
      </c>
      <c r="X4" s="41" t="s">
        <v>1811</v>
      </c>
      <c r="Y4" s="41" t="s">
        <v>15</v>
      </c>
      <c r="Z4" s="41">
        <v>482074262</v>
      </c>
      <c r="AA4" s="41" t="s">
        <v>2430</v>
      </c>
      <c r="AB4" s="41" t="s">
        <v>2508</v>
      </c>
      <c r="AD4" s="41">
        <v>15</v>
      </c>
      <c r="AE4" s="41" t="s">
        <v>1819</v>
      </c>
      <c r="AI4" s="43">
        <v>44043</v>
      </c>
      <c r="AJ4" s="41">
        <v>416</v>
      </c>
      <c r="AK4" s="41">
        <v>2912</v>
      </c>
      <c r="BG4" s="41" t="s">
        <v>26</v>
      </c>
      <c r="BI4" s="41" t="s">
        <v>1648</v>
      </c>
      <c r="BK4" s="41" t="s">
        <v>48</v>
      </c>
      <c r="BL4" s="41" t="s">
        <v>1584</v>
      </c>
      <c r="BM4" s="41" t="s">
        <v>1583</v>
      </c>
      <c r="BN4" s="42">
        <v>44065.164462881941</v>
      </c>
      <c r="BR4" s="41" t="s">
        <v>1582</v>
      </c>
      <c r="BS4" s="41">
        <v>4.08152020182882E+18</v>
      </c>
      <c r="BT4" s="41" t="s">
        <v>1581</v>
      </c>
      <c r="BU4" s="41" t="s">
        <v>2420</v>
      </c>
      <c r="BV4" s="41">
        <v>2020</v>
      </c>
      <c r="BW4" s="41" t="s">
        <v>1579</v>
      </c>
      <c r="BY4" s="41">
        <v>4.0822202018296499E+18</v>
      </c>
      <c r="BZ4" s="41" t="s">
        <v>2520</v>
      </c>
      <c r="CA4" s="41" t="s">
        <v>1577</v>
      </c>
    </row>
    <row r="5" spans="1:79" x14ac:dyDescent="0.2">
      <c r="A5" s="41" t="s">
        <v>895</v>
      </c>
      <c r="B5" s="41" t="s">
        <v>190</v>
      </c>
      <c r="C5" s="41">
        <v>2020</v>
      </c>
      <c r="D5" s="41" t="s">
        <v>1699</v>
      </c>
      <c r="E5" s="41">
        <v>2.0200218918651501E+17</v>
      </c>
      <c r="F5" s="41" t="s">
        <v>1598</v>
      </c>
      <c r="G5" s="41" t="s">
        <v>2519</v>
      </c>
      <c r="H5" s="41">
        <v>1383073</v>
      </c>
      <c r="J5" s="41" t="s">
        <v>1596</v>
      </c>
      <c r="K5" s="41" t="s">
        <v>1595</v>
      </c>
      <c r="M5" s="41" t="s">
        <v>2426</v>
      </c>
      <c r="N5" s="41" t="s">
        <v>2503</v>
      </c>
      <c r="O5" s="41" t="s">
        <v>64</v>
      </c>
      <c r="P5" s="41" t="s">
        <v>1676</v>
      </c>
      <c r="Q5" s="41" t="s">
        <v>32</v>
      </c>
      <c r="R5" s="41" t="s">
        <v>2499</v>
      </c>
      <c r="T5" s="41" t="s">
        <v>2498</v>
      </c>
      <c r="V5" s="41" t="s">
        <v>2512</v>
      </c>
      <c r="X5" s="41" t="s">
        <v>1811</v>
      </c>
      <c r="Y5" s="41" t="s">
        <v>15</v>
      </c>
      <c r="Z5" s="41">
        <v>482074262</v>
      </c>
      <c r="AA5" s="41" t="s">
        <v>1810</v>
      </c>
      <c r="AB5" s="41" t="s">
        <v>2421</v>
      </c>
      <c r="AD5" s="41">
        <v>15</v>
      </c>
      <c r="AE5" s="41" t="s">
        <v>1819</v>
      </c>
      <c r="AI5" s="43">
        <v>43861</v>
      </c>
      <c r="AJ5" s="41">
        <v>416</v>
      </c>
      <c r="AK5" s="41">
        <v>416</v>
      </c>
      <c r="BG5" s="41" t="s">
        <v>26</v>
      </c>
      <c r="BI5" s="41" t="s">
        <v>1648</v>
      </c>
      <c r="BK5" s="41" t="s">
        <v>48</v>
      </c>
      <c r="BL5" s="41" t="s">
        <v>1584</v>
      </c>
      <c r="BM5" s="41" t="s">
        <v>1583</v>
      </c>
      <c r="BN5" s="42">
        <v>43886.075295659721</v>
      </c>
      <c r="BR5" s="41" t="s">
        <v>1582</v>
      </c>
      <c r="BS5" s="41">
        <v>4.02182020169267E+18</v>
      </c>
      <c r="BT5" s="41" t="s">
        <v>1581</v>
      </c>
      <c r="BU5" s="41" t="s">
        <v>2420</v>
      </c>
      <c r="BV5" s="41">
        <v>2020</v>
      </c>
      <c r="BW5" s="41" t="s">
        <v>1579</v>
      </c>
      <c r="BY5" s="41">
        <v>4.0224202016941798E+18</v>
      </c>
      <c r="BZ5" s="41" t="s">
        <v>2518</v>
      </c>
      <c r="CA5" s="41" t="s">
        <v>1577</v>
      </c>
    </row>
    <row r="6" spans="1:79" x14ac:dyDescent="0.2">
      <c r="A6" s="41" t="s">
        <v>895</v>
      </c>
      <c r="B6" s="41" t="s">
        <v>190</v>
      </c>
      <c r="C6" s="41">
        <v>2020</v>
      </c>
      <c r="D6" s="41" t="s">
        <v>2013</v>
      </c>
      <c r="E6" s="41">
        <v>2.0200318920387398E+17</v>
      </c>
      <c r="F6" s="41" t="s">
        <v>1598</v>
      </c>
      <c r="G6" s="41" t="s">
        <v>2517</v>
      </c>
      <c r="H6" s="41">
        <v>1390420</v>
      </c>
      <c r="J6" s="41" t="s">
        <v>1596</v>
      </c>
      <c r="K6" s="41" t="s">
        <v>1595</v>
      </c>
      <c r="M6" s="41" t="s">
        <v>2426</v>
      </c>
      <c r="N6" s="41" t="s">
        <v>2503</v>
      </c>
      <c r="O6" s="41" t="s">
        <v>64</v>
      </c>
      <c r="P6" s="41" t="s">
        <v>1676</v>
      </c>
      <c r="Q6" s="41" t="s">
        <v>32</v>
      </c>
      <c r="R6" s="41" t="s">
        <v>2499</v>
      </c>
      <c r="T6" s="41" t="s">
        <v>2498</v>
      </c>
      <c r="V6" s="41" t="s">
        <v>2512</v>
      </c>
      <c r="X6" s="41" t="s">
        <v>1811</v>
      </c>
      <c r="Y6" s="41" t="s">
        <v>15</v>
      </c>
      <c r="Z6" s="41">
        <v>482074262</v>
      </c>
      <c r="AA6" s="41" t="s">
        <v>1810</v>
      </c>
      <c r="AB6" s="41" t="s">
        <v>2421</v>
      </c>
      <c r="AD6" s="41">
        <v>15</v>
      </c>
      <c r="AE6" s="41" t="s">
        <v>1819</v>
      </c>
      <c r="AI6" s="43">
        <v>43890</v>
      </c>
      <c r="AJ6" s="41">
        <v>416</v>
      </c>
      <c r="AK6" s="41">
        <v>832</v>
      </c>
      <c r="BG6" s="41" t="s">
        <v>26</v>
      </c>
      <c r="BI6" s="41" t="s">
        <v>1648</v>
      </c>
      <c r="BK6" s="41" t="s">
        <v>48</v>
      </c>
      <c r="BL6" s="41" t="s">
        <v>1584</v>
      </c>
      <c r="BM6" s="41" t="s">
        <v>1583</v>
      </c>
      <c r="BN6" s="42">
        <v>43909.096344432874</v>
      </c>
      <c r="BR6" s="41" t="s">
        <v>1582</v>
      </c>
      <c r="BS6" s="41">
        <v>4.0318202017037302E+18</v>
      </c>
      <c r="BT6" s="41" t="s">
        <v>1581</v>
      </c>
      <c r="BU6" s="41" t="s">
        <v>2420</v>
      </c>
      <c r="BV6" s="41">
        <v>2020</v>
      </c>
      <c r="BW6" s="41" t="s">
        <v>1579</v>
      </c>
      <c r="BY6" s="41">
        <v>4.0318202017038198E+18</v>
      </c>
      <c r="BZ6" s="41" t="s">
        <v>2516</v>
      </c>
      <c r="CA6" s="41" t="s">
        <v>1577</v>
      </c>
    </row>
    <row r="7" spans="1:79" x14ac:dyDescent="0.2">
      <c r="A7" s="41" t="s">
        <v>895</v>
      </c>
      <c r="B7" s="41" t="s">
        <v>190</v>
      </c>
      <c r="C7" s="41">
        <v>2020</v>
      </c>
      <c r="D7" s="41" t="s">
        <v>1690</v>
      </c>
      <c r="E7" s="41">
        <v>2.0200709924439398E+17</v>
      </c>
      <c r="F7" s="41" t="s">
        <v>1598</v>
      </c>
      <c r="G7" s="41" t="s">
        <v>2515</v>
      </c>
      <c r="H7" s="41">
        <v>1418223</v>
      </c>
      <c r="J7" s="41" t="s">
        <v>1596</v>
      </c>
      <c r="K7" s="41" t="s">
        <v>1595</v>
      </c>
      <c r="M7" s="41" t="s">
        <v>2426</v>
      </c>
      <c r="N7" s="41" t="s">
        <v>2503</v>
      </c>
      <c r="O7" s="41" t="s">
        <v>64</v>
      </c>
      <c r="P7" s="41" t="s">
        <v>1676</v>
      </c>
      <c r="Q7" s="41" t="s">
        <v>32</v>
      </c>
      <c r="R7" s="41" t="s">
        <v>2499</v>
      </c>
      <c r="T7" s="41" t="s">
        <v>2498</v>
      </c>
      <c r="V7" s="41" t="s">
        <v>2512</v>
      </c>
      <c r="X7" s="41" t="s">
        <v>1811</v>
      </c>
      <c r="Y7" s="41" t="s">
        <v>15</v>
      </c>
      <c r="Z7" s="41">
        <v>482074262</v>
      </c>
      <c r="AA7" s="41" t="s">
        <v>2430</v>
      </c>
      <c r="AB7" s="41" t="s">
        <v>2511</v>
      </c>
      <c r="AD7" s="41">
        <v>15</v>
      </c>
      <c r="AE7" s="41" t="s">
        <v>1819</v>
      </c>
      <c r="AI7" s="43">
        <v>44012</v>
      </c>
      <c r="AJ7" s="41">
        <v>416</v>
      </c>
      <c r="AK7" s="41">
        <v>2496</v>
      </c>
      <c r="BG7" s="41" t="s">
        <v>26</v>
      </c>
      <c r="BI7" s="41" t="s">
        <v>1648</v>
      </c>
      <c r="BK7" s="41" t="s">
        <v>48</v>
      </c>
      <c r="BL7" s="41" t="s">
        <v>1584</v>
      </c>
      <c r="BM7" s="41" t="s">
        <v>1583</v>
      </c>
      <c r="BN7" s="42">
        <v>44023.088330092593</v>
      </c>
      <c r="BR7" s="41" t="s">
        <v>1582</v>
      </c>
      <c r="BS7" s="41">
        <v>4.0709202017799598E+18</v>
      </c>
      <c r="BT7" s="41" t="s">
        <v>1581</v>
      </c>
      <c r="BU7" s="41" t="s">
        <v>2420</v>
      </c>
      <c r="BV7" s="41">
        <v>2020</v>
      </c>
      <c r="BW7" s="41" t="s">
        <v>1579</v>
      </c>
      <c r="BY7" s="41">
        <v>4.0710202017904102E+18</v>
      </c>
      <c r="BZ7" s="41" t="s">
        <v>2514</v>
      </c>
      <c r="CA7" s="41" t="s">
        <v>1577</v>
      </c>
    </row>
    <row r="8" spans="1:79" x14ac:dyDescent="0.2">
      <c r="A8" s="41" t="s">
        <v>895</v>
      </c>
      <c r="B8" s="41" t="s">
        <v>190</v>
      </c>
      <c r="C8" s="41">
        <v>2020</v>
      </c>
      <c r="D8" s="41" t="s">
        <v>2029</v>
      </c>
      <c r="E8" s="41">
        <v>2.0200709924439299E+17</v>
      </c>
      <c r="F8" s="41" t="s">
        <v>1598</v>
      </c>
      <c r="G8" s="41" t="s">
        <v>2513</v>
      </c>
      <c r="H8" s="41">
        <v>1418185</v>
      </c>
      <c r="J8" s="41" t="s">
        <v>1596</v>
      </c>
      <c r="K8" s="41" t="s">
        <v>1595</v>
      </c>
      <c r="M8" s="41" t="s">
        <v>2426</v>
      </c>
      <c r="N8" s="41" t="s">
        <v>2503</v>
      </c>
      <c r="O8" s="41" t="s">
        <v>64</v>
      </c>
      <c r="P8" s="41" t="s">
        <v>1676</v>
      </c>
      <c r="Q8" s="41" t="s">
        <v>32</v>
      </c>
      <c r="R8" s="41" t="s">
        <v>2499</v>
      </c>
      <c r="T8" s="41" t="s">
        <v>2498</v>
      </c>
      <c r="V8" s="41" t="s">
        <v>2512</v>
      </c>
      <c r="X8" s="41" t="s">
        <v>1811</v>
      </c>
      <c r="Y8" s="41" t="s">
        <v>15</v>
      </c>
      <c r="Z8" s="41">
        <v>482074262</v>
      </c>
      <c r="AA8" s="41" t="s">
        <v>2430</v>
      </c>
      <c r="AB8" s="41" t="s">
        <v>2511</v>
      </c>
      <c r="AD8" s="41">
        <v>15</v>
      </c>
      <c r="AE8" s="41" t="s">
        <v>1819</v>
      </c>
      <c r="AI8" s="43">
        <v>43982</v>
      </c>
      <c r="AJ8" s="41">
        <v>416</v>
      </c>
      <c r="AK8" s="41">
        <v>2080</v>
      </c>
      <c r="BG8" s="41" t="s">
        <v>26</v>
      </c>
      <c r="BI8" s="41" t="s">
        <v>1648</v>
      </c>
      <c r="BK8" s="41" t="s">
        <v>48</v>
      </c>
      <c r="BL8" s="41" t="s">
        <v>1584</v>
      </c>
      <c r="BM8" s="41" t="s">
        <v>1583</v>
      </c>
      <c r="BN8" s="42">
        <v>44024.092624074074</v>
      </c>
      <c r="BR8" s="41" t="s">
        <v>1582</v>
      </c>
      <c r="BS8" s="41">
        <v>4.0709202017799598E+18</v>
      </c>
      <c r="BT8" s="41" t="s">
        <v>1581</v>
      </c>
      <c r="BU8" s="41" t="s">
        <v>2420</v>
      </c>
      <c r="BV8" s="41">
        <v>2020</v>
      </c>
      <c r="BW8" s="41" t="s">
        <v>1579</v>
      </c>
      <c r="BY8" s="41">
        <v>4.0711202017904302E+18</v>
      </c>
      <c r="BZ8" s="41" t="s">
        <v>2510</v>
      </c>
      <c r="CA8" s="41" t="s">
        <v>1577</v>
      </c>
    </row>
    <row r="9" spans="1:79" x14ac:dyDescent="0.2">
      <c r="A9" s="41" t="s">
        <v>895</v>
      </c>
      <c r="B9" s="41" t="s">
        <v>190</v>
      </c>
      <c r="C9" s="41">
        <v>2020</v>
      </c>
      <c r="D9" s="41" t="s">
        <v>1599</v>
      </c>
      <c r="E9" s="41">
        <v>2.0200917926722202E+17</v>
      </c>
      <c r="F9" s="41" t="s">
        <v>1598</v>
      </c>
      <c r="G9" s="41" t="s">
        <v>2509</v>
      </c>
      <c r="H9" s="41">
        <v>1438561</v>
      </c>
      <c r="J9" s="41" t="s">
        <v>1596</v>
      </c>
      <c r="K9" s="41" t="s">
        <v>1595</v>
      </c>
      <c r="M9" s="41" t="s">
        <v>2426</v>
      </c>
      <c r="N9" s="41" t="s">
        <v>2503</v>
      </c>
      <c r="O9" s="41" t="s">
        <v>64</v>
      </c>
      <c r="P9" s="41" t="s">
        <v>1676</v>
      </c>
      <c r="Q9" s="41" t="s">
        <v>32</v>
      </c>
      <c r="R9" s="41" t="s">
        <v>2499</v>
      </c>
      <c r="T9" s="41" t="s">
        <v>2498</v>
      </c>
      <c r="V9" s="41" t="s">
        <v>2502</v>
      </c>
      <c r="X9" s="41" t="s">
        <v>2501</v>
      </c>
      <c r="Y9" s="41" t="s">
        <v>45</v>
      </c>
      <c r="Z9" s="41">
        <v>20251138</v>
      </c>
      <c r="AA9" s="41" t="s">
        <v>2430</v>
      </c>
      <c r="AB9" s="41" t="s">
        <v>2508</v>
      </c>
      <c r="AD9" s="41">
        <v>15</v>
      </c>
      <c r="AE9" s="41" t="s">
        <v>1819</v>
      </c>
      <c r="AI9" s="43">
        <v>44074</v>
      </c>
      <c r="AJ9" s="41">
        <v>416</v>
      </c>
      <c r="AK9" s="41">
        <v>3328</v>
      </c>
      <c r="BG9" s="41" t="s">
        <v>26</v>
      </c>
      <c r="BI9" s="41" t="s">
        <v>1648</v>
      </c>
      <c r="BK9" s="41" t="s">
        <v>48</v>
      </c>
      <c r="BL9" s="41" t="s">
        <v>1584</v>
      </c>
      <c r="BM9" s="41" t="s">
        <v>1583</v>
      </c>
      <c r="BN9" s="42">
        <v>44092.151911423614</v>
      </c>
      <c r="BR9" s="41" t="s">
        <v>1582</v>
      </c>
      <c r="BS9" s="41">
        <v>4.0918202018489201E+18</v>
      </c>
      <c r="BT9" s="41" t="s">
        <v>1581</v>
      </c>
      <c r="BU9" s="41" t="s">
        <v>2420</v>
      </c>
      <c r="BV9" s="41">
        <v>2020</v>
      </c>
      <c r="BW9" s="41" t="s">
        <v>1579</v>
      </c>
      <c r="BY9" s="41">
        <v>4.0918202018489999E+18</v>
      </c>
      <c r="BZ9" s="41" t="s">
        <v>2507</v>
      </c>
      <c r="CA9" s="41" t="s">
        <v>1577</v>
      </c>
    </row>
    <row r="10" spans="1:79" x14ac:dyDescent="0.2">
      <c r="A10" s="41" t="s">
        <v>895</v>
      </c>
      <c r="B10" s="41" t="s">
        <v>190</v>
      </c>
      <c r="C10" s="41">
        <v>2020</v>
      </c>
      <c r="D10" s="41" t="s">
        <v>1667</v>
      </c>
      <c r="E10" s="41">
        <v>2.0201021932675501E+17</v>
      </c>
      <c r="F10" s="41" t="s">
        <v>1598</v>
      </c>
      <c r="G10" s="41" t="s">
        <v>2506</v>
      </c>
      <c r="H10" s="41">
        <v>1459687</v>
      </c>
      <c r="J10" s="41" t="s">
        <v>1596</v>
      </c>
      <c r="K10" s="41" t="s">
        <v>1595</v>
      </c>
      <c r="M10" s="41" t="s">
        <v>2426</v>
      </c>
      <c r="N10" s="41" t="s">
        <v>2503</v>
      </c>
      <c r="O10" s="41" t="s">
        <v>64</v>
      </c>
      <c r="P10" s="41" t="s">
        <v>1676</v>
      </c>
      <c r="Q10" s="41" t="s">
        <v>32</v>
      </c>
      <c r="R10" s="41" t="s">
        <v>2499</v>
      </c>
      <c r="T10" s="41" t="s">
        <v>2498</v>
      </c>
      <c r="V10" s="41" t="s">
        <v>2502</v>
      </c>
      <c r="X10" s="41" t="s">
        <v>2501</v>
      </c>
      <c r="Y10" s="41" t="s">
        <v>45</v>
      </c>
      <c r="Z10" s="41">
        <v>20251138</v>
      </c>
      <c r="AA10" s="41" t="s">
        <v>1810</v>
      </c>
      <c r="AB10" s="41" t="s">
        <v>2421</v>
      </c>
      <c r="AD10" s="41">
        <v>15</v>
      </c>
      <c r="AE10" s="41" t="s">
        <v>1819</v>
      </c>
      <c r="AI10" s="43">
        <v>44118</v>
      </c>
      <c r="AJ10" s="41">
        <v>416</v>
      </c>
      <c r="AK10" s="41">
        <v>4160</v>
      </c>
      <c r="BG10" s="41" t="s">
        <v>26</v>
      </c>
      <c r="BI10" s="41" t="s">
        <v>1648</v>
      </c>
      <c r="BK10" s="41" t="s">
        <v>48</v>
      </c>
      <c r="BL10" s="41" t="s">
        <v>1584</v>
      </c>
      <c r="BM10" s="41" t="s">
        <v>1583</v>
      </c>
      <c r="BN10" s="42">
        <v>44168.15235009259</v>
      </c>
      <c r="BR10" s="41" t="s">
        <v>1582</v>
      </c>
      <c r="BS10" s="41">
        <v>4.1022202018826598E+18</v>
      </c>
      <c r="BT10" s="41" t="s">
        <v>1581</v>
      </c>
      <c r="BU10" s="41" t="s">
        <v>2420</v>
      </c>
      <c r="BV10" s="41">
        <v>2020</v>
      </c>
      <c r="BW10" s="41" t="s">
        <v>1579</v>
      </c>
      <c r="BY10" s="41">
        <v>4.1203202019631698E+18</v>
      </c>
      <c r="BZ10" s="41" t="s">
        <v>2505</v>
      </c>
      <c r="CA10" s="41" t="s">
        <v>1577</v>
      </c>
    </row>
    <row r="11" spans="1:79" x14ac:dyDescent="0.2">
      <c r="A11" s="41" t="s">
        <v>895</v>
      </c>
      <c r="B11" s="41" t="s">
        <v>190</v>
      </c>
      <c r="C11" s="41">
        <v>2020</v>
      </c>
      <c r="D11" s="41" t="s">
        <v>1860</v>
      </c>
      <c r="E11" s="41">
        <v>2.0201019929727901E+17</v>
      </c>
      <c r="F11" s="41" t="s">
        <v>1598</v>
      </c>
      <c r="G11" s="41" t="s">
        <v>2504</v>
      </c>
      <c r="H11" s="41">
        <v>1456209</v>
      </c>
      <c r="J11" s="41" t="s">
        <v>1596</v>
      </c>
      <c r="K11" s="41" t="s">
        <v>1595</v>
      </c>
      <c r="M11" s="41" t="s">
        <v>2426</v>
      </c>
      <c r="N11" s="41" t="s">
        <v>2503</v>
      </c>
      <c r="O11" s="41" t="s">
        <v>64</v>
      </c>
      <c r="P11" s="41" t="s">
        <v>1676</v>
      </c>
      <c r="Q11" s="41" t="s">
        <v>32</v>
      </c>
      <c r="R11" s="41" t="s">
        <v>2499</v>
      </c>
      <c r="T11" s="41" t="s">
        <v>2498</v>
      </c>
      <c r="V11" s="41" t="s">
        <v>2502</v>
      </c>
      <c r="X11" s="41" t="s">
        <v>2501</v>
      </c>
      <c r="Y11" s="41" t="s">
        <v>45</v>
      </c>
      <c r="Z11" s="41">
        <v>20251138</v>
      </c>
      <c r="AA11" s="41" t="s">
        <v>2430</v>
      </c>
      <c r="AB11" s="41" t="s">
        <v>2421</v>
      </c>
      <c r="AD11" s="41">
        <v>15</v>
      </c>
      <c r="AE11" s="41" t="s">
        <v>1819</v>
      </c>
      <c r="AI11" s="43">
        <v>44104</v>
      </c>
      <c r="AJ11" s="41">
        <v>416</v>
      </c>
      <c r="AK11" s="41">
        <v>3744</v>
      </c>
      <c r="BG11" s="41" t="s">
        <v>26</v>
      </c>
      <c r="BI11" s="41" t="s">
        <v>1648</v>
      </c>
      <c r="BK11" s="41" t="s">
        <v>48</v>
      </c>
      <c r="BL11" s="41" t="s">
        <v>1584</v>
      </c>
      <c r="BM11" s="41" t="s">
        <v>1583</v>
      </c>
      <c r="BN11" s="42">
        <v>44161.158383391201</v>
      </c>
      <c r="BR11" s="41" t="s">
        <v>1582</v>
      </c>
      <c r="BS11" s="41">
        <v>4.1020202018822098E+18</v>
      </c>
      <c r="BT11" s="41" t="s">
        <v>1581</v>
      </c>
      <c r="BU11" s="41" t="s">
        <v>2420</v>
      </c>
      <c r="BV11" s="41">
        <v>2020</v>
      </c>
      <c r="BW11" s="41" t="s">
        <v>1579</v>
      </c>
      <c r="BY11" s="41">
        <v>4.1126202019624202E+18</v>
      </c>
      <c r="BZ11" s="41" t="s">
        <v>2500</v>
      </c>
      <c r="CA11" s="41" t="s">
        <v>1577</v>
      </c>
    </row>
    <row r="13" spans="1:79" x14ac:dyDescent="0.2">
      <c r="V13" s="41" t="str">
        <f>+V11&amp;X11&amp;Y11&amp;Z11</f>
        <v>322 JERUSALEMCOHASSETMA20251138</v>
      </c>
    </row>
    <row r="14" spans="1:79" ht="15" x14ac:dyDescent="0.25">
      <c r="A14" s="35" t="s">
        <v>1803</v>
      </c>
      <c r="B14" t="s">
        <v>1805</v>
      </c>
      <c r="C14"/>
    </row>
    <row r="15" spans="1:79" ht="15" x14ac:dyDescent="0.25">
      <c r="A15" s="36" t="s">
        <v>190</v>
      </c>
      <c r="B15" s="2">
        <v>4160</v>
      </c>
      <c r="C15"/>
      <c r="D15" s="44">
        <v>0.65410000000000001</v>
      </c>
      <c r="E15" s="41" t="s">
        <v>1</v>
      </c>
      <c r="F15" s="44">
        <f>1-D15</f>
        <v>0.34589999999999999</v>
      </c>
      <c r="G15" s="41" t="s">
        <v>1557</v>
      </c>
    </row>
    <row r="16" spans="1:79" ht="15" x14ac:dyDescent="0.25">
      <c r="A16" s="36" t="s">
        <v>1804</v>
      </c>
      <c r="B16" s="2">
        <v>4160</v>
      </c>
      <c r="C16"/>
    </row>
    <row r="17" spans="1:12" ht="15" x14ac:dyDescent="0.25">
      <c r="A17"/>
      <c r="B17"/>
      <c r="C17"/>
    </row>
    <row r="18" spans="1:12" ht="15" x14ac:dyDescent="0.25">
      <c r="A18"/>
      <c r="B18"/>
      <c r="C18"/>
    </row>
    <row r="19" spans="1:12" ht="15" x14ac:dyDescent="0.25">
      <c r="A19"/>
      <c r="B19"/>
      <c r="C19"/>
    </row>
    <row r="20" spans="1:12" ht="15" x14ac:dyDescent="0.25">
      <c r="A20"/>
      <c r="B20"/>
      <c r="C20"/>
      <c r="L20" s="51"/>
    </row>
    <row r="21" spans="1:12" ht="15" x14ac:dyDescent="0.25">
      <c r="A21"/>
      <c r="B21"/>
      <c r="C21"/>
    </row>
    <row r="22" spans="1:12" ht="15" x14ac:dyDescent="0.25">
      <c r="A22"/>
      <c r="B22"/>
      <c r="C22"/>
    </row>
    <row r="23" spans="1:12" ht="15" x14ac:dyDescent="0.25">
      <c r="A23"/>
      <c r="B23"/>
      <c r="C23"/>
    </row>
    <row r="24" spans="1:12" ht="15" x14ac:dyDescent="0.25">
      <c r="A24"/>
      <c r="B24"/>
      <c r="C24"/>
    </row>
    <row r="25" spans="1:12" ht="15" x14ac:dyDescent="0.25">
      <c r="A25"/>
      <c r="B25"/>
      <c r="C25"/>
    </row>
    <row r="26" spans="1:12" ht="15" x14ac:dyDescent="0.25">
      <c r="A26"/>
      <c r="B26"/>
      <c r="C26"/>
    </row>
    <row r="27" spans="1:12" ht="15" x14ac:dyDescent="0.25">
      <c r="A27"/>
      <c r="B27"/>
      <c r="C27"/>
    </row>
    <row r="28" spans="1:12" ht="15" x14ac:dyDescent="0.25">
      <c r="A28"/>
      <c r="B28"/>
      <c r="C28"/>
    </row>
    <row r="29" spans="1:12" ht="15" x14ac:dyDescent="0.25">
      <c r="A29"/>
      <c r="B29"/>
      <c r="C29"/>
    </row>
    <row r="30" spans="1:12" ht="15" x14ac:dyDescent="0.25">
      <c r="A30"/>
      <c r="B30"/>
      <c r="C30"/>
    </row>
    <row r="31" spans="1:12" ht="15" x14ac:dyDescent="0.25">
      <c r="A31"/>
      <c r="B31"/>
      <c r="C31"/>
    </row>
    <row r="32" spans="1:12" ht="15" x14ac:dyDescent="0.25">
      <c r="A32"/>
      <c r="B32"/>
    </row>
  </sheetData>
  <autoFilter ref="A1:CA11"/>
  <sortState ref="A2:CA602">
    <sortCondition ref="P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3"/>
  <sheetViews>
    <sheetView topLeftCell="J1" workbookViewId="0">
      <selection activeCell="V17" sqref="V17"/>
    </sheetView>
  </sheetViews>
  <sheetFormatPr defaultRowHeight="12.75" x14ac:dyDescent="0.2"/>
  <cols>
    <col min="1" max="1" width="41" style="41" bestFit="1" customWidth="1"/>
    <col min="2" max="2" width="30.42578125" style="41" bestFit="1" customWidth="1"/>
    <col min="3" max="16384" width="9.140625" style="41"/>
  </cols>
  <sheetData>
    <row r="1" spans="1:79" x14ac:dyDescent="0.2">
      <c r="A1" s="41" t="s">
        <v>852</v>
      </c>
      <c r="B1" s="41" t="s">
        <v>147</v>
      </c>
      <c r="C1" s="41" t="s">
        <v>1802</v>
      </c>
      <c r="D1" s="41" t="s">
        <v>1801</v>
      </c>
      <c r="E1" s="41" t="s">
        <v>1800</v>
      </c>
      <c r="F1" s="41" t="s">
        <v>1799</v>
      </c>
      <c r="G1" s="41" t="s">
        <v>1798</v>
      </c>
      <c r="H1" s="41" t="s">
        <v>1797</v>
      </c>
      <c r="I1" s="41" t="s">
        <v>147</v>
      </c>
      <c r="J1" s="41" t="s">
        <v>1796</v>
      </c>
      <c r="K1" s="41" t="s">
        <v>1795</v>
      </c>
      <c r="L1" s="41" t="s">
        <v>1794</v>
      </c>
      <c r="M1" s="41" t="s">
        <v>1793</v>
      </c>
      <c r="N1" s="41" t="s">
        <v>1792</v>
      </c>
      <c r="O1" s="41" t="s">
        <v>1791</v>
      </c>
      <c r="P1" s="41" t="s">
        <v>1790</v>
      </c>
      <c r="Q1" s="41" t="s">
        <v>1789</v>
      </c>
      <c r="R1" s="41" t="s">
        <v>1788</v>
      </c>
      <c r="S1" s="41" t="s">
        <v>1787</v>
      </c>
      <c r="T1" s="41" t="s">
        <v>1786</v>
      </c>
      <c r="U1" s="41" t="s">
        <v>1785</v>
      </c>
      <c r="V1" s="41" t="s">
        <v>1784</v>
      </c>
      <c r="W1" s="41" t="s">
        <v>1783</v>
      </c>
      <c r="X1" s="41" t="s">
        <v>1782</v>
      </c>
      <c r="Y1" s="41" t="s">
        <v>1781</v>
      </c>
      <c r="Z1" s="41" t="s">
        <v>1780</v>
      </c>
      <c r="AA1" s="41" t="s">
        <v>1779</v>
      </c>
      <c r="AB1" s="41" t="s">
        <v>1778</v>
      </c>
      <c r="AC1" s="41" t="s">
        <v>1777</v>
      </c>
      <c r="AD1" s="41" t="s">
        <v>1776</v>
      </c>
      <c r="AE1" s="41" t="s">
        <v>1775</v>
      </c>
      <c r="AF1" s="41" t="s">
        <v>1774</v>
      </c>
      <c r="AG1" s="41" t="s">
        <v>1773</v>
      </c>
      <c r="AH1" s="41" t="s">
        <v>1772</v>
      </c>
      <c r="AI1" s="41" t="s">
        <v>1771</v>
      </c>
      <c r="AJ1" s="41" t="s">
        <v>1770</v>
      </c>
      <c r="AK1" s="41" t="s">
        <v>1769</v>
      </c>
      <c r="AL1" s="41" t="s">
        <v>1768</v>
      </c>
      <c r="AM1" s="41" t="s">
        <v>1767</v>
      </c>
      <c r="AN1" s="41" t="s">
        <v>1766</v>
      </c>
      <c r="AO1" s="41" t="s">
        <v>1765</v>
      </c>
      <c r="AP1" s="41" t="s">
        <v>1764</v>
      </c>
      <c r="AQ1" s="41" t="s">
        <v>1763</v>
      </c>
      <c r="AR1" s="41" t="s">
        <v>1762</v>
      </c>
      <c r="AS1" s="41" t="s">
        <v>1761</v>
      </c>
      <c r="AT1" s="41" t="s">
        <v>1760</v>
      </c>
      <c r="AU1" s="41" t="s">
        <v>1759</v>
      </c>
      <c r="AV1" s="41" t="s">
        <v>1758</v>
      </c>
      <c r="AW1" s="41" t="s">
        <v>1757</v>
      </c>
      <c r="AX1" s="41" t="s">
        <v>1756</v>
      </c>
      <c r="AY1" s="41" t="s">
        <v>1755</v>
      </c>
      <c r="AZ1" s="41" t="s">
        <v>1754</v>
      </c>
      <c r="BA1" s="41" t="s">
        <v>1753</v>
      </c>
      <c r="BB1" s="41" t="s">
        <v>1752</v>
      </c>
      <c r="BC1" s="41" t="s">
        <v>1751</v>
      </c>
      <c r="BD1" s="41" t="s">
        <v>1750</v>
      </c>
      <c r="BE1" s="41" t="s">
        <v>1749</v>
      </c>
      <c r="BF1" s="41" t="s">
        <v>1748</v>
      </c>
      <c r="BG1" s="41" t="s">
        <v>1747</v>
      </c>
      <c r="BH1" s="41" t="s">
        <v>1746</v>
      </c>
      <c r="BI1" s="41" t="s">
        <v>1745</v>
      </c>
      <c r="BJ1" s="41" t="s">
        <v>1744</v>
      </c>
      <c r="BK1" s="41" t="s">
        <v>1743</v>
      </c>
      <c r="BL1" s="41" t="s">
        <v>1742</v>
      </c>
      <c r="BM1" s="41" t="s">
        <v>1741</v>
      </c>
      <c r="BN1" s="41" t="s">
        <v>1740</v>
      </c>
      <c r="BO1" s="41" t="s">
        <v>1739</v>
      </c>
      <c r="BP1" s="41" t="s">
        <v>1738</v>
      </c>
      <c r="BQ1" s="41" t="s">
        <v>1737</v>
      </c>
      <c r="BR1" s="41" t="s">
        <v>1736</v>
      </c>
      <c r="BS1" s="41" t="s">
        <v>1735</v>
      </c>
      <c r="BT1" s="41" t="s">
        <v>1734</v>
      </c>
      <c r="BU1" s="41" t="s">
        <v>1733</v>
      </c>
      <c r="BV1" s="41" t="s">
        <v>1732</v>
      </c>
      <c r="BW1" s="41" t="s">
        <v>1731</v>
      </c>
      <c r="BX1" s="41" t="s">
        <v>1730</v>
      </c>
      <c r="BY1" s="41" t="s">
        <v>1729</v>
      </c>
      <c r="BZ1" s="41" t="s">
        <v>1728</v>
      </c>
      <c r="CA1" s="41" t="s">
        <v>1727</v>
      </c>
    </row>
    <row r="2" spans="1:79" x14ac:dyDescent="0.2">
      <c r="A2" s="41" t="s">
        <v>895</v>
      </c>
      <c r="B2" s="41" t="s">
        <v>190</v>
      </c>
      <c r="C2" s="41">
        <v>2019</v>
      </c>
      <c r="D2" s="41" t="s">
        <v>1696</v>
      </c>
      <c r="E2" s="41">
        <v>2.0200128916742E+17</v>
      </c>
      <c r="F2" s="41" t="s">
        <v>1598</v>
      </c>
      <c r="G2" s="41" t="s">
        <v>2496</v>
      </c>
      <c r="H2" s="41">
        <v>1374056</v>
      </c>
      <c r="J2" s="41" t="s">
        <v>1596</v>
      </c>
      <c r="K2" s="41" t="s">
        <v>1595</v>
      </c>
      <c r="N2" s="41" t="s">
        <v>2468</v>
      </c>
      <c r="O2" s="41" t="s">
        <v>64</v>
      </c>
      <c r="P2" s="41" t="s">
        <v>1676</v>
      </c>
      <c r="Q2" s="41" t="s">
        <v>32</v>
      </c>
      <c r="R2" s="41" t="s">
        <v>2462</v>
      </c>
      <c r="T2" s="41" t="s">
        <v>2461</v>
      </c>
      <c r="V2" s="41" t="s">
        <v>2460</v>
      </c>
      <c r="X2" s="41" t="s">
        <v>2459</v>
      </c>
      <c r="Y2" s="41" t="s">
        <v>15</v>
      </c>
      <c r="Z2" s="41">
        <v>495469689</v>
      </c>
      <c r="AA2" s="41" t="s">
        <v>1810</v>
      </c>
      <c r="AB2" s="41" t="s">
        <v>2458</v>
      </c>
      <c r="AD2" s="41">
        <v>15</v>
      </c>
      <c r="AE2" s="41" t="s">
        <v>1819</v>
      </c>
      <c r="AI2" s="43">
        <v>43830</v>
      </c>
      <c r="AJ2" s="41">
        <v>300</v>
      </c>
      <c r="AK2" s="41">
        <v>3600</v>
      </c>
      <c r="BG2" s="41" t="s">
        <v>26</v>
      </c>
      <c r="BI2" s="41" t="s">
        <v>1648</v>
      </c>
      <c r="BK2" s="41" t="s">
        <v>48</v>
      </c>
      <c r="BL2" s="41" t="s">
        <v>1584</v>
      </c>
      <c r="BM2" s="41" t="s">
        <v>1583</v>
      </c>
      <c r="BN2" s="42">
        <v>43859.073122442132</v>
      </c>
      <c r="BR2" s="41" t="s">
        <v>1582</v>
      </c>
      <c r="BS2" s="41">
        <v>4.01282020168591E+18</v>
      </c>
      <c r="BT2" s="41" t="s">
        <v>1581</v>
      </c>
      <c r="BU2" s="41" t="s">
        <v>2457</v>
      </c>
      <c r="BV2" s="41">
        <v>2020</v>
      </c>
      <c r="BW2" s="41" t="s">
        <v>1579</v>
      </c>
      <c r="BY2" s="41">
        <v>4.0128202016860001E+18</v>
      </c>
      <c r="BZ2" s="41" t="s">
        <v>2495</v>
      </c>
      <c r="CA2" s="41" t="s">
        <v>1577</v>
      </c>
    </row>
    <row r="3" spans="1:79" x14ac:dyDescent="0.2">
      <c r="A3" s="41" t="s">
        <v>895</v>
      </c>
      <c r="B3" s="41" t="s">
        <v>190</v>
      </c>
      <c r="C3" s="41">
        <v>2019</v>
      </c>
      <c r="D3" s="41" t="s">
        <v>1845</v>
      </c>
      <c r="E3" s="41">
        <v>2.0191218916635901E+17</v>
      </c>
      <c r="F3" s="41" t="s">
        <v>1598</v>
      </c>
      <c r="G3" s="41" t="s">
        <v>2494</v>
      </c>
      <c r="H3" s="41">
        <v>1366669</v>
      </c>
      <c r="J3" s="41" t="s">
        <v>1596</v>
      </c>
      <c r="K3" s="41" t="s">
        <v>1595</v>
      </c>
      <c r="N3" s="41" t="s">
        <v>2468</v>
      </c>
      <c r="O3" s="41" t="s">
        <v>64</v>
      </c>
      <c r="P3" s="41" t="s">
        <v>1676</v>
      </c>
      <c r="Q3" s="41" t="s">
        <v>32</v>
      </c>
      <c r="R3" s="41" t="s">
        <v>2467</v>
      </c>
      <c r="S3" s="41" t="s">
        <v>26</v>
      </c>
      <c r="T3" s="41" t="s">
        <v>2461</v>
      </c>
      <c r="V3" s="41" t="s">
        <v>2460</v>
      </c>
      <c r="X3" s="41" t="s">
        <v>2459</v>
      </c>
      <c r="Y3" s="41" t="s">
        <v>15</v>
      </c>
      <c r="Z3" s="41">
        <v>495469689</v>
      </c>
      <c r="AA3" s="41" t="s">
        <v>1810</v>
      </c>
      <c r="AB3" s="41" t="s">
        <v>2458</v>
      </c>
      <c r="AD3" s="41">
        <v>15</v>
      </c>
      <c r="AE3" s="41" t="s">
        <v>1819</v>
      </c>
      <c r="AI3" s="43">
        <v>43799</v>
      </c>
      <c r="AJ3" s="41">
        <v>300</v>
      </c>
      <c r="AK3" s="41">
        <v>3300</v>
      </c>
      <c r="BG3" s="41" t="s">
        <v>26</v>
      </c>
      <c r="BI3" s="41" t="s">
        <v>1648</v>
      </c>
      <c r="BK3" s="41" t="s">
        <v>48</v>
      </c>
      <c r="BL3" s="41" t="s">
        <v>1584</v>
      </c>
      <c r="BM3" s="41" t="s">
        <v>1583</v>
      </c>
      <c r="BN3" s="42">
        <v>43818.071888217593</v>
      </c>
      <c r="BR3" s="41" t="s">
        <v>1582</v>
      </c>
      <c r="BS3" s="41">
        <v>4.1218201916816502E+18</v>
      </c>
      <c r="BT3" s="41" t="s">
        <v>1581</v>
      </c>
      <c r="BU3" s="41" t="s">
        <v>2457</v>
      </c>
      <c r="BV3" s="41">
        <v>2020</v>
      </c>
      <c r="BW3" s="41" t="s">
        <v>1579</v>
      </c>
      <c r="BY3" s="41">
        <v>4.1218201916816799E+18</v>
      </c>
      <c r="BZ3" s="41" t="s">
        <v>2493</v>
      </c>
      <c r="CA3" s="41" t="s">
        <v>1577</v>
      </c>
    </row>
    <row r="4" spans="1:79" x14ac:dyDescent="0.2">
      <c r="A4" s="41" t="s">
        <v>895</v>
      </c>
      <c r="B4" s="41" t="s">
        <v>190</v>
      </c>
      <c r="C4" s="41">
        <v>2020</v>
      </c>
      <c r="D4" s="41" t="s">
        <v>1865</v>
      </c>
      <c r="E4" s="41">
        <v>2.0200814926130598E+17</v>
      </c>
      <c r="F4" s="41" t="s">
        <v>1598</v>
      </c>
      <c r="G4" s="41" t="s">
        <v>2492</v>
      </c>
      <c r="H4" s="41">
        <v>1432298</v>
      </c>
      <c r="J4" s="41" t="s">
        <v>1596</v>
      </c>
      <c r="K4" s="41" t="s">
        <v>1595</v>
      </c>
      <c r="N4" s="41" t="s">
        <v>2468</v>
      </c>
      <c r="O4" s="41" t="s">
        <v>64</v>
      </c>
      <c r="P4" s="41" t="s">
        <v>1676</v>
      </c>
      <c r="Q4" s="41" t="s">
        <v>32</v>
      </c>
      <c r="R4" s="41" t="s">
        <v>2467</v>
      </c>
      <c r="S4" s="41" t="s">
        <v>26</v>
      </c>
      <c r="T4" s="41" t="s">
        <v>2461</v>
      </c>
      <c r="V4" s="41" t="s">
        <v>2460</v>
      </c>
      <c r="X4" s="41" t="s">
        <v>2459</v>
      </c>
      <c r="Y4" s="41" t="s">
        <v>15</v>
      </c>
      <c r="Z4" s="41">
        <v>495469689</v>
      </c>
      <c r="AA4" s="41" t="s">
        <v>2430</v>
      </c>
      <c r="AB4" s="41" t="s">
        <v>2458</v>
      </c>
      <c r="AD4" s="41">
        <v>15</v>
      </c>
      <c r="AE4" s="41" t="s">
        <v>1819</v>
      </c>
      <c r="AI4" s="43">
        <v>44043</v>
      </c>
      <c r="AJ4" s="41">
        <v>300</v>
      </c>
      <c r="AK4" s="41">
        <v>2100</v>
      </c>
      <c r="BG4" s="41" t="s">
        <v>26</v>
      </c>
      <c r="BI4" s="41" t="s">
        <v>1648</v>
      </c>
      <c r="BK4" s="41" t="s">
        <v>48</v>
      </c>
      <c r="BL4" s="41" t="s">
        <v>1584</v>
      </c>
      <c r="BM4" s="41" t="s">
        <v>1583</v>
      </c>
      <c r="BN4" s="42">
        <v>44065.1644628125</v>
      </c>
      <c r="BR4" s="41" t="s">
        <v>1582</v>
      </c>
      <c r="BS4" s="41">
        <v>4.08152020182882E+18</v>
      </c>
      <c r="BT4" s="41" t="s">
        <v>1581</v>
      </c>
      <c r="BU4" s="41" t="s">
        <v>2457</v>
      </c>
      <c r="BV4" s="41">
        <v>2020</v>
      </c>
      <c r="BW4" s="41" t="s">
        <v>1579</v>
      </c>
      <c r="BY4" s="41">
        <v>4.0822202018296499E+18</v>
      </c>
      <c r="BZ4" s="41" t="s">
        <v>2491</v>
      </c>
      <c r="CA4" s="41" t="s">
        <v>1577</v>
      </c>
    </row>
    <row r="5" spans="1:79" x14ac:dyDescent="0.2">
      <c r="A5" s="41" t="s">
        <v>895</v>
      </c>
      <c r="B5" s="41" t="s">
        <v>190</v>
      </c>
      <c r="C5" s="41">
        <v>2020</v>
      </c>
      <c r="D5" s="41" t="s">
        <v>1699</v>
      </c>
      <c r="E5" s="41">
        <v>2.0200218918651501E+17</v>
      </c>
      <c r="F5" s="41" t="s">
        <v>1598</v>
      </c>
      <c r="G5" s="41" t="s">
        <v>2490</v>
      </c>
      <c r="H5" s="41">
        <v>1383073</v>
      </c>
      <c r="J5" s="41" t="s">
        <v>1596</v>
      </c>
      <c r="K5" s="41" t="s">
        <v>1595</v>
      </c>
      <c r="N5" s="41" t="s">
        <v>2468</v>
      </c>
      <c r="O5" s="41" t="s">
        <v>64</v>
      </c>
      <c r="P5" s="41" t="s">
        <v>1676</v>
      </c>
      <c r="Q5" s="41" t="s">
        <v>32</v>
      </c>
      <c r="R5" s="41" t="s">
        <v>2462</v>
      </c>
      <c r="T5" s="41" t="s">
        <v>2461</v>
      </c>
      <c r="V5" s="41" t="s">
        <v>2460</v>
      </c>
      <c r="X5" s="41" t="s">
        <v>2459</v>
      </c>
      <c r="Y5" s="41" t="s">
        <v>15</v>
      </c>
      <c r="Z5" s="41">
        <v>495469689</v>
      </c>
      <c r="AA5" s="41" t="s">
        <v>1810</v>
      </c>
      <c r="AB5" s="41" t="s">
        <v>2458</v>
      </c>
      <c r="AD5" s="41">
        <v>15</v>
      </c>
      <c r="AE5" s="41" t="s">
        <v>1819</v>
      </c>
      <c r="AI5" s="43">
        <v>43861</v>
      </c>
      <c r="AJ5" s="41">
        <v>300</v>
      </c>
      <c r="AK5" s="41">
        <v>300</v>
      </c>
      <c r="BG5" s="41" t="s">
        <v>26</v>
      </c>
      <c r="BI5" s="41" t="s">
        <v>1648</v>
      </c>
      <c r="BK5" s="41" t="s">
        <v>48</v>
      </c>
      <c r="BL5" s="41" t="s">
        <v>1584</v>
      </c>
      <c r="BM5" s="41" t="s">
        <v>1583</v>
      </c>
      <c r="BN5" s="42">
        <v>43886.075295648145</v>
      </c>
      <c r="BR5" s="41" t="s">
        <v>1582</v>
      </c>
      <c r="BS5" s="41">
        <v>4.02182020169267E+18</v>
      </c>
      <c r="BT5" s="41" t="s">
        <v>1581</v>
      </c>
      <c r="BU5" s="41" t="s">
        <v>2457</v>
      </c>
      <c r="BV5" s="41">
        <v>2020</v>
      </c>
      <c r="BW5" s="41" t="s">
        <v>1579</v>
      </c>
      <c r="BY5" s="41">
        <v>4.0224202016941798E+18</v>
      </c>
      <c r="BZ5" s="41" t="s">
        <v>2489</v>
      </c>
      <c r="CA5" s="41" t="s">
        <v>1577</v>
      </c>
    </row>
    <row r="6" spans="1:79" x14ac:dyDescent="0.2">
      <c r="A6" s="41" t="s">
        <v>895</v>
      </c>
      <c r="B6" s="41" t="s">
        <v>190</v>
      </c>
      <c r="C6" s="41">
        <v>2020</v>
      </c>
      <c r="D6" s="41" t="s">
        <v>1696</v>
      </c>
      <c r="E6" s="41">
        <v>2.0210115940471299E+17</v>
      </c>
      <c r="F6" s="41" t="s">
        <v>1598</v>
      </c>
      <c r="G6" s="41" t="s">
        <v>2488</v>
      </c>
      <c r="H6" s="41">
        <v>1488043</v>
      </c>
      <c r="J6" s="41" t="s">
        <v>1596</v>
      </c>
      <c r="K6" s="41" t="s">
        <v>1595</v>
      </c>
      <c r="N6" s="41" t="s">
        <v>2468</v>
      </c>
      <c r="O6" s="41" t="s">
        <v>64</v>
      </c>
      <c r="P6" s="41" t="s">
        <v>1676</v>
      </c>
      <c r="Q6" s="41" t="s">
        <v>32</v>
      </c>
      <c r="R6" s="41" t="s">
        <v>2467</v>
      </c>
      <c r="S6" s="41" t="s">
        <v>26</v>
      </c>
      <c r="T6" s="41" t="s">
        <v>2461</v>
      </c>
      <c r="V6" s="41" t="s">
        <v>2460</v>
      </c>
      <c r="X6" s="41" t="s">
        <v>2459</v>
      </c>
      <c r="Y6" s="41" t="s">
        <v>15</v>
      </c>
      <c r="Z6" s="41">
        <v>495469689</v>
      </c>
      <c r="AA6" s="41" t="s">
        <v>2430</v>
      </c>
      <c r="AB6" s="41" t="s">
        <v>2466</v>
      </c>
      <c r="AD6" s="41">
        <v>15</v>
      </c>
      <c r="AE6" s="41" t="s">
        <v>1819</v>
      </c>
      <c r="AI6" s="43">
        <v>44196</v>
      </c>
      <c r="AJ6" s="41">
        <v>300</v>
      </c>
      <c r="AK6" s="41">
        <v>3600</v>
      </c>
      <c r="BG6" s="41" t="s">
        <v>26</v>
      </c>
      <c r="BI6" s="41" t="s">
        <v>1648</v>
      </c>
      <c r="BK6" s="41" t="s">
        <v>48</v>
      </c>
      <c r="BL6" s="41" t="s">
        <v>1584</v>
      </c>
      <c r="BM6" s="41" t="s">
        <v>1583</v>
      </c>
      <c r="BN6" s="42">
        <v>44212.067990208336</v>
      </c>
      <c r="BR6" s="41" t="s">
        <v>1582</v>
      </c>
      <c r="BS6" s="41">
        <v>4.0115202120936602E+18</v>
      </c>
      <c r="BT6" s="41" t="s">
        <v>1581</v>
      </c>
      <c r="BU6" s="41" t="s">
        <v>2457</v>
      </c>
      <c r="BV6" s="41">
        <v>2020</v>
      </c>
      <c r="BW6" s="41" t="s">
        <v>1579</v>
      </c>
      <c r="BY6" s="41">
        <v>4.0115202120936899E+18</v>
      </c>
      <c r="BZ6" s="41" t="s">
        <v>2487</v>
      </c>
      <c r="CA6" s="41" t="s">
        <v>1577</v>
      </c>
    </row>
    <row r="7" spans="1:79" x14ac:dyDescent="0.2">
      <c r="A7" s="41" t="s">
        <v>895</v>
      </c>
      <c r="B7" s="41" t="s">
        <v>190</v>
      </c>
      <c r="C7" s="41">
        <v>2020</v>
      </c>
      <c r="D7" s="41" t="s">
        <v>2013</v>
      </c>
      <c r="E7" s="41">
        <v>2.0200318920387398E+17</v>
      </c>
      <c r="F7" s="41" t="s">
        <v>1598</v>
      </c>
      <c r="G7" s="41" t="s">
        <v>2486</v>
      </c>
      <c r="H7" s="41">
        <v>1390420</v>
      </c>
      <c r="J7" s="41" t="s">
        <v>1596</v>
      </c>
      <c r="K7" s="41" t="s">
        <v>1595</v>
      </c>
      <c r="N7" s="41" t="s">
        <v>2468</v>
      </c>
      <c r="O7" s="41" t="s">
        <v>64</v>
      </c>
      <c r="P7" s="41" t="s">
        <v>1676</v>
      </c>
      <c r="Q7" s="41" t="s">
        <v>32</v>
      </c>
      <c r="R7" s="41" t="s">
        <v>2467</v>
      </c>
      <c r="S7" s="41" t="s">
        <v>26</v>
      </c>
      <c r="T7" s="41" t="s">
        <v>2461</v>
      </c>
      <c r="V7" s="41" t="s">
        <v>2460</v>
      </c>
      <c r="X7" s="41" t="s">
        <v>2459</v>
      </c>
      <c r="Y7" s="41" t="s">
        <v>15</v>
      </c>
      <c r="Z7" s="41">
        <v>495469689</v>
      </c>
      <c r="AA7" s="41" t="s">
        <v>1810</v>
      </c>
      <c r="AB7" s="41" t="s">
        <v>2458</v>
      </c>
      <c r="AD7" s="41">
        <v>15</v>
      </c>
      <c r="AE7" s="41" t="s">
        <v>1819</v>
      </c>
      <c r="AI7" s="43">
        <v>43890</v>
      </c>
      <c r="AJ7" s="41">
        <v>300</v>
      </c>
      <c r="AK7" s="41">
        <v>600</v>
      </c>
      <c r="BG7" s="41" t="s">
        <v>26</v>
      </c>
      <c r="BI7" s="41" t="s">
        <v>1648</v>
      </c>
      <c r="BK7" s="41" t="s">
        <v>48</v>
      </c>
      <c r="BL7" s="41" t="s">
        <v>1584</v>
      </c>
      <c r="BM7" s="41" t="s">
        <v>1583</v>
      </c>
      <c r="BN7" s="42">
        <v>43909.096344421298</v>
      </c>
      <c r="BR7" s="41" t="s">
        <v>1582</v>
      </c>
      <c r="BS7" s="41">
        <v>4.0318202017037302E+18</v>
      </c>
      <c r="BT7" s="41" t="s">
        <v>1581</v>
      </c>
      <c r="BU7" s="41" t="s">
        <v>2457</v>
      </c>
      <c r="BV7" s="41">
        <v>2020</v>
      </c>
      <c r="BW7" s="41" t="s">
        <v>1579</v>
      </c>
      <c r="BY7" s="41">
        <v>4.0318202017038198E+18</v>
      </c>
      <c r="BZ7" s="41" t="s">
        <v>2485</v>
      </c>
      <c r="CA7" s="41" t="s">
        <v>1577</v>
      </c>
    </row>
    <row r="8" spans="1:79" x14ac:dyDescent="0.2">
      <c r="A8" s="41" t="s">
        <v>895</v>
      </c>
      <c r="B8" s="41" t="s">
        <v>190</v>
      </c>
      <c r="C8" s="41">
        <v>2020</v>
      </c>
      <c r="D8" s="41" t="s">
        <v>1690</v>
      </c>
      <c r="E8" s="41">
        <v>2.0200709924439398E+17</v>
      </c>
      <c r="F8" s="41" t="s">
        <v>1598</v>
      </c>
      <c r="G8" s="41" t="s">
        <v>2484</v>
      </c>
      <c r="H8" s="41">
        <v>1418223</v>
      </c>
      <c r="J8" s="41" t="s">
        <v>1596</v>
      </c>
      <c r="K8" s="41" t="s">
        <v>1595</v>
      </c>
      <c r="N8" s="41" t="s">
        <v>2468</v>
      </c>
      <c r="O8" s="41" t="s">
        <v>64</v>
      </c>
      <c r="P8" s="41" t="s">
        <v>1676</v>
      </c>
      <c r="Q8" s="41" t="s">
        <v>32</v>
      </c>
      <c r="R8" s="41" t="s">
        <v>2467</v>
      </c>
      <c r="S8" s="41" t="s">
        <v>26</v>
      </c>
      <c r="T8" s="41" t="s">
        <v>2461</v>
      </c>
      <c r="V8" s="41" t="s">
        <v>2460</v>
      </c>
      <c r="X8" s="41" t="s">
        <v>2459</v>
      </c>
      <c r="Y8" s="41" t="s">
        <v>15</v>
      </c>
      <c r="Z8" s="41">
        <v>495469689</v>
      </c>
      <c r="AA8" s="41" t="s">
        <v>2430</v>
      </c>
      <c r="AB8" s="41" t="s">
        <v>2458</v>
      </c>
      <c r="AD8" s="41">
        <v>15</v>
      </c>
      <c r="AE8" s="41" t="s">
        <v>1819</v>
      </c>
      <c r="AI8" s="43">
        <v>44012</v>
      </c>
      <c r="AJ8" s="41">
        <v>300</v>
      </c>
      <c r="AK8" s="41">
        <v>1800</v>
      </c>
      <c r="BG8" s="41" t="s">
        <v>26</v>
      </c>
      <c r="BI8" s="41" t="s">
        <v>1648</v>
      </c>
      <c r="BK8" s="41" t="s">
        <v>48</v>
      </c>
      <c r="BL8" s="41" t="s">
        <v>1584</v>
      </c>
      <c r="BM8" s="41" t="s">
        <v>1583</v>
      </c>
      <c r="BN8" s="42">
        <v>44023.088330057872</v>
      </c>
      <c r="BR8" s="41" t="s">
        <v>1582</v>
      </c>
      <c r="BS8" s="41">
        <v>4.0709202017799598E+18</v>
      </c>
      <c r="BT8" s="41" t="s">
        <v>1581</v>
      </c>
      <c r="BU8" s="41" t="s">
        <v>2457</v>
      </c>
      <c r="BV8" s="41">
        <v>2020</v>
      </c>
      <c r="BW8" s="41" t="s">
        <v>1579</v>
      </c>
      <c r="BY8" s="41">
        <v>4.0710202017904102E+18</v>
      </c>
      <c r="BZ8" s="41" t="s">
        <v>2483</v>
      </c>
      <c r="CA8" s="41" t="s">
        <v>1577</v>
      </c>
    </row>
    <row r="9" spans="1:79" x14ac:dyDescent="0.2">
      <c r="A9" s="41" t="s">
        <v>895</v>
      </c>
      <c r="B9" s="41" t="s">
        <v>190</v>
      </c>
      <c r="C9" s="41">
        <v>2020</v>
      </c>
      <c r="D9" s="41" t="s">
        <v>2029</v>
      </c>
      <c r="E9" s="41">
        <v>2.0200709924439299E+17</v>
      </c>
      <c r="F9" s="41" t="s">
        <v>1598</v>
      </c>
      <c r="G9" s="41" t="s">
        <v>2482</v>
      </c>
      <c r="H9" s="41">
        <v>1418185</v>
      </c>
      <c r="J9" s="41" t="s">
        <v>1596</v>
      </c>
      <c r="K9" s="41" t="s">
        <v>1595</v>
      </c>
      <c r="N9" s="41" t="s">
        <v>2468</v>
      </c>
      <c r="O9" s="41" t="s">
        <v>64</v>
      </c>
      <c r="P9" s="41" t="s">
        <v>1676</v>
      </c>
      <c r="Q9" s="41" t="s">
        <v>32</v>
      </c>
      <c r="R9" s="41" t="s">
        <v>2467</v>
      </c>
      <c r="S9" s="41" t="s">
        <v>26</v>
      </c>
      <c r="T9" s="41" t="s">
        <v>2461</v>
      </c>
      <c r="V9" s="41" t="s">
        <v>2460</v>
      </c>
      <c r="X9" s="41" t="s">
        <v>2459</v>
      </c>
      <c r="Y9" s="41" t="s">
        <v>15</v>
      </c>
      <c r="Z9" s="41">
        <v>495469689</v>
      </c>
      <c r="AA9" s="41" t="s">
        <v>2430</v>
      </c>
      <c r="AB9" s="41" t="s">
        <v>2458</v>
      </c>
      <c r="AD9" s="41">
        <v>15</v>
      </c>
      <c r="AE9" s="41" t="s">
        <v>1819</v>
      </c>
      <c r="AI9" s="43">
        <v>43982</v>
      </c>
      <c r="AJ9" s="41">
        <v>300</v>
      </c>
      <c r="AK9" s="41">
        <v>1500</v>
      </c>
      <c r="BG9" s="41" t="s">
        <v>26</v>
      </c>
      <c r="BI9" s="41" t="s">
        <v>1648</v>
      </c>
      <c r="BK9" s="41" t="s">
        <v>48</v>
      </c>
      <c r="BL9" s="41" t="s">
        <v>1584</v>
      </c>
      <c r="BM9" s="41" t="s">
        <v>1583</v>
      </c>
      <c r="BN9" s="42">
        <v>44024.092624050929</v>
      </c>
      <c r="BR9" s="41" t="s">
        <v>1582</v>
      </c>
      <c r="BS9" s="41">
        <v>4.0709202017799598E+18</v>
      </c>
      <c r="BT9" s="41" t="s">
        <v>1581</v>
      </c>
      <c r="BU9" s="41" t="s">
        <v>2457</v>
      </c>
      <c r="BV9" s="41">
        <v>2020</v>
      </c>
      <c r="BW9" s="41" t="s">
        <v>1579</v>
      </c>
      <c r="BY9" s="41">
        <v>4.0711202017904302E+18</v>
      </c>
      <c r="BZ9" s="41" t="s">
        <v>2481</v>
      </c>
      <c r="CA9" s="41" t="s">
        <v>1577</v>
      </c>
    </row>
    <row r="10" spans="1:79" x14ac:dyDescent="0.2">
      <c r="A10" s="41" t="s">
        <v>895</v>
      </c>
      <c r="B10" s="41" t="s">
        <v>190</v>
      </c>
      <c r="C10" s="41">
        <v>2020</v>
      </c>
      <c r="D10" s="41" t="s">
        <v>1599</v>
      </c>
      <c r="E10" s="41">
        <v>2.0200917926722202E+17</v>
      </c>
      <c r="F10" s="41" t="s">
        <v>1598</v>
      </c>
      <c r="G10" s="41" t="s">
        <v>2480</v>
      </c>
      <c r="H10" s="41">
        <v>1438561</v>
      </c>
      <c r="J10" s="41" t="s">
        <v>1596</v>
      </c>
      <c r="K10" s="41" t="s">
        <v>1595</v>
      </c>
      <c r="N10" s="41" t="s">
        <v>2468</v>
      </c>
      <c r="O10" s="41" t="s">
        <v>64</v>
      </c>
      <c r="P10" s="41" t="s">
        <v>1676</v>
      </c>
      <c r="Q10" s="41" t="s">
        <v>32</v>
      </c>
      <c r="R10" s="41" t="s">
        <v>2467</v>
      </c>
      <c r="S10" s="41" t="s">
        <v>26</v>
      </c>
      <c r="T10" s="41" t="s">
        <v>2461</v>
      </c>
      <c r="V10" s="41" t="s">
        <v>2460</v>
      </c>
      <c r="X10" s="41" t="s">
        <v>2459</v>
      </c>
      <c r="Y10" s="41" t="s">
        <v>15</v>
      </c>
      <c r="Z10" s="41">
        <v>495469689</v>
      </c>
      <c r="AA10" s="41" t="s">
        <v>2430</v>
      </c>
      <c r="AB10" s="41" t="s">
        <v>2458</v>
      </c>
      <c r="AD10" s="41">
        <v>15</v>
      </c>
      <c r="AE10" s="41" t="s">
        <v>1819</v>
      </c>
      <c r="AI10" s="43">
        <v>44074</v>
      </c>
      <c r="AJ10" s="41">
        <v>300</v>
      </c>
      <c r="AK10" s="41">
        <v>2400</v>
      </c>
      <c r="BG10" s="41" t="s">
        <v>26</v>
      </c>
      <c r="BI10" s="41" t="s">
        <v>1648</v>
      </c>
      <c r="BK10" s="41" t="s">
        <v>48</v>
      </c>
      <c r="BL10" s="41" t="s">
        <v>1584</v>
      </c>
      <c r="BM10" s="41" t="s">
        <v>1583</v>
      </c>
      <c r="BN10" s="42">
        <v>44092.151911319444</v>
      </c>
      <c r="BR10" s="41" t="s">
        <v>1582</v>
      </c>
      <c r="BS10" s="41">
        <v>4.0918202018489201E+18</v>
      </c>
      <c r="BT10" s="41" t="s">
        <v>1581</v>
      </c>
      <c r="BU10" s="41" t="s">
        <v>2457</v>
      </c>
      <c r="BV10" s="41">
        <v>2020</v>
      </c>
      <c r="BW10" s="41" t="s">
        <v>1579</v>
      </c>
      <c r="BY10" s="41">
        <v>4.0918202018489999E+18</v>
      </c>
      <c r="BZ10" s="41" t="s">
        <v>2479</v>
      </c>
      <c r="CA10" s="41" t="s">
        <v>1577</v>
      </c>
    </row>
    <row r="11" spans="1:79" x14ac:dyDescent="0.2">
      <c r="A11" s="41" t="s">
        <v>895</v>
      </c>
      <c r="B11" s="41" t="s">
        <v>190</v>
      </c>
      <c r="C11" s="41">
        <v>2020</v>
      </c>
      <c r="D11" s="41" t="s">
        <v>1667</v>
      </c>
      <c r="E11" s="41">
        <v>2.0201021932675501E+17</v>
      </c>
      <c r="F11" s="41" t="s">
        <v>1598</v>
      </c>
      <c r="G11" s="41" t="s">
        <v>2478</v>
      </c>
      <c r="H11" s="41">
        <v>1459687</v>
      </c>
      <c r="J11" s="41" t="s">
        <v>1596</v>
      </c>
      <c r="K11" s="41" t="s">
        <v>1595</v>
      </c>
      <c r="N11" s="41" t="s">
        <v>2468</v>
      </c>
      <c r="O11" s="41" t="s">
        <v>64</v>
      </c>
      <c r="P11" s="41" t="s">
        <v>1676</v>
      </c>
      <c r="Q11" s="41" t="s">
        <v>32</v>
      </c>
      <c r="R11" s="41" t="s">
        <v>2467</v>
      </c>
      <c r="S11" s="41" t="s">
        <v>26</v>
      </c>
      <c r="T11" s="41" t="s">
        <v>2461</v>
      </c>
      <c r="V11" s="41" t="s">
        <v>2460</v>
      </c>
      <c r="X11" s="41" t="s">
        <v>2459</v>
      </c>
      <c r="Y11" s="41" t="s">
        <v>15</v>
      </c>
      <c r="Z11" s="41">
        <v>495469689</v>
      </c>
      <c r="AA11" s="41" t="s">
        <v>1810</v>
      </c>
      <c r="AB11" s="41" t="s">
        <v>2458</v>
      </c>
      <c r="AD11" s="41">
        <v>15</v>
      </c>
      <c r="AE11" s="41" t="s">
        <v>1819</v>
      </c>
      <c r="AI11" s="43">
        <v>44118</v>
      </c>
      <c r="AJ11" s="41">
        <v>300</v>
      </c>
      <c r="AK11" s="41">
        <v>3000</v>
      </c>
      <c r="BG11" s="41" t="s">
        <v>26</v>
      </c>
      <c r="BI11" s="41" t="s">
        <v>1648</v>
      </c>
      <c r="BK11" s="41" t="s">
        <v>48</v>
      </c>
      <c r="BL11" s="41" t="s">
        <v>1584</v>
      </c>
      <c r="BM11" s="41" t="s">
        <v>1583</v>
      </c>
      <c r="BN11" s="42">
        <v>44168.152349976852</v>
      </c>
      <c r="BR11" s="41" t="s">
        <v>1582</v>
      </c>
      <c r="BS11" s="41">
        <v>4.1022202018826598E+18</v>
      </c>
      <c r="BT11" s="41" t="s">
        <v>1581</v>
      </c>
      <c r="BU11" s="41" t="s">
        <v>2457</v>
      </c>
      <c r="BV11" s="41">
        <v>2020</v>
      </c>
      <c r="BW11" s="41" t="s">
        <v>1579</v>
      </c>
      <c r="BY11" s="41">
        <v>4.1203202019631698E+18</v>
      </c>
      <c r="BZ11" s="41" t="s">
        <v>2477</v>
      </c>
      <c r="CA11" s="41" t="s">
        <v>1577</v>
      </c>
    </row>
    <row r="12" spans="1:79" x14ac:dyDescent="0.2">
      <c r="A12" s="41" t="s">
        <v>902</v>
      </c>
      <c r="B12" s="41" t="s">
        <v>197</v>
      </c>
      <c r="C12" s="41">
        <v>2020</v>
      </c>
      <c r="D12" s="41" t="s">
        <v>1696</v>
      </c>
      <c r="E12" s="41">
        <v>2.0210131941851901E+17</v>
      </c>
      <c r="F12" s="41" t="s">
        <v>1598</v>
      </c>
      <c r="G12" s="41" t="s">
        <v>2476</v>
      </c>
      <c r="H12" s="41">
        <v>1496211</v>
      </c>
      <c r="J12" s="41" t="s">
        <v>1596</v>
      </c>
      <c r="K12" s="41" t="s">
        <v>1595</v>
      </c>
      <c r="N12" s="41" t="s">
        <v>2475</v>
      </c>
      <c r="O12" s="41" t="s">
        <v>24</v>
      </c>
      <c r="Q12" s="41" t="s">
        <v>1592</v>
      </c>
      <c r="R12" s="41" t="s">
        <v>2467</v>
      </c>
      <c r="S12" s="41" t="s">
        <v>2474</v>
      </c>
      <c r="T12" s="41" t="s">
        <v>2461</v>
      </c>
      <c r="V12" s="41" t="s">
        <v>2473</v>
      </c>
      <c r="X12" s="41" t="s">
        <v>2472</v>
      </c>
      <c r="Y12" s="41" t="s">
        <v>2471</v>
      </c>
      <c r="Z12" s="41">
        <v>531543242</v>
      </c>
      <c r="AD12" s="41">
        <v>15</v>
      </c>
      <c r="AE12" s="41" t="s">
        <v>1819</v>
      </c>
      <c r="AF12" s="41" t="s">
        <v>1819</v>
      </c>
      <c r="AI12" s="43">
        <v>44174</v>
      </c>
      <c r="AJ12" s="41">
        <v>250</v>
      </c>
      <c r="AK12" s="41">
        <v>250</v>
      </c>
      <c r="BG12" s="41" t="s">
        <v>26</v>
      </c>
      <c r="BI12" s="41" t="s">
        <v>1648</v>
      </c>
      <c r="BK12" s="41" t="s">
        <v>48</v>
      </c>
      <c r="BL12" s="41" t="s">
        <v>1584</v>
      </c>
      <c r="BM12" s="41" t="s">
        <v>1583</v>
      </c>
      <c r="BN12" s="42">
        <v>44231.448925023149</v>
      </c>
      <c r="BR12" s="41" t="s">
        <v>1582</v>
      </c>
      <c r="BS12" s="41">
        <v>4.0201202121400402E+18</v>
      </c>
      <c r="BT12" s="41" t="s">
        <v>1581</v>
      </c>
      <c r="BV12" s="41">
        <v>2020</v>
      </c>
      <c r="BW12" s="41" t="s">
        <v>1579</v>
      </c>
      <c r="BY12" s="41">
        <v>4.0203202120179799E+18</v>
      </c>
      <c r="BZ12" s="41" t="s">
        <v>2470</v>
      </c>
      <c r="CA12" s="41" t="s">
        <v>1577</v>
      </c>
    </row>
    <row r="13" spans="1:79" x14ac:dyDescent="0.2">
      <c r="A13" s="41" t="s">
        <v>895</v>
      </c>
      <c r="B13" s="41" t="s">
        <v>190</v>
      </c>
      <c r="C13" s="41">
        <v>2020</v>
      </c>
      <c r="D13" s="41" t="s">
        <v>1860</v>
      </c>
      <c r="E13" s="41">
        <v>2.0201019929727901E+17</v>
      </c>
      <c r="F13" s="41" t="s">
        <v>1598</v>
      </c>
      <c r="G13" s="41" t="s">
        <v>2469</v>
      </c>
      <c r="H13" s="41">
        <v>1456209</v>
      </c>
      <c r="J13" s="41" t="s">
        <v>1596</v>
      </c>
      <c r="K13" s="41" t="s">
        <v>1595</v>
      </c>
      <c r="N13" s="41" t="s">
        <v>2468</v>
      </c>
      <c r="O13" s="41" t="s">
        <v>64</v>
      </c>
      <c r="P13" s="41" t="s">
        <v>1676</v>
      </c>
      <c r="Q13" s="41" t="s">
        <v>32</v>
      </c>
      <c r="R13" s="41" t="s">
        <v>2467</v>
      </c>
      <c r="S13" s="41" t="s">
        <v>26</v>
      </c>
      <c r="T13" s="41" t="s">
        <v>2461</v>
      </c>
      <c r="V13" s="41" t="s">
        <v>2460</v>
      </c>
      <c r="X13" s="41" t="s">
        <v>2459</v>
      </c>
      <c r="Y13" s="41" t="s">
        <v>15</v>
      </c>
      <c r="Z13" s="41">
        <v>495469689</v>
      </c>
      <c r="AA13" s="41" t="s">
        <v>2430</v>
      </c>
      <c r="AB13" s="41" t="s">
        <v>2466</v>
      </c>
      <c r="AD13" s="41">
        <v>15</v>
      </c>
      <c r="AE13" s="41" t="s">
        <v>1819</v>
      </c>
      <c r="AI13" s="43">
        <v>44104</v>
      </c>
      <c r="AJ13" s="41">
        <v>300</v>
      </c>
      <c r="AK13" s="41">
        <v>2700</v>
      </c>
      <c r="BG13" s="41" t="s">
        <v>26</v>
      </c>
      <c r="BI13" s="41" t="s">
        <v>1648</v>
      </c>
      <c r="BK13" s="41" t="s">
        <v>48</v>
      </c>
      <c r="BL13" s="41" t="s">
        <v>1584</v>
      </c>
      <c r="BM13" s="41" t="s">
        <v>1583</v>
      </c>
      <c r="BN13" s="42">
        <v>44161.158383298614</v>
      </c>
      <c r="BR13" s="41" t="s">
        <v>1582</v>
      </c>
      <c r="BS13" s="41">
        <v>4.1020202018822098E+18</v>
      </c>
      <c r="BT13" s="41" t="s">
        <v>1581</v>
      </c>
      <c r="BU13" s="41" t="s">
        <v>2457</v>
      </c>
      <c r="BV13" s="41">
        <v>2020</v>
      </c>
      <c r="BW13" s="41" t="s">
        <v>1579</v>
      </c>
      <c r="BY13" s="41">
        <v>4.1126202019624202E+18</v>
      </c>
      <c r="BZ13" s="41" t="s">
        <v>2465</v>
      </c>
      <c r="CA13" s="41" t="s">
        <v>1577</v>
      </c>
    </row>
    <row r="14" spans="1:79" x14ac:dyDescent="0.2">
      <c r="A14" s="41" t="s">
        <v>895</v>
      </c>
      <c r="B14" s="41" t="s">
        <v>190</v>
      </c>
      <c r="C14" s="41">
        <v>2020</v>
      </c>
      <c r="D14" s="41" t="s">
        <v>1612</v>
      </c>
      <c r="E14" s="41">
        <v>2.0201201933723501E+17</v>
      </c>
      <c r="F14" s="41" t="s">
        <v>1598</v>
      </c>
      <c r="G14" s="41" t="s">
        <v>2464</v>
      </c>
      <c r="H14" s="41">
        <v>1475097</v>
      </c>
      <c r="J14" s="41" t="s">
        <v>1596</v>
      </c>
      <c r="K14" s="41" t="s">
        <v>1595</v>
      </c>
      <c r="N14" s="41" t="s">
        <v>2463</v>
      </c>
      <c r="O14" s="41" t="s">
        <v>64</v>
      </c>
      <c r="P14" s="41" t="s">
        <v>1676</v>
      </c>
      <c r="Q14" s="41" t="s">
        <v>32</v>
      </c>
      <c r="R14" s="41" t="s">
        <v>2462</v>
      </c>
      <c r="S14" s="41" t="s">
        <v>26</v>
      </c>
      <c r="T14" s="41" t="s">
        <v>2461</v>
      </c>
      <c r="V14" s="41" t="s">
        <v>2460</v>
      </c>
      <c r="X14" s="41" t="s">
        <v>2459</v>
      </c>
      <c r="Y14" s="41" t="s">
        <v>15</v>
      </c>
      <c r="Z14" s="41">
        <v>495469689</v>
      </c>
      <c r="AA14" s="41" t="s">
        <v>1810</v>
      </c>
      <c r="AB14" s="41" t="s">
        <v>2458</v>
      </c>
      <c r="AD14" s="41">
        <v>15</v>
      </c>
      <c r="AE14" s="41" t="s">
        <v>1819</v>
      </c>
      <c r="AI14" s="43">
        <v>44158</v>
      </c>
      <c r="AJ14" s="41">
        <v>300</v>
      </c>
      <c r="AK14" s="41">
        <v>3300</v>
      </c>
      <c r="BG14" s="41" t="s">
        <v>26</v>
      </c>
      <c r="BI14" s="41" t="s">
        <v>1648</v>
      </c>
      <c r="BK14" s="41" t="s">
        <v>48</v>
      </c>
      <c r="BL14" s="41" t="s">
        <v>1584</v>
      </c>
      <c r="BM14" s="41" t="s">
        <v>1583</v>
      </c>
      <c r="BN14" s="42">
        <v>44177.155403287034</v>
      </c>
      <c r="BR14" s="41" t="s">
        <v>1582</v>
      </c>
      <c r="BS14" s="41">
        <v>4.1202202019628902E+18</v>
      </c>
      <c r="BT14" s="41" t="s">
        <v>1581</v>
      </c>
      <c r="BU14" s="41" t="s">
        <v>2457</v>
      </c>
      <c r="BV14" s="41">
        <v>2020</v>
      </c>
      <c r="BW14" s="41" t="s">
        <v>1579</v>
      </c>
      <c r="BY14" s="41">
        <v>4.1212202019737201E+18</v>
      </c>
      <c r="BZ14" s="41" t="s">
        <v>2456</v>
      </c>
      <c r="CA14" s="41" t="s">
        <v>1577</v>
      </c>
    </row>
    <row r="17" spans="1:22" x14ac:dyDescent="0.2">
      <c r="V17" s="41" t="str">
        <f>+V14&amp;X14&amp;Y14&amp;Z14</f>
        <v>1547 BRIARCLIFF DR. SEGRAND RAPIDSMI495469689</v>
      </c>
    </row>
    <row r="20" spans="1:22" x14ac:dyDescent="0.2">
      <c r="A20" s="49" t="s">
        <v>1803</v>
      </c>
      <c r="B20" s="41" t="s">
        <v>1805</v>
      </c>
    </row>
    <row r="21" spans="1:22" ht="15" x14ac:dyDescent="0.25">
      <c r="A21" s="48" t="s">
        <v>190</v>
      </c>
      <c r="B21" s="47">
        <v>3600</v>
      </c>
      <c r="D21" s="44">
        <v>0.65410000000000001</v>
      </c>
      <c r="E21" s="41" t="s">
        <v>1</v>
      </c>
      <c r="F21" s="44">
        <f>1-D21</f>
        <v>0.34589999999999999</v>
      </c>
      <c r="G21" s="41" t="s">
        <v>1557</v>
      </c>
    </row>
    <row r="22" spans="1:22" x14ac:dyDescent="0.2">
      <c r="A22" s="48" t="s">
        <v>197</v>
      </c>
      <c r="B22" s="47">
        <v>250</v>
      </c>
      <c r="C22" s="41" t="s">
        <v>1</v>
      </c>
    </row>
    <row r="23" spans="1:22" x14ac:dyDescent="0.2">
      <c r="A23" s="48" t="s">
        <v>1804</v>
      </c>
      <c r="B23" s="47">
        <v>3850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7"/>
  <sheetViews>
    <sheetView workbookViewId="0">
      <selection activeCell="C21" sqref="C21:D22"/>
    </sheetView>
  </sheetViews>
  <sheetFormatPr defaultRowHeight="12.75" x14ac:dyDescent="0.2"/>
  <cols>
    <col min="1" max="1" width="41.42578125" style="41" bestFit="1" customWidth="1"/>
    <col min="2" max="2" width="34.5703125" style="41" bestFit="1" customWidth="1"/>
    <col min="3" max="16384" width="9.140625" style="41"/>
  </cols>
  <sheetData>
    <row r="1" spans="1:79" x14ac:dyDescent="0.2">
      <c r="A1" s="41" t="s">
        <v>852</v>
      </c>
      <c r="B1" s="41" t="s">
        <v>147</v>
      </c>
      <c r="C1" s="41" t="s">
        <v>1802</v>
      </c>
      <c r="D1" s="41" t="s">
        <v>1801</v>
      </c>
      <c r="E1" s="41" t="s">
        <v>1800</v>
      </c>
      <c r="F1" s="41" t="s">
        <v>1799</v>
      </c>
      <c r="G1" s="41" t="s">
        <v>1798</v>
      </c>
      <c r="H1" s="41" t="s">
        <v>1797</v>
      </c>
      <c r="I1" s="41" t="s">
        <v>147</v>
      </c>
      <c r="J1" s="41" t="s">
        <v>1796</v>
      </c>
      <c r="K1" s="41" t="s">
        <v>1795</v>
      </c>
      <c r="L1" s="41" t="s">
        <v>1794</v>
      </c>
      <c r="M1" s="41" t="s">
        <v>1793</v>
      </c>
      <c r="N1" s="41" t="s">
        <v>1792</v>
      </c>
      <c r="O1" s="41" t="s">
        <v>1791</v>
      </c>
      <c r="P1" s="41" t="s">
        <v>1790</v>
      </c>
      <c r="Q1" s="41" t="s">
        <v>1789</v>
      </c>
      <c r="R1" s="41" t="s">
        <v>1788</v>
      </c>
      <c r="S1" s="41" t="s">
        <v>1787</v>
      </c>
      <c r="T1" s="41" t="s">
        <v>1786</v>
      </c>
      <c r="U1" s="41" t="s">
        <v>1785</v>
      </c>
      <c r="V1" s="41" t="s">
        <v>1784</v>
      </c>
      <c r="W1" s="41" t="s">
        <v>1783</v>
      </c>
      <c r="X1" s="41" t="s">
        <v>1782</v>
      </c>
      <c r="Y1" s="41" t="s">
        <v>1781</v>
      </c>
      <c r="Z1" s="41" t="s">
        <v>1780</v>
      </c>
      <c r="AA1" s="41" t="s">
        <v>1779</v>
      </c>
      <c r="AB1" s="41" t="s">
        <v>1778</v>
      </c>
      <c r="AC1" s="41" t="s">
        <v>1777</v>
      </c>
      <c r="AD1" s="41" t="s">
        <v>1776</v>
      </c>
      <c r="AE1" s="41" t="s">
        <v>1775</v>
      </c>
      <c r="AF1" s="41" t="s">
        <v>1774</v>
      </c>
      <c r="AG1" s="41" t="s">
        <v>1773</v>
      </c>
      <c r="AH1" s="41" t="s">
        <v>1772</v>
      </c>
      <c r="AI1" s="41" t="s">
        <v>1771</v>
      </c>
      <c r="AJ1" s="41" t="s">
        <v>1770</v>
      </c>
      <c r="AK1" s="41" t="s">
        <v>1769</v>
      </c>
      <c r="AL1" s="41" t="s">
        <v>1768</v>
      </c>
      <c r="AM1" s="41" t="s">
        <v>1767</v>
      </c>
      <c r="AN1" s="41" t="s">
        <v>1766</v>
      </c>
      <c r="AO1" s="41" t="s">
        <v>1765</v>
      </c>
      <c r="AP1" s="41" t="s">
        <v>1764</v>
      </c>
      <c r="AQ1" s="41" t="s">
        <v>1763</v>
      </c>
      <c r="AR1" s="41" t="s">
        <v>1762</v>
      </c>
      <c r="AS1" s="41" t="s">
        <v>1761</v>
      </c>
      <c r="AT1" s="41" t="s">
        <v>1760</v>
      </c>
      <c r="AU1" s="41" t="s">
        <v>1759</v>
      </c>
      <c r="AV1" s="41" t="s">
        <v>1758</v>
      </c>
      <c r="AW1" s="41" t="s">
        <v>1757</v>
      </c>
      <c r="AX1" s="41" t="s">
        <v>1756</v>
      </c>
      <c r="AY1" s="41" t="s">
        <v>1755</v>
      </c>
      <c r="AZ1" s="41" t="s">
        <v>1754</v>
      </c>
      <c r="BA1" s="41" t="s">
        <v>1753</v>
      </c>
      <c r="BB1" s="41" t="s">
        <v>1752</v>
      </c>
      <c r="BC1" s="41" t="s">
        <v>1751</v>
      </c>
      <c r="BD1" s="41" t="s">
        <v>1750</v>
      </c>
      <c r="BE1" s="41" t="s">
        <v>1749</v>
      </c>
      <c r="BF1" s="41" t="s">
        <v>1748</v>
      </c>
      <c r="BG1" s="41" t="s">
        <v>1747</v>
      </c>
      <c r="BH1" s="41" t="s">
        <v>1746</v>
      </c>
      <c r="BI1" s="41" t="s">
        <v>1745</v>
      </c>
      <c r="BJ1" s="41" t="s">
        <v>1744</v>
      </c>
      <c r="BK1" s="41" t="s">
        <v>1743</v>
      </c>
      <c r="BL1" s="41" t="s">
        <v>1742</v>
      </c>
      <c r="BM1" s="41" t="s">
        <v>1741</v>
      </c>
      <c r="BN1" s="41" t="s">
        <v>1740</v>
      </c>
      <c r="BO1" s="41" t="s">
        <v>1739</v>
      </c>
      <c r="BP1" s="41" t="s">
        <v>1738</v>
      </c>
      <c r="BQ1" s="41" t="s">
        <v>1737</v>
      </c>
      <c r="BR1" s="41" t="s">
        <v>1736</v>
      </c>
      <c r="BS1" s="41" t="s">
        <v>1735</v>
      </c>
      <c r="BT1" s="41" t="s">
        <v>1734</v>
      </c>
      <c r="BU1" s="41" t="s">
        <v>1733</v>
      </c>
      <c r="BV1" s="41" t="s">
        <v>1732</v>
      </c>
      <c r="BW1" s="41" t="s">
        <v>1731</v>
      </c>
      <c r="BX1" s="41" t="s">
        <v>1730</v>
      </c>
      <c r="BY1" s="41" t="s">
        <v>1729</v>
      </c>
      <c r="BZ1" s="41" t="s">
        <v>1728</v>
      </c>
      <c r="CA1" s="41" t="s">
        <v>1727</v>
      </c>
    </row>
    <row r="2" spans="1:79" x14ac:dyDescent="0.2">
      <c r="A2" s="41" t="s">
        <v>895</v>
      </c>
      <c r="B2" s="41" t="s">
        <v>190</v>
      </c>
      <c r="C2" s="41">
        <v>2019</v>
      </c>
      <c r="D2" s="41" t="s">
        <v>1696</v>
      </c>
      <c r="E2" s="41">
        <v>2.0200128916742E+17</v>
      </c>
      <c r="F2" s="41" t="s">
        <v>1598</v>
      </c>
      <c r="G2" s="41" t="s">
        <v>2454</v>
      </c>
      <c r="H2" s="41">
        <v>1374056</v>
      </c>
      <c r="J2" s="41" t="s">
        <v>1596</v>
      </c>
      <c r="K2" s="41" t="s">
        <v>1595</v>
      </c>
      <c r="M2" s="41" t="s">
        <v>2426</v>
      </c>
      <c r="N2" s="41" t="s">
        <v>2432</v>
      </c>
      <c r="O2" s="41" t="s">
        <v>64</v>
      </c>
      <c r="P2" s="41" t="s">
        <v>1676</v>
      </c>
      <c r="Q2" s="41" t="s">
        <v>32</v>
      </c>
      <c r="R2" s="41" t="s">
        <v>2424</v>
      </c>
      <c r="T2" s="41" t="s">
        <v>2423</v>
      </c>
      <c r="V2" s="41" t="s">
        <v>2422</v>
      </c>
      <c r="X2" s="41" t="s">
        <v>1588</v>
      </c>
      <c r="Y2" s="41" t="s">
        <v>15</v>
      </c>
      <c r="Z2" s="41">
        <v>483021959</v>
      </c>
      <c r="AA2" s="41" t="s">
        <v>1810</v>
      </c>
      <c r="AB2" s="41" t="s">
        <v>2421</v>
      </c>
      <c r="AD2" s="41">
        <v>15</v>
      </c>
      <c r="AE2" s="41" t="s">
        <v>1819</v>
      </c>
      <c r="AI2" s="43">
        <v>43830</v>
      </c>
      <c r="AJ2" s="41">
        <v>416</v>
      </c>
      <c r="AK2" s="41">
        <v>4992</v>
      </c>
      <c r="BG2" s="41" t="s">
        <v>26</v>
      </c>
      <c r="BI2" s="41" t="s">
        <v>1648</v>
      </c>
      <c r="BK2" s="41" t="s">
        <v>48</v>
      </c>
      <c r="BL2" s="41" t="s">
        <v>1584</v>
      </c>
      <c r="BM2" s="41" t="s">
        <v>1583</v>
      </c>
      <c r="BN2" s="42">
        <v>43859.073086041666</v>
      </c>
      <c r="BR2" s="41" t="s">
        <v>1582</v>
      </c>
      <c r="BS2" s="41">
        <v>4.01282020168591E+18</v>
      </c>
      <c r="BT2" s="41" t="s">
        <v>1581</v>
      </c>
      <c r="BU2" s="41" t="s">
        <v>2420</v>
      </c>
      <c r="BV2" s="41">
        <v>2020</v>
      </c>
      <c r="BW2" s="41" t="s">
        <v>1579</v>
      </c>
      <c r="BY2" s="41">
        <v>4.0128202016860001E+18</v>
      </c>
      <c r="BZ2" s="41" t="s">
        <v>2453</v>
      </c>
      <c r="CA2" s="41" t="s">
        <v>1577</v>
      </c>
    </row>
    <row r="3" spans="1:79" x14ac:dyDescent="0.2">
      <c r="A3" s="41" t="s">
        <v>895</v>
      </c>
      <c r="B3" s="41" t="s">
        <v>190</v>
      </c>
      <c r="C3" s="41">
        <v>2019</v>
      </c>
      <c r="D3" s="41" t="s">
        <v>1845</v>
      </c>
      <c r="E3" s="41">
        <v>2.0191218916635901E+17</v>
      </c>
      <c r="F3" s="41" t="s">
        <v>1598</v>
      </c>
      <c r="G3" s="41" t="s">
        <v>2452</v>
      </c>
      <c r="H3" s="41">
        <v>1366669</v>
      </c>
      <c r="J3" s="41" t="s">
        <v>1596</v>
      </c>
      <c r="K3" s="41" t="s">
        <v>1595</v>
      </c>
      <c r="M3" s="41" t="s">
        <v>2426</v>
      </c>
      <c r="N3" s="41" t="s">
        <v>2432</v>
      </c>
      <c r="O3" s="41" t="s">
        <v>64</v>
      </c>
      <c r="P3" s="41" t="s">
        <v>1676</v>
      </c>
      <c r="Q3" s="41" t="s">
        <v>32</v>
      </c>
      <c r="R3" s="41" t="s">
        <v>2431</v>
      </c>
      <c r="S3" s="41" t="s">
        <v>0</v>
      </c>
      <c r="T3" s="41" t="s">
        <v>2423</v>
      </c>
      <c r="V3" s="41" t="s">
        <v>2422</v>
      </c>
      <c r="X3" s="41" t="s">
        <v>1588</v>
      </c>
      <c r="Y3" s="41" t="s">
        <v>15</v>
      </c>
      <c r="Z3" s="41">
        <v>483021959</v>
      </c>
      <c r="AA3" s="41" t="s">
        <v>1810</v>
      </c>
      <c r="AB3" s="41" t="s">
        <v>2421</v>
      </c>
      <c r="AD3" s="41">
        <v>15</v>
      </c>
      <c r="AE3" s="41" t="s">
        <v>1819</v>
      </c>
      <c r="AI3" s="43">
        <v>43799</v>
      </c>
      <c r="AJ3" s="41">
        <v>416</v>
      </c>
      <c r="AK3" s="41">
        <v>4576</v>
      </c>
      <c r="BG3" s="41" t="s">
        <v>26</v>
      </c>
      <c r="BI3" s="41" t="s">
        <v>1648</v>
      </c>
      <c r="BK3" s="41" t="s">
        <v>48</v>
      </c>
      <c r="BL3" s="41" t="s">
        <v>1584</v>
      </c>
      <c r="BM3" s="41" t="s">
        <v>1583</v>
      </c>
      <c r="BN3" s="42">
        <v>43818.071859456017</v>
      </c>
      <c r="BR3" s="41" t="s">
        <v>1582</v>
      </c>
      <c r="BS3" s="41">
        <v>4.1218201916816502E+18</v>
      </c>
      <c r="BT3" s="41" t="s">
        <v>1581</v>
      </c>
      <c r="BU3" s="41" t="s">
        <v>2420</v>
      </c>
      <c r="BV3" s="41">
        <v>2020</v>
      </c>
      <c r="BW3" s="41" t="s">
        <v>1579</v>
      </c>
      <c r="BY3" s="41">
        <v>4.1218201916816799E+18</v>
      </c>
      <c r="BZ3" s="41" t="s">
        <v>2451</v>
      </c>
      <c r="CA3" s="41" t="s">
        <v>1577</v>
      </c>
    </row>
    <row r="4" spans="1:79" x14ac:dyDescent="0.2">
      <c r="A4" s="41" t="s">
        <v>895</v>
      </c>
      <c r="B4" s="41" t="s">
        <v>190</v>
      </c>
      <c r="C4" s="41">
        <v>2020</v>
      </c>
      <c r="D4" s="41" t="s">
        <v>1865</v>
      </c>
      <c r="E4" s="41">
        <v>2.0200814926130598E+17</v>
      </c>
      <c r="F4" s="41" t="s">
        <v>1598</v>
      </c>
      <c r="G4" s="41" t="s">
        <v>2450</v>
      </c>
      <c r="H4" s="41">
        <v>1432298</v>
      </c>
      <c r="J4" s="41" t="s">
        <v>1596</v>
      </c>
      <c r="K4" s="41" t="s">
        <v>1595</v>
      </c>
      <c r="M4" s="41" t="s">
        <v>2426</v>
      </c>
      <c r="N4" s="41" t="s">
        <v>2432</v>
      </c>
      <c r="O4" s="41" t="s">
        <v>64</v>
      </c>
      <c r="P4" s="41" t="s">
        <v>1676</v>
      </c>
      <c r="Q4" s="41" t="s">
        <v>32</v>
      </c>
      <c r="R4" s="41" t="s">
        <v>2431</v>
      </c>
      <c r="S4" s="41" t="s">
        <v>0</v>
      </c>
      <c r="T4" s="41" t="s">
        <v>2423</v>
      </c>
      <c r="V4" s="41" t="s">
        <v>2422</v>
      </c>
      <c r="X4" s="41" t="s">
        <v>1588</v>
      </c>
      <c r="Y4" s="41" t="s">
        <v>15</v>
      </c>
      <c r="Z4" s="41">
        <v>483021959</v>
      </c>
      <c r="AA4" s="41" t="s">
        <v>2430</v>
      </c>
      <c r="AB4" s="41" t="s">
        <v>2429</v>
      </c>
      <c r="AD4" s="41">
        <v>15</v>
      </c>
      <c r="AE4" s="41" t="s">
        <v>1819</v>
      </c>
      <c r="AI4" s="43">
        <v>44043</v>
      </c>
      <c r="AJ4" s="41">
        <v>416</v>
      </c>
      <c r="AK4" s="41">
        <v>2912</v>
      </c>
      <c r="BG4" s="41" t="s">
        <v>26</v>
      </c>
      <c r="BI4" s="41" t="s">
        <v>1648</v>
      </c>
      <c r="BK4" s="41" t="s">
        <v>48</v>
      </c>
      <c r="BL4" s="41" t="s">
        <v>1584</v>
      </c>
      <c r="BM4" s="41" t="s">
        <v>1583</v>
      </c>
      <c r="BN4" s="42">
        <v>44065.164461689812</v>
      </c>
      <c r="BR4" s="41" t="s">
        <v>1582</v>
      </c>
      <c r="BS4" s="41">
        <v>4.08152020182882E+18</v>
      </c>
      <c r="BT4" s="41" t="s">
        <v>1581</v>
      </c>
      <c r="BU4" s="41" t="s">
        <v>2420</v>
      </c>
      <c r="BV4" s="41">
        <v>2020</v>
      </c>
      <c r="BW4" s="41" t="s">
        <v>1579</v>
      </c>
      <c r="BY4" s="41">
        <v>4.0822202018296499E+18</v>
      </c>
      <c r="BZ4" s="41" t="s">
        <v>2449</v>
      </c>
      <c r="CA4" s="41" t="s">
        <v>1577</v>
      </c>
    </row>
    <row r="5" spans="1:79" x14ac:dyDescent="0.2">
      <c r="A5" s="41" t="s">
        <v>895</v>
      </c>
      <c r="B5" s="41" t="s">
        <v>190</v>
      </c>
      <c r="C5" s="41">
        <v>2020</v>
      </c>
      <c r="D5" s="41" t="s">
        <v>1699</v>
      </c>
      <c r="E5" s="41">
        <v>2.0200218918651501E+17</v>
      </c>
      <c r="F5" s="41" t="s">
        <v>1598</v>
      </c>
      <c r="G5" s="41" t="s">
        <v>2448</v>
      </c>
      <c r="H5" s="41">
        <v>1383073</v>
      </c>
      <c r="J5" s="41" t="s">
        <v>1596</v>
      </c>
      <c r="K5" s="41" t="s">
        <v>1595</v>
      </c>
      <c r="M5" s="41" t="s">
        <v>2426</v>
      </c>
      <c r="N5" s="41" t="s">
        <v>2432</v>
      </c>
      <c r="O5" s="41" t="s">
        <v>64</v>
      </c>
      <c r="P5" s="41" t="s">
        <v>1676</v>
      </c>
      <c r="Q5" s="41" t="s">
        <v>32</v>
      </c>
      <c r="R5" s="41" t="s">
        <v>2424</v>
      </c>
      <c r="T5" s="41" t="s">
        <v>2423</v>
      </c>
      <c r="V5" s="41" t="s">
        <v>2422</v>
      </c>
      <c r="X5" s="41" t="s">
        <v>1588</v>
      </c>
      <c r="Y5" s="41" t="s">
        <v>15</v>
      </c>
      <c r="Z5" s="41">
        <v>483021959</v>
      </c>
      <c r="AA5" s="41" t="s">
        <v>1810</v>
      </c>
      <c r="AB5" s="41" t="s">
        <v>2421</v>
      </c>
      <c r="AD5" s="41">
        <v>15</v>
      </c>
      <c r="AE5" s="41" t="s">
        <v>1819</v>
      </c>
      <c r="AI5" s="43">
        <v>43861</v>
      </c>
      <c r="AJ5" s="41">
        <v>416</v>
      </c>
      <c r="AK5" s="41">
        <v>416</v>
      </c>
      <c r="BG5" s="41" t="s">
        <v>26</v>
      </c>
      <c r="BI5" s="41" t="s">
        <v>1648</v>
      </c>
      <c r="BK5" s="41" t="s">
        <v>48</v>
      </c>
      <c r="BL5" s="41" t="s">
        <v>1584</v>
      </c>
      <c r="BM5" s="41" t="s">
        <v>1583</v>
      </c>
      <c r="BN5" s="42">
        <v>43886.075295601855</v>
      </c>
      <c r="BR5" s="41" t="s">
        <v>1582</v>
      </c>
      <c r="BS5" s="41">
        <v>4.02182020169267E+18</v>
      </c>
      <c r="BT5" s="41" t="s">
        <v>1581</v>
      </c>
      <c r="BU5" s="41" t="s">
        <v>2420</v>
      </c>
      <c r="BV5" s="41">
        <v>2020</v>
      </c>
      <c r="BW5" s="41" t="s">
        <v>1579</v>
      </c>
      <c r="BY5" s="41">
        <v>4.0224202016941798E+18</v>
      </c>
      <c r="BZ5" s="41" t="s">
        <v>2447</v>
      </c>
      <c r="CA5" s="41" t="s">
        <v>1577</v>
      </c>
    </row>
    <row r="6" spans="1:79" x14ac:dyDescent="0.2">
      <c r="A6" s="41" t="s">
        <v>895</v>
      </c>
      <c r="B6" s="41" t="s">
        <v>190</v>
      </c>
      <c r="C6" s="41">
        <v>2020</v>
      </c>
      <c r="D6" s="41" t="s">
        <v>1696</v>
      </c>
      <c r="E6" s="41">
        <v>2.02101159404712E+17</v>
      </c>
      <c r="F6" s="41" t="s">
        <v>1598</v>
      </c>
      <c r="G6" s="41" t="s">
        <v>2446</v>
      </c>
      <c r="H6" s="41">
        <v>1488043</v>
      </c>
      <c r="J6" s="41" t="s">
        <v>1596</v>
      </c>
      <c r="K6" s="41" t="s">
        <v>1595</v>
      </c>
      <c r="M6" s="41" t="s">
        <v>2426</v>
      </c>
      <c r="N6" s="41" t="s">
        <v>2432</v>
      </c>
      <c r="O6" s="41" t="s">
        <v>64</v>
      </c>
      <c r="P6" s="41" t="s">
        <v>1676</v>
      </c>
      <c r="Q6" s="41" t="s">
        <v>32</v>
      </c>
      <c r="R6" s="41" t="s">
        <v>2431</v>
      </c>
      <c r="S6" s="41" t="s">
        <v>0</v>
      </c>
      <c r="T6" s="41" t="s">
        <v>2423</v>
      </c>
      <c r="V6" s="41" t="s">
        <v>2422</v>
      </c>
      <c r="X6" s="41" t="s">
        <v>1588</v>
      </c>
      <c r="Y6" s="41" t="s">
        <v>15</v>
      </c>
      <c r="Z6" s="41">
        <v>483021959</v>
      </c>
      <c r="AA6" s="41" t="s">
        <v>2430</v>
      </c>
      <c r="AB6" s="41" t="s">
        <v>2445</v>
      </c>
      <c r="AD6" s="41">
        <v>15</v>
      </c>
      <c r="AE6" s="41" t="s">
        <v>1819</v>
      </c>
      <c r="AI6" s="43">
        <v>44196</v>
      </c>
      <c r="AJ6" s="41">
        <v>416</v>
      </c>
      <c r="AK6" s="41">
        <v>4992</v>
      </c>
      <c r="BG6" s="41" t="s">
        <v>26</v>
      </c>
      <c r="BI6" s="41" t="s">
        <v>1648</v>
      </c>
      <c r="BK6" s="41" t="s">
        <v>48</v>
      </c>
      <c r="BL6" s="41" t="s">
        <v>1584</v>
      </c>
      <c r="BM6" s="41" t="s">
        <v>1583</v>
      </c>
      <c r="BN6" s="42">
        <v>44212.067958425927</v>
      </c>
      <c r="BR6" s="41" t="s">
        <v>1582</v>
      </c>
      <c r="BS6" s="41">
        <v>4.0115202120936602E+18</v>
      </c>
      <c r="BT6" s="41" t="s">
        <v>1581</v>
      </c>
      <c r="BU6" s="41" t="s">
        <v>2420</v>
      </c>
      <c r="BV6" s="41">
        <v>2020</v>
      </c>
      <c r="BW6" s="41" t="s">
        <v>1579</v>
      </c>
      <c r="BY6" s="41">
        <v>4.0115202120936899E+18</v>
      </c>
      <c r="BZ6" s="41" t="s">
        <v>2444</v>
      </c>
      <c r="CA6" s="41" t="s">
        <v>1577</v>
      </c>
    </row>
    <row r="7" spans="1:79" x14ac:dyDescent="0.2">
      <c r="A7" s="41" t="s">
        <v>895</v>
      </c>
      <c r="B7" s="41" t="s">
        <v>190</v>
      </c>
      <c r="C7" s="41">
        <v>2020</v>
      </c>
      <c r="D7" s="41" t="s">
        <v>2013</v>
      </c>
      <c r="E7" s="41">
        <v>2.0200318920387398E+17</v>
      </c>
      <c r="F7" s="41" t="s">
        <v>1598</v>
      </c>
      <c r="G7" s="41" t="s">
        <v>2443</v>
      </c>
      <c r="H7" s="41">
        <v>1390420</v>
      </c>
      <c r="J7" s="41" t="s">
        <v>1596</v>
      </c>
      <c r="K7" s="41" t="s">
        <v>1595</v>
      </c>
      <c r="M7" s="41" t="s">
        <v>2426</v>
      </c>
      <c r="N7" s="41" t="s">
        <v>2432</v>
      </c>
      <c r="O7" s="41" t="s">
        <v>64</v>
      </c>
      <c r="P7" s="41" t="s">
        <v>1676</v>
      </c>
      <c r="Q7" s="41" t="s">
        <v>32</v>
      </c>
      <c r="R7" s="41" t="s">
        <v>2431</v>
      </c>
      <c r="S7" s="41" t="s">
        <v>0</v>
      </c>
      <c r="T7" s="41" t="s">
        <v>2423</v>
      </c>
      <c r="V7" s="41" t="s">
        <v>2422</v>
      </c>
      <c r="X7" s="41" t="s">
        <v>1588</v>
      </c>
      <c r="Y7" s="41" t="s">
        <v>15</v>
      </c>
      <c r="Z7" s="41">
        <v>483021959</v>
      </c>
      <c r="AA7" s="41" t="s">
        <v>1810</v>
      </c>
      <c r="AB7" s="41" t="s">
        <v>2421</v>
      </c>
      <c r="AD7" s="41">
        <v>15</v>
      </c>
      <c r="AE7" s="41" t="s">
        <v>1819</v>
      </c>
      <c r="AI7" s="43">
        <v>43890</v>
      </c>
      <c r="AJ7" s="41">
        <v>416</v>
      </c>
      <c r="AK7" s="41">
        <v>832</v>
      </c>
      <c r="BG7" s="41" t="s">
        <v>26</v>
      </c>
      <c r="BI7" s="41" t="s">
        <v>1648</v>
      </c>
      <c r="BK7" s="41" t="s">
        <v>48</v>
      </c>
      <c r="BL7" s="41" t="s">
        <v>1584</v>
      </c>
      <c r="BM7" s="41" t="s">
        <v>1583</v>
      </c>
      <c r="BN7" s="42">
        <v>43909.096344317128</v>
      </c>
      <c r="BR7" s="41" t="s">
        <v>1582</v>
      </c>
      <c r="BS7" s="41">
        <v>4.0318202017037302E+18</v>
      </c>
      <c r="BT7" s="41" t="s">
        <v>1581</v>
      </c>
      <c r="BU7" s="41" t="s">
        <v>2420</v>
      </c>
      <c r="BV7" s="41">
        <v>2020</v>
      </c>
      <c r="BW7" s="41" t="s">
        <v>1579</v>
      </c>
      <c r="BY7" s="41">
        <v>4.0318202017038198E+18</v>
      </c>
      <c r="BZ7" s="41" t="s">
        <v>2442</v>
      </c>
      <c r="CA7" s="41" t="s">
        <v>1577</v>
      </c>
    </row>
    <row r="8" spans="1:79" x14ac:dyDescent="0.2">
      <c r="A8" s="41" t="s">
        <v>895</v>
      </c>
      <c r="B8" s="41" t="s">
        <v>190</v>
      </c>
      <c r="C8" s="41">
        <v>2020</v>
      </c>
      <c r="D8" s="41" t="s">
        <v>1690</v>
      </c>
      <c r="E8" s="41">
        <v>2.0200709924439398E+17</v>
      </c>
      <c r="F8" s="41" t="s">
        <v>1598</v>
      </c>
      <c r="G8" s="41" t="s">
        <v>2441</v>
      </c>
      <c r="H8" s="41">
        <v>1418223</v>
      </c>
      <c r="J8" s="41" t="s">
        <v>1596</v>
      </c>
      <c r="K8" s="41" t="s">
        <v>1595</v>
      </c>
      <c r="M8" s="41" t="s">
        <v>2426</v>
      </c>
      <c r="N8" s="41" t="s">
        <v>2432</v>
      </c>
      <c r="O8" s="41" t="s">
        <v>64</v>
      </c>
      <c r="P8" s="41" t="s">
        <v>1676</v>
      </c>
      <c r="Q8" s="41" t="s">
        <v>32</v>
      </c>
      <c r="R8" s="41" t="s">
        <v>2431</v>
      </c>
      <c r="S8" s="41" t="s">
        <v>0</v>
      </c>
      <c r="T8" s="41" t="s">
        <v>2423</v>
      </c>
      <c r="V8" s="41" t="s">
        <v>2422</v>
      </c>
      <c r="X8" s="41" t="s">
        <v>1588</v>
      </c>
      <c r="Y8" s="41" t="s">
        <v>15</v>
      </c>
      <c r="Z8" s="41">
        <v>483021959</v>
      </c>
      <c r="AA8" s="41" t="s">
        <v>2430</v>
      </c>
      <c r="AB8" s="41" t="s">
        <v>2429</v>
      </c>
      <c r="AD8" s="41">
        <v>15</v>
      </c>
      <c r="AE8" s="41" t="s">
        <v>1819</v>
      </c>
      <c r="AI8" s="43">
        <v>44012</v>
      </c>
      <c r="AJ8" s="41">
        <v>416</v>
      </c>
      <c r="AK8" s="41">
        <v>2496</v>
      </c>
      <c r="BG8" s="41" t="s">
        <v>26</v>
      </c>
      <c r="BI8" s="41" t="s">
        <v>1648</v>
      </c>
      <c r="BK8" s="41" t="s">
        <v>48</v>
      </c>
      <c r="BL8" s="41" t="s">
        <v>1584</v>
      </c>
      <c r="BM8" s="41" t="s">
        <v>1583</v>
      </c>
      <c r="BN8" s="42">
        <v>44023.088281435186</v>
      </c>
      <c r="BR8" s="41" t="s">
        <v>1582</v>
      </c>
      <c r="BS8" s="41">
        <v>4.0709202017799598E+18</v>
      </c>
      <c r="BT8" s="41" t="s">
        <v>1581</v>
      </c>
      <c r="BU8" s="41" t="s">
        <v>2420</v>
      </c>
      <c r="BV8" s="41">
        <v>2020</v>
      </c>
      <c r="BW8" s="41" t="s">
        <v>1579</v>
      </c>
      <c r="BY8" s="41">
        <v>4.0710202017904102E+18</v>
      </c>
      <c r="BZ8" s="41" t="s">
        <v>2440</v>
      </c>
      <c r="CA8" s="41" t="s">
        <v>1577</v>
      </c>
    </row>
    <row r="9" spans="1:79" x14ac:dyDescent="0.2">
      <c r="A9" s="41" t="s">
        <v>895</v>
      </c>
      <c r="B9" s="41" t="s">
        <v>190</v>
      </c>
      <c r="C9" s="41">
        <v>2020</v>
      </c>
      <c r="D9" s="41" t="s">
        <v>2029</v>
      </c>
      <c r="E9" s="41">
        <v>2.0200709924439299E+17</v>
      </c>
      <c r="F9" s="41" t="s">
        <v>1598</v>
      </c>
      <c r="G9" s="41" t="s">
        <v>2439</v>
      </c>
      <c r="H9" s="41">
        <v>1418185</v>
      </c>
      <c r="J9" s="41" t="s">
        <v>1596</v>
      </c>
      <c r="K9" s="41" t="s">
        <v>1595</v>
      </c>
      <c r="M9" s="41" t="s">
        <v>2426</v>
      </c>
      <c r="N9" s="41" t="s">
        <v>2432</v>
      </c>
      <c r="O9" s="41" t="s">
        <v>64</v>
      </c>
      <c r="P9" s="41" t="s">
        <v>1676</v>
      </c>
      <c r="Q9" s="41" t="s">
        <v>32</v>
      </c>
      <c r="R9" s="41" t="s">
        <v>2431</v>
      </c>
      <c r="S9" s="41" t="s">
        <v>0</v>
      </c>
      <c r="T9" s="41" t="s">
        <v>2423</v>
      </c>
      <c r="V9" s="41" t="s">
        <v>2422</v>
      </c>
      <c r="X9" s="41" t="s">
        <v>1588</v>
      </c>
      <c r="Y9" s="41" t="s">
        <v>15</v>
      </c>
      <c r="Z9" s="41">
        <v>483021959</v>
      </c>
      <c r="AA9" s="41" t="s">
        <v>2430</v>
      </c>
      <c r="AB9" s="41" t="s">
        <v>2429</v>
      </c>
      <c r="AD9" s="41">
        <v>15</v>
      </c>
      <c r="AE9" s="41" t="s">
        <v>1819</v>
      </c>
      <c r="AI9" s="43">
        <v>43982</v>
      </c>
      <c r="AJ9" s="41">
        <v>416</v>
      </c>
      <c r="AK9" s="41">
        <v>2080</v>
      </c>
      <c r="BG9" s="41" t="s">
        <v>26</v>
      </c>
      <c r="BI9" s="41" t="s">
        <v>1648</v>
      </c>
      <c r="BK9" s="41" t="s">
        <v>48</v>
      </c>
      <c r="BL9" s="41" t="s">
        <v>1584</v>
      </c>
      <c r="BM9" s="41" t="s">
        <v>1583</v>
      </c>
      <c r="BN9" s="42">
        <v>44024.092623576391</v>
      </c>
      <c r="BR9" s="41" t="s">
        <v>1582</v>
      </c>
      <c r="BS9" s="41">
        <v>4.0709202017799598E+18</v>
      </c>
      <c r="BT9" s="41" t="s">
        <v>1581</v>
      </c>
      <c r="BU9" s="41" t="s">
        <v>2420</v>
      </c>
      <c r="BV9" s="41">
        <v>2020</v>
      </c>
      <c r="BW9" s="41" t="s">
        <v>1579</v>
      </c>
      <c r="BY9" s="41">
        <v>4.0711202017904302E+18</v>
      </c>
      <c r="BZ9" s="41" t="s">
        <v>2438</v>
      </c>
      <c r="CA9" s="41" t="s">
        <v>1577</v>
      </c>
    </row>
    <row r="10" spans="1:79" x14ac:dyDescent="0.2">
      <c r="A10" s="41" t="s">
        <v>895</v>
      </c>
      <c r="B10" s="41" t="s">
        <v>190</v>
      </c>
      <c r="C10" s="41">
        <v>2020</v>
      </c>
      <c r="D10" s="41" t="s">
        <v>1599</v>
      </c>
      <c r="E10" s="41">
        <v>2.0200917926722202E+17</v>
      </c>
      <c r="F10" s="41" t="s">
        <v>1598</v>
      </c>
      <c r="G10" s="41" t="s">
        <v>2437</v>
      </c>
      <c r="H10" s="41">
        <v>1438561</v>
      </c>
      <c r="J10" s="41" t="s">
        <v>1596</v>
      </c>
      <c r="K10" s="41" t="s">
        <v>1595</v>
      </c>
      <c r="M10" s="41" t="s">
        <v>2426</v>
      </c>
      <c r="N10" s="41" t="s">
        <v>2432</v>
      </c>
      <c r="O10" s="41" t="s">
        <v>64</v>
      </c>
      <c r="P10" s="41" t="s">
        <v>1676</v>
      </c>
      <c r="Q10" s="41" t="s">
        <v>32</v>
      </c>
      <c r="R10" s="41" t="s">
        <v>2431</v>
      </c>
      <c r="S10" s="41" t="s">
        <v>0</v>
      </c>
      <c r="T10" s="41" t="s">
        <v>2423</v>
      </c>
      <c r="V10" s="41" t="s">
        <v>2422</v>
      </c>
      <c r="X10" s="41" t="s">
        <v>1588</v>
      </c>
      <c r="Y10" s="41" t="s">
        <v>15</v>
      </c>
      <c r="Z10" s="41">
        <v>483021959</v>
      </c>
      <c r="AA10" s="41" t="s">
        <v>2430</v>
      </c>
      <c r="AB10" s="41" t="s">
        <v>2429</v>
      </c>
      <c r="AD10" s="41">
        <v>15</v>
      </c>
      <c r="AE10" s="41" t="s">
        <v>1819</v>
      </c>
      <c r="AI10" s="43">
        <v>44074</v>
      </c>
      <c r="AJ10" s="41">
        <v>416</v>
      </c>
      <c r="AK10" s="41">
        <v>3328</v>
      </c>
      <c r="BG10" s="41" t="s">
        <v>26</v>
      </c>
      <c r="BI10" s="41" t="s">
        <v>1648</v>
      </c>
      <c r="BK10" s="41" t="s">
        <v>48</v>
      </c>
      <c r="BL10" s="41" t="s">
        <v>1584</v>
      </c>
      <c r="BM10" s="41" t="s">
        <v>1583</v>
      </c>
      <c r="BN10" s="42">
        <v>44092.151888032407</v>
      </c>
      <c r="BR10" s="41" t="s">
        <v>1582</v>
      </c>
      <c r="BS10" s="41">
        <v>4.0918202018489201E+18</v>
      </c>
      <c r="BT10" s="41" t="s">
        <v>1581</v>
      </c>
      <c r="BU10" s="41" t="s">
        <v>2420</v>
      </c>
      <c r="BV10" s="41">
        <v>2020</v>
      </c>
      <c r="BW10" s="41" t="s">
        <v>1579</v>
      </c>
      <c r="BY10" s="41">
        <v>4.0918202018489999E+18</v>
      </c>
      <c r="BZ10" s="41" t="s">
        <v>2436</v>
      </c>
      <c r="CA10" s="41" t="s">
        <v>1577</v>
      </c>
    </row>
    <row r="11" spans="1:79" x14ac:dyDescent="0.2">
      <c r="A11" s="41" t="s">
        <v>895</v>
      </c>
      <c r="B11" s="41" t="s">
        <v>190</v>
      </c>
      <c r="C11" s="41">
        <v>2020</v>
      </c>
      <c r="D11" s="41" t="s">
        <v>1667</v>
      </c>
      <c r="E11" s="41">
        <v>2.0201021932675501E+17</v>
      </c>
      <c r="F11" s="41" t="s">
        <v>1598</v>
      </c>
      <c r="G11" s="41" t="s">
        <v>2435</v>
      </c>
      <c r="H11" s="41">
        <v>1459687</v>
      </c>
      <c r="J11" s="41" t="s">
        <v>1596</v>
      </c>
      <c r="K11" s="41" t="s">
        <v>1595</v>
      </c>
      <c r="M11" s="41" t="s">
        <v>2426</v>
      </c>
      <c r="N11" s="41" t="s">
        <v>2432</v>
      </c>
      <c r="O11" s="41" t="s">
        <v>64</v>
      </c>
      <c r="P11" s="41" t="s">
        <v>1676</v>
      </c>
      <c r="Q11" s="41" t="s">
        <v>32</v>
      </c>
      <c r="R11" s="41" t="s">
        <v>2431</v>
      </c>
      <c r="S11" s="41" t="s">
        <v>0</v>
      </c>
      <c r="T11" s="41" t="s">
        <v>2423</v>
      </c>
      <c r="V11" s="41" t="s">
        <v>2422</v>
      </c>
      <c r="X11" s="41" t="s">
        <v>1588</v>
      </c>
      <c r="Y11" s="41" t="s">
        <v>15</v>
      </c>
      <c r="Z11" s="41">
        <v>483021959</v>
      </c>
      <c r="AA11" s="41" t="s">
        <v>1810</v>
      </c>
      <c r="AB11" s="41" t="s">
        <v>2421</v>
      </c>
      <c r="AD11" s="41">
        <v>15</v>
      </c>
      <c r="AE11" s="41" t="s">
        <v>1819</v>
      </c>
      <c r="AI11" s="43">
        <v>44118</v>
      </c>
      <c r="AJ11" s="41">
        <v>416</v>
      </c>
      <c r="AK11" s="41">
        <v>4160</v>
      </c>
      <c r="BG11" s="41" t="s">
        <v>26</v>
      </c>
      <c r="BI11" s="41" t="s">
        <v>1648</v>
      </c>
      <c r="BK11" s="41" t="s">
        <v>48</v>
      </c>
      <c r="BL11" s="41" t="s">
        <v>1584</v>
      </c>
      <c r="BM11" s="41" t="s">
        <v>1583</v>
      </c>
      <c r="BN11" s="42">
        <v>44168.152318159722</v>
      </c>
      <c r="BR11" s="41" t="s">
        <v>1582</v>
      </c>
      <c r="BS11" s="41">
        <v>4.1022202018826598E+18</v>
      </c>
      <c r="BT11" s="41" t="s">
        <v>1581</v>
      </c>
      <c r="BU11" s="41" t="s">
        <v>2420</v>
      </c>
      <c r="BV11" s="41">
        <v>2020</v>
      </c>
      <c r="BW11" s="41" t="s">
        <v>1579</v>
      </c>
      <c r="BY11" s="41">
        <v>4.1203202019631698E+18</v>
      </c>
      <c r="BZ11" s="41" t="s">
        <v>2434</v>
      </c>
      <c r="CA11" s="41" t="s">
        <v>1577</v>
      </c>
    </row>
    <row r="12" spans="1:79" x14ac:dyDescent="0.2">
      <c r="A12" s="41" t="s">
        <v>895</v>
      </c>
      <c r="B12" s="41" t="s">
        <v>190</v>
      </c>
      <c r="C12" s="41">
        <v>2020</v>
      </c>
      <c r="D12" s="41" t="s">
        <v>1860</v>
      </c>
      <c r="E12" s="41">
        <v>2.0201019929727901E+17</v>
      </c>
      <c r="F12" s="41" t="s">
        <v>1598</v>
      </c>
      <c r="G12" s="41" t="s">
        <v>2433</v>
      </c>
      <c r="H12" s="41">
        <v>1456209</v>
      </c>
      <c r="J12" s="41" t="s">
        <v>1596</v>
      </c>
      <c r="K12" s="41" t="s">
        <v>1595</v>
      </c>
      <c r="M12" s="41" t="s">
        <v>2426</v>
      </c>
      <c r="N12" s="41" t="s">
        <v>2432</v>
      </c>
      <c r="O12" s="41" t="s">
        <v>64</v>
      </c>
      <c r="P12" s="41" t="s">
        <v>1676</v>
      </c>
      <c r="Q12" s="41" t="s">
        <v>32</v>
      </c>
      <c r="R12" s="41" t="s">
        <v>2431</v>
      </c>
      <c r="S12" s="41" t="s">
        <v>0</v>
      </c>
      <c r="T12" s="41" t="s">
        <v>2423</v>
      </c>
      <c r="V12" s="41" t="s">
        <v>2422</v>
      </c>
      <c r="X12" s="41" t="s">
        <v>1588</v>
      </c>
      <c r="Y12" s="41" t="s">
        <v>15</v>
      </c>
      <c r="Z12" s="41">
        <v>483021959</v>
      </c>
      <c r="AA12" s="41" t="s">
        <v>2430</v>
      </c>
      <c r="AB12" s="41" t="s">
        <v>2429</v>
      </c>
      <c r="AD12" s="41">
        <v>15</v>
      </c>
      <c r="AE12" s="41" t="s">
        <v>1819</v>
      </c>
      <c r="AI12" s="43">
        <v>44104</v>
      </c>
      <c r="AJ12" s="41">
        <v>416</v>
      </c>
      <c r="AK12" s="41">
        <v>3744</v>
      </c>
      <c r="BG12" s="41" t="s">
        <v>26</v>
      </c>
      <c r="BI12" s="41" t="s">
        <v>1648</v>
      </c>
      <c r="BK12" s="41" t="s">
        <v>48</v>
      </c>
      <c r="BL12" s="41" t="s">
        <v>1584</v>
      </c>
      <c r="BM12" s="41" t="s">
        <v>1583</v>
      </c>
      <c r="BN12" s="42">
        <v>44161.158358171298</v>
      </c>
      <c r="BR12" s="41" t="s">
        <v>1582</v>
      </c>
      <c r="BS12" s="41">
        <v>4.1020202018822098E+18</v>
      </c>
      <c r="BT12" s="41" t="s">
        <v>1581</v>
      </c>
      <c r="BU12" s="41" t="s">
        <v>2420</v>
      </c>
      <c r="BV12" s="41">
        <v>2020</v>
      </c>
      <c r="BW12" s="41" t="s">
        <v>1579</v>
      </c>
      <c r="BY12" s="41">
        <v>4.1126202019624202E+18</v>
      </c>
      <c r="BZ12" s="41" t="s">
        <v>2428</v>
      </c>
      <c r="CA12" s="41" t="s">
        <v>1577</v>
      </c>
    </row>
    <row r="13" spans="1:79" x14ac:dyDescent="0.2">
      <c r="A13" s="41" t="s">
        <v>895</v>
      </c>
      <c r="B13" s="41" t="s">
        <v>190</v>
      </c>
      <c r="C13" s="41">
        <v>2020</v>
      </c>
      <c r="D13" s="41" t="s">
        <v>1612</v>
      </c>
      <c r="E13" s="41">
        <v>2.0201201933723501E+17</v>
      </c>
      <c r="F13" s="41" t="s">
        <v>1598</v>
      </c>
      <c r="G13" s="41" t="s">
        <v>2427</v>
      </c>
      <c r="H13" s="41">
        <v>1475097</v>
      </c>
      <c r="J13" s="41" t="s">
        <v>1596</v>
      </c>
      <c r="K13" s="41" t="s">
        <v>1595</v>
      </c>
      <c r="M13" s="41" t="s">
        <v>2426</v>
      </c>
      <c r="N13" s="41" t="s">
        <v>2425</v>
      </c>
      <c r="O13" s="41" t="s">
        <v>64</v>
      </c>
      <c r="P13" s="41" t="s">
        <v>1676</v>
      </c>
      <c r="Q13" s="41" t="s">
        <v>32</v>
      </c>
      <c r="R13" s="41" t="s">
        <v>2424</v>
      </c>
      <c r="S13" s="41" t="s">
        <v>0</v>
      </c>
      <c r="T13" s="41" t="s">
        <v>2423</v>
      </c>
      <c r="V13" s="41" t="s">
        <v>2422</v>
      </c>
      <c r="X13" s="41" t="s">
        <v>1588</v>
      </c>
      <c r="Y13" s="41" t="s">
        <v>15</v>
      </c>
      <c r="Z13" s="41">
        <v>483021959</v>
      </c>
      <c r="AA13" s="41" t="s">
        <v>1810</v>
      </c>
      <c r="AB13" s="41" t="s">
        <v>2421</v>
      </c>
      <c r="AD13" s="41">
        <v>15</v>
      </c>
      <c r="AE13" s="41" t="s">
        <v>1819</v>
      </c>
      <c r="AI13" s="43">
        <v>44158</v>
      </c>
      <c r="AJ13" s="41">
        <v>416</v>
      </c>
      <c r="AK13" s="41">
        <v>4576</v>
      </c>
      <c r="BG13" s="41" t="s">
        <v>26</v>
      </c>
      <c r="BI13" s="41" t="s">
        <v>1648</v>
      </c>
      <c r="BK13" s="41" t="s">
        <v>48</v>
      </c>
      <c r="BL13" s="41" t="s">
        <v>1584</v>
      </c>
      <c r="BM13" s="41" t="s">
        <v>1583</v>
      </c>
      <c r="BN13" s="42">
        <v>44177.15537349537</v>
      </c>
      <c r="BR13" s="41" t="s">
        <v>1582</v>
      </c>
      <c r="BS13" s="41">
        <v>4.1202202019628902E+18</v>
      </c>
      <c r="BT13" s="41" t="s">
        <v>1581</v>
      </c>
      <c r="BU13" s="41" t="s">
        <v>2420</v>
      </c>
      <c r="BV13" s="41">
        <v>2020</v>
      </c>
      <c r="BW13" s="41" t="s">
        <v>1579</v>
      </c>
      <c r="BY13" s="41">
        <v>4.1212202019737201E+18</v>
      </c>
      <c r="BZ13" s="41" t="s">
        <v>2419</v>
      </c>
      <c r="CA13" s="41" t="s">
        <v>1577</v>
      </c>
    </row>
    <row r="16" spans="1:79" x14ac:dyDescent="0.2">
      <c r="V16" s="41" t="str">
        <f>+V13&amp;X13&amp;Y13&amp;Z13</f>
        <v>1362 JUNIPER LNBLOOMFIELD HILLSMI483021959</v>
      </c>
    </row>
    <row r="20" spans="1:4" ht="15" x14ac:dyDescent="0.25">
      <c r="A20" s="35" t="s">
        <v>1803</v>
      </c>
      <c r="B20" t="s">
        <v>1805</v>
      </c>
      <c r="C20"/>
    </row>
    <row r="21" spans="1:4" ht="15" x14ac:dyDescent="0.25">
      <c r="A21" s="36" t="s">
        <v>190</v>
      </c>
      <c r="B21" s="2">
        <v>4992</v>
      </c>
      <c r="C21" s="44">
        <v>0.65410000000000001</v>
      </c>
      <c r="D21" s="41" t="s">
        <v>1</v>
      </c>
    </row>
    <row r="22" spans="1:4" ht="15" x14ac:dyDescent="0.25">
      <c r="A22" s="36" t="s">
        <v>1804</v>
      </c>
      <c r="B22" s="2">
        <v>4992</v>
      </c>
      <c r="C22" s="44">
        <f>1-C21</f>
        <v>0.34589999999999999</v>
      </c>
      <c r="D22" s="41" t="s">
        <v>1557</v>
      </c>
    </row>
    <row r="23" spans="1:4" ht="15" x14ac:dyDescent="0.25">
      <c r="A23"/>
      <c r="B23"/>
      <c r="C23"/>
    </row>
    <row r="24" spans="1:4" ht="15" x14ac:dyDescent="0.25">
      <c r="A24"/>
      <c r="B24"/>
      <c r="C24"/>
    </row>
    <row r="25" spans="1:4" ht="15" x14ac:dyDescent="0.25">
      <c r="A25"/>
      <c r="B25"/>
      <c r="C25"/>
    </row>
    <row r="26" spans="1:4" ht="15" x14ac:dyDescent="0.25">
      <c r="A26"/>
      <c r="B26"/>
      <c r="C26"/>
    </row>
    <row r="27" spans="1:4" ht="15" x14ac:dyDescent="0.25">
      <c r="A27"/>
      <c r="B27"/>
      <c r="C27"/>
    </row>
    <row r="28" spans="1:4" ht="15" x14ac:dyDescent="0.25">
      <c r="A28"/>
      <c r="B28"/>
      <c r="C28"/>
    </row>
    <row r="29" spans="1:4" ht="15" x14ac:dyDescent="0.25">
      <c r="A29"/>
      <c r="B29"/>
      <c r="C29"/>
    </row>
    <row r="30" spans="1:4" ht="15" x14ac:dyDescent="0.25">
      <c r="A30"/>
      <c r="B30"/>
      <c r="C30"/>
    </row>
    <row r="31" spans="1:4" ht="15" x14ac:dyDescent="0.25">
      <c r="A31"/>
      <c r="B31"/>
      <c r="C31"/>
    </row>
    <row r="32" spans="1:4" ht="15" x14ac:dyDescent="0.25">
      <c r="A32"/>
      <c r="B32"/>
      <c r="C32"/>
    </row>
    <row r="33" spans="1:3" ht="15" x14ac:dyDescent="0.25">
      <c r="A33"/>
      <c r="B33"/>
      <c r="C33"/>
    </row>
    <row r="34" spans="1:3" ht="15" x14ac:dyDescent="0.25">
      <c r="A34"/>
      <c r="B34"/>
      <c r="C34"/>
    </row>
    <row r="35" spans="1:3" ht="15" x14ac:dyDescent="0.25">
      <c r="A35"/>
      <c r="B35"/>
      <c r="C35"/>
    </row>
    <row r="36" spans="1:3" ht="15" x14ac:dyDescent="0.25">
      <c r="A36"/>
      <c r="B36"/>
      <c r="C36"/>
    </row>
    <row r="37" spans="1:3" ht="15" x14ac:dyDescent="0.25">
      <c r="A37"/>
      <c r="B37"/>
      <c r="C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57"/>
  <sheetViews>
    <sheetView topLeftCell="M124" workbookViewId="0">
      <selection activeCell="V134" sqref="V134"/>
    </sheetView>
  </sheetViews>
  <sheetFormatPr defaultRowHeight="12.75" x14ac:dyDescent="0.2"/>
  <cols>
    <col min="1" max="4" width="9.140625" style="38"/>
    <col min="5" max="5" width="46" style="38" bestFit="1" customWidth="1"/>
    <col min="6" max="6" width="34.5703125" style="38" bestFit="1" customWidth="1"/>
    <col min="7" max="12" width="9.140625" style="38"/>
    <col min="13" max="13" width="10" style="38" bestFit="1" customWidth="1"/>
    <col min="14" max="21" width="9.140625" style="38"/>
    <col min="22" max="24" width="9.28515625" style="38" bestFit="1" customWidth="1"/>
    <col min="25" max="48" width="9.140625" style="38"/>
    <col min="49" max="49" width="9.28515625" style="38" bestFit="1" customWidth="1"/>
    <col min="50" max="52" width="9.140625" style="38"/>
    <col min="53" max="53" width="9.28515625" style="38" bestFit="1" customWidth="1"/>
    <col min="54" max="57" width="9.140625" style="38"/>
    <col min="58" max="58" width="12.42578125" style="38" bestFit="1" customWidth="1"/>
    <col min="59" max="60" width="9.140625" style="38"/>
    <col min="61" max="61" width="9.28515625" style="38" bestFit="1" customWidth="1"/>
    <col min="62" max="63" width="9.140625" style="38"/>
    <col min="64" max="64" width="12.42578125" style="38" bestFit="1" customWidth="1"/>
    <col min="65" max="16384" width="9.140625" style="38"/>
  </cols>
  <sheetData>
    <row r="1" spans="1:79" x14ac:dyDescent="0.2">
      <c r="A1" s="38" t="s">
        <v>852</v>
      </c>
      <c r="B1" s="38" t="s">
        <v>147</v>
      </c>
      <c r="C1" s="38" t="s">
        <v>1802</v>
      </c>
      <c r="D1" s="38" t="s">
        <v>1801</v>
      </c>
      <c r="E1" s="38" t="s">
        <v>1800</v>
      </c>
      <c r="F1" s="38" t="s">
        <v>1799</v>
      </c>
      <c r="G1" s="38" t="s">
        <v>1798</v>
      </c>
      <c r="H1" s="38" t="s">
        <v>1797</v>
      </c>
      <c r="I1" s="38" t="s">
        <v>147</v>
      </c>
      <c r="J1" s="38" t="s">
        <v>1796</v>
      </c>
      <c r="K1" s="38" t="s">
        <v>1795</v>
      </c>
      <c r="L1" s="38" t="s">
        <v>1794</v>
      </c>
      <c r="M1" s="38" t="s">
        <v>1793</v>
      </c>
      <c r="N1" s="38" t="s">
        <v>1792</v>
      </c>
      <c r="O1" s="38" t="s">
        <v>1791</v>
      </c>
      <c r="P1" s="38" t="s">
        <v>1790</v>
      </c>
      <c r="Q1" s="38" t="s">
        <v>1789</v>
      </c>
      <c r="R1" s="38" t="s">
        <v>1788</v>
      </c>
      <c r="S1" s="38" t="s">
        <v>1787</v>
      </c>
      <c r="T1" s="38" t="s">
        <v>1786</v>
      </c>
      <c r="U1" s="38" t="s">
        <v>1785</v>
      </c>
      <c r="V1" s="38" t="s">
        <v>1784</v>
      </c>
      <c r="W1" s="38" t="s">
        <v>1783</v>
      </c>
      <c r="X1" s="38" t="s">
        <v>1782</v>
      </c>
      <c r="Y1" s="38" t="s">
        <v>1781</v>
      </c>
      <c r="Z1" s="38" t="s">
        <v>1780</v>
      </c>
      <c r="AA1" s="38" t="s">
        <v>1779</v>
      </c>
      <c r="AB1" s="38" t="s">
        <v>1778</v>
      </c>
      <c r="AC1" s="38" t="s">
        <v>1777</v>
      </c>
      <c r="AD1" s="38" t="s">
        <v>1776</v>
      </c>
      <c r="AE1" s="38" t="s">
        <v>1775</v>
      </c>
      <c r="AF1" s="38" t="s">
        <v>1774</v>
      </c>
      <c r="AG1" s="38" t="s">
        <v>1773</v>
      </c>
      <c r="AH1" s="38" t="s">
        <v>1772</v>
      </c>
      <c r="AI1" s="38" t="s">
        <v>1771</v>
      </c>
      <c r="AJ1" s="38" t="s">
        <v>1770</v>
      </c>
      <c r="AK1" s="38" t="s">
        <v>1769</v>
      </c>
      <c r="AL1" s="38" t="s">
        <v>1768</v>
      </c>
      <c r="AM1" s="38" t="s">
        <v>1767</v>
      </c>
      <c r="AN1" s="38" t="s">
        <v>1766</v>
      </c>
      <c r="AO1" s="38" t="s">
        <v>1765</v>
      </c>
      <c r="AP1" s="38" t="s">
        <v>1764</v>
      </c>
      <c r="AQ1" s="38" t="s">
        <v>1763</v>
      </c>
      <c r="AR1" s="38" t="s">
        <v>1762</v>
      </c>
      <c r="AS1" s="38" t="s">
        <v>1761</v>
      </c>
      <c r="AT1" s="38" t="s">
        <v>1760</v>
      </c>
      <c r="AU1" s="38" t="s">
        <v>1759</v>
      </c>
      <c r="AV1" s="38" t="s">
        <v>1758</v>
      </c>
      <c r="AW1" s="38" t="s">
        <v>1757</v>
      </c>
      <c r="AX1" s="38" t="s">
        <v>1756</v>
      </c>
      <c r="AY1" s="38" t="s">
        <v>1755</v>
      </c>
      <c r="AZ1" s="38" t="s">
        <v>1754</v>
      </c>
      <c r="BA1" s="38" t="s">
        <v>1753</v>
      </c>
      <c r="BB1" s="38" t="s">
        <v>1752</v>
      </c>
      <c r="BC1" s="38" t="s">
        <v>1751</v>
      </c>
      <c r="BD1" s="38" t="s">
        <v>1750</v>
      </c>
      <c r="BE1" s="38" t="s">
        <v>1749</v>
      </c>
      <c r="BF1" s="38" t="s">
        <v>1748</v>
      </c>
      <c r="BG1" s="38" t="s">
        <v>1747</v>
      </c>
      <c r="BH1" s="38" t="s">
        <v>1746</v>
      </c>
      <c r="BI1" s="38" t="s">
        <v>1745</v>
      </c>
      <c r="BJ1" s="38" t="s">
        <v>1744</v>
      </c>
      <c r="BK1" s="38" t="s">
        <v>1743</v>
      </c>
      <c r="BL1" s="38" t="s">
        <v>1742</v>
      </c>
      <c r="BM1" s="38" t="s">
        <v>1741</v>
      </c>
      <c r="BN1" s="38" t="s">
        <v>1740</v>
      </c>
      <c r="BO1" s="38" t="s">
        <v>1739</v>
      </c>
      <c r="BP1" s="38" t="s">
        <v>1738</v>
      </c>
      <c r="BQ1" s="38" t="s">
        <v>1737</v>
      </c>
      <c r="BR1" s="38" t="s">
        <v>1736</v>
      </c>
      <c r="BS1" s="38" t="s">
        <v>1735</v>
      </c>
      <c r="BT1" s="38" t="s">
        <v>1734</v>
      </c>
      <c r="BU1" s="38" t="s">
        <v>1733</v>
      </c>
      <c r="BV1" s="38" t="s">
        <v>1732</v>
      </c>
      <c r="BW1" s="38" t="s">
        <v>1731</v>
      </c>
      <c r="BX1" s="38" t="s">
        <v>1730</v>
      </c>
      <c r="BY1" s="38" t="s">
        <v>1729</v>
      </c>
      <c r="BZ1" s="38" t="s">
        <v>1728</v>
      </c>
      <c r="CA1" s="38" t="s">
        <v>1727</v>
      </c>
    </row>
    <row r="2" spans="1:79" x14ac:dyDescent="0.2">
      <c r="A2" s="38" t="s">
        <v>1550</v>
      </c>
      <c r="B2" s="38" t="s">
        <v>845</v>
      </c>
      <c r="C2" s="38">
        <v>2020</v>
      </c>
      <c r="D2" s="38" t="s">
        <v>1696</v>
      </c>
      <c r="E2" s="38">
        <v>2.02103109440432E+17</v>
      </c>
      <c r="F2" s="38" t="s">
        <v>1598</v>
      </c>
      <c r="G2" s="38" t="s">
        <v>2285</v>
      </c>
      <c r="H2" s="38">
        <v>1503618</v>
      </c>
      <c r="J2" s="38" t="s">
        <v>1596</v>
      </c>
      <c r="K2" s="38" t="s">
        <v>1595</v>
      </c>
      <c r="N2" s="38" t="s">
        <v>2076</v>
      </c>
      <c r="O2" s="38" t="s">
        <v>1593</v>
      </c>
      <c r="Q2" s="38" t="s">
        <v>1592</v>
      </c>
      <c r="R2" s="38" t="s">
        <v>2077</v>
      </c>
      <c r="T2" s="38" t="s">
        <v>2078</v>
      </c>
      <c r="V2" s="38" t="s">
        <v>2079</v>
      </c>
      <c r="X2" s="38" t="s">
        <v>2080</v>
      </c>
      <c r="Y2" s="38" t="s">
        <v>2081</v>
      </c>
      <c r="Z2" s="38">
        <v>33810</v>
      </c>
      <c r="AA2" s="38" t="s">
        <v>1587</v>
      </c>
      <c r="AB2" s="38" t="s">
        <v>1587</v>
      </c>
      <c r="AF2" s="38" t="s">
        <v>1819</v>
      </c>
      <c r="AI2" s="38">
        <v>44166</v>
      </c>
      <c r="AJ2" s="38">
        <v>50</v>
      </c>
      <c r="AK2" s="38">
        <v>75</v>
      </c>
      <c r="BK2" s="38" t="s">
        <v>48</v>
      </c>
      <c r="BL2" s="38" t="s">
        <v>1584</v>
      </c>
      <c r="BM2" s="38" t="s">
        <v>1583</v>
      </c>
      <c r="BN2" s="38">
        <v>44270.15041678241</v>
      </c>
      <c r="BR2" s="38" t="s">
        <v>1582</v>
      </c>
      <c r="BS2" s="38">
        <v>4.03112021125421E+18</v>
      </c>
      <c r="BT2" s="38" t="s">
        <v>1581</v>
      </c>
      <c r="BV2" s="38">
        <v>2020</v>
      </c>
      <c r="BW2" s="38" t="s">
        <v>1579</v>
      </c>
      <c r="BY2" s="38">
        <v>4.0315202112556099E+18</v>
      </c>
      <c r="BZ2" s="38" t="s">
        <v>2082</v>
      </c>
      <c r="CA2" s="38" t="s">
        <v>1577</v>
      </c>
    </row>
    <row r="3" spans="1:79" x14ac:dyDescent="0.2">
      <c r="A3" s="38" t="s">
        <v>1190</v>
      </c>
      <c r="B3" s="38" t="s">
        <v>485</v>
      </c>
      <c r="C3" s="38">
        <v>2020</v>
      </c>
      <c r="D3" s="38" t="s">
        <v>1659</v>
      </c>
      <c r="E3" s="38">
        <v>2.02102099427616E+17</v>
      </c>
      <c r="F3" s="38" t="s">
        <v>1598</v>
      </c>
      <c r="G3" s="38" t="s">
        <v>2286</v>
      </c>
      <c r="H3" s="38">
        <v>1499308</v>
      </c>
      <c r="J3" s="38" t="s">
        <v>1596</v>
      </c>
      <c r="K3" s="38" t="s">
        <v>1595</v>
      </c>
      <c r="N3" s="38" t="s">
        <v>2083</v>
      </c>
      <c r="O3" s="38" t="s">
        <v>0</v>
      </c>
      <c r="Q3" s="38" t="s">
        <v>58</v>
      </c>
      <c r="R3" s="38" t="s">
        <v>2077</v>
      </c>
      <c r="T3" s="38" t="s">
        <v>2084</v>
      </c>
      <c r="V3" s="38" t="s">
        <v>2085</v>
      </c>
      <c r="X3" s="38" t="s">
        <v>2080</v>
      </c>
      <c r="Y3" s="38" t="s">
        <v>2081</v>
      </c>
      <c r="Z3" s="38">
        <v>33810</v>
      </c>
      <c r="AA3" s="38" t="s">
        <v>1587</v>
      </c>
      <c r="AB3" s="38" t="s">
        <v>1587</v>
      </c>
      <c r="AF3" s="38" t="s">
        <v>2086</v>
      </c>
      <c r="AI3" s="38">
        <v>44016</v>
      </c>
      <c r="AJ3" s="38">
        <v>42</v>
      </c>
      <c r="AK3" s="38">
        <v>42</v>
      </c>
      <c r="BK3" s="38" t="s">
        <v>48</v>
      </c>
      <c r="BL3" s="38" t="s">
        <v>1584</v>
      </c>
      <c r="BM3" s="38" t="s">
        <v>1583</v>
      </c>
      <c r="BN3" s="38">
        <v>44249.164449189811</v>
      </c>
      <c r="BR3" s="38" t="s">
        <v>1582</v>
      </c>
      <c r="BS3" s="38">
        <v>4.02112021113342E+18</v>
      </c>
      <c r="BT3" s="38" t="s">
        <v>1581</v>
      </c>
      <c r="BV3" s="38">
        <v>2020</v>
      </c>
      <c r="BW3" s="38" t="s">
        <v>1579</v>
      </c>
      <c r="BY3" s="38">
        <v>4.0222202111626501E+18</v>
      </c>
      <c r="BZ3" s="38" t="s">
        <v>2087</v>
      </c>
      <c r="CA3" s="38" t="s">
        <v>1577</v>
      </c>
    </row>
    <row r="4" spans="1:79" x14ac:dyDescent="0.2">
      <c r="A4" s="38" t="s">
        <v>1190</v>
      </c>
      <c r="B4" s="38" t="s">
        <v>485</v>
      </c>
      <c r="C4" s="38">
        <v>2020</v>
      </c>
      <c r="D4" s="38" t="s">
        <v>1659</v>
      </c>
      <c r="E4" s="38">
        <v>2.02102099427616E+17</v>
      </c>
      <c r="F4" s="38" t="s">
        <v>1598</v>
      </c>
      <c r="G4" s="38" t="s">
        <v>2287</v>
      </c>
      <c r="H4" s="38">
        <v>1499308</v>
      </c>
      <c r="J4" s="38" t="s">
        <v>1596</v>
      </c>
      <c r="K4" s="38" t="s">
        <v>1595</v>
      </c>
      <c r="N4" s="38" t="s">
        <v>2083</v>
      </c>
      <c r="O4" s="38" t="s">
        <v>0</v>
      </c>
      <c r="Q4" s="38" t="s">
        <v>58</v>
      </c>
      <c r="R4" s="38" t="s">
        <v>2077</v>
      </c>
      <c r="T4" s="38" t="s">
        <v>2084</v>
      </c>
      <c r="V4" s="38" t="s">
        <v>2085</v>
      </c>
      <c r="X4" s="38" t="s">
        <v>2080</v>
      </c>
      <c r="Y4" s="38" t="s">
        <v>2081</v>
      </c>
      <c r="Z4" s="38">
        <v>33810</v>
      </c>
      <c r="AA4" s="38" t="s">
        <v>1587</v>
      </c>
      <c r="AB4" s="38" t="s">
        <v>1587</v>
      </c>
      <c r="AF4" s="38" t="s">
        <v>2088</v>
      </c>
      <c r="AI4" s="38">
        <v>44019</v>
      </c>
      <c r="AJ4" s="38">
        <v>35</v>
      </c>
      <c r="AK4" s="38">
        <v>77</v>
      </c>
      <c r="BK4" s="38" t="s">
        <v>48</v>
      </c>
      <c r="BL4" s="38" t="s">
        <v>1584</v>
      </c>
      <c r="BM4" s="38" t="s">
        <v>1583</v>
      </c>
      <c r="BN4" s="38">
        <v>44249.164449201387</v>
      </c>
      <c r="BR4" s="38" t="s">
        <v>1582</v>
      </c>
      <c r="BS4" s="38">
        <v>4.02112021113342E+18</v>
      </c>
      <c r="BT4" s="38" t="s">
        <v>1581</v>
      </c>
      <c r="BV4" s="38">
        <v>2020</v>
      </c>
      <c r="BW4" s="38" t="s">
        <v>1579</v>
      </c>
      <c r="BY4" s="38">
        <v>4.0222202111626501E+18</v>
      </c>
      <c r="BZ4" s="38" t="s">
        <v>2087</v>
      </c>
      <c r="CA4" s="38" t="s">
        <v>1577</v>
      </c>
    </row>
    <row r="5" spans="1:79" x14ac:dyDescent="0.2">
      <c r="A5" s="38" t="s">
        <v>1190</v>
      </c>
      <c r="B5" s="38" t="s">
        <v>485</v>
      </c>
      <c r="C5" s="38">
        <v>2020</v>
      </c>
      <c r="D5" s="38" t="s">
        <v>1659</v>
      </c>
      <c r="E5" s="38">
        <v>2.02102099427616E+17</v>
      </c>
      <c r="F5" s="38" t="s">
        <v>1598</v>
      </c>
      <c r="G5" s="38" t="s">
        <v>2288</v>
      </c>
      <c r="H5" s="38">
        <v>1499308</v>
      </c>
      <c r="J5" s="38" t="s">
        <v>1596</v>
      </c>
      <c r="K5" s="38" t="s">
        <v>1595</v>
      </c>
      <c r="N5" s="38" t="s">
        <v>2083</v>
      </c>
      <c r="O5" s="38" t="s">
        <v>0</v>
      </c>
      <c r="Q5" s="38" t="s">
        <v>58</v>
      </c>
      <c r="R5" s="38" t="s">
        <v>2077</v>
      </c>
      <c r="T5" s="38" t="s">
        <v>2084</v>
      </c>
      <c r="V5" s="38" t="s">
        <v>2085</v>
      </c>
      <c r="X5" s="38" t="s">
        <v>2080</v>
      </c>
      <c r="Y5" s="38" t="s">
        <v>2081</v>
      </c>
      <c r="Z5" s="38">
        <v>33810</v>
      </c>
      <c r="AA5" s="38" t="s">
        <v>1587</v>
      </c>
      <c r="AB5" s="38" t="s">
        <v>1587</v>
      </c>
      <c r="AF5" s="38" t="s">
        <v>2089</v>
      </c>
      <c r="AI5" s="38">
        <v>44026</v>
      </c>
      <c r="AJ5" s="38">
        <v>42</v>
      </c>
      <c r="AK5" s="38">
        <v>119</v>
      </c>
      <c r="BK5" s="38" t="s">
        <v>48</v>
      </c>
      <c r="BL5" s="38" t="s">
        <v>1584</v>
      </c>
      <c r="BM5" s="38" t="s">
        <v>1583</v>
      </c>
      <c r="BN5" s="38">
        <v>44249.164449201387</v>
      </c>
      <c r="BR5" s="38" t="s">
        <v>1582</v>
      </c>
      <c r="BS5" s="38">
        <v>4.02112021113342E+18</v>
      </c>
      <c r="BT5" s="38" t="s">
        <v>1581</v>
      </c>
      <c r="BV5" s="38">
        <v>2020</v>
      </c>
      <c r="BW5" s="38" t="s">
        <v>1579</v>
      </c>
      <c r="BY5" s="38">
        <v>4.0222202111626501E+18</v>
      </c>
      <c r="BZ5" s="38" t="s">
        <v>2090</v>
      </c>
      <c r="CA5" s="38" t="s">
        <v>1577</v>
      </c>
    </row>
    <row r="6" spans="1:79" x14ac:dyDescent="0.2">
      <c r="A6" s="38" t="s">
        <v>1190</v>
      </c>
      <c r="B6" s="38" t="s">
        <v>485</v>
      </c>
      <c r="C6" s="38">
        <v>2020</v>
      </c>
      <c r="D6" s="38" t="s">
        <v>1659</v>
      </c>
      <c r="E6" s="38">
        <v>2.02102099427616E+17</v>
      </c>
      <c r="F6" s="38" t="s">
        <v>1598</v>
      </c>
      <c r="G6" s="38" t="s">
        <v>2289</v>
      </c>
      <c r="H6" s="38">
        <v>1499308</v>
      </c>
      <c r="J6" s="38" t="s">
        <v>1596</v>
      </c>
      <c r="K6" s="38" t="s">
        <v>1595</v>
      </c>
      <c r="N6" s="38" t="s">
        <v>2083</v>
      </c>
      <c r="O6" s="38" t="s">
        <v>0</v>
      </c>
      <c r="Q6" s="38" t="s">
        <v>58</v>
      </c>
      <c r="R6" s="38" t="s">
        <v>2077</v>
      </c>
      <c r="T6" s="38" t="s">
        <v>2084</v>
      </c>
      <c r="V6" s="38" t="s">
        <v>2085</v>
      </c>
      <c r="X6" s="38" t="s">
        <v>2080</v>
      </c>
      <c r="Y6" s="38" t="s">
        <v>2081</v>
      </c>
      <c r="Z6" s="38">
        <v>33810</v>
      </c>
      <c r="AA6" s="38" t="s">
        <v>1587</v>
      </c>
      <c r="AB6" s="38" t="s">
        <v>1587</v>
      </c>
      <c r="AF6" s="38" t="s">
        <v>2091</v>
      </c>
      <c r="AI6" s="38">
        <v>44047</v>
      </c>
      <c r="AJ6" s="38">
        <v>42</v>
      </c>
      <c r="AK6" s="38">
        <v>161</v>
      </c>
      <c r="BK6" s="38" t="s">
        <v>48</v>
      </c>
      <c r="BL6" s="38" t="s">
        <v>1584</v>
      </c>
      <c r="BM6" s="38" t="s">
        <v>1583</v>
      </c>
      <c r="BN6" s="38">
        <v>44249.164449201387</v>
      </c>
      <c r="BR6" s="38" t="s">
        <v>1582</v>
      </c>
      <c r="BS6" s="38">
        <v>4.02112021113342E+18</v>
      </c>
      <c r="BT6" s="38" t="s">
        <v>1581</v>
      </c>
      <c r="BV6" s="38">
        <v>2020</v>
      </c>
      <c r="BW6" s="38" t="s">
        <v>1579</v>
      </c>
      <c r="BY6" s="38">
        <v>4.0222202111626501E+18</v>
      </c>
      <c r="BZ6" s="38" t="s">
        <v>2090</v>
      </c>
      <c r="CA6" s="38" t="s">
        <v>1577</v>
      </c>
    </row>
    <row r="7" spans="1:79" x14ac:dyDescent="0.2">
      <c r="A7" s="38" t="s">
        <v>1190</v>
      </c>
      <c r="B7" s="38" t="s">
        <v>485</v>
      </c>
      <c r="C7" s="38">
        <v>2020</v>
      </c>
      <c r="D7" s="38" t="s">
        <v>1659</v>
      </c>
      <c r="E7" s="38">
        <v>2.02102099427616E+17</v>
      </c>
      <c r="F7" s="38" t="s">
        <v>1598</v>
      </c>
      <c r="G7" s="38" t="s">
        <v>2290</v>
      </c>
      <c r="H7" s="38">
        <v>1499308</v>
      </c>
      <c r="J7" s="38" t="s">
        <v>1596</v>
      </c>
      <c r="K7" s="38" t="s">
        <v>1595</v>
      </c>
      <c r="N7" s="38" t="s">
        <v>2083</v>
      </c>
      <c r="O7" s="38" t="s">
        <v>0</v>
      </c>
      <c r="Q7" s="38" t="s">
        <v>58</v>
      </c>
      <c r="R7" s="38" t="s">
        <v>2077</v>
      </c>
      <c r="T7" s="38" t="s">
        <v>2084</v>
      </c>
      <c r="V7" s="38" t="s">
        <v>2085</v>
      </c>
      <c r="X7" s="38" t="s">
        <v>2080</v>
      </c>
      <c r="Y7" s="38" t="s">
        <v>2081</v>
      </c>
      <c r="Z7" s="38">
        <v>33810</v>
      </c>
      <c r="AA7" s="38" t="s">
        <v>1587</v>
      </c>
      <c r="AB7" s="38" t="s">
        <v>1587</v>
      </c>
      <c r="AD7" s="38" t="s">
        <v>1608</v>
      </c>
      <c r="AE7" s="38" t="s">
        <v>1607</v>
      </c>
      <c r="AF7" s="38" t="s">
        <v>2092</v>
      </c>
      <c r="AI7" s="38">
        <v>44078</v>
      </c>
      <c r="AJ7" s="38">
        <v>42</v>
      </c>
      <c r="AK7" s="38">
        <v>203</v>
      </c>
      <c r="BG7" s="38" t="s">
        <v>26</v>
      </c>
      <c r="BI7" s="38" t="s">
        <v>1648</v>
      </c>
      <c r="BK7" s="38" t="s">
        <v>48</v>
      </c>
      <c r="BL7" s="38" t="s">
        <v>1584</v>
      </c>
      <c r="BM7" s="38" t="s">
        <v>1583</v>
      </c>
      <c r="BN7" s="38">
        <v>44249.164449201387</v>
      </c>
      <c r="BR7" s="38" t="s">
        <v>1582</v>
      </c>
      <c r="BS7" s="38">
        <v>4.02112021113342E+18</v>
      </c>
      <c r="BT7" s="38" t="s">
        <v>1581</v>
      </c>
      <c r="BV7" s="38">
        <v>2020</v>
      </c>
      <c r="BW7" s="38" t="s">
        <v>1579</v>
      </c>
      <c r="BY7" s="38">
        <v>4.0222202111626501E+18</v>
      </c>
      <c r="BZ7" s="38" t="s">
        <v>2090</v>
      </c>
      <c r="CA7" s="38" t="s">
        <v>1577</v>
      </c>
    </row>
    <row r="8" spans="1:79" x14ac:dyDescent="0.2">
      <c r="A8" s="38" t="s">
        <v>1309</v>
      </c>
      <c r="B8" s="38" t="s">
        <v>604</v>
      </c>
      <c r="C8" s="38">
        <v>2020</v>
      </c>
      <c r="D8" s="38" t="s">
        <v>1659</v>
      </c>
      <c r="E8" s="38">
        <v>2.0210125940787398E+17</v>
      </c>
      <c r="F8" s="38" t="s">
        <v>1598</v>
      </c>
      <c r="G8" s="38" t="s">
        <v>2291</v>
      </c>
      <c r="H8" s="38">
        <v>1490496</v>
      </c>
      <c r="J8" s="38" t="s">
        <v>1596</v>
      </c>
      <c r="K8" s="38" t="s">
        <v>1595</v>
      </c>
      <c r="L8" s="38" t="s">
        <v>1075</v>
      </c>
      <c r="N8" s="38" t="s">
        <v>2076</v>
      </c>
      <c r="O8" s="38" t="s">
        <v>1593</v>
      </c>
      <c r="Q8" s="38" t="s">
        <v>1592</v>
      </c>
      <c r="R8" s="38" t="s">
        <v>2077</v>
      </c>
      <c r="T8" s="38" t="s">
        <v>2078</v>
      </c>
      <c r="V8" s="38" t="s">
        <v>2085</v>
      </c>
      <c r="X8" s="38" t="s">
        <v>2080</v>
      </c>
      <c r="Y8" s="38" t="s">
        <v>2081</v>
      </c>
      <c r="Z8" s="38">
        <v>338100789</v>
      </c>
      <c r="AA8" s="38" t="s">
        <v>1587</v>
      </c>
      <c r="AB8" s="38" t="s">
        <v>1587</v>
      </c>
      <c r="AC8" s="38" t="s">
        <v>1075</v>
      </c>
      <c r="AD8" s="38" t="s">
        <v>1608</v>
      </c>
      <c r="AE8" s="38" t="s">
        <v>1607</v>
      </c>
      <c r="AF8" s="38" t="s">
        <v>2093</v>
      </c>
      <c r="AI8" s="38">
        <v>44078</v>
      </c>
      <c r="AJ8" s="38">
        <v>10</v>
      </c>
      <c r="AK8" s="38">
        <v>1097.76</v>
      </c>
      <c r="AL8" s="38" t="s">
        <v>2094</v>
      </c>
      <c r="BK8" s="38" t="s">
        <v>48</v>
      </c>
      <c r="BL8" s="38" t="s">
        <v>1584</v>
      </c>
      <c r="BM8" s="38" t="s">
        <v>1583</v>
      </c>
      <c r="BN8" s="38">
        <v>44252.570317858794</v>
      </c>
      <c r="BR8" s="38" t="s">
        <v>1582</v>
      </c>
      <c r="BS8" s="38">
        <v>4.0125202121377597E+18</v>
      </c>
      <c r="BT8" s="38" t="s">
        <v>1581</v>
      </c>
      <c r="BV8" s="38">
        <v>2020</v>
      </c>
      <c r="BW8" s="38" t="s">
        <v>1579</v>
      </c>
      <c r="BY8" s="38">
        <v>4.0224202111793101E+18</v>
      </c>
      <c r="BZ8" s="38" t="s">
        <v>2095</v>
      </c>
      <c r="CA8" s="38" t="s">
        <v>1577</v>
      </c>
    </row>
    <row r="9" spans="1:79" x14ac:dyDescent="0.2">
      <c r="A9" s="38" t="s">
        <v>1190</v>
      </c>
      <c r="B9" s="38" t="s">
        <v>485</v>
      </c>
      <c r="C9" s="38">
        <v>2020</v>
      </c>
      <c r="D9" s="38" t="s">
        <v>1659</v>
      </c>
      <c r="E9" s="38">
        <v>2.02102099427616E+17</v>
      </c>
      <c r="F9" s="38" t="s">
        <v>1598</v>
      </c>
      <c r="G9" s="38" t="s">
        <v>2292</v>
      </c>
      <c r="H9" s="38">
        <v>1499308</v>
      </c>
      <c r="J9" s="38" t="s">
        <v>1596</v>
      </c>
      <c r="K9" s="38" t="s">
        <v>1595</v>
      </c>
      <c r="N9" s="38" t="s">
        <v>2083</v>
      </c>
      <c r="O9" s="38" t="s">
        <v>0</v>
      </c>
      <c r="Q9" s="38" t="s">
        <v>58</v>
      </c>
      <c r="R9" s="38" t="s">
        <v>2077</v>
      </c>
      <c r="T9" s="38" t="s">
        <v>2084</v>
      </c>
      <c r="V9" s="38" t="s">
        <v>2085</v>
      </c>
      <c r="X9" s="38" t="s">
        <v>2080</v>
      </c>
      <c r="Y9" s="38" t="s">
        <v>2081</v>
      </c>
      <c r="Z9" s="38">
        <v>33810</v>
      </c>
      <c r="AA9" s="38" t="s">
        <v>1587</v>
      </c>
      <c r="AB9" s="38" t="s">
        <v>1587</v>
      </c>
      <c r="AD9" s="38" t="s">
        <v>1608</v>
      </c>
      <c r="AE9" s="38" t="s">
        <v>1607</v>
      </c>
      <c r="AF9" s="38" t="s">
        <v>2096</v>
      </c>
      <c r="AI9" s="38">
        <v>44097</v>
      </c>
      <c r="AJ9" s="38">
        <v>10</v>
      </c>
      <c r="AK9" s="38">
        <v>213</v>
      </c>
      <c r="BG9" s="38" t="s">
        <v>26</v>
      </c>
      <c r="BI9" s="38" t="s">
        <v>1648</v>
      </c>
      <c r="BK9" s="38" t="s">
        <v>48</v>
      </c>
      <c r="BL9" s="38" t="s">
        <v>1584</v>
      </c>
      <c r="BM9" s="38" t="s">
        <v>1583</v>
      </c>
      <c r="BN9" s="38">
        <v>44249.164449201387</v>
      </c>
      <c r="BR9" s="38" t="s">
        <v>1582</v>
      </c>
      <c r="BS9" s="38">
        <v>4.02112021113342E+18</v>
      </c>
      <c r="BT9" s="38" t="s">
        <v>1581</v>
      </c>
      <c r="BV9" s="38">
        <v>2020</v>
      </c>
      <c r="BW9" s="38" t="s">
        <v>1579</v>
      </c>
      <c r="BY9" s="38">
        <v>4.0222202111626501E+18</v>
      </c>
      <c r="BZ9" s="38" t="s">
        <v>2097</v>
      </c>
      <c r="CA9" s="38" t="s">
        <v>1577</v>
      </c>
    </row>
    <row r="10" spans="1:79" x14ac:dyDescent="0.2">
      <c r="A10" s="38" t="s">
        <v>1309</v>
      </c>
      <c r="B10" s="38" t="s">
        <v>604</v>
      </c>
      <c r="C10" s="38">
        <v>2020</v>
      </c>
      <c r="D10" s="38" t="s">
        <v>1659</v>
      </c>
      <c r="E10" s="38">
        <v>2.0210125940860499E+17</v>
      </c>
      <c r="F10" s="38" t="s">
        <v>1598</v>
      </c>
      <c r="G10" s="38" t="s">
        <v>2293</v>
      </c>
      <c r="H10" s="38">
        <v>1490496</v>
      </c>
      <c r="J10" s="38" t="s">
        <v>1596</v>
      </c>
      <c r="K10" s="38" t="s">
        <v>1595</v>
      </c>
      <c r="L10" s="38" t="s">
        <v>1049</v>
      </c>
      <c r="N10" s="38" t="s">
        <v>2076</v>
      </c>
      <c r="O10" s="38" t="s">
        <v>1593</v>
      </c>
      <c r="Q10" s="38" t="s">
        <v>1592</v>
      </c>
      <c r="R10" s="38" t="s">
        <v>2077</v>
      </c>
      <c r="T10" s="38" t="s">
        <v>2078</v>
      </c>
      <c r="V10" s="38" t="s">
        <v>2085</v>
      </c>
      <c r="X10" s="38" t="s">
        <v>2080</v>
      </c>
      <c r="Y10" s="38" t="s">
        <v>2081</v>
      </c>
      <c r="Z10" s="38">
        <v>338100789</v>
      </c>
      <c r="AA10" s="38" t="s">
        <v>1587</v>
      </c>
      <c r="AB10" s="38" t="s">
        <v>1587</v>
      </c>
      <c r="AC10" s="38" t="s">
        <v>1049</v>
      </c>
      <c r="AD10" s="38" t="s">
        <v>1608</v>
      </c>
      <c r="AE10" s="38" t="s">
        <v>1607</v>
      </c>
      <c r="AF10" s="38" t="s">
        <v>2098</v>
      </c>
      <c r="AI10" s="38">
        <v>44095</v>
      </c>
      <c r="AJ10" s="38">
        <v>10</v>
      </c>
      <c r="AK10" s="38">
        <v>1177.76</v>
      </c>
      <c r="AL10" s="38" t="s">
        <v>2099</v>
      </c>
      <c r="BK10" s="38" t="s">
        <v>48</v>
      </c>
      <c r="BL10" s="38" t="s">
        <v>1584</v>
      </c>
      <c r="BM10" s="38" t="s">
        <v>1583</v>
      </c>
      <c r="BN10" s="38">
        <v>44252.57867412037</v>
      </c>
      <c r="BR10" s="38" t="s">
        <v>1582</v>
      </c>
      <c r="BS10" s="38">
        <v>4.0125202121377597E+18</v>
      </c>
      <c r="BT10" s="38" t="s">
        <v>1581</v>
      </c>
      <c r="BV10" s="38">
        <v>2020</v>
      </c>
      <c r="BW10" s="38" t="s">
        <v>1579</v>
      </c>
      <c r="BY10" s="38">
        <v>4.0224202111878702E+18</v>
      </c>
      <c r="BZ10" s="38" t="s">
        <v>2100</v>
      </c>
      <c r="CA10" s="38" t="s">
        <v>1577</v>
      </c>
    </row>
    <row r="11" spans="1:79" x14ac:dyDescent="0.2">
      <c r="A11" s="38" t="s">
        <v>1309</v>
      </c>
      <c r="B11" s="38" t="s">
        <v>604</v>
      </c>
      <c r="C11" s="38">
        <v>2020</v>
      </c>
      <c r="D11" s="38" t="s">
        <v>1659</v>
      </c>
      <c r="E11" s="38">
        <v>2.0210125940920701E+17</v>
      </c>
      <c r="F11" s="38" t="s">
        <v>1598</v>
      </c>
      <c r="G11" s="38" t="s">
        <v>2294</v>
      </c>
      <c r="H11" s="38">
        <v>1490496</v>
      </c>
      <c r="J11" s="38" t="s">
        <v>1596</v>
      </c>
      <c r="K11" s="38" t="s">
        <v>1595</v>
      </c>
      <c r="L11" s="38" t="s">
        <v>1358</v>
      </c>
      <c r="N11" s="38" t="s">
        <v>2076</v>
      </c>
      <c r="O11" s="38" t="s">
        <v>1593</v>
      </c>
      <c r="Q11" s="38" t="s">
        <v>1592</v>
      </c>
      <c r="R11" s="38" t="s">
        <v>2077</v>
      </c>
      <c r="T11" s="38" t="s">
        <v>2078</v>
      </c>
      <c r="V11" s="38" t="s">
        <v>2085</v>
      </c>
      <c r="X11" s="38" t="s">
        <v>2080</v>
      </c>
      <c r="Y11" s="38" t="s">
        <v>2081</v>
      </c>
      <c r="Z11" s="38">
        <v>338100789</v>
      </c>
      <c r="AA11" s="38" t="s">
        <v>1587</v>
      </c>
      <c r="AB11" s="38" t="s">
        <v>1587</v>
      </c>
      <c r="AC11" s="38" t="s">
        <v>1358</v>
      </c>
      <c r="AD11" s="38" t="s">
        <v>1608</v>
      </c>
      <c r="AE11" s="38" t="s">
        <v>1607</v>
      </c>
      <c r="AF11" s="38" t="s">
        <v>2101</v>
      </c>
      <c r="AI11" s="38">
        <v>44104</v>
      </c>
      <c r="AJ11" s="38">
        <v>10</v>
      </c>
      <c r="AK11" s="38">
        <v>1312.76</v>
      </c>
      <c r="AL11" s="38" t="s">
        <v>2102</v>
      </c>
      <c r="BK11" s="38" t="s">
        <v>48</v>
      </c>
      <c r="BL11" s="38" t="s">
        <v>1584</v>
      </c>
      <c r="BM11" s="38" t="s">
        <v>1583</v>
      </c>
      <c r="BN11" s="38">
        <v>44252.571768263886</v>
      </c>
      <c r="BR11" s="38" t="s">
        <v>1582</v>
      </c>
      <c r="BS11" s="38">
        <v>4.0125202121377597E+18</v>
      </c>
      <c r="BT11" s="38" t="s">
        <v>1581</v>
      </c>
      <c r="BV11" s="38">
        <v>2020</v>
      </c>
      <c r="BW11" s="38" t="s">
        <v>1579</v>
      </c>
      <c r="BY11" s="38">
        <v>4.02242021117933E+18</v>
      </c>
      <c r="BZ11" s="38" t="s">
        <v>2103</v>
      </c>
      <c r="CA11" s="38" t="s">
        <v>1577</v>
      </c>
    </row>
    <row r="12" spans="1:79" x14ac:dyDescent="0.2">
      <c r="A12" s="38" t="s">
        <v>1309</v>
      </c>
      <c r="B12" s="38" t="s">
        <v>604</v>
      </c>
      <c r="C12" s="38">
        <v>2020</v>
      </c>
      <c r="D12" s="38" t="s">
        <v>1659</v>
      </c>
      <c r="E12" s="38">
        <v>2.0210125940673699E+17</v>
      </c>
      <c r="F12" s="38" t="s">
        <v>1598</v>
      </c>
      <c r="G12" s="38" t="s">
        <v>2295</v>
      </c>
      <c r="H12" s="38">
        <v>1490496</v>
      </c>
      <c r="J12" s="38" t="s">
        <v>1596</v>
      </c>
      <c r="K12" s="38" t="s">
        <v>1595</v>
      </c>
      <c r="L12" s="38" t="s">
        <v>1398</v>
      </c>
      <c r="N12" s="38" t="s">
        <v>2076</v>
      </c>
      <c r="O12" s="38" t="s">
        <v>1593</v>
      </c>
      <c r="Q12" s="38" t="s">
        <v>1592</v>
      </c>
      <c r="R12" s="38" t="s">
        <v>2077</v>
      </c>
      <c r="T12" s="38" t="s">
        <v>2078</v>
      </c>
      <c r="V12" s="38" t="s">
        <v>2085</v>
      </c>
      <c r="X12" s="38" t="s">
        <v>2080</v>
      </c>
      <c r="Y12" s="38" t="s">
        <v>2081</v>
      </c>
      <c r="Z12" s="38">
        <v>338100789</v>
      </c>
      <c r="AA12" s="38" t="s">
        <v>1587</v>
      </c>
      <c r="AB12" s="38" t="s">
        <v>1587</v>
      </c>
      <c r="AC12" s="38" t="s">
        <v>1398</v>
      </c>
      <c r="AD12" s="38" t="s">
        <v>1608</v>
      </c>
      <c r="AE12" s="38" t="s">
        <v>1607</v>
      </c>
      <c r="AF12" s="38" t="s">
        <v>2104</v>
      </c>
      <c r="AI12" s="38">
        <v>44052</v>
      </c>
      <c r="AJ12" s="38">
        <v>15</v>
      </c>
      <c r="AK12" s="38">
        <v>868</v>
      </c>
      <c r="AL12" s="38" t="s">
        <v>2105</v>
      </c>
      <c r="BK12" s="38" t="s">
        <v>48</v>
      </c>
      <c r="BL12" s="38" t="s">
        <v>1584</v>
      </c>
      <c r="BM12" s="38" t="s">
        <v>1583</v>
      </c>
      <c r="BN12" s="38">
        <v>44252.575423032409</v>
      </c>
      <c r="BR12" s="38" t="s">
        <v>1582</v>
      </c>
      <c r="BS12" s="38">
        <v>4.0125202121377597E+18</v>
      </c>
      <c r="BT12" s="38" t="s">
        <v>1581</v>
      </c>
      <c r="BV12" s="38">
        <v>2020</v>
      </c>
      <c r="BW12" s="38" t="s">
        <v>1579</v>
      </c>
      <c r="BY12" s="38">
        <v>4.02242021117871E+18</v>
      </c>
      <c r="BZ12" s="38" t="s">
        <v>2106</v>
      </c>
      <c r="CA12" s="38" t="s">
        <v>1577</v>
      </c>
    </row>
    <row r="13" spans="1:79" x14ac:dyDescent="0.2">
      <c r="A13" s="38" t="s">
        <v>1309</v>
      </c>
      <c r="B13" s="38" t="s">
        <v>604</v>
      </c>
      <c r="C13" s="38">
        <v>2020</v>
      </c>
      <c r="D13" s="38" t="s">
        <v>1659</v>
      </c>
      <c r="E13" s="38">
        <v>2.0210125940901402E+17</v>
      </c>
      <c r="F13" s="38" t="s">
        <v>1598</v>
      </c>
      <c r="G13" s="38" t="s">
        <v>2296</v>
      </c>
      <c r="H13" s="38">
        <v>1490496</v>
      </c>
      <c r="J13" s="38" t="s">
        <v>1596</v>
      </c>
      <c r="K13" s="38" t="s">
        <v>1595</v>
      </c>
      <c r="L13" s="38" t="s">
        <v>1269</v>
      </c>
      <c r="N13" s="38" t="s">
        <v>2076</v>
      </c>
      <c r="O13" s="38" t="s">
        <v>1593</v>
      </c>
      <c r="Q13" s="38" t="s">
        <v>1592</v>
      </c>
      <c r="R13" s="38" t="s">
        <v>2077</v>
      </c>
      <c r="T13" s="38" t="s">
        <v>2078</v>
      </c>
      <c r="V13" s="38" t="s">
        <v>2085</v>
      </c>
      <c r="X13" s="38" t="s">
        <v>2080</v>
      </c>
      <c r="Y13" s="38" t="s">
        <v>2081</v>
      </c>
      <c r="Z13" s="38">
        <v>338100789</v>
      </c>
      <c r="AA13" s="38" t="s">
        <v>1587</v>
      </c>
      <c r="AB13" s="38" t="s">
        <v>1587</v>
      </c>
      <c r="AC13" s="38" t="s">
        <v>1269</v>
      </c>
      <c r="AD13" s="38" t="s">
        <v>1608</v>
      </c>
      <c r="AE13" s="38" t="s">
        <v>1607</v>
      </c>
      <c r="AF13" s="38" t="s">
        <v>2107</v>
      </c>
      <c r="AI13" s="38">
        <v>44102</v>
      </c>
      <c r="AJ13" s="38">
        <v>10</v>
      </c>
      <c r="AK13" s="38">
        <v>1292.76</v>
      </c>
      <c r="AL13" s="38" t="s">
        <v>2108</v>
      </c>
      <c r="BK13" s="38" t="s">
        <v>48</v>
      </c>
      <c r="BL13" s="38" t="s">
        <v>1584</v>
      </c>
      <c r="BM13" s="38" t="s">
        <v>1583</v>
      </c>
      <c r="BN13" s="38">
        <v>44252.572309270836</v>
      </c>
      <c r="BR13" s="38" t="s">
        <v>1582</v>
      </c>
      <c r="BS13" s="38">
        <v>4.0125202121377597E+18</v>
      </c>
      <c r="BT13" s="38" t="s">
        <v>1581</v>
      </c>
      <c r="BV13" s="38">
        <v>2020</v>
      </c>
      <c r="BW13" s="38" t="s">
        <v>1579</v>
      </c>
      <c r="BY13" s="38">
        <v>4.02242021117939E+18</v>
      </c>
      <c r="BZ13" s="38" t="s">
        <v>2109</v>
      </c>
      <c r="CA13" s="38" t="s">
        <v>1577</v>
      </c>
    </row>
    <row r="14" spans="1:79" x14ac:dyDescent="0.2">
      <c r="A14" s="38" t="s">
        <v>1309</v>
      </c>
      <c r="B14" s="38" t="s">
        <v>604</v>
      </c>
      <c r="C14" s="38">
        <v>2020</v>
      </c>
      <c r="D14" s="38" t="s">
        <v>1659</v>
      </c>
      <c r="E14" s="38">
        <v>2.0210125940691398E+17</v>
      </c>
      <c r="F14" s="38" t="s">
        <v>1598</v>
      </c>
      <c r="G14" s="38" t="s">
        <v>2297</v>
      </c>
      <c r="H14" s="38">
        <v>1490496</v>
      </c>
      <c r="J14" s="38" t="s">
        <v>1596</v>
      </c>
      <c r="K14" s="38" t="s">
        <v>1595</v>
      </c>
      <c r="L14" s="38" t="s">
        <v>1398</v>
      </c>
      <c r="N14" s="38" t="s">
        <v>2076</v>
      </c>
      <c r="O14" s="38" t="s">
        <v>1593</v>
      </c>
      <c r="Q14" s="38" t="s">
        <v>1592</v>
      </c>
      <c r="R14" s="38" t="s">
        <v>2077</v>
      </c>
      <c r="T14" s="38" t="s">
        <v>2078</v>
      </c>
      <c r="V14" s="38" t="s">
        <v>2085</v>
      </c>
      <c r="X14" s="38" t="s">
        <v>2080</v>
      </c>
      <c r="Y14" s="38" t="s">
        <v>2081</v>
      </c>
      <c r="Z14" s="38">
        <v>338100789</v>
      </c>
      <c r="AA14" s="38" t="s">
        <v>1587</v>
      </c>
      <c r="AB14" s="38" t="s">
        <v>1587</v>
      </c>
      <c r="AC14" s="38" t="s">
        <v>1398</v>
      </c>
      <c r="AD14" s="38" t="s">
        <v>1608</v>
      </c>
      <c r="AE14" s="38" t="s">
        <v>1607</v>
      </c>
      <c r="AF14" s="38" t="s">
        <v>2104</v>
      </c>
      <c r="AI14" s="38">
        <v>44057</v>
      </c>
      <c r="AJ14" s="38">
        <v>5</v>
      </c>
      <c r="AK14" s="38">
        <v>920.76</v>
      </c>
      <c r="AL14" s="38" t="s">
        <v>2105</v>
      </c>
      <c r="BK14" s="38" t="s">
        <v>48</v>
      </c>
      <c r="BL14" s="38" t="s">
        <v>1584</v>
      </c>
      <c r="BM14" s="38" t="s">
        <v>1583</v>
      </c>
      <c r="BN14" s="38">
        <v>44252.574942233798</v>
      </c>
      <c r="BR14" s="38" t="s">
        <v>1582</v>
      </c>
      <c r="BS14" s="38">
        <v>4.0125202121377597E+18</v>
      </c>
      <c r="BT14" s="38" t="s">
        <v>1581</v>
      </c>
      <c r="BV14" s="38">
        <v>2020</v>
      </c>
      <c r="BW14" s="38" t="s">
        <v>1579</v>
      </c>
      <c r="BY14" s="38">
        <v>4.0224202111805701E+18</v>
      </c>
      <c r="BZ14" s="38" t="s">
        <v>2110</v>
      </c>
      <c r="CA14" s="38" t="s">
        <v>1577</v>
      </c>
    </row>
    <row r="15" spans="1:79" x14ac:dyDescent="0.2">
      <c r="A15" s="38" t="s">
        <v>1309</v>
      </c>
      <c r="B15" s="38" t="s">
        <v>604</v>
      </c>
      <c r="C15" s="38">
        <v>2020</v>
      </c>
      <c r="D15" s="38" t="s">
        <v>1659</v>
      </c>
      <c r="E15" s="38">
        <v>2.0210125940582301E+17</v>
      </c>
      <c r="F15" s="38" t="s">
        <v>1598</v>
      </c>
      <c r="G15" s="38" t="s">
        <v>2298</v>
      </c>
      <c r="H15" s="38">
        <v>1490496</v>
      </c>
      <c r="J15" s="38" t="s">
        <v>1596</v>
      </c>
      <c r="K15" s="38" t="s">
        <v>1595</v>
      </c>
      <c r="L15" s="38" t="s">
        <v>1190</v>
      </c>
      <c r="N15" s="38" t="s">
        <v>2076</v>
      </c>
      <c r="O15" s="38" t="s">
        <v>1593</v>
      </c>
      <c r="Q15" s="38" t="s">
        <v>1592</v>
      </c>
      <c r="R15" s="38" t="s">
        <v>2077</v>
      </c>
      <c r="T15" s="38" t="s">
        <v>2078</v>
      </c>
      <c r="V15" s="38" t="s">
        <v>2085</v>
      </c>
      <c r="X15" s="38" t="s">
        <v>2080</v>
      </c>
      <c r="Y15" s="38" t="s">
        <v>2081</v>
      </c>
      <c r="Z15" s="38">
        <v>338100789</v>
      </c>
      <c r="AA15" s="38" t="s">
        <v>1587</v>
      </c>
      <c r="AB15" s="38" t="s">
        <v>1587</v>
      </c>
      <c r="AC15" s="38" t="s">
        <v>1190</v>
      </c>
      <c r="AD15" s="38" t="s">
        <v>1608</v>
      </c>
      <c r="AE15" s="38" t="s">
        <v>1607</v>
      </c>
      <c r="AF15" s="38" t="s">
        <v>2111</v>
      </c>
      <c r="AI15" s="38">
        <v>44026</v>
      </c>
      <c r="AJ15" s="38">
        <v>42</v>
      </c>
      <c r="AK15" s="38">
        <v>766</v>
      </c>
      <c r="BK15" s="38" t="s">
        <v>48</v>
      </c>
      <c r="BL15" s="38" t="s">
        <v>1584</v>
      </c>
      <c r="BM15" s="38" t="s">
        <v>1583</v>
      </c>
      <c r="BN15" s="38">
        <v>44252.578769513886</v>
      </c>
      <c r="BR15" s="38" t="s">
        <v>1582</v>
      </c>
      <c r="BS15" s="38">
        <v>4.0125202121377597E+18</v>
      </c>
      <c r="BT15" s="38" t="s">
        <v>1581</v>
      </c>
      <c r="BV15" s="38">
        <v>2020</v>
      </c>
      <c r="BW15" s="38" t="s">
        <v>1579</v>
      </c>
      <c r="BY15" s="38">
        <v>4.0224202111878702E+18</v>
      </c>
      <c r="BZ15" s="38" t="s">
        <v>2112</v>
      </c>
      <c r="CA15" s="38" t="s">
        <v>1577</v>
      </c>
    </row>
    <row r="16" spans="1:79" x14ac:dyDescent="0.2">
      <c r="A16" s="38" t="s">
        <v>1309</v>
      </c>
      <c r="B16" s="38" t="s">
        <v>604</v>
      </c>
      <c r="C16" s="38">
        <v>2020</v>
      </c>
      <c r="D16" s="38" t="s">
        <v>1659</v>
      </c>
      <c r="E16" s="38">
        <v>2.0210125940730202E+17</v>
      </c>
      <c r="F16" s="38" t="s">
        <v>1598</v>
      </c>
      <c r="G16" s="38" t="s">
        <v>2299</v>
      </c>
      <c r="H16" s="38">
        <v>1490496</v>
      </c>
      <c r="J16" s="38" t="s">
        <v>1596</v>
      </c>
      <c r="K16" s="38" t="s">
        <v>1595</v>
      </c>
      <c r="L16" s="38" t="s">
        <v>1098</v>
      </c>
      <c r="N16" s="38" t="s">
        <v>2076</v>
      </c>
      <c r="O16" s="38" t="s">
        <v>1593</v>
      </c>
      <c r="Q16" s="38" t="s">
        <v>1592</v>
      </c>
      <c r="R16" s="38" t="s">
        <v>2077</v>
      </c>
      <c r="T16" s="38" t="s">
        <v>2078</v>
      </c>
      <c r="V16" s="38" t="s">
        <v>2085</v>
      </c>
      <c r="X16" s="38" t="s">
        <v>2080</v>
      </c>
      <c r="Y16" s="38" t="s">
        <v>2081</v>
      </c>
      <c r="Z16" s="38">
        <v>338100789</v>
      </c>
      <c r="AA16" s="38" t="s">
        <v>1587</v>
      </c>
      <c r="AB16" s="38" t="s">
        <v>1587</v>
      </c>
      <c r="AC16" s="38" t="s">
        <v>1098</v>
      </c>
      <c r="AD16" s="38" t="s">
        <v>1608</v>
      </c>
      <c r="AE16" s="38" t="s">
        <v>1607</v>
      </c>
      <c r="AF16" s="38" t="s">
        <v>2113</v>
      </c>
      <c r="AI16" s="38">
        <v>44067</v>
      </c>
      <c r="AJ16" s="38">
        <v>5</v>
      </c>
      <c r="AK16" s="38">
        <v>970.76</v>
      </c>
      <c r="BK16" s="38" t="s">
        <v>48</v>
      </c>
      <c r="BL16" s="38" t="s">
        <v>1584</v>
      </c>
      <c r="BM16" s="38" t="s">
        <v>1583</v>
      </c>
      <c r="BN16" s="38">
        <v>44252.578889375</v>
      </c>
      <c r="BR16" s="38" t="s">
        <v>1582</v>
      </c>
      <c r="BS16" s="38">
        <v>4.0125202121377597E+18</v>
      </c>
      <c r="BT16" s="38" t="s">
        <v>1581</v>
      </c>
      <c r="BV16" s="38">
        <v>2020</v>
      </c>
      <c r="BW16" s="38" t="s">
        <v>1579</v>
      </c>
      <c r="BY16" s="38">
        <v>4.0224202111878799E+18</v>
      </c>
      <c r="BZ16" s="38" t="s">
        <v>2114</v>
      </c>
      <c r="CA16" s="38" t="s">
        <v>1577</v>
      </c>
    </row>
    <row r="17" spans="1:79" x14ac:dyDescent="0.2">
      <c r="A17" s="38" t="s">
        <v>1309</v>
      </c>
      <c r="B17" s="38" t="s">
        <v>604</v>
      </c>
      <c r="C17" s="38">
        <v>2020</v>
      </c>
      <c r="D17" s="38" t="s">
        <v>1659</v>
      </c>
      <c r="E17" s="38">
        <v>2.0210125940878301E+17</v>
      </c>
      <c r="F17" s="38" t="s">
        <v>1598</v>
      </c>
      <c r="G17" s="38" t="s">
        <v>2300</v>
      </c>
      <c r="H17" s="38">
        <v>1490496</v>
      </c>
      <c r="J17" s="38" t="s">
        <v>1596</v>
      </c>
      <c r="K17" s="38" t="s">
        <v>1595</v>
      </c>
      <c r="L17" s="38" t="s">
        <v>2115</v>
      </c>
      <c r="N17" s="38" t="s">
        <v>2076</v>
      </c>
      <c r="O17" s="38" t="s">
        <v>1593</v>
      </c>
      <c r="Q17" s="38" t="s">
        <v>1592</v>
      </c>
      <c r="R17" s="38" t="s">
        <v>2077</v>
      </c>
      <c r="T17" s="38" t="s">
        <v>2078</v>
      </c>
      <c r="V17" s="38" t="s">
        <v>2085</v>
      </c>
      <c r="X17" s="38" t="s">
        <v>2080</v>
      </c>
      <c r="Y17" s="38" t="s">
        <v>2081</v>
      </c>
      <c r="Z17" s="38">
        <v>338100789</v>
      </c>
      <c r="AA17" s="38" t="s">
        <v>1587</v>
      </c>
      <c r="AB17" s="38" t="s">
        <v>1587</v>
      </c>
      <c r="AC17" s="38" t="s">
        <v>2115</v>
      </c>
      <c r="AD17" s="38" t="s">
        <v>1608</v>
      </c>
      <c r="AE17" s="38" t="s">
        <v>1607</v>
      </c>
      <c r="AF17" s="38" t="s">
        <v>2116</v>
      </c>
      <c r="AI17" s="38">
        <v>44098</v>
      </c>
      <c r="AJ17" s="38">
        <v>10</v>
      </c>
      <c r="AK17" s="38">
        <v>1237.76</v>
      </c>
      <c r="AL17" s="38" t="s">
        <v>2117</v>
      </c>
      <c r="BK17" s="38" t="s">
        <v>48</v>
      </c>
      <c r="BL17" s="38" t="s">
        <v>1584</v>
      </c>
      <c r="BM17" s="38" t="s">
        <v>1583</v>
      </c>
      <c r="BN17" s="38">
        <v>44252.579673506945</v>
      </c>
      <c r="BR17" s="38" t="s">
        <v>1582</v>
      </c>
      <c r="BS17" s="38">
        <v>4.0125202121377597E+18</v>
      </c>
      <c r="BT17" s="38" t="s">
        <v>1581</v>
      </c>
      <c r="BV17" s="38">
        <v>2020</v>
      </c>
      <c r="BW17" s="38" t="s">
        <v>1579</v>
      </c>
      <c r="BY17" s="38">
        <v>4.02242021118737E+18</v>
      </c>
      <c r="BZ17" s="38" t="s">
        <v>2118</v>
      </c>
      <c r="CA17" s="38" t="s">
        <v>1577</v>
      </c>
    </row>
    <row r="18" spans="1:79" x14ac:dyDescent="0.2">
      <c r="A18" s="38" t="s">
        <v>1309</v>
      </c>
      <c r="B18" s="38" t="s">
        <v>604</v>
      </c>
      <c r="C18" s="38">
        <v>2020</v>
      </c>
      <c r="D18" s="38" t="s">
        <v>1659</v>
      </c>
      <c r="E18" s="38">
        <v>2.0210125940787699E+17</v>
      </c>
      <c r="F18" s="38" t="s">
        <v>1598</v>
      </c>
      <c r="G18" s="38" t="s">
        <v>2301</v>
      </c>
      <c r="H18" s="38">
        <v>1490496</v>
      </c>
      <c r="J18" s="38" t="s">
        <v>1596</v>
      </c>
      <c r="K18" s="38" t="s">
        <v>1595</v>
      </c>
      <c r="L18" s="38" t="s">
        <v>1398</v>
      </c>
      <c r="N18" s="38" t="s">
        <v>2076</v>
      </c>
      <c r="O18" s="38" t="s">
        <v>1593</v>
      </c>
      <c r="Q18" s="38" t="s">
        <v>1592</v>
      </c>
      <c r="R18" s="38" t="s">
        <v>2077</v>
      </c>
      <c r="T18" s="38" t="s">
        <v>2078</v>
      </c>
      <c r="V18" s="38" t="s">
        <v>2085</v>
      </c>
      <c r="X18" s="38" t="s">
        <v>2080</v>
      </c>
      <c r="Y18" s="38" t="s">
        <v>2081</v>
      </c>
      <c r="Z18" s="38">
        <v>338100789</v>
      </c>
      <c r="AA18" s="38" t="s">
        <v>1587</v>
      </c>
      <c r="AB18" s="38" t="s">
        <v>1587</v>
      </c>
      <c r="AC18" s="38" t="s">
        <v>1398</v>
      </c>
      <c r="AD18" s="38" t="s">
        <v>1608</v>
      </c>
      <c r="AE18" s="38" t="s">
        <v>1607</v>
      </c>
      <c r="AF18" s="38" t="s">
        <v>2104</v>
      </c>
      <c r="AI18" s="38">
        <v>44078</v>
      </c>
      <c r="AJ18" s="38">
        <v>5</v>
      </c>
      <c r="AK18" s="38">
        <v>1097.76</v>
      </c>
      <c r="AL18" s="38" t="s">
        <v>2105</v>
      </c>
      <c r="BK18" s="38" t="s">
        <v>48</v>
      </c>
      <c r="BL18" s="38" t="s">
        <v>1584</v>
      </c>
      <c r="BM18" s="38" t="s">
        <v>1583</v>
      </c>
      <c r="BN18" s="38">
        <v>44252.57998263889</v>
      </c>
      <c r="BR18" s="38" t="s">
        <v>1582</v>
      </c>
      <c r="BS18" s="38">
        <v>4.0125202121377597E+18</v>
      </c>
      <c r="BT18" s="38" t="s">
        <v>1581</v>
      </c>
      <c r="BV18" s="38">
        <v>2020</v>
      </c>
      <c r="BW18" s="38" t="s">
        <v>1579</v>
      </c>
      <c r="BY18" s="38">
        <v>4.02242021118447E+18</v>
      </c>
      <c r="BZ18" s="38" t="s">
        <v>2119</v>
      </c>
      <c r="CA18" s="38" t="s">
        <v>1577</v>
      </c>
    </row>
    <row r="19" spans="1:79" x14ac:dyDescent="0.2">
      <c r="A19" s="38" t="s">
        <v>1309</v>
      </c>
      <c r="B19" s="38" t="s">
        <v>604</v>
      </c>
      <c r="C19" s="38">
        <v>2020</v>
      </c>
      <c r="D19" s="38" t="s">
        <v>1659</v>
      </c>
      <c r="E19" s="38">
        <v>2.0210125940729699E+17</v>
      </c>
      <c r="F19" s="38" t="s">
        <v>1598</v>
      </c>
      <c r="G19" s="38" t="s">
        <v>2302</v>
      </c>
      <c r="H19" s="38">
        <v>1490496</v>
      </c>
      <c r="J19" s="38" t="s">
        <v>1596</v>
      </c>
      <c r="K19" s="38" t="s">
        <v>1595</v>
      </c>
      <c r="L19" s="38" t="s">
        <v>2120</v>
      </c>
      <c r="N19" s="38" t="s">
        <v>2076</v>
      </c>
      <c r="O19" s="38" t="s">
        <v>1593</v>
      </c>
      <c r="Q19" s="38" t="s">
        <v>1592</v>
      </c>
      <c r="R19" s="38" t="s">
        <v>2077</v>
      </c>
      <c r="T19" s="38" t="s">
        <v>2078</v>
      </c>
      <c r="V19" s="38" t="s">
        <v>2085</v>
      </c>
      <c r="X19" s="38" t="s">
        <v>2080</v>
      </c>
      <c r="Y19" s="38" t="s">
        <v>2081</v>
      </c>
      <c r="Z19" s="38">
        <v>338100789</v>
      </c>
      <c r="AA19" s="38" t="s">
        <v>1587</v>
      </c>
      <c r="AB19" s="38" t="s">
        <v>1587</v>
      </c>
      <c r="AC19" s="38" t="s">
        <v>2120</v>
      </c>
      <c r="AD19" s="38" t="s">
        <v>1608</v>
      </c>
      <c r="AE19" s="38" t="s">
        <v>1607</v>
      </c>
      <c r="AF19" s="38" t="s">
        <v>2121</v>
      </c>
      <c r="AI19" s="38">
        <v>44067</v>
      </c>
      <c r="AJ19" s="38">
        <v>5</v>
      </c>
      <c r="AK19" s="38">
        <v>970.76</v>
      </c>
      <c r="AL19" s="38" t="s">
        <v>2122</v>
      </c>
      <c r="BK19" s="38" t="s">
        <v>48</v>
      </c>
      <c r="BL19" s="38" t="s">
        <v>1584</v>
      </c>
      <c r="BM19" s="38" t="s">
        <v>1583</v>
      </c>
      <c r="BN19" s="38">
        <v>44252.581513553239</v>
      </c>
      <c r="BR19" s="38" t="s">
        <v>1582</v>
      </c>
      <c r="BS19" s="38">
        <v>4.0125202121377597E+18</v>
      </c>
      <c r="BT19" s="38" t="s">
        <v>1581</v>
      </c>
      <c r="BV19" s="38">
        <v>2020</v>
      </c>
      <c r="BW19" s="38" t="s">
        <v>1579</v>
      </c>
      <c r="BY19" s="38">
        <v>4.0224202111873398E+18</v>
      </c>
      <c r="BZ19" s="38" t="s">
        <v>2123</v>
      </c>
      <c r="CA19" s="38" t="s">
        <v>1577</v>
      </c>
    </row>
    <row r="20" spans="1:79" x14ac:dyDescent="0.2">
      <c r="A20" s="38" t="s">
        <v>1170</v>
      </c>
      <c r="B20" s="38" t="s">
        <v>465</v>
      </c>
      <c r="C20" s="38">
        <v>2020</v>
      </c>
      <c r="D20" s="38" t="s">
        <v>2029</v>
      </c>
      <c r="E20" s="38">
        <v>2.0200824926697501E+17</v>
      </c>
      <c r="F20" s="38">
        <v>18</v>
      </c>
      <c r="G20" s="38" t="s">
        <v>2303</v>
      </c>
      <c r="H20" s="38">
        <v>1435104</v>
      </c>
      <c r="J20" s="38" t="s">
        <v>1596</v>
      </c>
      <c r="K20" s="38" t="s">
        <v>1595</v>
      </c>
      <c r="N20" s="38" t="s">
        <v>2076</v>
      </c>
      <c r="O20" s="38" t="s">
        <v>26</v>
      </c>
      <c r="Q20" s="38" t="s">
        <v>26</v>
      </c>
      <c r="R20" s="38" t="s">
        <v>2077</v>
      </c>
      <c r="T20" s="38" t="s">
        <v>2078</v>
      </c>
      <c r="V20" s="38" t="s">
        <v>2085</v>
      </c>
      <c r="X20" s="38" t="s">
        <v>2080</v>
      </c>
      <c r="Y20" s="38" t="s">
        <v>2081</v>
      </c>
      <c r="Z20" s="38">
        <v>33810</v>
      </c>
      <c r="AA20" s="38" t="s">
        <v>1587</v>
      </c>
      <c r="AB20" s="38" t="s">
        <v>1587</v>
      </c>
      <c r="AF20" s="38" t="s">
        <v>2124</v>
      </c>
      <c r="AG20" s="38" t="s">
        <v>1619</v>
      </c>
      <c r="AI20" s="38">
        <v>43928</v>
      </c>
      <c r="AJ20" s="38">
        <v>3.75</v>
      </c>
      <c r="AK20" s="38">
        <v>30</v>
      </c>
      <c r="BG20" s="38" t="s">
        <v>1651</v>
      </c>
      <c r="BI20" s="38" t="s">
        <v>1648</v>
      </c>
      <c r="BJ20" s="38">
        <v>2020</v>
      </c>
      <c r="BK20" s="38" t="s">
        <v>48</v>
      </c>
      <c r="BL20" s="38" t="s">
        <v>1584</v>
      </c>
      <c r="BM20" s="38" t="s">
        <v>1583</v>
      </c>
      <c r="BN20" s="38">
        <v>44075.181901238429</v>
      </c>
      <c r="BR20" s="38" t="s">
        <v>1669</v>
      </c>
      <c r="BS20" s="38">
        <v>4.0826202018297498E+18</v>
      </c>
      <c r="BT20" s="38" t="s">
        <v>1581</v>
      </c>
      <c r="BV20" s="38">
        <v>2020</v>
      </c>
      <c r="BW20" s="38" t="s">
        <v>1579</v>
      </c>
      <c r="BY20" s="38">
        <v>4.0901202018334602E+18</v>
      </c>
      <c r="BZ20" s="38" t="s">
        <v>2125</v>
      </c>
      <c r="CA20" s="38" t="s">
        <v>2043</v>
      </c>
    </row>
    <row r="21" spans="1:79" x14ac:dyDescent="0.2">
      <c r="A21" s="38" t="s">
        <v>1170</v>
      </c>
      <c r="B21" s="38" t="s">
        <v>465</v>
      </c>
      <c r="C21" s="38">
        <v>2020</v>
      </c>
      <c r="D21" s="38" t="s">
        <v>2029</v>
      </c>
      <c r="E21" s="38">
        <v>2.0200824926697501E+17</v>
      </c>
      <c r="F21" s="38">
        <v>18</v>
      </c>
      <c r="G21" s="38" t="s">
        <v>2304</v>
      </c>
      <c r="H21" s="38">
        <v>1435104</v>
      </c>
      <c r="J21" s="38" t="s">
        <v>1596</v>
      </c>
      <c r="K21" s="38" t="s">
        <v>1595</v>
      </c>
      <c r="N21" s="38" t="s">
        <v>2076</v>
      </c>
      <c r="O21" s="38" t="s">
        <v>26</v>
      </c>
      <c r="Q21" s="38" t="s">
        <v>26</v>
      </c>
      <c r="R21" s="38" t="s">
        <v>2077</v>
      </c>
      <c r="T21" s="38" t="s">
        <v>2078</v>
      </c>
      <c r="V21" s="38" t="s">
        <v>2085</v>
      </c>
      <c r="X21" s="38" t="s">
        <v>2080</v>
      </c>
      <c r="Y21" s="38" t="s">
        <v>2081</v>
      </c>
      <c r="Z21" s="38">
        <v>33810</v>
      </c>
      <c r="AA21" s="38" t="s">
        <v>1587</v>
      </c>
      <c r="AB21" s="38" t="s">
        <v>1587</v>
      </c>
      <c r="AF21" s="38" t="s">
        <v>2124</v>
      </c>
      <c r="AG21" s="38" t="s">
        <v>1619</v>
      </c>
      <c r="AI21" s="38">
        <v>43928</v>
      </c>
      <c r="AJ21" s="38">
        <v>26.25</v>
      </c>
      <c r="AK21" s="38">
        <v>26.25</v>
      </c>
      <c r="BG21" s="38" t="s">
        <v>1651</v>
      </c>
      <c r="BI21" s="38" t="s">
        <v>1648</v>
      </c>
      <c r="BJ21" s="38">
        <v>2020</v>
      </c>
      <c r="BK21" s="38" t="s">
        <v>48</v>
      </c>
      <c r="BL21" s="38" t="s">
        <v>1584</v>
      </c>
      <c r="BM21" s="38" t="s">
        <v>1583</v>
      </c>
      <c r="BN21" s="38">
        <v>44075.194894583336</v>
      </c>
      <c r="BR21" s="38" t="s">
        <v>1669</v>
      </c>
      <c r="BS21" s="38">
        <v>4.0826202018297498E+18</v>
      </c>
      <c r="BT21" s="38" t="s">
        <v>1581</v>
      </c>
      <c r="BV21" s="38">
        <v>2020</v>
      </c>
      <c r="BW21" s="38" t="s">
        <v>1579</v>
      </c>
      <c r="BY21" s="38">
        <v>4.0901202018334602E+18</v>
      </c>
      <c r="BZ21" s="38" t="s">
        <v>2126</v>
      </c>
      <c r="CA21" s="38" t="s">
        <v>2043</v>
      </c>
    </row>
    <row r="22" spans="1:79" x14ac:dyDescent="0.2">
      <c r="A22" s="38" t="s">
        <v>1309</v>
      </c>
      <c r="B22" s="38" t="s">
        <v>604</v>
      </c>
      <c r="C22" s="38">
        <v>2020</v>
      </c>
      <c r="D22" s="38" t="s">
        <v>1659</v>
      </c>
      <c r="E22" s="38">
        <v>2.0210125940867398E+17</v>
      </c>
      <c r="F22" s="38" t="s">
        <v>1598</v>
      </c>
      <c r="G22" s="38" t="s">
        <v>2305</v>
      </c>
      <c r="H22" s="38">
        <v>1490496</v>
      </c>
      <c r="J22" s="38" t="s">
        <v>1596</v>
      </c>
      <c r="K22" s="38" t="s">
        <v>1595</v>
      </c>
      <c r="L22" s="38" t="s">
        <v>1380</v>
      </c>
      <c r="N22" s="38" t="s">
        <v>2076</v>
      </c>
      <c r="O22" s="38" t="s">
        <v>1593</v>
      </c>
      <c r="Q22" s="38" t="s">
        <v>1592</v>
      </c>
      <c r="R22" s="38" t="s">
        <v>2077</v>
      </c>
      <c r="T22" s="38" t="s">
        <v>2078</v>
      </c>
      <c r="V22" s="38" t="s">
        <v>2085</v>
      </c>
      <c r="X22" s="38" t="s">
        <v>2080</v>
      </c>
      <c r="Y22" s="38" t="s">
        <v>2081</v>
      </c>
      <c r="Z22" s="38">
        <v>338100789</v>
      </c>
      <c r="AA22" s="38" t="s">
        <v>1587</v>
      </c>
      <c r="AB22" s="38" t="s">
        <v>1587</v>
      </c>
      <c r="AC22" s="38" t="s">
        <v>1380</v>
      </c>
      <c r="AD22" s="38" t="s">
        <v>1608</v>
      </c>
      <c r="AE22" s="38" t="s">
        <v>1607</v>
      </c>
      <c r="AF22" s="38" t="s">
        <v>2127</v>
      </c>
      <c r="AI22" s="38">
        <v>44096</v>
      </c>
      <c r="AJ22" s="38">
        <v>10</v>
      </c>
      <c r="AK22" s="38">
        <v>1197.76</v>
      </c>
      <c r="AL22" s="38" t="s">
        <v>2128</v>
      </c>
      <c r="BK22" s="38" t="s">
        <v>48</v>
      </c>
      <c r="BL22" s="38" t="s">
        <v>1584</v>
      </c>
      <c r="BM22" s="38" t="s">
        <v>1583</v>
      </c>
      <c r="BN22" s="38">
        <v>44252.585757962966</v>
      </c>
      <c r="BR22" s="38" t="s">
        <v>1582</v>
      </c>
      <c r="BS22" s="38">
        <v>4.0125202121377597E+18</v>
      </c>
      <c r="BT22" s="38" t="s">
        <v>1581</v>
      </c>
      <c r="BV22" s="38">
        <v>2020</v>
      </c>
      <c r="BW22" s="38" t="s">
        <v>1579</v>
      </c>
      <c r="BY22" s="38">
        <v>4.02242021117969E+18</v>
      </c>
      <c r="BZ22" s="38" t="s">
        <v>2129</v>
      </c>
      <c r="CA22" s="38" t="s">
        <v>1577</v>
      </c>
    </row>
    <row r="23" spans="1:79" x14ac:dyDescent="0.2">
      <c r="A23" s="38" t="s">
        <v>1190</v>
      </c>
      <c r="B23" s="38" t="s">
        <v>485</v>
      </c>
      <c r="C23" s="38">
        <v>2020</v>
      </c>
      <c r="D23" s="38" t="s">
        <v>1835</v>
      </c>
      <c r="E23" s="38">
        <v>2.0210201942487002E+17</v>
      </c>
      <c r="F23" s="38" t="s">
        <v>1598</v>
      </c>
      <c r="G23" s="38" t="s">
        <v>2306</v>
      </c>
      <c r="H23" s="38">
        <v>1497918</v>
      </c>
      <c r="J23" s="38" t="s">
        <v>1596</v>
      </c>
      <c r="K23" s="38" t="s">
        <v>1595</v>
      </c>
      <c r="N23" s="38" t="s">
        <v>2076</v>
      </c>
      <c r="O23" s="38" t="s">
        <v>0</v>
      </c>
      <c r="Q23" s="38" t="s">
        <v>58</v>
      </c>
      <c r="R23" s="38" t="s">
        <v>2077</v>
      </c>
      <c r="T23" s="38" t="s">
        <v>2078</v>
      </c>
      <c r="V23" s="38" t="s">
        <v>2085</v>
      </c>
      <c r="X23" s="38" t="s">
        <v>2080</v>
      </c>
      <c r="Y23" s="38" t="s">
        <v>2081</v>
      </c>
      <c r="Z23" s="38">
        <v>33810</v>
      </c>
      <c r="AA23" s="38" t="s">
        <v>1587</v>
      </c>
      <c r="AB23" s="38" t="s">
        <v>1587</v>
      </c>
      <c r="AF23" s="38" t="s">
        <v>2130</v>
      </c>
      <c r="AI23" s="38">
        <v>43996</v>
      </c>
      <c r="AJ23" s="38">
        <v>35</v>
      </c>
      <c r="AK23" s="38">
        <v>145</v>
      </c>
      <c r="BK23" s="38" t="s">
        <v>48</v>
      </c>
      <c r="BL23" s="38" t="s">
        <v>1584</v>
      </c>
      <c r="BM23" s="38" t="s">
        <v>1583</v>
      </c>
      <c r="BN23" s="38">
        <v>44241.16465269676</v>
      </c>
      <c r="BR23" s="38" t="s">
        <v>1582</v>
      </c>
      <c r="BS23" s="38">
        <v>4.0203202121402798E+18</v>
      </c>
      <c r="BT23" s="38" t="s">
        <v>1581</v>
      </c>
      <c r="BV23" s="38">
        <v>2020</v>
      </c>
      <c r="BW23" s="38" t="s">
        <v>1579</v>
      </c>
      <c r="BY23" s="38">
        <v>4.0214202111415301E+18</v>
      </c>
      <c r="BZ23" s="38" t="s">
        <v>2131</v>
      </c>
      <c r="CA23" s="38" t="s">
        <v>1577</v>
      </c>
    </row>
    <row r="24" spans="1:79" x14ac:dyDescent="0.2">
      <c r="A24" s="38" t="s">
        <v>1309</v>
      </c>
      <c r="B24" s="38" t="s">
        <v>604</v>
      </c>
      <c r="C24" s="38">
        <v>2020</v>
      </c>
      <c r="D24" s="38" t="s">
        <v>1659</v>
      </c>
      <c r="E24" s="38">
        <v>2.02101259408168E+17</v>
      </c>
      <c r="F24" s="38" t="s">
        <v>1598</v>
      </c>
      <c r="G24" s="38" t="s">
        <v>2307</v>
      </c>
      <c r="H24" s="38">
        <v>1490496</v>
      </c>
      <c r="J24" s="38" t="s">
        <v>1596</v>
      </c>
      <c r="K24" s="38" t="s">
        <v>1595</v>
      </c>
      <c r="L24" s="38" t="s">
        <v>1541</v>
      </c>
      <c r="N24" s="38" t="s">
        <v>2076</v>
      </c>
      <c r="O24" s="38" t="s">
        <v>1593</v>
      </c>
      <c r="Q24" s="38" t="s">
        <v>1592</v>
      </c>
      <c r="R24" s="38" t="s">
        <v>2077</v>
      </c>
      <c r="T24" s="38" t="s">
        <v>2078</v>
      </c>
      <c r="V24" s="38" t="s">
        <v>2085</v>
      </c>
      <c r="X24" s="38" t="s">
        <v>2080</v>
      </c>
      <c r="Y24" s="38" t="s">
        <v>2081</v>
      </c>
      <c r="Z24" s="38">
        <v>338100789</v>
      </c>
      <c r="AA24" s="38" t="s">
        <v>1587</v>
      </c>
      <c r="AB24" s="38" t="s">
        <v>1587</v>
      </c>
      <c r="AC24" s="38" t="s">
        <v>1541</v>
      </c>
      <c r="AD24" s="38" t="s">
        <v>1608</v>
      </c>
      <c r="AE24" s="38" t="s">
        <v>1607</v>
      </c>
      <c r="AF24" s="38" t="s">
        <v>2132</v>
      </c>
      <c r="AI24" s="38">
        <v>44086</v>
      </c>
      <c r="AJ24" s="38">
        <v>10</v>
      </c>
      <c r="AK24" s="38">
        <v>1137.76</v>
      </c>
      <c r="BK24" s="38" t="s">
        <v>48</v>
      </c>
      <c r="BL24" s="38" t="s">
        <v>1584</v>
      </c>
      <c r="BM24" s="38" t="s">
        <v>1583</v>
      </c>
      <c r="BN24" s="38">
        <v>44252.58630171296</v>
      </c>
      <c r="BR24" s="38" t="s">
        <v>1582</v>
      </c>
      <c r="BS24" s="38">
        <v>4.0125202121377597E+18</v>
      </c>
      <c r="BT24" s="38" t="s">
        <v>1581</v>
      </c>
      <c r="BV24" s="38">
        <v>2020</v>
      </c>
      <c r="BW24" s="38" t="s">
        <v>1579</v>
      </c>
      <c r="BY24" s="38">
        <v>4.02242021118289E+18</v>
      </c>
      <c r="BZ24" s="38" t="s">
        <v>2133</v>
      </c>
      <c r="CA24" s="38" t="s">
        <v>1577</v>
      </c>
    </row>
    <row r="25" spans="1:79" x14ac:dyDescent="0.2">
      <c r="A25" s="38" t="s">
        <v>1190</v>
      </c>
      <c r="B25" s="38" t="s">
        <v>485</v>
      </c>
      <c r="C25" s="38">
        <v>2020</v>
      </c>
      <c r="D25" s="38" t="s">
        <v>1835</v>
      </c>
      <c r="E25" s="38">
        <v>2.0210201942487002E+17</v>
      </c>
      <c r="F25" s="38" t="s">
        <v>1598</v>
      </c>
      <c r="G25" s="38" t="s">
        <v>2308</v>
      </c>
      <c r="H25" s="38">
        <v>1497918</v>
      </c>
      <c r="J25" s="38" t="s">
        <v>1596</v>
      </c>
      <c r="K25" s="38" t="s">
        <v>1595</v>
      </c>
      <c r="N25" s="38" t="s">
        <v>2076</v>
      </c>
      <c r="O25" s="38" t="s">
        <v>0</v>
      </c>
      <c r="Q25" s="38" t="s">
        <v>58</v>
      </c>
      <c r="R25" s="38" t="s">
        <v>2077</v>
      </c>
      <c r="T25" s="38" t="s">
        <v>2078</v>
      </c>
      <c r="V25" s="38" t="s">
        <v>2085</v>
      </c>
      <c r="X25" s="38" t="s">
        <v>2080</v>
      </c>
      <c r="Y25" s="38" t="s">
        <v>2081</v>
      </c>
      <c r="Z25" s="38">
        <v>33810</v>
      </c>
      <c r="AA25" s="38" t="s">
        <v>1587</v>
      </c>
      <c r="AB25" s="38" t="s">
        <v>1587</v>
      </c>
      <c r="AF25" s="38" t="s">
        <v>2134</v>
      </c>
      <c r="AI25" s="38">
        <v>43928</v>
      </c>
      <c r="AJ25" s="38">
        <v>35</v>
      </c>
      <c r="AK25" s="38">
        <v>40</v>
      </c>
      <c r="BK25" s="38" t="s">
        <v>48</v>
      </c>
      <c r="BL25" s="38" t="s">
        <v>1584</v>
      </c>
      <c r="BM25" s="38" t="s">
        <v>1583</v>
      </c>
      <c r="BN25" s="38">
        <v>44241.16465269676</v>
      </c>
      <c r="BR25" s="38" t="s">
        <v>1582</v>
      </c>
      <c r="BS25" s="38">
        <v>4.0203202121402798E+18</v>
      </c>
      <c r="BT25" s="38" t="s">
        <v>1581</v>
      </c>
      <c r="BV25" s="38">
        <v>2020</v>
      </c>
      <c r="BW25" s="38" t="s">
        <v>1579</v>
      </c>
      <c r="BY25" s="38">
        <v>4.0214202111415301E+18</v>
      </c>
      <c r="BZ25" s="38" t="s">
        <v>2135</v>
      </c>
      <c r="CA25" s="38" t="s">
        <v>1577</v>
      </c>
    </row>
    <row r="26" spans="1:79" x14ac:dyDescent="0.2">
      <c r="A26" s="38" t="s">
        <v>1190</v>
      </c>
      <c r="B26" s="38" t="s">
        <v>485</v>
      </c>
      <c r="C26" s="38">
        <v>2020</v>
      </c>
      <c r="D26" s="38" t="s">
        <v>1835</v>
      </c>
      <c r="E26" s="38">
        <v>2.0210201942487002E+17</v>
      </c>
      <c r="F26" s="38" t="s">
        <v>1598</v>
      </c>
      <c r="G26" s="38" t="s">
        <v>2309</v>
      </c>
      <c r="H26" s="38">
        <v>1497918</v>
      </c>
      <c r="J26" s="38" t="s">
        <v>1596</v>
      </c>
      <c r="K26" s="38" t="s">
        <v>1595</v>
      </c>
      <c r="N26" s="38" t="s">
        <v>2076</v>
      </c>
      <c r="O26" s="38" t="s">
        <v>0</v>
      </c>
      <c r="Q26" s="38" t="s">
        <v>58</v>
      </c>
      <c r="R26" s="38" t="s">
        <v>2077</v>
      </c>
      <c r="T26" s="38" t="s">
        <v>2078</v>
      </c>
      <c r="V26" s="38" t="s">
        <v>2085</v>
      </c>
      <c r="X26" s="38" t="s">
        <v>2080</v>
      </c>
      <c r="Y26" s="38" t="s">
        <v>2081</v>
      </c>
      <c r="Z26" s="38">
        <v>33810</v>
      </c>
      <c r="AA26" s="38" t="s">
        <v>1587</v>
      </c>
      <c r="AB26" s="38" t="s">
        <v>1587</v>
      </c>
      <c r="AF26" s="38" t="s">
        <v>2134</v>
      </c>
      <c r="AI26" s="38">
        <v>43928</v>
      </c>
      <c r="AJ26" s="38">
        <v>5</v>
      </c>
      <c r="AK26" s="38">
        <v>5</v>
      </c>
      <c r="BK26" s="38" t="s">
        <v>48</v>
      </c>
      <c r="BL26" s="38" t="s">
        <v>1584</v>
      </c>
      <c r="BM26" s="38" t="s">
        <v>1583</v>
      </c>
      <c r="BN26" s="38">
        <v>44241.16465269676</v>
      </c>
      <c r="BR26" s="38" t="s">
        <v>1582</v>
      </c>
      <c r="BS26" s="38">
        <v>4.0203202121402798E+18</v>
      </c>
      <c r="BT26" s="38" t="s">
        <v>1581</v>
      </c>
      <c r="BV26" s="38">
        <v>2020</v>
      </c>
      <c r="BW26" s="38" t="s">
        <v>1579</v>
      </c>
      <c r="BY26" s="38">
        <v>4.0214202111415301E+18</v>
      </c>
      <c r="BZ26" s="38" t="s">
        <v>2135</v>
      </c>
      <c r="CA26" s="38" t="s">
        <v>1577</v>
      </c>
    </row>
    <row r="27" spans="1:79" x14ac:dyDescent="0.2">
      <c r="A27" s="38" t="s">
        <v>1190</v>
      </c>
      <c r="B27" s="38" t="s">
        <v>485</v>
      </c>
      <c r="C27" s="38">
        <v>2020</v>
      </c>
      <c r="D27" s="38" t="s">
        <v>1835</v>
      </c>
      <c r="E27" s="38">
        <v>2.0210201942487002E+17</v>
      </c>
      <c r="F27" s="38" t="s">
        <v>1598</v>
      </c>
      <c r="G27" s="38" t="s">
        <v>2310</v>
      </c>
      <c r="H27" s="38">
        <v>1497918</v>
      </c>
      <c r="J27" s="38" t="s">
        <v>1596</v>
      </c>
      <c r="K27" s="38" t="s">
        <v>1595</v>
      </c>
      <c r="N27" s="38" t="s">
        <v>2076</v>
      </c>
      <c r="O27" s="38" t="s">
        <v>0</v>
      </c>
      <c r="Q27" s="38" t="s">
        <v>58</v>
      </c>
      <c r="R27" s="38" t="s">
        <v>2077</v>
      </c>
      <c r="T27" s="38" t="s">
        <v>2078</v>
      </c>
      <c r="V27" s="38" t="s">
        <v>2085</v>
      </c>
      <c r="X27" s="38" t="s">
        <v>2080</v>
      </c>
      <c r="Y27" s="38" t="s">
        <v>2081</v>
      </c>
      <c r="Z27" s="38">
        <v>33810</v>
      </c>
      <c r="AA27" s="38" t="s">
        <v>1587</v>
      </c>
      <c r="AB27" s="38" t="s">
        <v>1587</v>
      </c>
      <c r="AF27" s="38" t="s">
        <v>2136</v>
      </c>
      <c r="AI27" s="38">
        <v>43958</v>
      </c>
      <c r="AJ27" s="38">
        <v>35</v>
      </c>
      <c r="AK27" s="38">
        <v>75</v>
      </c>
      <c r="BK27" s="38" t="s">
        <v>48</v>
      </c>
      <c r="BL27" s="38" t="s">
        <v>1584</v>
      </c>
      <c r="BM27" s="38" t="s">
        <v>1583</v>
      </c>
      <c r="BN27" s="38">
        <v>44241.16465269676</v>
      </c>
      <c r="BR27" s="38" t="s">
        <v>1582</v>
      </c>
      <c r="BS27" s="38">
        <v>4.0203202121402798E+18</v>
      </c>
      <c r="BT27" s="38" t="s">
        <v>1581</v>
      </c>
      <c r="BV27" s="38">
        <v>2020</v>
      </c>
      <c r="BW27" s="38" t="s">
        <v>1579</v>
      </c>
      <c r="BY27" s="38">
        <v>4.0214202111415301E+18</v>
      </c>
      <c r="BZ27" s="38" t="s">
        <v>2131</v>
      </c>
      <c r="CA27" s="38" t="s">
        <v>1577</v>
      </c>
    </row>
    <row r="28" spans="1:79" x14ac:dyDescent="0.2">
      <c r="A28" s="38" t="s">
        <v>1190</v>
      </c>
      <c r="B28" s="38" t="s">
        <v>485</v>
      </c>
      <c r="C28" s="38">
        <v>2020</v>
      </c>
      <c r="D28" s="38" t="s">
        <v>1835</v>
      </c>
      <c r="E28" s="38">
        <v>2.0210201942487002E+17</v>
      </c>
      <c r="F28" s="38" t="s">
        <v>1598</v>
      </c>
      <c r="G28" s="38" t="s">
        <v>2311</v>
      </c>
      <c r="H28" s="38">
        <v>1497918</v>
      </c>
      <c r="J28" s="38" t="s">
        <v>1596</v>
      </c>
      <c r="K28" s="38" t="s">
        <v>1595</v>
      </c>
      <c r="N28" s="38" t="s">
        <v>2076</v>
      </c>
      <c r="O28" s="38" t="s">
        <v>0</v>
      </c>
      <c r="Q28" s="38" t="s">
        <v>58</v>
      </c>
      <c r="R28" s="38" t="s">
        <v>2077</v>
      </c>
      <c r="T28" s="38" t="s">
        <v>2078</v>
      </c>
      <c r="V28" s="38" t="s">
        <v>2085</v>
      </c>
      <c r="X28" s="38" t="s">
        <v>2080</v>
      </c>
      <c r="Y28" s="38" t="s">
        <v>2081</v>
      </c>
      <c r="Z28" s="38">
        <v>33810</v>
      </c>
      <c r="AA28" s="38" t="s">
        <v>1587</v>
      </c>
      <c r="AB28" s="38" t="s">
        <v>1587</v>
      </c>
      <c r="AF28" s="38" t="s">
        <v>2137</v>
      </c>
      <c r="AI28" s="38">
        <v>43989</v>
      </c>
      <c r="AJ28" s="38">
        <v>35</v>
      </c>
      <c r="AK28" s="38">
        <v>110</v>
      </c>
      <c r="BK28" s="38" t="s">
        <v>48</v>
      </c>
      <c r="BL28" s="38" t="s">
        <v>1584</v>
      </c>
      <c r="BM28" s="38" t="s">
        <v>1583</v>
      </c>
      <c r="BN28" s="38">
        <v>44241.16465269676</v>
      </c>
      <c r="BR28" s="38" t="s">
        <v>1582</v>
      </c>
      <c r="BS28" s="38">
        <v>4.0203202121402798E+18</v>
      </c>
      <c r="BT28" s="38" t="s">
        <v>1581</v>
      </c>
      <c r="BV28" s="38">
        <v>2020</v>
      </c>
      <c r="BW28" s="38" t="s">
        <v>1579</v>
      </c>
      <c r="BY28" s="38">
        <v>4.0214202111415301E+18</v>
      </c>
      <c r="BZ28" s="38" t="s">
        <v>2131</v>
      </c>
      <c r="CA28" s="38" t="s">
        <v>1577</v>
      </c>
    </row>
    <row r="29" spans="1:79" x14ac:dyDescent="0.2">
      <c r="A29" s="38" t="s">
        <v>1309</v>
      </c>
      <c r="B29" s="38" t="s">
        <v>604</v>
      </c>
      <c r="C29" s="38">
        <v>2020</v>
      </c>
      <c r="D29" s="38" t="s">
        <v>1659</v>
      </c>
      <c r="E29" s="38">
        <v>2.0210125940756701E+17</v>
      </c>
      <c r="F29" s="38" t="s">
        <v>1598</v>
      </c>
      <c r="G29" s="38" t="s">
        <v>2312</v>
      </c>
      <c r="H29" s="38">
        <v>1490496</v>
      </c>
      <c r="J29" s="38" t="s">
        <v>1596</v>
      </c>
      <c r="K29" s="38" t="s">
        <v>1595</v>
      </c>
      <c r="L29" s="38" t="s">
        <v>1495</v>
      </c>
      <c r="N29" s="38" t="s">
        <v>2076</v>
      </c>
      <c r="O29" s="38" t="s">
        <v>1593</v>
      </c>
      <c r="Q29" s="38" t="s">
        <v>1592</v>
      </c>
      <c r="R29" s="38" t="s">
        <v>2077</v>
      </c>
      <c r="T29" s="38" t="s">
        <v>2078</v>
      </c>
      <c r="V29" s="38" t="s">
        <v>2085</v>
      </c>
      <c r="X29" s="38" t="s">
        <v>2080</v>
      </c>
      <c r="Y29" s="38" t="s">
        <v>2081</v>
      </c>
      <c r="Z29" s="38">
        <v>338100789</v>
      </c>
      <c r="AA29" s="38" t="s">
        <v>1587</v>
      </c>
      <c r="AB29" s="38" t="s">
        <v>1587</v>
      </c>
      <c r="AC29" s="38" t="s">
        <v>1495</v>
      </c>
      <c r="AD29" s="38" t="s">
        <v>1608</v>
      </c>
      <c r="AE29" s="38" t="s">
        <v>1607</v>
      </c>
      <c r="AF29" s="38" t="s">
        <v>2138</v>
      </c>
      <c r="AI29" s="38">
        <v>44072</v>
      </c>
      <c r="AJ29" s="38">
        <v>12.5</v>
      </c>
      <c r="AK29" s="38">
        <v>1020.76</v>
      </c>
      <c r="AL29" s="38" t="s">
        <v>2139</v>
      </c>
      <c r="BK29" s="38" t="s">
        <v>48</v>
      </c>
      <c r="BL29" s="38" t="s">
        <v>1584</v>
      </c>
      <c r="BM29" s="38" t="s">
        <v>1583</v>
      </c>
      <c r="BN29" s="38">
        <v>44252.586420601852</v>
      </c>
      <c r="BR29" s="38" t="s">
        <v>1582</v>
      </c>
      <c r="BS29" s="38">
        <v>4.0125202121377597E+18</v>
      </c>
      <c r="BT29" s="38" t="s">
        <v>1581</v>
      </c>
      <c r="BV29" s="38">
        <v>2020</v>
      </c>
      <c r="BW29" s="38" t="s">
        <v>1579</v>
      </c>
      <c r="BY29" s="38">
        <v>4.02242021118289E+18</v>
      </c>
      <c r="BZ29" s="38" t="s">
        <v>2140</v>
      </c>
      <c r="CA29" s="38" t="s">
        <v>1577</v>
      </c>
    </row>
    <row r="30" spans="1:79" x14ac:dyDescent="0.2">
      <c r="A30" s="38" t="s">
        <v>1309</v>
      </c>
      <c r="B30" s="38" t="s">
        <v>604</v>
      </c>
      <c r="C30" s="38">
        <v>2020</v>
      </c>
      <c r="D30" s="38" t="s">
        <v>1659</v>
      </c>
      <c r="E30" s="38">
        <v>2.0210125940657798E+17</v>
      </c>
      <c r="F30" s="38" t="s">
        <v>1598</v>
      </c>
      <c r="G30" s="38" t="s">
        <v>2313</v>
      </c>
      <c r="H30" s="38">
        <v>1490496</v>
      </c>
      <c r="J30" s="38" t="s">
        <v>1596</v>
      </c>
      <c r="K30" s="38" t="s">
        <v>1595</v>
      </c>
      <c r="L30" s="38" t="s">
        <v>1431</v>
      </c>
      <c r="N30" s="38" t="s">
        <v>2076</v>
      </c>
      <c r="O30" s="38" t="s">
        <v>1593</v>
      </c>
      <c r="Q30" s="38" t="s">
        <v>1592</v>
      </c>
      <c r="R30" s="38" t="s">
        <v>2077</v>
      </c>
      <c r="T30" s="38" t="s">
        <v>2078</v>
      </c>
      <c r="V30" s="38" t="s">
        <v>2085</v>
      </c>
      <c r="X30" s="38" t="s">
        <v>2080</v>
      </c>
      <c r="Y30" s="38" t="s">
        <v>2081</v>
      </c>
      <c r="Z30" s="38">
        <v>338100789</v>
      </c>
      <c r="AA30" s="38" t="s">
        <v>1587</v>
      </c>
      <c r="AB30" s="38" t="s">
        <v>1587</v>
      </c>
      <c r="AC30" s="38" t="s">
        <v>1431</v>
      </c>
      <c r="AD30" s="38" t="s">
        <v>1608</v>
      </c>
      <c r="AE30" s="38" t="s">
        <v>1607</v>
      </c>
      <c r="AF30" s="38" t="s">
        <v>2141</v>
      </c>
      <c r="AI30" s="38">
        <v>44047</v>
      </c>
      <c r="AJ30" s="38">
        <v>15</v>
      </c>
      <c r="AK30" s="38">
        <v>838</v>
      </c>
      <c r="AL30" s="38" t="s">
        <v>2142</v>
      </c>
      <c r="BK30" s="38" t="s">
        <v>48</v>
      </c>
      <c r="BL30" s="38" t="s">
        <v>1584</v>
      </c>
      <c r="BM30" s="38" t="s">
        <v>1583</v>
      </c>
      <c r="BN30" s="38">
        <v>44252.586965462964</v>
      </c>
      <c r="BR30" s="38" t="s">
        <v>1582</v>
      </c>
      <c r="BS30" s="38">
        <v>4.0125202121377597E+18</v>
      </c>
      <c r="BT30" s="38" t="s">
        <v>1581</v>
      </c>
      <c r="BV30" s="38">
        <v>2020</v>
      </c>
      <c r="BW30" s="38" t="s">
        <v>1579</v>
      </c>
      <c r="BY30" s="38">
        <v>4.0224202111778601E+18</v>
      </c>
      <c r="BZ30" s="38" t="s">
        <v>2143</v>
      </c>
      <c r="CA30" s="38" t="s">
        <v>1577</v>
      </c>
    </row>
    <row r="31" spans="1:79" x14ac:dyDescent="0.2">
      <c r="A31" s="38" t="s">
        <v>1309</v>
      </c>
      <c r="B31" s="38" t="s">
        <v>604</v>
      </c>
      <c r="C31" s="38">
        <v>2020</v>
      </c>
      <c r="D31" s="38" t="s">
        <v>1659</v>
      </c>
      <c r="E31" s="38">
        <v>2.02101259407612E+17</v>
      </c>
      <c r="F31" s="38" t="s">
        <v>1598</v>
      </c>
      <c r="G31" s="38" t="s">
        <v>2314</v>
      </c>
      <c r="H31" s="38">
        <v>1490496</v>
      </c>
      <c r="J31" s="38" t="s">
        <v>1596</v>
      </c>
      <c r="K31" s="38" t="s">
        <v>1595</v>
      </c>
      <c r="L31" s="38" t="s">
        <v>2144</v>
      </c>
      <c r="N31" s="38" t="s">
        <v>2076</v>
      </c>
      <c r="O31" s="38" t="s">
        <v>1593</v>
      </c>
      <c r="Q31" s="38" t="s">
        <v>1592</v>
      </c>
      <c r="R31" s="38" t="s">
        <v>2077</v>
      </c>
      <c r="T31" s="38" t="s">
        <v>2078</v>
      </c>
      <c r="V31" s="38" t="s">
        <v>2085</v>
      </c>
      <c r="X31" s="38" t="s">
        <v>2080</v>
      </c>
      <c r="Y31" s="38" t="s">
        <v>2081</v>
      </c>
      <c r="Z31" s="38">
        <v>338100789</v>
      </c>
      <c r="AA31" s="38" t="s">
        <v>1587</v>
      </c>
      <c r="AB31" s="38" t="s">
        <v>1587</v>
      </c>
      <c r="AC31" s="38" t="s">
        <v>2144</v>
      </c>
      <c r="AD31" s="38" t="s">
        <v>1608</v>
      </c>
      <c r="AE31" s="38" t="s">
        <v>1607</v>
      </c>
      <c r="AF31" s="38" t="s">
        <v>2145</v>
      </c>
      <c r="AI31" s="38">
        <v>44073</v>
      </c>
      <c r="AJ31" s="38">
        <v>10</v>
      </c>
      <c r="AK31" s="38">
        <v>1030.76</v>
      </c>
      <c r="AL31" s="38" t="s">
        <v>2146</v>
      </c>
      <c r="BK31" s="38" t="s">
        <v>48</v>
      </c>
      <c r="BL31" s="38" t="s">
        <v>1584</v>
      </c>
      <c r="BM31" s="38" t="s">
        <v>1583</v>
      </c>
      <c r="BN31" s="38">
        <v>44252.587554004633</v>
      </c>
      <c r="BR31" s="38" t="s">
        <v>1582</v>
      </c>
      <c r="BS31" s="38">
        <v>4.0125202121377597E+18</v>
      </c>
      <c r="BT31" s="38" t="s">
        <v>1581</v>
      </c>
      <c r="BV31" s="38">
        <v>2020</v>
      </c>
      <c r="BW31" s="38" t="s">
        <v>1579</v>
      </c>
      <c r="BY31" s="38">
        <v>4.02242021117681E+18</v>
      </c>
      <c r="BZ31" s="38" t="s">
        <v>2147</v>
      </c>
      <c r="CA31" s="38" t="s">
        <v>1577</v>
      </c>
    </row>
    <row r="32" spans="1:79" x14ac:dyDescent="0.2">
      <c r="A32" s="38" t="s">
        <v>1170</v>
      </c>
      <c r="B32" s="38" t="s">
        <v>465</v>
      </c>
      <c r="C32" s="38">
        <v>2020</v>
      </c>
      <c r="D32" s="38" t="s">
        <v>1667</v>
      </c>
      <c r="E32" s="38">
        <v>2.02103039440152E+17</v>
      </c>
      <c r="F32" s="38" t="s">
        <v>1672</v>
      </c>
      <c r="G32" s="38" t="s">
        <v>2315</v>
      </c>
      <c r="H32" s="38">
        <v>1502733</v>
      </c>
      <c r="J32" s="38" t="s">
        <v>1596</v>
      </c>
      <c r="K32" s="38" t="s">
        <v>1595</v>
      </c>
      <c r="N32" s="38" t="s">
        <v>2076</v>
      </c>
      <c r="O32" s="38" t="s">
        <v>26</v>
      </c>
      <c r="Q32" s="38" t="s">
        <v>26</v>
      </c>
      <c r="R32" s="38" t="s">
        <v>2077</v>
      </c>
      <c r="T32" s="38" t="s">
        <v>2078</v>
      </c>
      <c r="V32" s="38" t="s">
        <v>2085</v>
      </c>
      <c r="X32" s="38" t="s">
        <v>2080</v>
      </c>
      <c r="Y32" s="38" t="s">
        <v>2081</v>
      </c>
      <c r="Z32" s="38">
        <v>33810</v>
      </c>
      <c r="AA32" s="38" t="s">
        <v>1587</v>
      </c>
      <c r="AB32" s="38" t="s">
        <v>1587</v>
      </c>
      <c r="AF32" s="38" t="s">
        <v>2148</v>
      </c>
      <c r="AI32" s="38">
        <v>44111</v>
      </c>
      <c r="AJ32" s="38">
        <v>10</v>
      </c>
      <c r="AK32" s="38">
        <v>10</v>
      </c>
      <c r="BG32" s="38" t="s">
        <v>1606</v>
      </c>
      <c r="BI32" s="38" t="s">
        <v>1605</v>
      </c>
      <c r="BJ32" s="38">
        <v>2020</v>
      </c>
      <c r="BK32" s="38" t="s">
        <v>48</v>
      </c>
      <c r="BL32" s="38" t="s">
        <v>1584</v>
      </c>
      <c r="BM32" s="38" t="s">
        <v>1583</v>
      </c>
      <c r="BN32" s="38">
        <v>44264.165186678241</v>
      </c>
      <c r="BR32" s="38" t="s">
        <v>1669</v>
      </c>
      <c r="BS32" s="38">
        <v>4.0304202111990298E+18</v>
      </c>
      <c r="BT32" s="38" t="s">
        <v>1581</v>
      </c>
      <c r="BV32" s="38">
        <v>2020</v>
      </c>
      <c r="BW32" s="38" t="s">
        <v>1579</v>
      </c>
      <c r="BY32" s="38">
        <v>4.03092021122739E+18</v>
      </c>
      <c r="BZ32" s="38" t="s">
        <v>2149</v>
      </c>
      <c r="CA32" s="38" t="s">
        <v>1577</v>
      </c>
    </row>
    <row r="33" spans="1:79" x14ac:dyDescent="0.2">
      <c r="A33" s="38" t="s">
        <v>1190</v>
      </c>
      <c r="B33" s="38" t="s">
        <v>485</v>
      </c>
      <c r="C33" s="38">
        <v>2020</v>
      </c>
      <c r="D33" s="38" t="s">
        <v>1667</v>
      </c>
      <c r="E33" s="38">
        <v>2.0210208942714099E+17</v>
      </c>
      <c r="F33" s="38" t="s">
        <v>1598</v>
      </c>
      <c r="G33" s="38" t="s">
        <v>2316</v>
      </c>
      <c r="H33" s="38">
        <v>1499074</v>
      </c>
      <c r="J33" s="38" t="s">
        <v>1596</v>
      </c>
      <c r="K33" s="38" t="s">
        <v>1595</v>
      </c>
      <c r="N33" s="38" t="s">
        <v>2076</v>
      </c>
      <c r="O33" s="38" t="s">
        <v>0</v>
      </c>
      <c r="Q33" s="38" t="s">
        <v>58</v>
      </c>
      <c r="R33" s="38" t="s">
        <v>2077</v>
      </c>
      <c r="T33" s="38" t="s">
        <v>2078</v>
      </c>
      <c r="V33" s="38" t="s">
        <v>2085</v>
      </c>
      <c r="X33" s="38" t="s">
        <v>2080</v>
      </c>
      <c r="Y33" s="38" t="s">
        <v>2081</v>
      </c>
      <c r="Z33" s="38">
        <v>33810</v>
      </c>
      <c r="AA33" s="38" t="s">
        <v>1587</v>
      </c>
      <c r="AB33" s="38" t="s">
        <v>1587</v>
      </c>
      <c r="AF33" s="38" t="s">
        <v>2150</v>
      </c>
      <c r="AI33" s="38">
        <v>44113</v>
      </c>
      <c r="AJ33" s="38">
        <v>45</v>
      </c>
      <c r="AK33" s="38">
        <v>87</v>
      </c>
      <c r="BK33" s="38" t="s">
        <v>48</v>
      </c>
      <c r="BL33" s="38" t="s">
        <v>1584</v>
      </c>
      <c r="BM33" s="38" t="s">
        <v>1583</v>
      </c>
      <c r="BN33" s="38">
        <v>44246.189778125001</v>
      </c>
      <c r="BR33" s="38" t="s">
        <v>1582</v>
      </c>
      <c r="BS33" s="38">
        <v>4.0209202111221601E+18</v>
      </c>
      <c r="BT33" s="38" t="s">
        <v>1581</v>
      </c>
      <c r="BV33" s="38">
        <v>2020</v>
      </c>
      <c r="BW33" s="38" t="s">
        <v>1579</v>
      </c>
      <c r="BY33" s="38">
        <v>4.0219202111599498E+18</v>
      </c>
      <c r="BZ33" s="38" t="s">
        <v>2151</v>
      </c>
      <c r="CA33" s="38" t="s">
        <v>1577</v>
      </c>
    </row>
    <row r="34" spans="1:79" x14ac:dyDescent="0.2">
      <c r="A34" s="38" t="s">
        <v>1190</v>
      </c>
      <c r="B34" s="38" t="s">
        <v>485</v>
      </c>
      <c r="C34" s="38">
        <v>2020</v>
      </c>
      <c r="D34" s="38" t="s">
        <v>1678</v>
      </c>
      <c r="E34" s="38">
        <v>2.0200728926116602E+17</v>
      </c>
      <c r="F34" s="38" t="s">
        <v>1598</v>
      </c>
      <c r="G34" s="38" t="s">
        <v>2317</v>
      </c>
      <c r="H34" s="38">
        <v>1429035</v>
      </c>
      <c r="J34" s="38" t="s">
        <v>1596</v>
      </c>
      <c r="K34" s="38" t="s">
        <v>1595</v>
      </c>
      <c r="N34" s="38" t="s">
        <v>2076</v>
      </c>
      <c r="O34" s="38" t="s">
        <v>0</v>
      </c>
      <c r="Q34" s="38" t="s">
        <v>58</v>
      </c>
      <c r="R34" s="38" t="s">
        <v>2077</v>
      </c>
      <c r="T34" s="38" t="s">
        <v>2078</v>
      </c>
      <c r="V34" s="38" t="s">
        <v>2085</v>
      </c>
      <c r="X34" s="38" t="s">
        <v>2080</v>
      </c>
      <c r="Y34" s="38" t="s">
        <v>2081</v>
      </c>
      <c r="Z34" s="38">
        <v>33810</v>
      </c>
      <c r="AA34" s="38" t="s">
        <v>1587</v>
      </c>
      <c r="AB34" s="38" t="s">
        <v>1587</v>
      </c>
      <c r="AF34" s="38" t="s">
        <v>2152</v>
      </c>
      <c r="AI34" s="38">
        <v>43872</v>
      </c>
      <c r="AJ34" s="38">
        <v>42</v>
      </c>
      <c r="AK34" s="38">
        <v>89</v>
      </c>
      <c r="BK34" s="38" t="s">
        <v>48</v>
      </c>
      <c r="BL34" s="38" t="s">
        <v>1584</v>
      </c>
      <c r="BM34" s="38" t="s">
        <v>1583</v>
      </c>
      <c r="BN34" s="38">
        <v>44047.177188391201</v>
      </c>
      <c r="BR34" s="38" t="s">
        <v>1582</v>
      </c>
      <c r="BS34" s="38">
        <v>4.0729202018088402E+18</v>
      </c>
      <c r="BT34" s="38" t="s">
        <v>1581</v>
      </c>
      <c r="BV34" s="38">
        <v>2020</v>
      </c>
      <c r="BW34" s="38" t="s">
        <v>1579</v>
      </c>
      <c r="BY34" s="38">
        <v>4.0804202018108902E+18</v>
      </c>
      <c r="BZ34" s="38" t="s">
        <v>2153</v>
      </c>
      <c r="CA34" s="38" t="s">
        <v>1577</v>
      </c>
    </row>
    <row r="35" spans="1:79" x14ac:dyDescent="0.2">
      <c r="A35" s="38" t="s">
        <v>1190</v>
      </c>
      <c r="B35" s="38" t="s">
        <v>485</v>
      </c>
      <c r="C35" s="38">
        <v>2020</v>
      </c>
      <c r="D35" s="38" t="s">
        <v>1678</v>
      </c>
      <c r="E35" s="38">
        <v>2.0200728926116602E+17</v>
      </c>
      <c r="F35" s="38" t="s">
        <v>1598</v>
      </c>
      <c r="G35" s="38" t="s">
        <v>2318</v>
      </c>
      <c r="H35" s="38">
        <v>1429035</v>
      </c>
      <c r="J35" s="38" t="s">
        <v>1596</v>
      </c>
      <c r="K35" s="38" t="s">
        <v>1595</v>
      </c>
      <c r="N35" s="38" t="s">
        <v>2076</v>
      </c>
      <c r="O35" s="38" t="s">
        <v>0</v>
      </c>
      <c r="Q35" s="38" t="s">
        <v>58</v>
      </c>
      <c r="R35" s="38" t="s">
        <v>2077</v>
      </c>
      <c r="T35" s="38" t="s">
        <v>2078</v>
      </c>
      <c r="V35" s="38" t="s">
        <v>2085</v>
      </c>
      <c r="X35" s="38" t="s">
        <v>2080</v>
      </c>
      <c r="Y35" s="38" t="s">
        <v>2081</v>
      </c>
      <c r="Z35" s="38">
        <v>33810</v>
      </c>
      <c r="AA35" s="38" t="s">
        <v>1587</v>
      </c>
      <c r="AB35" s="38" t="s">
        <v>1587</v>
      </c>
      <c r="AF35" s="38" t="s">
        <v>2154</v>
      </c>
      <c r="AI35" s="38">
        <v>43888</v>
      </c>
      <c r="AJ35" s="38">
        <v>42</v>
      </c>
      <c r="AK35" s="38">
        <v>131</v>
      </c>
      <c r="BK35" s="38" t="s">
        <v>48</v>
      </c>
      <c r="BL35" s="38" t="s">
        <v>1584</v>
      </c>
      <c r="BM35" s="38" t="s">
        <v>1583</v>
      </c>
      <c r="BN35" s="38">
        <v>44047.175568321756</v>
      </c>
      <c r="BR35" s="38" t="s">
        <v>1582</v>
      </c>
      <c r="BS35" s="38">
        <v>4.0729202018088402E+18</v>
      </c>
      <c r="BT35" s="38" t="s">
        <v>1581</v>
      </c>
      <c r="BV35" s="38">
        <v>2020</v>
      </c>
      <c r="BW35" s="38" t="s">
        <v>1579</v>
      </c>
      <c r="BY35" s="38">
        <v>4.0804202018108902E+18</v>
      </c>
      <c r="BZ35" s="38" t="s">
        <v>2153</v>
      </c>
      <c r="CA35" s="38" t="s">
        <v>1577</v>
      </c>
    </row>
    <row r="36" spans="1:79" x14ac:dyDescent="0.2">
      <c r="A36" s="38" t="s">
        <v>1190</v>
      </c>
      <c r="B36" s="38" t="s">
        <v>485</v>
      </c>
      <c r="C36" s="38">
        <v>2020</v>
      </c>
      <c r="D36" s="38" t="s">
        <v>1678</v>
      </c>
      <c r="E36" s="38">
        <v>2.0200728926116602E+17</v>
      </c>
      <c r="F36" s="38" t="s">
        <v>1598</v>
      </c>
      <c r="G36" s="38" t="s">
        <v>2319</v>
      </c>
      <c r="H36" s="38">
        <v>1429035</v>
      </c>
      <c r="J36" s="38" t="s">
        <v>1596</v>
      </c>
      <c r="K36" s="38" t="s">
        <v>1595</v>
      </c>
      <c r="N36" s="38" t="s">
        <v>2076</v>
      </c>
      <c r="O36" s="38" t="s">
        <v>0</v>
      </c>
      <c r="Q36" s="38" t="s">
        <v>58</v>
      </c>
      <c r="R36" s="38" t="s">
        <v>2077</v>
      </c>
      <c r="T36" s="38" t="s">
        <v>2078</v>
      </c>
      <c r="V36" s="38" t="s">
        <v>2085</v>
      </c>
      <c r="X36" s="38" t="s">
        <v>2080</v>
      </c>
      <c r="Y36" s="38" t="s">
        <v>2081</v>
      </c>
      <c r="Z36" s="38">
        <v>33810</v>
      </c>
      <c r="AA36" s="38" t="s">
        <v>1587</v>
      </c>
      <c r="AB36" s="38" t="s">
        <v>1587</v>
      </c>
      <c r="AF36" s="38" t="s">
        <v>2155</v>
      </c>
      <c r="AI36" s="38">
        <v>43859</v>
      </c>
      <c r="AJ36" s="38">
        <v>42</v>
      </c>
      <c r="AK36" s="38">
        <v>47</v>
      </c>
      <c r="BK36" s="38" t="s">
        <v>48</v>
      </c>
      <c r="BL36" s="38" t="s">
        <v>1584</v>
      </c>
      <c r="BM36" s="38" t="s">
        <v>1583</v>
      </c>
      <c r="BN36" s="38">
        <v>44047.176284340276</v>
      </c>
      <c r="BR36" s="38" t="s">
        <v>1582</v>
      </c>
      <c r="BS36" s="38">
        <v>4.0729202018088402E+18</v>
      </c>
      <c r="BT36" s="38" t="s">
        <v>1581</v>
      </c>
      <c r="BV36" s="38">
        <v>2020</v>
      </c>
      <c r="BW36" s="38" t="s">
        <v>1579</v>
      </c>
      <c r="BY36" s="38">
        <v>4.0804202018108902E+18</v>
      </c>
      <c r="BZ36" s="38" t="s">
        <v>2156</v>
      </c>
      <c r="CA36" s="38" t="s">
        <v>1577</v>
      </c>
    </row>
    <row r="37" spans="1:79" x14ac:dyDescent="0.2">
      <c r="A37" s="38" t="s">
        <v>1190</v>
      </c>
      <c r="B37" s="38" t="s">
        <v>485</v>
      </c>
      <c r="C37" s="38">
        <v>2020</v>
      </c>
      <c r="D37" s="38" t="s">
        <v>1678</v>
      </c>
      <c r="E37" s="38">
        <v>2.0200728926116602E+17</v>
      </c>
      <c r="F37" s="38" t="s">
        <v>1598</v>
      </c>
      <c r="G37" s="38" t="s">
        <v>2320</v>
      </c>
      <c r="H37" s="38">
        <v>1429035</v>
      </c>
      <c r="J37" s="38" t="s">
        <v>1596</v>
      </c>
      <c r="K37" s="38" t="s">
        <v>1595</v>
      </c>
      <c r="N37" s="38" t="s">
        <v>2076</v>
      </c>
      <c r="O37" s="38" t="s">
        <v>0</v>
      </c>
      <c r="Q37" s="38" t="s">
        <v>58</v>
      </c>
      <c r="R37" s="38" t="s">
        <v>2077</v>
      </c>
      <c r="T37" s="38" t="s">
        <v>2078</v>
      </c>
      <c r="V37" s="38" t="s">
        <v>2085</v>
      </c>
      <c r="X37" s="38" t="s">
        <v>2080</v>
      </c>
      <c r="Y37" s="38" t="s">
        <v>2081</v>
      </c>
      <c r="Z37" s="38">
        <v>33810</v>
      </c>
      <c r="AA37" s="38" t="s">
        <v>1587</v>
      </c>
      <c r="AB37" s="38" t="s">
        <v>1587</v>
      </c>
      <c r="AF37" s="38" t="s">
        <v>2157</v>
      </c>
      <c r="AI37" s="38">
        <v>43839</v>
      </c>
      <c r="AJ37" s="38">
        <v>5</v>
      </c>
      <c r="AK37" s="38">
        <v>5</v>
      </c>
      <c r="BK37" s="38" t="s">
        <v>48</v>
      </c>
      <c r="BL37" s="38" t="s">
        <v>1584</v>
      </c>
      <c r="BM37" s="38" t="s">
        <v>1583</v>
      </c>
      <c r="BN37" s="38">
        <v>44047.19051847222</v>
      </c>
      <c r="BR37" s="38" t="s">
        <v>1582</v>
      </c>
      <c r="BS37" s="38">
        <v>4.0729202018088402E+18</v>
      </c>
      <c r="BT37" s="38" t="s">
        <v>1581</v>
      </c>
      <c r="BV37" s="38">
        <v>2020</v>
      </c>
      <c r="BW37" s="38" t="s">
        <v>1579</v>
      </c>
      <c r="BY37" s="38">
        <v>4.0804202018108902E+18</v>
      </c>
      <c r="BZ37" s="38" t="s">
        <v>2156</v>
      </c>
      <c r="CA37" s="38" t="s">
        <v>1577</v>
      </c>
    </row>
    <row r="38" spans="1:79" x14ac:dyDescent="0.2">
      <c r="A38" s="38" t="s">
        <v>1190</v>
      </c>
      <c r="B38" s="38" t="s">
        <v>485</v>
      </c>
      <c r="C38" s="38">
        <v>2020</v>
      </c>
      <c r="D38" s="38" t="s">
        <v>1678</v>
      </c>
      <c r="E38" s="38">
        <v>2.0200728926116602E+17</v>
      </c>
      <c r="F38" s="38" t="s">
        <v>1598</v>
      </c>
      <c r="G38" s="38" t="s">
        <v>2321</v>
      </c>
      <c r="H38" s="38">
        <v>1429035</v>
      </c>
      <c r="J38" s="38" t="s">
        <v>1596</v>
      </c>
      <c r="K38" s="38" t="s">
        <v>1595</v>
      </c>
      <c r="N38" s="38" t="s">
        <v>2076</v>
      </c>
      <c r="O38" s="38" t="s">
        <v>0</v>
      </c>
      <c r="Q38" s="38" t="s">
        <v>58</v>
      </c>
      <c r="R38" s="38" t="s">
        <v>2077</v>
      </c>
      <c r="T38" s="38" t="s">
        <v>2078</v>
      </c>
      <c r="V38" s="38" t="s">
        <v>2085</v>
      </c>
      <c r="X38" s="38" t="s">
        <v>2080</v>
      </c>
      <c r="Y38" s="38" t="s">
        <v>2081</v>
      </c>
      <c r="Z38" s="38">
        <v>33810</v>
      </c>
      <c r="AA38" s="38" t="s">
        <v>1587</v>
      </c>
      <c r="AB38" s="38" t="s">
        <v>1587</v>
      </c>
      <c r="AF38" s="38" t="s">
        <v>2158</v>
      </c>
      <c r="AI38" s="38">
        <v>43897</v>
      </c>
      <c r="AJ38" s="38">
        <v>35</v>
      </c>
      <c r="AK38" s="38">
        <v>166</v>
      </c>
      <c r="BK38" s="38" t="s">
        <v>48</v>
      </c>
      <c r="BL38" s="38" t="s">
        <v>1584</v>
      </c>
      <c r="BM38" s="38" t="s">
        <v>1583</v>
      </c>
      <c r="BN38" s="38">
        <v>44047.19051847222</v>
      </c>
      <c r="BR38" s="38" t="s">
        <v>1582</v>
      </c>
      <c r="BS38" s="38">
        <v>4.0729202018088402E+18</v>
      </c>
      <c r="BT38" s="38" t="s">
        <v>1581</v>
      </c>
      <c r="BV38" s="38">
        <v>2020</v>
      </c>
      <c r="BW38" s="38" t="s">
        <v>1579</v>
      </c>
      <c r="BY38" s="38">
        <v>4.0804202018108902E+18</v>
      </c>
      <c r="BZ38" s="38" t="s">
        <v>2159</v>
      </c>
      <c r="CA38" s="38" t="s">
        <v>1577</v>
      </c>
    </row>
    <row r="39" spans="1:79" x14ac:dyDescent="0.2">
      <c r="A39" s="38" t="s">
        <v>1190</v>
      </c>
      <c r="B39" s="38" t="s">
        <v>485</v>
      </c>
      <c r="C39" s="38">
        <v>2020</v>
      </c>
      <c r="D39" s="38" t="s">
        <v>1678</v>
      </c>
      <c r="E39" s="38">
        <v>2.0200728926116602E+17</v>
      </c>
      <c r="F39" s="38" t="s">
        <v>1598</v>
      </c>
      <c r="G39" s="38" t="s">
        <v>2322</v>
      </c>
      <c r="H39" s="38">
        <v>1429035</v>
      </c>
      <c r="J39" s="38" t="s">
        <v>1596</v>
      </c>
      <c r="K39" s="38" t="s">
        <v>1595</v>
      </c>
      <c r="N39" s="38" t="s">
        <v>2076</v>
      </c>
      <c r="O39" s="38" t="s">
        <v>0</v>
      </c>
      <c r="Q39" s="38" t="s">
        <v>58</v>
      </c>
      <c r="R39" s="38" t="s">
        <v>2077</v>
      </c>
      <c r="T39" s="38" t="s">
        <v>2078</v>
      </c>
      <c r="V39" s="38" t="s">
        <v>2085</v>
      </c>
      <c r="X39" s="38" t="s">
        <v>2080</v>
      </c>
      <c r="Y39" s="38" t="s">
        <v>2081</v>
      </c>
      <c r="Z39" s="38">
        <v>33810</v>
      </c>
      <c r="AA39" s="38" t="s">
        <v>1587</v>
      </c>
      <c r="AB39" s="38" t="s">
        <v>1587</v>
      </c>
      <c r="AD39" s="38" t="s">
        <v>1608</v>
      </c>
      <c r="AE39" s="38" t="s">
        <v>1607</v>
      </c>
      <c r="AF39" s="38" t="s">
        <v>2160</v>
      </c>
      <c r="AI39" s="38">
        <v>43917</v>
      </c>
      <c r="AJ39" s="38">
        <v>42</v>
      </c>
      <c r="AK39" s="38">
        <v>208</v>
      </c>
      <c r="BG39" s="38" t="s">
        <v>26</v>
      </c>
      <c r="BI39" s="38" t="s">
        <v>1648</v>
      </c>
      <c r="BK39" s="38" t="s">
        <v>48</v>
      </c>
      <c r="BL39" s="38" t="s">
        <v>1584</v>
      </c>
      <c r="BM39" s="38" t="s">
        <v>1583</v>
      </c>
      <c r="BN39" s="38">
        <v>44047.19051847222</v>
      </c>
      <c r="BR39" s="38" t="s">
        <v>1582</v>
      </c>
      <c r="BS39" s="38">
        <v>4.0729202018088402E+18</v>
      </c>
      <c r="BT39" s="38" t="s">
        <v>1581</v>
      </c>
      <c r="BV39" s="38">
        <v>2020</v>
      </c>
      <c r="BW39" s="38" t="s">
        <v>1579</v>
      </c>
      <c r="BY39" s="38">
        <v>4.0804202018108902E+18</v>
      </c>
      <c r="BZ39" s="38" t="s">
        <v>2159</v>
      </c>
      <c r="CA39" s="38" t="s">
        <v>1577</v>
      </c>
    </row>
    <row r="40" spans="1:79" x14ac:dyDescent="0.2">
      <c r="A40" s="38" t="s">
        <v>1309</v>
      </c>
      <c r="B40" s="38" t="s">
        <v>604</v>
      </c>
      <c r="C40" s="38">
        <v>2020</v>
      </c>
      <c r="D40" s="38" t="s">
        <v>1696</v>
      </c>
      <c r="E40" s="38">
        <v>2.0210129941421699E+17</v>
      </c>
      <c r="F40" s="38" t="s">
        <v>1598</v>
      </c>
      <c r="G40" s="38" t="s">
        <v>2323</v>
      </c>
      <c r="H40" s="38">
        <v>1494216</v>
      </c>
      <c r="J40" s="38" t="s">
        <v>1596</v>
      </c>
      <c r="K40" s="38" t="s">
        <v>1595</v>
      </c>
      <c r="L40" s="38" t="s">
        <v>1480</v>
      </c>
      <c r="N40" s="38" t="s">
        <v>2076</v>
      </c>
      <c r="O40" s="38" t="s">
        <v>1593</v>
      </c>
      <c r="Q40" s="38" t="s">
        <v>1592</v>
      </c>
      <c r="R40" s="38" t="s">
        <v>2077</v>
      </c>
      <c r="T40" s="38" t="s">
        <v>2078</v>
      </c>
      <c r="V40" s="38" t="s">
        <v>2085</v>
      </c>
      <c r="X40" s="38" t="s">
        <v>2080</v>
      </c>
      <c r="Y40" s="38" t="s">
        <v>2081</v>
      </c>
      <c r="Z40" s="38">
        <v>338100789</v>
      </c>
      <c r="AA40" s="38" t="s">
        <v>1587</v>
      </c>
      <c r="AB40" s="38" t="s">
        <v>1587</v>
      </c>
      <c r="AC40" s="38" t="s">
        <v>1480</v>
      </c>
      <c r="AD40" s="38" t="s">
        <v>1608</v>
      </c>
      <c r="AE40" s="38" t="s">
        <v>1607</v>
      </c>
      <c r="AF40" s="38" t="s">
        <v>2161</v>
      </c>
      <c r="AI40" s="38">
        <v>44162</v>
      </c>
      <c r="AJ40" s="38">
        <v>10</v>
      </c>
      <c r="AK40" s="38">
        <v>1795.76</v>
      </c>
      <c r="AL40" s="38" t="s">
        <v>2162</v>
      </c>
      <c r="BK40" s="38" t="s">
        <v>48</v>
      </c>
      <c r="BL40" s="38" t="s">
        <v>1584</v>
      </c>
      <c r="BM40" s="38" t="s">
        <v>1583</v>
      </c>
      <c r="BN40" s="38">
        <v>44265.176256099534</v>
      </c>
      <c r="BR40" s="38" t="s">
        <v>1582</v>
      </c>
      <c r="BS40" s="38">
        <v>4.0131202121392901E+18</v>
      </c>
      <c r="BT40" s="38" t="s">
        <v>1581</v>
      </c>
      <c r="BV40" s="38">
        <v>2020</v>
      </c>
      <c r="BW40" s="38" t="s">
        <v>1579</v>
      </c>
      <c r="BY40" s="38">
        <v>4.0309202112352399E+18</v>
      </c>
      <c r="BZ40" s="38" t="s">
        <v>2163</v>
      </c>
      <c r="CA40" s="38" t="s">
        <v>1577</v>
      </c>
    </row>
    <row r="41" spans="1:79" x14ac:dyDescent="0.2">
      <c r="A41" s="38" t="s">
        <v>1493</v>
      </c>
      <c r="B41" s="38" t="s">
        <v>788</v>
      </c>
      <c r="C41" s="38">
        <v>2020</v>
      </c>
      <c r="D41" s="38" t="s">
        <v>1659</v>
      </c>
      <c r="E41" s="38">
        <v>2.0201218939337101E+17</v>
      </c>
      <c r="F41" s="38" t="s">
        <v>1598</v>
      </c>
      <c r="G41" s="38" t="s">
        <v>2324</v>
      </c>
      <c r="H41" s="38">
        <v>1483278</v>
      </c>
      <c r="J41" s="38" t="s">
        <v>1596</v>
      </c>
      <c r="K41" s="38" t="s">
        <v>1595</v>
      </c>
      <c r="N41" s="38" t="s">
        <v>2076</v>
      </c>
      <c r="O41" s="38" t="s">
        <v>73</v>
      </c>
      <c r="Q41" s="38" t="s">
        <v>26</v>
      </c>
      <c r="R41" s="38" t="s">
        <v>2077</v>
      </c>
      <c r="T41" s="38" t="s">
        <v>2078</v>
      </c>
      <c r="V41" s="38" t="s">
        <v>2085</v>
      </c>
      <c r="X41" s="38" t="s">
        <v>2080</v>
      </c>
      <c r="Y41" s="38" t="s">
        <v>2081</v>
      </c>
      <c r="Z41" s="38">
        <v>33810</v>
      </c>
      <c r="AA41" s="38" t="s">
        <v>1587</v>
      </c>
      <c r="AB41" s="38" t="s">
        <v>1587</v>
      </c>
      <c r="AF41" s="38" t="s">
        <v>2164</v>
      </c>
      <c r="AI41" s="38">
        <v>44077</v>
      </c>
      <c r="AJ41" s="38">
        <v>10</v>
      </c>
      <c r="AK41" s="38">
        <v>10</v>
      </c>
      <c r="BG41" s="38" t="s">
        <v>1606</v>
      </c>
      <c r="BI41" s="38" t="s">
        <v>1605</v>
      </c>
      <c r="BJ41" s="38">
        <v>2020</v>
      </c>
      <c r="BK41" s="38" t="s">
        <v>1676</v>
      </c>
      <c r="BL41" s="38" t="s">
        <v>1675</v>
      </c>
      <c r="BM41" s="38" t="s">
        <v>1583</v>
      </c>
      <c r="BN41" s="38">
        <v>44194.15368358796</v>
      </c>
      <c r="BR41" s="38" t="s">
        <v>1602</v>
      </c>
      <c r="BS41" s="38">
        <v>4.1219202019782098E+18</v>
      </c>
      <c r="BT41" s="38" t="s">
        <v>1581</v>
      </c>
      <c r="BV41" s="38">
        <v>2020</v>
      </c>
      <c r="BW41" s="38" t="s">
        <v>1579</v>
      </c>
      <c r="BY41" s="38">
        <v>4.1229202019865001E+18</v>
      </c>
      <c r="BZ41" s="38" t="s">
        <v>2165</v>
      </c>
      <c r="CA41" s="38" t="s">
        <v>1577</v>
      </c>
    </row>
    <row r="42" spans="1:79" x14ac:dyDescent="0.2">
      <c r="A42" s="38" t="s">
        <v>1493</v>
      </c>
      <c r="B42" s="38" t="s">
        <v>788</v>
      </c>
      <c r="C42" s="38">
        <v>2020</v>
      </c>
      <c r="D42" s="38" t="s">
        <v>1667</v>
      </c>
      <c r="E42" s="38">
        <v>2.0201218939337299E+17</v>
      </c>
      <c r="F42" s="38" t="s">
        <v>1598</v>
      </c>
      <c r="G42" s="38" t="s">
        <v>2325</v>
      </c>
      <c r="H42" s="38">
        <v>1483282</v>
      </c>
      <c r="J42" s="38" t="s">
        <v>1596</v>
      </c>
      <c r="K42" s="38" t="s">
        <v>1595</v>
      </c>
      <c r="N42" s="38" t="s">
        <v>2076</v>
      </c>
      <c r="O42" s="38" t="s">
        <v>73</v>
      </c>
      <c r="Q42" s="38" t="s">
        <v>26</v>
      </c>
      <c r="R42" s="38" t="s">
        <v>2077</v>
      </c>
      <c r="T42" s="38" t="s">
        <v>2078</v>
      </c>
      <c r="V42" s="38" t="s">
        <v>2085</v>
      </c>
      <c r="X42" s="38" t="s">
        <v>2080</v>
      </c>
      <c r="Y42" s="38" t="s">
        <v>2081</v>
      </c>
      <c r="Z42" s="38">
        <v>33810</v>
      </c>
      <c r="AA42" s="38" t="s">
        <v>1587</v>
      </c>
      <c r="AB42" s="38" t="s">
        <v>1587</v>
      </c>
      <c r="AF42" s="38" t="s">
        <v>2166</v>
      </c>
      <c r="AI42" s="38">
        <v>44113</v>
      </c>
      <c r="AJ42" s="38">
        <v>1.88</v>
      </c>
      <c r="AK42" s="38">
        <v>11.88</v>
      </c>
      <c r="BG42" s="38" t="s">
        <v>1606</v>
      </c>
      <c r="BI42" s="38" t="s">
        <v>1605</v>
      </c>
      <c r="BJ42" s="38">
        <v>2020</v>
      </c>
      <c r="BK42" s="38" t="s">
        <v>1676</v>
      </c>
      <c r="BL42" s="38" t="s">
        <v>1675</v>
      </c>
      <c r="BM42" s="38" t="s">
        <v>1583</v>
      </c>
      <c r="BN42" s="38">
        <v>44194.153230694443</v>
      </c>
      <c r="BR42" s="38" t="s">
        <v>1602</v>
      </c>
      <c r="BS42" s="38">
        <v>4.1219202019782098E+18</v>
      </c>
      <c r="BT42" s="38" t="s">
        <v>1581</v>
      </c>
      <c r="BV42" s="38">
        <v>2020</v>
      </c>
      <c r="BW42" s="38" t="s">
        <v>1579</v>
      </c>
      <c r="BY42" s="38">
        <v>4.1229202019864899E+18</v>
      </c>
      <c r="BZ42" s="38" t="s">
        <v>2167</v>
      </c>
      <c r="CA42" s="38" t="s">
        <v>1577</v>
      </c>
    </row>
    <row r="43" spans="1:79" x14ac:dyDescent="0.2">
      <c r="A43" s="38" t="s">
        <v>1190</v>
      </c>
      <c r="B43" s="38" t="s">
        <v>485</v>
      </c>
      <c r="C43" s="38">
        <v>2020</v>
      </c>
      <c r="D43" s="38" t="s">
        <v>1612</v>
      </c>
      <c r="E43" s="38">
        <v>2.021021894286E+17</v>
      </c>
      <c r="F43" s="38" t="s">
        <v>1598</v>
      </c>
      <c r="G43" s="38" t="s">
        <v>2326</v>
      </c>
      <c r="H43" s="38">
        <v>1500723</v>
      </c>
      <c r="J43" s="38" t="s">
        <v>1596</v>
      </c>
      <c r="K43" s="38" t="s">
        <v>1595</v>
      </c>
      <c r="N43" s="38" t="s">
        <v>2076</v>
      </c>
      <c r="O43" s="38" t="s">
        <v>0</v>
      </c>
      <c r="Q43" s="38" t="s">
        <v>58</v>
      </c>
      <c r="R43" s="38" t="s">
        <v>2077</v>
      </c>
      <c r="T43" s="38" t="s">
        <v>2078</v>
      </c>
      <c r="V43" s="38" t="s">
        <v>2085</v>
      </c>
      <c r="X43" s="38" t="s">
        <v>2080</v>
      </c>
      <c r="Y43" s="38" t="s">
        <v>2081</v>
      </c>
      <c r="Z43" s="38">
        <v>33810</v>
      </c>
      <c r="AA43" s="38" t="s">
        <v>1587</v>
      </c>
      <c r="AB43" s="38" t="s">
        <v>1587</v>
      </c>
      <c r="AF43" s="38" t="s">
        <v>2168</v>
      </c>
      <c r="AI43" s="38">
        <v>44139</v>
      </c>
      <c r="AJ43" s="38">
        <v>42</v>
      </c>
      <c r="AK43" s="38">
        <v>42</v>
      </c>
      <c r="BK43" s="38" t="s">
        <v>48</v>
      </c>
      <c r="BL43" s="38" t="s">
        <v>1584</v>
      </c>
      <c r="BM43" s="38" t="s">
        <v>1583</v>
      </c>
      <c r="BN43" s="38">
        <v>44258.58016474537</v>
      </c>
      <c r="BR43" s="38" t="s">
        <v>1582</v>
      </c>
      <c r="BS43" s="38">
        <v>4.0219202111582602E+18</v>
      </c>
      <c r="BT43" s="38" t="s">
        <v>1581</v>
      </c>
      <c r="BV43" s="38">
        <v>2020</v>
      </c>
      <c r="BW43" s="38" t="s">
        <v>1579</v>
      </c>
      <c r="BY43" s="38">
        <v>4.0302202111916099E+18</v>
      </c>
      <c r="BZ43" s="38" t="s">
        <v>2169</v>
      </c>
      <c r="CA43" s="38" t="s">
        <v>1577</v>
      </c>
    </row>
    <row r="44" spans="1:79" x14ac:dyDescent="0.2">
      <c r="A44" s="38" t="s">
        <v>1309</v>
      </c>
      <c r="B44" s="38" t="s">
        <v>604</v>
      </c>
      <c r="C44" s="38">
        <v>2020</v>
      </c>
      <c r="D44" s="38" t="s">
        <v>1678</v>
      </c>
      <c r="E44" s="38">
        <v>2.0210107939708701E+17</v>
      </c>
      <c r="F44" s="38" t="s">
        <v>1598</v>
      </c>
      <c r="G44" s="38" t="s">
        <v>2327</v>
      </c>
      <c r="H44" s="38">
        <v>1485991</v>
      </c>
      <c r="J44" s="38" t="s">
        <v>1596</v>
      </c>
      <c r="K44" s="38" t="s">
        <v>1595</v>
      </c>
      <c r="L44" s="38" t="s">
        <v>1190</v>
      </c>
      <c r="N44" s="38" t="s">
        <v>2076</v>
      </c>
      <c r="O44" s="38" t="s">
        <v>1593</v>
      </c>
      <c r="Q44" s="38" t="s">
        <v>1592</v>
      </c>
      <c r="R44" s="38" t="s">
        <v>2077</v>
      </c>
      <c r="T44" s="38" t="s">
        <v>2078</v>
      </c>
      <c r="V44" s="38" t="s">
        <v>2085</v>
      </c>
      <c r="X44" s="38" t="s">
        <v>2080</v>
      </c>
      <c r="Y44" s="38" t="s">
        <v>2081</v>
      </c>
      <c r="Z44" s="38">
        <v>338100789</v>
      </c>
      <c r="AA44" s="38" t="s">
        <v>1587</v>
      </c>
      <c r="AB44" s="38" t="s">
        <v>1587</v>
      </c>
      <c r="AC44" s="38" t="s">
        <v>1190</v>
      </c>
      <c r="AD44" s="38" t="s">
        <v>1608</v>
      </c>
      <c r="AE44" s="38" t="s">
        <v>1607</v>
      </c>
      <c r="AF44" s="38" t="s">
        <v>2111</v>
      </c>
      <c r="AI44" s="38">
        <v>43917</v>
      </c>
      <c r="AJ44" s="38">
        <v>42</v>
      </c>
      <c r="AK44" s="38">
        <v>208</v>
      </c>
      <c r="BG44" s="38" t="s">
        <v>26</v>
      </c>
      <c r="BI44" s="38" t="s">
        <v>1648</v>
      </c>
      <c r="BK44" s="38" t="s">
        <v>48</v>
      </c>
      <c r="BL44" s="38" t="s">
        <v>1584</v>
      </c>
      <c r="BM44" s="38" t="s">
        <v>1583</v>
      </c>
      <c r="BN44" s="38">
        <v>44239.166933842593</v>
      </c>
      <c r="BR44" s="38" t="s">
        <v>1582</v>
      </c>
      <c r="BS44" s="38">
        <v>4.0111202120681999E+18</v>
      </c>
      <c r="BT44" s="38" t="s">
        <v>1581</v>
      </c>
      <c r="BV44" s="38">
        <v>2020</v>
      </c>
      <c r="BW44" s="38" t="s">
        <v>1579</v>
      </c>
      <c r="BY44" s="38">
        <v>4.0211202111377802E+18</v>
      </c>
      <c r="BZ44" s="38" t="s">
        <v>2170</v>
      </c>
      <c r="CA44" s="38" t="s">
        <v>1577</v>
      </c>
    </row>
    <row r="45" spans="1:79" x14ac:dyDescent="0.2">
      <c r="A45" s="38" t="s">
        <v>1309</v>
      </c>
      <c r="B45" s="38" t="s">
        <v>604</v>
      </c>
      <c r="C45" s="38">
        <v>2020</v>
      </c>
      <c r="D45" s="38" t="s">
        <v>1659</v>
      </c>
      <c r="E45" s="38">
        <v>2.0210125940715002E+17</v>
      </c>
      <c r="F45" s="38" t="s">
        <v>1598</v>
      </c>
      <c r="G45" s="38" t="s">
        <v>2328</v>
      </c>
      <c r="H45" s="38">
        <v>1490496</v>
      </c>
      <c r="J45" s="38" t="s">
        <v>1596</v>
      </c>
      <c r="K45" s="38" t="s">
        <v>1595</v>
      </c>
      <c r="L45" s="38" t="s">
        <v>1467</v>
      </c>
      <c r="N45" s="38" t="s">
        <v>2076</v>
      </c>
      <c r="O45" s="38" t="s">
        <v>1593</v>
      </c>
      <c r="Q45" s="38" t="s">
        <v>1592</v>
      </c>
      <c r="R45" s="38" t="s">
        <v>2077</v>
      </c>
      <c r="T45" s="38" t="s">
        <v>2078</v>
      </c>
      <c r="V45" s="38" t="s">
        <v>2085</v>
      </c>
      <c r="X45" s="38" t="s">
        <v>2080</v>
      </c>
      <c r="Y45" s="38" t="s">
        <v>2081</v>
      </c>
      <c r="Z45" s="38">
        <v>338100789</v>
      </c>
      <c r="AA45" s="38" t="s">
        <v>1587</v>
      </c>
      <c r="AB45" s="38" t="s">
        <v>1587</v>
      </c>
      <c r="AC45" s="38" t="s">
        <v>1467</v>
      </c>
      <c r="AD45" s="38" t="s">
        <v>1608</v>
      </c>
      <c r="AE45" s="38" t="s">
        <v>1607</v>
      </c>
      <c r="AF45" s="38" t="s">
        <v>2171</v>
      </c>
      <c r="AI45" s="38">
        <v>44063</v>
      </c>
      <c r="AJ45" s="38">
        <v>10</v>
      </c>
      <c r="AK45" s="38">
        <v>940.76</v>
      </c>
      <c r="AL45" s="38" t="s">
        <v>2172</v>
      </c>
      <c r="BK45" s="38" t="s">
        <v>48</v>
      </c>
      <c r="BL45" s="38" t="s">
        <v>1584</v>
      </c>
      <c r="BM45" s="38" t="s">
        <v>1583</v>
      </c>
      <c r="BN45" s="38">
        <v>44252.590267430554</v>
      </c>
      <c r="BR45" s="38" t="s">
        <v>1582</v>
      </c>
      <c r="BS45" s="38">
        <v>4.0125202121377597E+18</v>
      </c>
      <c r="BT45" s="38" t="s">
        <v>1581</v>
      </c>
      <c r="BV45" s="38">
        <v>2020</v>
      </c>
      <c r="BW45" s="38" t="s">
        <v>1579</v>
      </c>
      <c r="BY45" s="38">
        <v>4.0224202111840901E+18</v>
      </c>
      <c r="BZ45" s="38" t="s">
        <v>2173</v>
      </c>
      <c r="CA45" s="38" t="s">
        <v>1577</v>
      </c>
    </row>
    <row r="46" spans="1:79" x14ac:dyDescent="0.2">
      <c r="A46" s="38" t="s">
        <v>1309</v>
      </c>
      <c r="B46" s="38" t="s">
        <v>604</v>
      </c>
      <c r="C46" s="38">
        <v>2020</v>
      </c>
      <c r="D46" s="38" t="s">
        <v>1678</v>
      </c>
      <c r="E46" s="38">
        <v>2.0210107939615802E+17</v>
      </c>
      <c r="F46" s="38" t="s">
        <v>1598</v>
      </c>
      <c r="G46" s="38" t="s">
        <v>2329</v>
      </c>
      <c r="H46" s="38">
        <v>1485991</v>
      </c>
      <c r="J46" s="38" t="s">
        <v>1596</v>
      </c>
      <c r="K46" s="38" t="s">
        <v>1595</v>
      </c>
      <c r="N46" s="38" t="s">
        <v>2076</v>
      </c>
      <c r="O46" s="38" t="s">
        <v>1593</v>
      </c>
      <c r="Q46" s="38" t="s">
        <v>1592</v>
      </c>
      <c r="R46" s="38" t="s">
        <v>2077</v>
      </c>
      <c r="T46" s="38" t="s">
        <v>2078</v>
      </c>
      <c r="V46" s="38" t="s">
        <v>2085</v>
      </c>
      <c r="X46" s="38" t="s">
        <v>2080</v>
      </c>
      <c r="Y46" s="38" t="s">
        <v>2081</v>
      </c>
      <c r="Z46" s="38">
        <v>338100789</v>
      </c>
      <c r="AA46" s="38" t="s">
        <v>1587</v>
      </c>
      <c r="AB46" s="38" t="s">
        <v>1587</v>
      </c>
      <c r="AF46" s="38" t="s">
        <v>2111</v>
      </c>
      <c r="AI46" s="38">
        <v>43839</v>
      </c>
      <c r="AJ46" s="38">
        <v>5</v>
      </c>
      <c r="AK46" s="38">
        <v>5</v>
      </c>
      <c r="BK46" s="38" t="s">
        <v>48</v>
      </c>
      <c r="BL46" s="38" t="s">
        <v>1584</v>
      </c>
      <c r="BM46" s="38" t="s">
        <v>1583</v>
      </c>
      <c r="BN46" s="38">
        <v>44239.181211296294</v>
      </c>
      <c r="BR46" s="38" t="s">
        <v>1582</v>
      </c>
      <c r="BS46" s="38">
        <v>4.0111202120681999E+18</v>
      </c>
      <c r="BT46" s="38" t="s">
        <v>1581</v>
      </c>
      <c r="BV46" s="38">
        <v>2020</v>
      </c>
      <c r="BW46" s="38" t="s">
        <v>1579</v>
      </c>
      <c r="BY46" s="38">
        <v>4.0211202111345603E+18</v>
      </c>
      <c r="BZ46" s="38" t="s">
        <v>2174</v>
      </c>
      <c r="CA46" s="38" t="s">
        <v>1577</v>
      </c>
    </row>
    <row r="47" spans="1:79" x14ac:dyDescent="0.2">
      <c r="A47" s="38" t="s">
        <v>1309</v>
      </c>
      <c r="B47" s="38" t="s">
        <v>604</v>
      </c>
      <c r="C47" s="38">
        <v>2020</v>
      </c>
      <c r="D47" s="38" t="s">
        <v>1659</v>
      </c>
      <c r="E47" s="38">
        <v>2.0210125940890899E+17</v>
      </c>
      <c r="F47" s="38" t="s">
        <v>1598</v>
      </c>
      <c r="G47" s="38" t="s">
        <v>2330</v>
      </c>
      <c r="H47" s="38">
        <v>1490496</v>
      </c>
      <c r="J47" s="38" t="s">
        <v>1596</v>
      </c>
      <c r="K47" s="38" t="s">
        <v>1595</v>
      </c>
      <c r="L47" s="38" t="s">
        <v>902</v>
      </c>
      <c r="N47" s="38" t="s">
        <v>2076</v>
      </c>
      <c r="O47" s="38" t="s">
        <v>1593</v>
      </c>
      <c r="Q47" s="38" t="s">
        <v>1592</v>
      </c>
      <c r="R47" s="38" t="s">
        <v>2077</v>
      </c>
      <c r="T47" s="38" t="s">
        <v>2078</v>
      </c>
      <c r="V47" s="38" t="s">
        <v>2085</v>
      </c>
      <c r="X47" s="38" t="s">
        <v>2080</v>
      </c>
      <c r="Y47" s="38" t="s">
        <v>2081</v>
      </c>
      <c r="Z47" s="38">
        <v>338100789</v>
      </c>
      <c r="AA47" s="38" t="s">
        <v>1587</v>
      </c>
      <c r="AB47" s="38" t="s">
        <v>1587</v>
      </c>
      <c r="AC47" s="38" t="s">
        <v>902</v>
      </c>
      <c r="AD47" s="38" t="s">
        <v>1608</v>
      </c>
      <c r="AE47" s="38" t="s">
        <v>1607</v>
      </c>
      <c r="AF47" s="38" t="s">
        <v>2175</v>
      </c>
      <c r="AI47" s="38">
        <v>44100</v>
      </c>
      <c r="AJ47" s="38">
        <v>10</v>
      </c>
      <c r="AK47" s="38">
        <v>1257.76</v>
      </c>
      <c r="BK47" s="38" t="s">
        <v>48</v>
      </c>
      <c r="BL47" s="38" t="s">
        <v>1584</v>
      </c>
      <c r="BM47" s="38" t="s">
        <v>1583</v>
      </c>
      <c r="BN47" s="38">
        <v>44252.591713935188</v>
      </c>
      <c r="BR47" s="38" t="s">
        <v>1582</v>
      </c>
      <c r="BS47" s="38">
        <v>4.0125202121377597E+18</v>
      </c>
      <c r="BT47" s="38" t="s">
        <v>1581</v>
      </c>
      <c r="BV47" s="38">
        <v>2020</v>
      </c>
      <c r="BW47" s="38" t="s">
        <v>1579</v>
      </c>
      <c r="BY47" s="38">
        <v>4.0224202111868401E+18</v>
      </c>
      <c r="BZ47" s="38" t="s">
        <v>2176</v>
      </c>
      <c r="CA47" s="38" t="s">
        <v>1577</v>
      </c>
    </row>
    <row r="48" spans="1:79" x14ac:dyDescent="0.2">
      <c r="A48" s="38" t="s">
        <v>1309</v>
      </c>
      <c r="B48" s="38" t="s">
        <v>604</v>
      </c>
      <c r="C48" s="38">
        <v>2020</v>
      </c>
      <c r="D48" s="38" t="s">
        <v>1678</v>
      </c>
      <c r="E48" s="38">
        <v>2.0210107939635802E+17</v>
      </c>
      <c r="F48" s="38" t="s">
        <v>1598</v>
      </c>
      <c r="G48" s="38" t="s">
        <v>2331</v>
      </c>
      <c r="H48" s="38">
        <v>1485991</v>
      </c>
      <c r="J48" s="38" t="s">
        <v>1596</v>
      </c>
      <c r="K48" s="38" t="s">
        <v>1595</v>
      </c>
      <c r="N48" s="38" t="s">
        <v>2076</v>
      </c>
      <c r="O48" s="38" t="s">
        <v>1593</v>
      </c>
      <c r="Q48" s="38" t="s">
        <v>1592</v>
      </c>
      <c r="R48" s="38" t="s">
        <v>2077</v>
      </c>
      <c r="T48" s="38" t="s">
        <v>2078</v>
      </c>
      <c r="V48" s="38" t="s">
        <v>2085</v>
      </c>
      <c r="X48" s="38" t="s">
        <v>2080</v>
      </c>
      <c r="Y48" s="38" t="s">
        <v>2081</v>
      </c>
      <c r="Z48" s="38">
        <v>338100789</v>
      </c>
      <c r="AA48" s="38" t="s">
        <v>1587</v>
      </c>
      <c r="AB48" s="38" t="s">
        <v>1587</v>
      </c>
      <c r="AF48" s="38" t="s">
        <v>2111</v>
      </c>
      <c r="AI48" s="38">
        <v>43859</v>
      </c>
      <c r="AJ48" s="38">
        <v>42</v>
      </c>
      <c r="AK48" s="38">
        <v>47</v>
      </c>
      <c r="BK48" s="38" t="s">
        <v>48</v>
      </c>
      <c r="BL48" s="38" t="s">
        <v>1584</v>
      </c>
      <c r="BM48" s="38" t="s">
        <v>1583</v>
      </c>
      <c r="BN48" s="38">
        <v>44239.185739479166</v>
      </c>
      <c r="BR48" s="38" t="s">
        <v>1582</v>
      </c>
      <c r="BS48" s="38">
        <v>4.0111202120681999E+18</v>
      </c>
      <c r="BT48" s="38" t="s">
        <v>1581</v>
      </c>
      <c r="BV48" s="38">
        <v>2020</v>
      </c>
      <c r="BW48" s="38" t="s">
        <v>1579</v>
      </c>
      <c r="BY48" s="38">
        <v>4.02112021113517E+18</v>
      </c>
      <c r="BZ48" s="38" t="s">
        <v>2177</v>
      </c>
      <c r="CA48" s="38" t="s">
        <v>1577</v>
      </c>
    </row>
    <row r="49" spans="1:79" x14ac:dyDescent="0.2">
      <c r="A49" s="38" t="s">
        <v>1309</v>
      </c>
      <c r="B49" s="38" t="s">
        <v>604</v>
      </c>
      <c r="C49" s="38">
        <v>2020</v>
      </c>
      <c r="D49" s="38" t="s">
        <v>1678</v>
      </c>
      <c r="E49" s="38">
        <v>2.0210107939675802E+17</v>
      </c>
      <c r="F49" s="38" t="s">
        <v>1598</v>
      </c>
      <c r="G49" s="38" t="s">
        <v>2332</v>
      </c>
      <c r="H49" s="38">
        <v>1485991</v>
      </c>
      <c r="J49" s="38" t="s">
        <v>1596</v>
      </c>
      <c r="K49" s="38" t="s">
        <v>1595</v>
      </c>
      <c r="N49" s="38" t="s">
        <v>2076</v>
      </c>
      <c r="O49" s="38" t="s">
        <v>1593</v>
      </c>
      <c r="Q49" s="38" t="s">
        <v>1592</v>
      </c>
      <c r="R49" s="38" t="s">
        <v>2077</v>
      </c>
      <c r="T49" s="38" t="s">
        <v>2078</v>
      </c>
      <c r="V49" s="38" t="s">
        <v>2085</v>
      </c>
      <c r="X49" s="38" t="s">
        <v>2080</v>
      </c>
      <c r="Y49" s="38" t="s">
        <v>2081</v>
      </c>
      <c r="Z49" s="38">
        <v>338100789</v>
      </c>
      <c r="AA49" s="38" t="s">
        <v>1587</v>
      </c>
      <c r="AB49" s="38" t="s">
        <v>1587</v>
      </c>
      <c r="AF49" s="38" t="s">
        <v>2111</v>
      </c>
      <c r="AI49" s="38">
        <v>43888</v>
      </c>
      <c r="AJ49" s="38">
        <v>42</v>
      </c>
      <c r="AK49" s="38">
        <v>131</v>
      </c>
      <c r="BK49" s="38" t="s">
        <v>48</v>
      </c>
      <c r="BL49" s="38" t="s">
        <v>1584</v>
      </c>
      <c r="BM49" s="38" t="s">
        <v>1583</v>
      </c>
      <c r="BN49" s="38">
        <v>44239.186584664349</v>
      </c>
      <c r="BR49" s="38" t="s">
        <v>1582</v>
      </c>
      <c r="BS49" s="38">
        <v>4.0111202120681999E+18</v>
      </c>
      <c r="BT49" s="38" t="s">
        <v>1581</v>
      </c>
      <c r="BV49" s="38">
        <v>2020</v>
      </c>
      <c r="BW49" s="38" t="s">
        <v>1579</v>
      </c>
      <c r="BY49" s="38">
        <v>4.0211202111367398E+18</v>
      </c>
      <c r="BZ49" s="38" t="s">
        <v>2178</v>
      </c>
      <c r="CA49" s="38" t="s">
        <v>1577</v>
      </c>
    </row>
    <row r="50" spans="1:79" x14ac:dyDescent="0.2">
      <c r="A50" s="38" t="s">
        <v>1309</v>
      </c>
      <c r="B50" s="38" t="s">
        <v>604</v>
      </c>
      <c r="C50" s="38">
        <v>2020</v>
      </c>
      <c r="D50" s="38" t="s">
        <v>1678</v>
      </c>
      <c r="E50" s="38">
        <v>2.02101079396888E+17</v>
      </c>
      <c r="F50" s="38" t="s">
        <v>1598</v>
      </c>
      <c r="G50" s="38" t="s">
        <v>2333</v>
      </c>
      <c r="H50" s="38">
        <v>1485991</v>
      </c>
      <c r="J50" s="38" t="s">
        <v>1596</v>
      </c>
      <c r="K50" s="38" t="s">
        <v>1595</v>
      </c>
      <c r="N50" s="38" t="s">
        <v>2076</v>
      </c>
      <c r="O50" s="38" t="s">
        <v>1593</v>
      </c>
      <c r="Q50" s="38" t="s">
        <v>1592</v>
      </c>
      <c r="R50" s="38" t="s">
        <v>2077</v>
      </c>
      <c r="T50" s="38" t="s">
        <v>2078</v>
      </c>
      <c r="V50" s="38" t="s">
        <v>2085</v>
      </c>
      <c r="X50" s="38" t="s">
        <v>2080</v>
      </c>
      <c r="Y50" s="38" t="s">
        <v>2081</v>
      </c>
      <c r="Z50" s="38">
        <v>338100789</v>
      </c>
      <c r="AA50" s="38" t="s">
        <v>1587</v>
      </c>
      <c r="AB50" s="38" t="s">
        <v>1587</v>
      </c>
      <c r="AF50" s="38" t="s">
        <v>2111</v>
      </c>
      <c r="AI50" s="38">
        <v>43897</v>
      </c>
      <c r="AJ50" s="38">
        <v>35</v>
      </c>
      <c r="AK50" s="38">
        <v>166</v>
      </c>
      <c r="BK50" s="38" t="s">
        <v>48</v>
      </c>
      <c r="BL50" s="38" t="s">
        <v>1584</v>
      </c>
      <c r="BM50" s="38" t="s">
        <v>1583</v>
      </c>
      <c r="BN50" s="38">
        <v>44239.188312025464</v>
      </c>
      <c r="BR50" s="38" t="s">
        <v>1582</v>
      </c>
      <c r="BS50" s="38">
        <v>4.0111202120681999E+18</v>
      </c>
      <c r="BT50" s="38" t="s">
        <v>1581</v>
      </c>
      <c r="BV50" s="38">
        <v>2020</v>
      </c>
      <c r="BW50" s="38" t="s">
        <v>1579</v>
      </c>
      <c r="BY50" s="38">
        <v>4.02112021113715E+18</v>
      </c>
      <c r="BZ50" s="38" t="s">
        <v>2179</v>
      </c>
      <c r="CA50" s="38" t="s">
        <v>1577</v>
      </c>
    </row>
    <row r="51" spans="1:79" x14ac:dyDescent="0.2">
      <c r="A51" s="38" t="s">
        <v>1309</v>
      </c>
      <c r="B51" s="38" t="s">
        <v>604</v>
      </c>
      <c r="C51" s="38">
        <v>2020</v>
      </c>
      <c r="D51" s="38" t="s">
        <v>1696</v>
      </c>
      <c r="E51" s="38">
        <v>2.0210129941557501E+17</v>
      </c>
      <c r="F51" s="38" t="s">
        <v>1598</v>
      </c>
      <c r="G51" s="38" t="s">
        <v>2334</v>
      </c>
      <c r="H51" s="38">
        <v>1494216</v>
      </c>
      <c r="J51" s="38" t="s">
        <v>1596</v>
      </c>
      <c r="K51" s="38" t="s">
        <v>1595</v>
      </c>
      <c r="L51" s="38" t="s">
        <v>1480</v>
      </c>
      <c r="N51" s="38" t="s">
        <v>2076</v>
      </c>
      <c r="O51" s="38" t="s">
        <v>1593</v>
      </c>
      <c r="Q51" s="38" t="s">
        <v>1592</v>
      </c>
      <c r="R51" s="38" t="s">
        <v>2077</v>
      </c>
      <c r="T51" s="38" t="s">
        <v>2078</v>
      </c>
      <c r="V51" s="38" t="s">
        <v>2085</v>
      </c>
      <c r="X51" s="38" t="s">
        <v>2080</v>
      </c>
      <c r="Y51" s="38" t="s">
        <v>2081</v>
      </c>
      <c r="Z51" s="38">
        <v>338100789</v>
      </c>
      <c r="AA51" s="38" t="s">
        <v>1587</v>
      </c>
      <c r="AB51" s="38" t="s">
        <v>1587</v>
      </c>
      <c r="AC51" s="38" t="s">
        <v>1480</v>
      </c>
      <c r="AD51" s="38" t="s">
        <v>1608</v>
      </c>
      <c r="AE51" s="38" t="s">
        <v>1607</v>
      </c>
      <c r="AF51" s="38" t="s">
        <v>2161</v>
      </c>
      <c r="AI51" s="38">
        <v>44194</v>
      </c>
      <c r="AJ51" s="38">
        <v>20</v>
      </c>
      <c r="AK51" s="38">
        <v>1850.76</v>
      </c>
      <c r="AL51" s="38" t="s">
        <v>2162</v>
      </c>
      <c r="BK51" s="38" t="s">
        <v>48</v>
      </c>
      <c r="BL51" s="38" t="s">
        <v>1584</v>
      </c>
      <c r="BM51" s="38" t="s">
        <v>1583</v>
      </c>
      <c r="BN51" s="38">
        <v>44265.18566628472</v>
      </c>
      <c r="BR51" s="38" t="s">
        <v>1582</v>
      </c>
      <c r="BS51" s="38">
        <v>4.0131202121392901E+18</v>
      </c>
      <c r="BT51" s="38" t="s">
        <v>1581</v>
      </c>
      <c r="BV51" s="38">
        <v>2020</v>
      </c>
      <c r="BW51" s="38" t="s">
        <v>1579</v>
      </c>
      <c r="BY51" s="38">
        <v>4.0309202112348099E+18</v>
      </c>
      <c r="BZ51" s="38" t="s">
        <v>2180</v>
      </c>
      <c r="CA51" s="38" t="s">
        <v>1577</v>
      </c>
    </row>
    <row r="52" spans="1:79" x14ac:dyDescent="0.2">
      <c r="A52" s="38" t="s">
        <v>1309</v>
      </c>
      <c r="B52" s="38" t="s">
        <v>604</v>
      </c>
      <c r="C52" s="38">
        <v>2020</v>
      </c>
      <c r="D52" s="38" t="s">
        <v>1696</v>
      </c>
      <c r="E52" s="38">
        <v>2.0210129941422099E+17</v>
      </c>
      <c r="F52" s="38" t="s">
        <v>1598</v>
      </c>
      <c r="G52" s="38" t="s">
        <v>2335</v>
      </c>
      <c r="H52" s="38">
        <v>1494216</v>
      </c>
      <c r="J52" s="38" t="s">
        <v>1596</v>
      </c>
      <c r="K52" s="38" t="s">
        <v>1595</v>
      </c>
      <c r="L52" s="38" t="s">
        <v>1550</v>
      </c>
      <c r="N52" s="38" t="s">
        <v>2076</v>
      </c>
      <c r="O52" s="38" t="s">
        <v>1593</v>
      </c>
      <c r="Q52" s="38" t="s">
        <v>1592</v>
      </c>
      <c r="R52" s="38" t="s">
        <v>2077</v>
      </c>
      <c r="T52" s="38" t="s">
        <v>2078</v>
      </c>
      <c r="V52" s="38" t="s">
        <v>2085</v>
      </c>
      <c r="X52" s="38" t="s">
        <v>2080</v>
      </c>
      <c r="Y52" s="38" t="s">
        <v>2081</v>
      </c>
      <c r="Z52" s="38">
        <v>338100789</v>
      </c>
      <c r="AA52" s="38" t="s">
        <v>1587</v>
      </c>
      <c r="AB52" s="38" t="s">
        <v>1587</v>
      </c>
      <c r="AC52" s="38" t="s">
        <v>1550</v>
      </c>
      <c r="AD52" s="38" t="s">
        <v>1608</v>
      </c>
      <c r="AE52" s="38" t="s">
        <v>1607</v>
      </c>
      <c r="AF52" s="38" t="s">
        <v>2181</v>
      </c>
      <c r="AI52" s="38">
        <v>44162</v>
      </c>
      <c r="AJ52" s="38">
        <v>35</v>
      </c>
      <c r="AK52" s="38">
        <v>1795.76</v>
      </c>
      <c r="BK52" s="38" t="s">
        <v>48</v>
      </c>
      <c r="BL52" s="38" t="s">
        <v>1584</v>
      </c>
      <c r="BM52" s="38" t="s">
        <v>1583</v>
      </c>
      <c r="BN52" s="38">
        <v>44265.184225787038</v>
      </c>
      <c r="BR52" s="38" t="s">
        <v>1582</v>
      </c>
      <c r="BS52" s="38">
        <v>4.0131202121392901E+18</v>
      </c>
      <c r="BT52" s="38" t="s">
        <v>1581</v>
      </c>
      <c r="BV52" s="38">
        <v>2020</v>
      </c>
      <c r="BW52" s="38" t="s">
        <v>1579</v>
      </c>
      <c r="BY52" s="38">
        <v>4.0309202112368799E+18</v>
      </c>
      <c r="BZ52" s="38" t="s">
        <v>2182</v>
      </c>
      <c r="CA52" s="38" t="s">
        <v>1577</v>
      </c>
    </row>
    <row r="53" spans="1:79" x14ac:dyDescent="0.2">
      <c r="A53" s="38" t="s">
        <v>1309</v>
      </c>
      <c r="B53" s="38" t="s">
        <v>604</v>
      </c>
      <c r="C53" s="38">
        <v>2020</v>
      </c>
      <c r="D53" s="38" t="s">
        <v>1696</v>
      </c>
      <c r="E53" s="38">
        <v>2.0210129941422899E+17</v>
      </c>
      <c r="F53" s="38" t="s">
        <v>1598</v>
      </c>
      <c r="G53" s="38" t="s">
        <v>2336</v>
      </c>
      <c r="H53" s="38">
        <v>1494216</v>
      </c>
      <c r="J53" s="38" t="s">
        <v>1596</v>
      </c>
      <c r="K53" s="38" t="s">
        <v>1595</v>
      </c>
      <c r="L53" s="38" t="s">
        <v>1137</v>
      </c>
      <c r="N53" s="38" t="s">
        <v>2076</v>
      </c>
      <c r="O53" s="38" t="s">
        <v>1593</v>
      </c>
      <c r="Q53" s="38" t="s">
        <v>1592</v>
      </c>
      <c r="R53" s="38" t="s">
        <v>2077</v>
      </c>
      <c r="T53" s="38" t="s">
        <v>2078</v>
      </c>
      <c r="V53" s="38" t="s">
        <v>2085</v>
      </c>
      <c r="X53" s="38" t="s">
        <v>2080</v>
      </c>
      <c r="Y53" s="38" t="s">
        <v>2081</v>
      </c>
      <c r="Z53" s="38">
        <v>338100789</v>
      </c>
      <c r="AA53" s="38" t="s">
        <v>1587</v>
      </c>
      <c r="AB53" s="38" t="s">
        <v>1587</v>
      </c>
      <c r="AC53" s="38" t="s">
        <v>1137</v>
      </c>
      <c r="AD53" s="38" t="s">
        <v>1608</v>
      </c>
      <c r="AE53" s="38" t="s">
        <v>1607</v>
      </c>
      <c r="AF53" s="38" t="s">
        <v>2183</v>
      </c>
      <c r="AI53" s="38">
        <v>44162</v>
      </c>
      <c r="AJ53" s="38">
        <v>10</v>
      </c>
      <c r="AK53" s="38">
        <v>1795.76</v>
      </c>
      <c r="AL53" s="38" t="s">
        <v>2184</v>
      </c>
      <c r="BK53" s="38" t="s">
        <v>48</v>
      </c>
      <c r="BL53" s="38" t="s">
        <v>1584</v>
      </c>
      <c r="BM53" s="38" t="s">
        <v>1583</v>
      </c>
      <c r="BN53" s="38">
        <v>44265.191364282407</v>
      </c>
      <c r="BR53" s="38" t="s">
        <v>1582</v>
      </c>
      <c r="BS53" s="38">
        <v>4.0131202121392901E+18</v>
      </c>
      <c r="BT53" s="38" t="s">
        <v>1581</v>
      </c>
      <c r="BV53" s="38">
        <v>2020</v>
      </c>
      <c r="BW53" s="38" t="s">
        <v>1579</v>
      </c>
      <c r="BY53" s="38">
        <v>4.0309202112345201E+18</v>
      </c>
      <c r="BZ53" s="38" t="s">
        <v>2185</v>
      </c>
      <c r="CA53" s="38" t="s">
        <v>1577</v>
      </c>
    </row>
    <row r="54" spans="1:79" x14ac:dyDescent="0.2">
      <c r="A54" s="38" t="s">
        <v>1309</v>
      </c>
      <c r="B54" s="38" t="s">
        <v>604</v>
      </c>
      <c r="C54" s="38">
        <v>2020</v>
      </c>
      <c r="D54" s="38" t="s">
        <v>1659</v>
      </c>
      <c r="E54" s="38">
        <v>2.0210125940884602E+17</v>
      </c>
      <c r="F54" s="38" t="s">
        <v>1598</v>
      </c>
      <c r="G54" s="38" t="s">
        <v>2337</v>
      </c>
      <c r="H54" s="38">
        <v>1490496</v>
      </c>
      <c r="J54" s="38" t="s">
        <v>1596</v>
      </c>
      <c r="K54" s="38" t="s">
        <v>1595</v>
      </c>
      <c r="L54" s="38" t="s">
        <v>2120</v>
      </c>
      <c r="N54" s="38" t="s">
        <v>2076</v>
      </c>
      <c r="O54" s="38" t="s">
        <v>1593</v>
      </c>
      <c r="Q54" s="38" t="s">
        <v>1592</v>
      </c>
      <c r="R54" s="38" t="s">
        <v>2077</v>
      </c>
      <c r="T54" s="38" t="s">
        <v>2078</v>
      </c>
      <c r="V54" s="38" t="s">
        <v>2085</v>
      </c>
      <c r="X54" s="38" t="s">
        <v>2080</v>
      </c>
      <c r="Y54" s="38" t="s">
        <v>2081</v>
      </c>
      <c r="Z54" s="38">
        <v>338100789</v>
      </c>
      <c r="AA54" s="38" t="s">
        <v>1587</v>
      </c>
      <c r="AB54" s="38" t="s">
        <v>1587</v>
      </c>
      <c r="AC54" s="38" t="s">
        <v>2120</v>
      </c>
      <c r="AD54" s="38" t="s">
        <v>1608</v>
      </c>
      <c r="AE54" s="38" t="s">
        <v>1607</v>
      </c>
      <c r="AF54" s="38" t="s">
        <v>2121</v>
      </c>
      <c r="AI54" s="38">
        <v>44099</v>
      </c>
      <c r="AJ54" s="38">
        <v>10</v>
      </c>
      <c r="AK54" s="38">
        <v>1247.76</v>
      </c>
      <c r="AL54" s="38" t="s">
        <v>2122</v>
      </c>
      <c r="BK54" s="38" t="s">
        <v>48</v>
      </c>
      <c r="BL54" s="38" t="s">
        <v>1584</v>
      </c>
      <c r="BM54" s="38" t="s">
        <v>1583</v>
      </c>
      <c r="BN54" s="38">
        <v>44252.596244872686</v>
      </c>
      <c r="BR54" s="38" t="s">
        <v>1582</v>
      </c>
      <c r="BS54" s="38">
        <v>4.0125202121377597E+18</v>
      </c>
      <c r="BT54" s="38" t="s">
        <v>1581</v>
      </c>
      <c r="BV54" s="38">
        <v>2020</v>
      </c>
      <c r="BW54" s="38" t="s">
        <v>1579</v>
      </c>
      <c r="BY54" s="38">
        <v>4.0224202111867197E+18</v>
      </c>
      <c r="BZ54" s="38" t="s">
        <v>2186</v>
      </c>
      <c r="CA54" s="38" t="s">
        <v>1577</v>
      </c>
    </row>
    <row r="55" spans="1:79" x14ac:dyDescent="0.2">
      <c r="A55" s="38" t="s">
        <v>1309</v>
      </c>
      <c r="B55" s="38" t="s">
        <v>604</v>
      </c>
      <c r="C55" s="38">
        <v>2020</v>
      </c>
      <c r="D55" s="38" t="s">
        <v>1835</v>
      </c>
      <c r="E55" s="38">
        <v>2.0210114940059699E+17</v>
      </c>
      <c r="F55" s="38" t="s">
        <v>1598</v>
      </c>
      <c r="G55" s="38" t="s">
        <v>2338</v>
      </c>
      <c r="H55" s="38">
        <v>1487725</v>
      </c>
      <c r="J55" s="38" t="s">
        <v>1596</v>
      </c>
      <c r="K55" s="38" t="s">
        <v>1595</v>
      </c>
      <c r="L55" s="38" t="s">
        <v>1190</v>
      </c>
      <c r="N55" s="38" t="s">
        <v>2076</v>
      </c>
      <c r="O55" s="38" t="s">
        <v>1593</v>
      </c>
      <c r="Q55" s="38" t="s">
        <v>1592</v>
      </c>
      <c r="R55" s="38" t="s">
        <v>2077</v>
      </c>
      <c r="T55" s="38" t="s">
        <v>2078</v>
      </c>
      <c r="V55" s="38" t="s">
        <v>2085</v>
      </c>
      <c r="X55" s="38" t="s">
        <v>2080</v>
      </c>
      <c r="Y55" s="38" t="s">
        <v>2081</v>
      </c>
      <c r="Z55" s="38">
        <v>338100789</v>
      </c>
      <c r="AA55" s="38" t="s">
        <v>1587</v>
      </c>
      <c r="AB55" s="38" t="s">
        <v>1587</v>
      </c>
      <c r="AC55" s="38" t="s">
        <v>1190</v>
      </c>
      <c r="AD55" s="38" t="s">
        <v>1608</v>
      </c>
      <c r="AE55" s="38" t="s">
        <v>1607</v>
      </c>
      <c r="AF55" s="38" t="s">
        <v>2111</v>
      </c>
      <c r="AI55" s="38">
        <v>43955</v>
      </c>
      <c r="AJ55" s="38">
        <v>42</v>
      </c>
      <c r="AK55" s="38">
        <v>332</v>
      </c>
      <c r="BK55" s="38" t="s">
        <v>48</v>
      </c>
      <c r="BL55" s="38" t="s">
        <v>1584</v>
      </c>
      <c r="BM55" s="38" t="s">
        <v>1583</v>
      </c>
      <c r="BN55" s="38">
        <v>44245.347763090278</v>
      </c>
      <c r="BR55" s="38" t="s">
        <v>1582</v>
      </c>
      <c r="BS55" s="38">
        <v>4.0120202120938301E+18</v>
      </c>
      <c r="BT55" s="38" t="s">
        <v>1581</v>
      </c>
      <c r="BV55" s="38">
        <v>2020</v>
      </c>
      <c r="BW55" s="38" t="s">
        <v>1579</v>
      </c>
      <c r="BY55" s="38">
        <v>4.0217202111525898E+18</v>
      </c>
      <c r="BZ55" s="38" t="s">
        <v>2187</v>
      </c>
      <c r="CA55" s="38" t="s">
        <v>1577</v>
      </c>
    </row>
    <row r="56" spans="1:79" x14ac:dyDescent="0.2">
      <c r="A56" s="38" t="s">
        <v>1309</v>
      </c>
      <c r="B56" s="38" t="s">
        <v>604</v>
      </c>
      <c r="C56" s="38">
        <v>2020</v>
      </c>
      <c r="D56" s="38" t="s">
        <v>1659</v>
      </c>
      <c r="E56" s="38">
        <v>2.02101259409096E+17</v>
      </c>
      <c r="F56" s="38" t="s">
        <v>1598</v>
      </c>
      <c r="G56" s="38" t="s">
        <v>2339</v>
      </c>
      <c r="H56" s="38">
        <v>1490496</v>
      </c>
      <c r="J56" s="38" t="s">
        <v>1596</v>
      </c>
      <c r="K56" s="38" t="s">
        <v>1595</v>
      </c>
      <c r="L56" s="38" t="s">
        <v>1398</v>
      </c>
      <c r="N56" s="38" t="s">
        <v>2076</v>
      </c>
      <c r="O56" s="38" t="s">
        <v>1593</v>
      </c>
      <c r="Q56" s="38" t="s">
        <v>1592</v>
      </c>
      <c r="R56" s="38" t="s">
        <v>2077</v>
      </c>
      <c r="T56" s="38" t="s">
        <v>2078</v>
      </c>
      <c r="V56" s="38" t="s">
        <v>2085</v>
      </c>
      <c r="X56" s="38" t="s">
        <v>2080</v>
      </c>
      <c r="Y56" s="38" t="s">
        <v>2081</v>
      </c>
      <c r="Z56" s="38">
        <v>338100789</v>
      </c>
      <c r="AA56" s="38" t="s">
        <v>1587</v>
      </c>
      <c r="AB56" s="38" t="s">
        <v>1587</v>
      </c>
      <c r="AC56" s="38" t="s">
        <v>1398</v>
      </c>
      <c r="AD56" s="38" t="s">
        <v>1608</v>
      </c>
      <c r="AE56" s="38" t="s">
        <v>1607</v>
      </c>
      <c r="AF56" s="38" t="s">
        <v>2104</v>
      </c>
      <c r="AI56" s="38">
        <v>44103</v>
      </c>
      <c r="AJ56" s="38">
        <v>10</v>
      </c>
      <c r="AK56" s="38">
        <v>1302.76</v>
      </c>
      <c r="AL56" s="38" t="s">
        <v>2105</v>
      </c>
      <c r="BK56" s="38" t="s">
        <v>48</v>
      </c>
      <c r="BL56" s="38" t="s">
        <v>1584</v>
      </c>
      <c r="BM56" s="38" t="s">
        <v>1583</v>
      </c>
      <c r="BN56" s="38">
        <v>44252.597360219908</v>
      </c>
      <c r="BR56" s="38" t="s">
        <v>1582</v>
      </c>
      <c r="BS56" s="38">
        <v>4.0125202121377597E+18</v>
      </c>
      <c r="BT56" s="38" t="s">
        <v>1581</v>
      </c>
      <c r="BV56" s="38">
        <v>2020</v>
      </c>
      <c r="BW56" s="38" t="s">
        <v>1579</v>
      </c>
      <c r="BY56" s="38">
        <v>4.0224202111808998E+18</v>
      </c>
      <c r="BZ56" s="38" t="s">
        <v>2188</v>
      </c>
      <c r="CA56" s="38" t="s">
        <v>1577</v>
      </c>
    </row>
    <row r="57" spans="1:79" x14ac:dyDescent="0.2">
      <c r="A57" s="38" t="s">
        <v>1309</v>
      </c>
      <c r="B57" s="38" t="s">
        <v>604</v>
      </c>
      <c r="C57" s="38">
        <v>2020</v>
      </c>
      <c r="D57" s="38" t="s">
        <v>1659</v>
      </c>
      <c r="E57" s="38">
        <v>2.0210125940901699E+17</v>
      </c>
      <c r="F57" s="38" t="s">
        <v>1598</v>
      </c>
      <c r="G57" s="38" t="s">
        <v>2340</v>
      </c>
      <c r="H57" s="38">
        <v>1490496</v>
      </c>
      <c r="J57" s="38" t="s">
        <v>1596</v>
      </c>
      <c r="K57" s="38" t="s">
        <v>1595</v>
      </c>
      <c r="L57" s="38" t="s">
        <v>1398</v>
      </c>
      <c r="N57" s="38" t="s">
        <v>2076</v>
      </c>
      <c r="O57" s="38" t="s">
        <v>1593</v>
      </c>
      <c r="Q57" s="38" t="s">
        <v>1592</v>
      </c>
      <c r="R57" s="38" t="s">
        <v>2077</v>
      </c>
      <c r="T57" s="38" t="s">
        <v>2078</v>
      </c>
      <c r="V57" s="38" t="s">
        <v>2085</v>
      </c>
      <c r="X57" s="38" t="s">
        <v>2080</v>
      </c>
      <c r="Y57" s="38" t="s">
        <v>2081</v>
      </c>
      <c r="Z57" s="38">
        <v>338100789</v>
      </c>
      <c r="AA57" s="38" t="s">
        <v>1587</v>
      </c>
      <c r="AB57" s="38" t="s">
        <v>1587</v>
      </c>
      <c r="AC57" s="38" t="s">
        <v>1398</v>
      </c>
      <c r="AD57" s="38" t="s">
        <v>1608</v>
      </c>
      <c r="AE57" s="38" t="s">
        <v>1607</v>
      </c>
      <c r="AF57" s="38" t="s">
        <v>2104</v>
      </c>
      <c r="AI57" s="38">
        <v>44102</v>
      </c>
      <c r="AJ57" s="38">
        <v>10</v>
      </c>
      <c r="AK57" s="38">
        <v>1292.76</v>
      </c>
      <c r="AL57" s="38" t="s">
        <v>2105</v>
      </c>
      <c r="BK57" s="38" t="s">
        <v>48</v>
      </c>
      <c r="BL57" s="38" t="s">
        <v>1584</v>
      </c>
      <c r="BM57" s="38" t="s">
        <v>1583</v>
      </c>
      <c r="BN57" s="38">
        <v>44252.598763692127</v>
      </c>
      <c r="BR57" s="38" t="s">
        <v>1582</v>
      </c>
      <c r="BS57" s="38">
        <v>4.0125202121377597E+18</v>
      </c>
      <c r="BT57" s="38" t="s">
        <v>1581</v>
      </c>
      <c r="BV57" s="38">
        <v>2020</v>
      </c>
      <c r="BW57" s="38" t="s">
        <v>1579</v>
      </c>
      <c r="BY57" s="38">
        <v>4.0224202111796598E+18</v>
      </c>
      <c r="BZ57" s="38" t="s">
        <v>2189</v>
      </c>
      <c r="CA57" s="38" t="s">
        <v>1577</v>
      </c>
    </row>
    <row r="58" spans="1:79" x14ac:dyDescent="0.2">
      <c r="A58" s="38" t="s">
        <v>1309</v>
      </c>
      <c r="B58" s="38" t="s">
        <v>604</v>
      </c>
      <c r="C58" s="38">
        <v>2020</v>
      </c>
      <c r="D58" s="38" t="s">
        <v>1659</v>
      </c>
      <c r="E58" s="38">
        <v>2.0210125940719299E+17</v>
      </c>
      <c r="F58" s="38" t="s">
        <v>1598</v>
      </c>
      <c r="G58" s="38" t="s">
        <v>2341</v>
      </c>
      <c r="H58" s="38">
        <v>1490496</v>
      </c>
      <c r="J58" s="38" t="s">
        <v>1596</v>
      </c>
      <c r="K58" s="38" t="s">
        <v>1595</v>
      </c>
      <c r="L58" s="38" t="s">
        <v>1136</v>
      </c>
      <c r="N58" s="38" t="s">
        <v>2076</v>
      </c>
      <c r="O58" s="38" t="s">
        <v>1593</v>
      </c>
      <c r="Q58" s="38" t="s">
        <v>1592</v>
      </c>
      <c r="R58" s="38" t="s">
        <v>2077</v>
      </c>
      <c r="T58" s="38" t="s">
        <v>2078</v>
      </c>
      <c r="V58" s="38" t="s">
        <v>2085</v>
      </c>
      <c r="X58" s="38" t="s">
        <v>2080</v>
      </c>
      <c r="Y58" s="38" t="s">
        <v>2081</v>
      </c>
      <c r="Z58" s="38">
        <v>338100789</v>
      </c>
      <c r="AA58" s="38" t="s">
        <v>1587</v>
      </c>
      <c r="AB58" s="38" t="s">
        <v>1587</v>
      </c>
      <c r="AC58" s="38" t="s">
        <v>1136</v>
      </c>
      <c r="AD58" s="38" t="s">
        <v>1608</v>
      </c>
      <c r="AE58" s="38" t="s">
        <v>1607</v>
      </c>
      <c r="AF58" s="38" t="s">
        <v>2190</v>
      </c>
      <c r="AI58" s="38">
        <v>44064</v>
      </c>
      <c r="AJ58" s="38">
        <v>10</v>
      </c>
      <c r="AK58" s="38">
        <v>950.76</v>
      </c>
      <c r="AL58" s="38" t="s">
        <v>2191</v>
      </c>
      <c r="BK58" s="38" t="s">
        <v>48</v>
      </c>
      <c r="BL58" s="38" t="s">
        <v>1584</v>
      </c>
      <c r="BM58" s="38" t="s">
        <v>1583</v>
      </c>
      <c r="BN58" s="38">
        <v>44252.599022731483</v>
      </c>
      <c r="BR58" s="38" t="s">
        <v>1582</v>
      </c>
      <c r="BS58" s="38">
        <v>4.0125202121377597E+18</v>
      </c>
      <c r="BT58" s="38" t="s">
        <v>1581</v>
      </c>
      <c r="BV58" s="38">
        <v>2020</v>
      </c>
      <c r="BW58" s="38" t="s">
        <v>1579</v>
      </c>
      <c r="BY58" s="38">
        <v>4.02242021117967E+18</v>
      </c>
      <c r="BZ58" s="38" t="s">
        <v>2192</v>
      </c>
      <c r="CA58" s="38" t="s">
        <v>1577</v>
      </c>
    </row>
    <row r="59" spans="1:79" x14ac:dyDescent="0.2">
      <c r="A59" s="38" t="s">
        <v>1309</v>
      </c>
      <c r="B59" s="38" t="s">
        <v>604</v>
      </c>
      <c r="C59" s="38">
        <v>2020</v>
      </c>
      <c r="D59" s="38" t="s">
        <v>1659</v>
      </c>
      <c r="E59" s="38">
        <v>2.0210125940784099E+17</v>
      </c>
      <c r="F59" s="38" t="s">
        <v>1598</v>
      </c>
      <c r="G59" s="38" t="s">
        <v>2342</v>
      </c>
      <c r="H59" s="38">
        <v>1490496</v>
      </c>
      <c r="J59" s="38" t="s">
        <v>1596</v>
      </c>
      <c r="K59" s="38" t="s">
        <v>1595</v>
      </c>
      <c r="L59" s="38" t="s">
        <v>1493</v>
      </c>
      <c r="N59" s="38" t="s">
        <v>2076</v>
      </c>
      <c r="O59" s="38" t="s">
        <v>1593</v>
      </c>
      <c r="Q59" s="38" t="s">
        <v>1592</v>
      </c>
      <c r="R59" s="38" t="s">
        <v>2077</v>
      </c>
      <c r="T59" s="38" t="s">
        <v>2078</v>
      </c>
      <c r="V59" s="38" t="s">
        <v>2085</v>
      </c>
      <c r="X59" s="38" t="s">
        <v>2080</v>
      </c>
      <c r="Y59" s="38" t="s">
        <v>2081</v>
      </c>
      <c r="Z59" s="38">
        <v>338100789</v>
      </c>
      <c r="AA59" s="38" t="s">
        <v>1587</v>
      </c>
      <c r="AB59" s="38" t="s">
        <v>1587</v>
      </c>
      <c r="AC59" s="38" t="s">
        <v>1493</v>
      </c>
      <c r="AD59" s="38" t="s">
        <v>1608</v>
      </c>
      <c r="AE59" s="38" t="s">
        <v>1607</v>
      </c>
      <c r="AF59" s="38" t="s">
        <v>2193</v>
      </c>
      <c r="AI59" s="38">
        <v>44077</v>
      </c>
      <c r="AJ59" s="38">
        <v>10</v>
      </c>
      <c r="AK59" s="38">
        <v>1040.76</v>
      </c>
      <c r="AL59" s="38" t="s">
        <v>2194</v>
      </c>
      <c r="BK59" s="38" t="s">
        <v>48</v>
      </c>
      <c r="BL59" s="38" t="s">
        <v>1584</v>
      </c>
      <c r="BM59" s="38" t="s">
        <v>1583</v>
      </c>
      <c r="BN59" s="38">
        <v>44252.599186435182</v>
      </c>
      <c r="BR59" s="38" t="s">
        <v>1582</v>
      </c>
      <c r="BS59" s="38">
        <v>4.0125202121377597E+18</v>
      </c>
      <c r="BT59" s="38" t="s">
        <v>1581</v>
      </c>
      <c r="BV59" s="38">
        <v>2020</v>
      </c>
      <c r="BW59" s="38" t="s">
        <v>1579</v>
      </c>
      <c r="BY59" s="38">
        <v>4.0224202111796797E+18</v>
      </c>
      <c r="BZ59" s="38" t="s">
        <v>2195</v>
      </c>
      <c r="CA59" s="38" t="s">
        <v>1577</v>
      </c>
    </row>
    <row r="60" spans="1:79" x14ac:dyDescent="0.2">
      <c r="A60" s="38" t="s">
        <v>1309</v>
      </c>
      <c r="B60" s="38" t="s">
        <v>604</v>
      </c>
      <c r="C60" s="38">
        <v>2020</v>
      </c>
      <c r="D60" s="38" t="s">
        <v>1678</v>
      </c>
      <c r="E60" s="38">
        <v>2.0210107939658301E+17</v>
      </c>
      <c r="F60" s="38" t="s">
        <v>1598</v>
      </c>
      <c r="G60" s="38" t="s">
        <v>2343</v>
      </c>
      <c r="H60" s="38">
        <v>1485991</v>
      </c>
      <c r="J60" s="38" t="s">
        <v>1596</v>
      </c>
      <c r="K60" s="38" t="s">
        <v>1595</v>
      </c>
      <c r="N60" s="38" t="s">
        <v>2076</v>
      </c>
      <c r="O60" s="38" t="s">
        <v>1593</v>
      </c>
      <c r="Q60" s="38" t="s">
        <v>1592</v>
      </c>
      <c r="R60" s="38" t="s">
        <v>2077</v>
      </c>
      <c r="T60" s="38" t="s">
        <v>2078</v>
      </c>
      <c r="V60" s="38" t="s">
        <v>2085</v>
      </c>
      <c r="X60" s="38" t="s">
        <v>2080</v>
      </c>
      <c r="Y60" s="38" t="s">
        <v>2081</v>
      </c>
      <c r="Z60" s="38">
        <v>338100789</v>
      </c>
      <c r="AA60" s="38" t="s">
        <v>1587</v>
      </c>
      <c r="AB60" s="38" t="s">
        <v>1587</v>
      </c>
      <c r="AF60" s="38" t="s">
        <v>2111</v>
      </c>
      <c r="AI60" s="38">
        <v>43872</v>
      </c>
      <c r="AJ60" s="38">
        <v>42</v>
      </c>
      <c r="AK60" s="38">
        <v>89</v>
      </c>
      <c r="BK60" s="38" t="s">
        <v>48</v>
      </c>
      <c r="BL60" s="38" t="s">
        <v>1584</v>
      </c>
      <c r="BM60" s="38" t="s">
        <v>1583</v>
      </c>
      <c r="BN60" s="38">
        <v>44239.199275462961</v>
      </c>
      <c r="BR60" s="38" t="s">
        <v>1582</v>
      </c>
      <c r="BS60" s="38">
        <v>4.0111202120681999E+18</v>
      </c>
      <c r="BT60" s="38" t="s">
        <v>1581</v>
      </c>
      <c r="BV60" s="38">
        <v>2020</v>
      </c>
      <c r="BW60" s="38" t="s">
        <v>1579</v>
      </c>
      <c r="BY60" s="38">
        <v>4.0211202111361802E+18</v>
      </c>
      <c r="BZ60" s="38" t="s">
        <v>2196</v>
      </c>
      <c r="CA60" s="38" t="s">
        <v>1577</v>
      </c>
    </row>
    <row r="61" spans="1:79" x14ac:dyDescent="0.2">
      <c r="A61" s="38" t="s">
        <v>1011</v>
      </c>
      <c r="B61" s="38" t="s">
        <v>306</v>
      </c>
      <c r="C61" s="38">
        <v>2020</v>
      </c>
      <c r="D61" s="38" t="s">
        <v>1659</v>
      </c>
      <c r="E61" s="38">
        <v>2.0201015929490202E+17</v>
      </c>
      <c r="F61" s="38">
        <v>12</v>
      </c>
      <c r="G61" s="38" t="s">
        <v>2344</v>
      </c>
      <c r="H61" s="38">
        <v>1451445</v>
      </c>
      <c r="J61" s="38" t="s">
        <v>1596</v>
      </c>
      <c r="K61" s="38" t="s">
        <v>1595</v>
      </c>
      <c r="N61" s="38" t="s">
        <v>2076</v>
      </c>
      <c r="O61" s="38" t="s">
        <v>73</v>
      </c>
      <c r="Q61" s="38" t="s">
        <v>26</v>
      </c>
      <c r="R61" s="38" t="s">
        <v>2077</v>
      </c>
      <c r="T61" s="38" t="s">
        <v>2078</v>
      </c>
      <c r="V61" s="38" t="s">
        <v>2085</v>
      </c>
      <c r="X61" s="38" t="s">
        <v>2080</v>
      </c>
      <c r="Y61" s="38" t="s">
        <v>2081</v>
      </c>
      <c r="Z61" s="38">
        <v>338100789</v>
      </c>
      <c r="AA61" s="38" t="s">
        <v>1587</v>
      </c>
      <c r="AB61" s="38" t="s">
        <v>1587</v>
      </c>
      <c r="AD61" s="38" t="s">
        <v>1621</v>
      </c>
      <c r="AE61" s="38" t="s">
        <v>1620</v>
      </c>
      <c r="AF61" s="38" t="s">
        <v>2197</v>
      </c>
      <c r="AG61" s="38" t="s">
        <v>1619</v>
      </c>
      <c r="AI61" s="38">
        <v>44074</v>
      </c>
      <c r="AJ61" s="38">
        <v>25</v>
      </c>
      <c r="AK61" s="38">
        <v>25</v>
      </c>
      <c r="BG61" s="38" t="s">
        <v>1606</v>
      </c>
      <c r="BI61" s="38" t="s">
        <v>1605</v>
      </c>
      <c r="BJ61" s="38">
        <v>2020</v>
      </c>
      <c r="BK61" s="38" t="s">
        <v>48</v>
      </c>
      <c r="BL61" s="38" t="s">
        <v>1584</v>
      </c>
      <c r="BM61" s="38" t="s">
        <v>1583</v>
      </c>
      <c r="BN61" s="38">
        <v>44176.212383692131</v>
      </c>
      <c r="BP61" s="38" t="s">
        <v>2198</v>
      </c>
      <c r="BQ61" s="38" t="s">
        <v>1615</v>
      </c>
      <c r="BR61" s="38" t="s">
        <v>1602</v>
      </c>
      <c r="BS61" s="38">
        <v>4.1016202018576502E+18</v>
      </c>
      <c r="BT61" s="38" t="s">
        <v>1581</v>
      </c>
      <c r="BU61" s="38" t="s">
        <v>2199</v>
      </c>
      <c r="BV61" s="38">
        <v>2020</v>
      </c>
      <c r="BW61" s="38" t="s">
        <v>1579</v>
      </c>
      <c r="BY61" s="38">
        <v>4.1211202019689298E+18</v>
      </c>
      <c r="BZ61" s="38" t="s">
        <v>2200</v>
      </c>
      <c r="CA61" s="38" t="s">
        <v>1613</v>
      </c>
    </row>
    <row r="62" spans="1:79" x14ac:dyDescent="0.2">
      <c r="A62" s="38" t="s">
        <v>1309</v>
      </c>
      <c r="B62" s="38" t="s">
        <v>604</v>
      </c>
      <c r="C62" s="38">
        <v>2020</v>
      </c>
      <c r="D62" s="38" t="s">
        <v>1835</v>
      </c>
      <c r="E62" s="38">
        <v>2.0210114940154202E+17</v>
      </c>
      <c r="F62" s="38" t="s">
        <v>1598</v>
      </c>
      <c r="G62" s="38" t="s">
        <v>2345</v>
      </c>
      <c r="H62" s="38">
        <v>1487725</v>
      </c>
      <c r="J62" s="38" t="s">
        <v>1596</v>
      </c>
      <c r="K62" s="38" t="s">
        <v>1595</v>
      </c>
      <c r="L62" s="38" t="s">
        <v>1190</v>
      </c>
      <c r="N62" s="38" t="s">
        <v>2076</v>
      </c>
      <c r="O62" s="38" t="s">
        <v>1593</v>
      </c>
      <c r="Q62" s="38" t="s">
        <v>1592</v>
      </c>
      <c r="R62" s="38" t="s">
        <v>2077</v>
      </c>
      <c r="T62" s="38" t="s">
        <v>2078</v>
      </c>
      <c r="V62" s="38" t="s">
        <v>2085</v>
      </c>
      <c r="X62" s="38" t="s">
        <v>2080</v>
      </c>
      <c r="Y62" s="38" t="s">
        <v>2081</v>
      </c>
      <c r="Z62" s="38">
        <v>338100789</v>
      </c>
      <c r="AA62" s="38" t="s">
        <v>1587</v>
      </c>
      <c r="AB62" s="38" t="s">
        <v>1587</v>
      </c>
      <c r="AC62" s="38" t="s">
        <v>1190</v>
      </c>
      <c r="AD62" s="38" t="s">
        <v>1608</v>
      </c>
      <c r="AE62" s="38" t="s">
        <v>1607</v>
      </c>
      <c r="AF62" s="38" t="s">
        <v>2111</v>
      </c>
      <c r="AI62" s="38">
        <v>43996</v>
      </c>
      <c r="AJ62" s="38">
        <v>35</v>
      </c>
      <c r="AK62" s="38">
        <v>605</v>
      </c>
      <c r="BK62" s="38" t="s">
        <v>48</v>
      </c>
      <c r="BL62" s="38" t="s">
        <v>1584</v>
      </c>
      <c r="BM62" s="38" t="s">
        <v>1583</v>
      </c>
      <c r="BN62" s="38">
        <v>44245.359508009256</v>
      </c>
      <c r="BR62" s="38" t="s">
        <v>1582</v>
      </c>
      <c r="BS62" s="38">
        <v>4.0120202120938301E+18</v>
      </c>
      <c r="BT62" s="38" t="s">
        <v>1581</v>
      </c>
      <c r="BV62" s="38">
        <v>2020</v>
      </c>
      <c r="BW62" s="38" t="s">
        <v>1579</v>
      </c>
      <c r="BY62" s="38">
        <v>4.0217202111539302E+18</v>
      </c>
      <c r="BZ62" s="38" t="s">
        <v>2201</v>
      </c>
      <c r="CA62" s="38" t="s">
        <v>1577</v>
      </c>
    </row>
    <row r="63" spans="1:79" x14ac:dyDescent="0.2">
      <c r="A63" s="38" t="s">
        <v>1170</v>
      </c>
      <c r="B63" s="38" t="s">
        <v>465</v>
      </c>
      <c r="C63" s="38">
        <v>2020</v>
      </c>
      <c r="D63" s="38" t="s">
        <v>1690</v>
      </c>
      <c r="E63" s="38">
        <v>2.0210420944462301E+17</v>
      </c>
      <c r="F63" s="38">
        <v>18</v>
      </c>
      <c r="G63" s="38" t="s">
        <v>2346</v>
      </c>
      <c r="H63" s="38">
        <v>1513938</v>
      </c>
      <c r="J63" s="38" t="s">
        <v>1596</v>
      </c>
      <c r="K63" s="38" t="s">
        <v>1595</v>
      </c>
      <c r="N63" s="38" t="s">
        <v>2076</v>
      </c>
      <c r="O63" s="38" t="s">
        <v>26</v>
      </c>
      <c r="Q63" s="38" t="s">
        <v>26</v>
      </c>
      <c r="R63" s="38" t="s">
        <v>2077</v>
      </c>
      <c r="T63" s="38" t="s">
        <v>2078</v>
      </c>
      <c r="V63" s="38" t="s">
        <v>2085</v>
      </c>
      <c r="X63" s="38" t="s">
        <v>2080</v>
      </c>
      <c r="Y63" s="38" t="s">
        <v>2081</v>
      </c>
      <c r="Z63" s="38">
        <v>33810</v>
      </c>
      <c r="AA63" s="38" t="s">
        <v>1587</v>
      </c>
      <c r="AB63" s="38" t="s">
        <v>1587</v>
      </c>
      <c r="AF63" s="38" t="s">
        <v>2202</v>
      </c>
      <c r="AG63" s="38" t="s">
        <v>1619</v>
      </c>
      <c r="AI63" s="38">
        <v>43948</v>
      </c>
      <c r="AJ63" s="38">
        <v>31.5</v>
      </c>
      <c r="AK63" s="38">
        <v>31.5</v>
      </c>
      <c r="BG63" s="38" t="s">
        <v>1651</v>
      </c>
      <c r="BI63" s="38" t="s">
        <v>1648</v>
      </c>
      <c r="BJ63" s="38">
        <v>2020</v>
      </c>
      <c r="BK63" s="38" t="s">
        <v>48</v>
      </c>
      <c r="BL63" s="38" t="s">
        <v>1584</v>
      </c>
      <c r="BM63" s="38" t="s">
        <v>1583</v>
      </c>
      <c r="BN63" s="38">
        <v>44315.165837199071</v>
      </c>
      <c r="BR63" s="38" t="s">
        <v>1669</v>
      </c>
      <c r="BS63" s="38">
        <v>4.0423202112787599E+18</v>
      </c>
      <c r="BT63" s="38" t="s">
        <v>1581</v>
      </c>
      <c r="BV63" s="38">
        <v>2020</v>
      </c>
      <c r="BW63" s="38" t="s">
        <v>1579</v>
      </c>
      <c r="BY63" s="38">
        <v>4.0428202112825201E+18</v>
      </c>
      <c r="BZ63" s="38" t="s">
        <v>2203</v>
      </c>
      <c r="CA63" s="38" t="s">
        <v>2043</v>
      </c>
    </row>
    <row r="64" spans="1:79" x14ac:dyDescent="0.2">
      <c r="A64" s="38" t="s">
        <v>1170</v>
      </c>
      <c r="B64" s="38" t="s">
        <v>465</v>
      </c>
      <c r="C64" s="38">
        <v>2020</v>
      </c>
      <c r="D64" s="38" t="s">
        <v>1690</v>
      </c>
      <c r="E64" s="38">
        <v>2.0210420944462301E+17</v>
      </c>
      <c r="F64" s="38">
        <v>18</v>
      </c>
      <c r="G64" s="38" t="s">
        <v>2347</v>
      </c>
      <c r="H64" s="38">
        <v>1513938</v>
      </c>
      <c r="J64" s="38" t="s">
        <v>1596</v>
      </c>
      <c r="K64" s="38" t="s">
        <v>1595</v>
      </c>
      <c r="N64" s="38" t="s">
        <v>2076</v>
      </c>
      <c r="O64" s="38" t="s">
        <v>26</v>
      </c>
      <c r="Q64" s="38" t="s">
        <v>26</v>
      </c>
      <c r="R64" s="38" t="s">
        <v>2077</v>
      </c>
      <c r="T64" s="38" t="s">
        <v>2078</v>
      </c>
      <c r="V64" s="38" t="s">
        <v>2085</v>
      </c>
      <c r="X64" s="38" t="s">
        <v>2080</v>
      </c>
      <c r="Y64" s="38" t="s">
        <v>2081</v>
      </c>
      <c r="Z64" s="38">
        <v>33810</v>
      </c>
      <c r="AA64" s="38" t="s">
        <v>1587</v>
      </c>
      <c r="AB64" s="38" t="s">
        <v>1587</v>
      </c>
      <c r="AD64" s="38" t="s">
        <v>1621</v>
      </c>
      <c r="AE64" s="38" t="s">
        <v>1620</v>
      </c>
      <c r="AF64" s="38" t="s">
        <v>2204</v>
      </c>
      <c r="AG64" s="38" t="s">
        <v>1619</v>
      </c>
      <c r="AI64" s="38">
        <v>43996</v>
      </c>
      <c r="AJ64" s="38">
        <v>26.25</v>
      </c>
      <c r="AK64" s="38">
        <v>236.25</v>
      </c>
      <c r="BG64" s="38" t="s">
        <v>1651</v>
      </c>
      <c r="BI64" s="38" t="s">
        <v>1648</v>
      </c>
      <c r="BJ64" s="38">
        <v>2020</v>
      </c>
      <c r="BK64" s="38" t="s">
        <v>48</v>
      </c>
      <c r="BL64" s="38" t="s">
        <v>1584</v>
      </c>
      <c r="BM64" s="38" t="s">
        <v>1583</v>
      </c>
      <c r="BN64" s="38">
        <v>44315.165837199071</v>
      </c>
      <c r="BR64" s="38" t="s">
        <v>1669</v>
      </c>
      <c r="BS64" s="38">
        <v>4.0423202112787599E+18</v>
      </c>
      <c r="BT64" s="38" t="s">
        <v>1581</v>
      </c>
      <c r="BV64" s="38">
        <v>2020</v>
      </c>
      <c r="BW64" s="38" t="s">
        <v>1579</v>
      </c>
      <c r="BY64" s="38">
        <v>4.0428202112825201E+18</v>
      </c>
      <c r="BZ64" s="38" t="s">
        <v>2205</v>
      </c>
      <c r="CA64" s="38" t="s">
        <v>2043</v>
      </c>
    </row>
    <row r="65" spans="1:79" x14ac:dyDescent="0.2">
      <c r="A65" s="38" t="s">
        <v>1170</v>
      </c>
      <c r="B65" s="38" t="s">
        <v>465</v>
      </c>
      <c r="C65" s="38">
        <v>2020</v>
      </c>
      <c r="D65" s="38" t="s">
        <v>1690</v>
      </c>
      <c r="E65" s="38">
        <v>2.0210420944462301E+17</v>
      </c>
      <c r="F65" s="38">
        <v>18</v>
      </c>
      <c r="G65" s="38" t="s">
        <v>2348</v>
      </c>
      <c r="H65" s="38">
        <v>1513938</v>
      </c>
      <c r="J65" s="38" t="s">
        <v>1596</v>
      </c>
      <c r="K65" s="38" t="s">
        <v>1595</v>
      </c>
      <c r="N65" s="38" t="s">
        <v>2076</v>
      </c>
      <c r="O65" s="38" t="s">
        <v>26</v>
      </c>
      <c r="Q65" s="38" t="s">
        <v>26</v>
      </c>
      <c r="R65" s="38" t="s">
        <v>2077</v>
      </c>
      <c r="T65" s="38" t="s">
        <v>2078</v>
      </c>
      <c r="V65" s="38" t="s">
        <v>2085</v>
      </c>
      <c r="X65" s="38" t="s">
        <v>2080</v>
      </c>
      <c r="Y65" s="38" t="s">
        <v>2081</v>
      </c>
      <c r="Z65" s="38">
        <v>33810</v>
      </c>
      <c r="AA65" s="38" t="s">
        <v>1587</v>
      </c>
      <c r="AB65" s="38" t="s">
        <v>1587</v>
      </c>
      <c r="AF65" s="38" t="s">
        <v>2202</v>
      </c>
      <c r="AG65" s="38" t="s">
        <v>1619</v>
      </c>
      <c r="AI65" s="38">
        <v>43955</v>
      </c>
      <c r="AJ65" s="38">
        <v>31.5</v>
      </c>
      <c r="AK65" s="38">
        <v>63</v>
      </c>
      <c r="BG65" s="38" t="s">
        <v>1651</v>
      </c>
      <c r="BI65" s="38" t="s">
        <v>1648</v>
      </c>
      <c r="BJ65" s="38">
        <v>2020</v>
      </c>
      <c r="BK65" s="38" t="s">
        <v>48</v>
      </c>
      <c r="BL65" s="38" t="s">
        <v>1584</v>
      </c>
      <c r="BM65" s="38" t="s">
        <v>1583</v>
      </c>
      <c r="BN65" s="38">
        <v>44315.165837199071</v>
      </c>
      <c r="BR65" s="38" t="s">
        <v>1669</v>
      </c>
      <c r="BS65" s="38">
        <v>4.0423202112787599E+18</v>
      </c>
      <c r="BT65" s="38" t="s">
        <v>1581</v>
      </c>
      <c r="BV65" s="38">
        <v>2020</v>
      </c>
      <c r="BW65" s="38" t="s">
        <v>1579</v>
      </c>
      <c r="BY65" s="38">
        <v>4.0428202112825201E+18</v>
      </c>
      <c r="BZ65" s="38" t="s">
        <v>2206</v>
      </c>
      <c r="CA65" s="38" t="s">
        <v>2043</v>
      </c>
    </row>
    <row r="66" spans="1:79" x14ac:dyDescent="0.2">
      <c r="A66" s="38" t="s">
        <v>1170</v>
      </c>
      <c r="B66" s="38" t="s">
        <v>465</v>
      </c>
      <c r="C66" s="38">
        <v>2020</v>
      </c>
      <c r="D66" s="38" t="s">
        <v>1690</v>
      </c>
      <c r="E66" s="38">
        <v>2.0210420944462301E+17</v>
      </c>
      <c r="F66" s="38">
        <v>18</v>
      </c>
      <c r="G66" s="38" t="s">
        <v>2349</v>
      </c>
      <c r="H66" s="38">
        <v>1513938</v>
      </c>
      <c r="J66" s="38" t="s">
        <v>1596</v>
      </c>
      <c r="K66" s="38" t="s">
        <v>1595</v>
      </c>
      <c r="N66" s="38" t="s">
        <v>2076</v>
      </c>
      <c r="O66" s="38" t="s">
        <v>26</v>
      </c>
      <c r="Q66" s="38" t="s">
        <v>26</v>
      </c>
      <c r="R66" s="38" t="s">
        <v>2077</v>
      </c>
      <c r="T66" s="38" t="s">
        <v>2078</v>
      </c>
      <c r="V66" s="38" t="s">
        <v>2085</v>
      </c>
      <c r="X66" s="38" t="s">
        <v>2080</v>
      </c>
      <c r="Y66" s="38" t="s">
        <v>2081</v>
      </c>
      <c r="Z66" s="38">
        <v>33810</v>
      </c>
      <c r="AA66" s="38" t="s">
        <v>1587</v>
      </c>
      <c r="AB66" s="38" t="s">
        <v>1587</v>
      </c>
      <c r="AF66" s="38" t="s">
        <v>2202</v>
      </c>
      <c r="AG66" s="38" t="s">
        <v>1619</v>
      </c>
      <c r="AI66" s="38">
        <v>43958</v>
      </c>
      <c r="AJ66" s="38">
        <v>26.25</v>
      </c>
      <c r="AK66" s="38">
        <v>89.25</v>
      </c>
      <c r="BG66" s="38" t="s">
        <v>1651</v>
      </c>
      <c r="BI66" s="38" t="s">
        <v>1648</v>
      </c>
      <c r="BJ66" s="38">
        <v>2020</v>
      </c>
      <c r="BK66" s="38" t="s">
        <v>48</v>
      </c>
      <c r="BL66" s="38" t="s">
        <v>1584</v>
      </c>
      <c r="BM66" s="38" t="s">
        <v>1583</v>
      </c>
      <c r="BN66" s="38">
        <v>44315.165837199071</v>
      </c>
      <c r="BR66" s="38" t="s">
        <v>1669</v>
      </c>
      <c r="BS66" s="38">
        <v>4.0423202112787599E+18</v>
      </c>
      <c r="BT66" s="38" t="s">
        <v>1581</v>
      </c>
      <c r="BV66" s="38">
        <v>2020</v>
      </c>
      <c r="BW66" s="38" t="s">
        <v>1579</v>
      </c>
      <c r="BY66" s="38">
        <v>4.0428202112825201E+18</v>
      </c>
      <c r="BZ66" s="38" t="s">
        <v>2206</v>
      </c>
      <c r="CA66" s="38" t="s">
        <v>2043</v>
      </c>
    </row>
    <row r="67" spans="1:79" x14ac:dyDescent="0.2">
      <c r="A67" s="38" t="s">
        <v>1170</v>
      </c>
      <c r="B67" s="38" t="s">
        <v>465</v>
      </c>
      <c r="C67" s="38">
        <v>2020</v>
      </c>
      <c r="D67" s="38" t="s">
        <v>1690</v>
      </c>
      <c r="E67" s="38">
        <v>2.0210420944462301E+17</v>
      </c>
      <c r="F67" s="38">
        <v>18</v>
      </c>
      <c r="G67" s="38" t="s">
        <v>2350</v>
      </c>
      <c r="H67" s="38">
        <v>1513938</v>
      </c>
      <c r="J67" s="38" t="s">
        <v>1596</v>
      </c>
      <c r="K67" s="38" t="s">
        <v>1595</v>
      </c>
      <c r="N67" s="38" t="s">
        <v>2076</v>
      </c>
      <c r="O67" s="38" t="s">
        <v>26</v>
      </c>
      <c r="Q67" s="38" t="s">
        <v>26</v>
      </c>
      <c r="R67" s="38" t="s">
        <v>2077</v>
      </c>
      <c r="T67" s="38" t="s">
        <v>2078</v>
      </c>
      <c r="V67" s="38" t="s">
        <v>2085</v>
      </c>
      <c r="X67" s="38" t="s">
        <v>2080</v>
      </c>
      <c r="Y67" s="38" t="s">
        <v>2081</v>
      </c>
      <c r="Z67" s="38">
        <v>33810</v>
      </c>
      <c r="AA67" s="38" t="s">
        <v>1587</v>
      </c>
      <c r="AB67" s="38" t="s">
        <v>1587</v>
      </c>
      <c r="AF67" s="38" t="s">
        <v>2204</v>
      </c>
      <c r="AG67" s="38" t="s">
        <v>1619</v>
      </c>
      <c r="AI67" s="38">
        <v>43978</v>
      </c>
      <c r="AJ67" s="38">
        <v>31.5</v>
      </c>
      <c r="AK67" s="38">
        <v>120.75</v>
      </c>
      <c r="BG67" s="38" t="s">
        <v>1651</v>
      </c>
      <c r="BI67" s="38" t="s">
        <v>1648</v>
      </c>
      <c r="BJ67" s="38">
        <v>2020</v>
      </c>
      <c r="BK67" s="38" t="s">
        <v>48</v>
      </c>
      <c r="BL67" s="38" t="s">
        <v>1584</v>
      </c>
      <c r="BM67" s="38" t="s">
        <v>1583</v>
      </c>
      <c r="BN67" s="38">
        <v>44315.165837199071</v>
      </c>
      <c r="BR67" s="38" t="s">
        <v>1669</v>
      </c>
      <c r="BS67" s="38">
        <v>4.0423202112787599E+18</v>
      </c>
      <c r="BT67" s="38" t="s">
        <v>1581</v>
      </c>
      <c r="BV67" s="38">
        <v>2020</v>
      </c>
      <c r="BW67" s="38" t="s">
        <v>1579</v>
      </c>
      <c r="BY67" s="38">
        <v>4.0428202112825201E+18</v>
      </c>
      <c r="BZ67" s="38" t="s">
        <v>2206</v>
      </c>
      <c r="CA67" s="38" t="s">
        <v>2043</v>
      </c>
    </row>
    <row r="68" spans="1:79" x14ac:dyDescent="0.2">
      <c r="A68" s="38" t="s">
        <v>1170</v>
      </c>
      <c r="B68" s="38" t="s">
        <v>465</v>
      </c>
      <c r="C68" s="38">
        <v>2020</v>
      </c>
      <c r="D68" s="38" t="s">
        <v>1690</v>
      </c>
      <c r="E68" s="38">
        <v>2.0210420944462301E+17</v>
      </c>
      <c r="F68" s="38">
        <v>18</v>
      </c>
      <c r="G68" s="38" t="s">
        <v>2351</v>
      </c>
      <c r="H68" s="38">
        <v>1513938</v>
      </c>
      <c r="J68" s="38" t="s">
        <v>1596</v>
      </c>
      <c r="K68" s="38" t="s">
        <v>1595</v>
      </c>
      <c r="N68" s="38" t="s">
        <v>2076</v>
      </c>
      <c r="O68" s="38" t="s">
        <v>26</v>
      </c>
      <c r="Q68" s="38" t="s">
        <v>26</v>
      </c>
      <c r="R68" s="38" t="s">
        <v>2077</v>
      </c>
      <c r="T68" s="38" t="s">
        <v>2078</v>
      </c>
      <c r="V68" s="38" t="s">
        <v>2085</v>
      </c>
      <c r="X68" s="38" t="s">
        <v>2080</v>
      </c>
      <c r="Y68" s="38" t="s">
        <v>2081</v>
      </c>
      <c r="Z68" s="38">
        <v>33810</v>
      </c>
      <c r="AA68" s="38" t="s">
        <v>1587</v>
      </c>
      <c r="AB68" s="38" t="s">
        <v>1587</v>
      </c>
      <c r="AF68" s="38" t="s">
        <v>2204</v>
      </c>
      <c r="AG68" s="38" t="s">
        <v>1619</v>
      </c>
      <c r="AI68" s="38">
        <v>43986</v>
      </c>
      <c r="AJ68" s="38">
        <v>31.5</v>
      </c>
      <c r="AK68" s="38">
        <v>152.25</v>
      </c>
      <c r="BG68" s="38" t="s">
        <v>1651</v>
      </c>
      <c r="BI68" s="38" t="s">
        <v>1648</v>
      </c>
      <c r="BJ68" s="38">
        <v>2020</v>
      </c>
      <c r="BK68" s="38" t="s">
        <v>48</v>
      </c>
      <c r="BL68" s="38" t="s">
        <v>1584</v>
      </c>
      <c r="BM68" s="38" t="s">
        <v>1583</v>
      </c>
      <c r="BN68" s="38">
        <v>44315.165837199071</v>
      </c>
      <c r="BR68" s="38" t="s">
        <v>1669</v>
      </c>
      <c r="BS68" s="38">
        <v>4.0423202112787599E+18</v>
      </c>
      <c r="BT68" s="38" t="s">
        <v>1581</v>
      </c>
      <c r="BV68" s="38">
        <v>2020</v>
      </c>
      <c r="BW68" s="38" t="s">
        <v>1579</v>
      </c>
      <c r="BY68" s="38">
        <v>4.0428202112825201E+18</v>
      </c>
      <c r="BZ68" s="38" t="s">
        <v>2207</v>
      </c>
      <c r="CA68" s="38" t="s">
        <v>2043</v>
      </c>
    </row>
    <row r="69" spans="1:79" x14ac:dyDescent="0.2">
      <c r="A69" s="38" t="s">
        <v>1170</v>
      </c>
      <c r="B69" s="38" t="s">
        <v>465</v>
      </c>
      <c r="C69" s="38">
        <v>2020</v>
      </c>
      <c r="D69" s="38" t="s">
        <v>1690</v>
      </c>
      <c r="E69" s="38">
        <v>2.0210420944462301E+17</v>
      </c>
      <c r="F69" s="38">
        <v>18</v>
      </c>
      <c r="G69" s="38" t="s">
        <v>2352</v>
      </c>
      <c r="H69" s="38">
        <v>1513938</v>
      </c>
      <c r="J69" s="38" t="s">
        <v>1596</v>
      </c>
      <c r="K69" s="38" t="s">
        <v>1595</v>
      </c>
      <c r="N69" s="38" t="s">
        <v>2076</v>
      </c>
      <c r="O69" s="38" t="s">
        <v>26</v>
      </c>
      <c r="Q69" s="38" t="s">
        <v>26</v>
      </c>
      <c r="R69" s="38" t="s">
        <v>2077</v>
      </c>
      <c r="T69" s="38" t="s">
        <v>2078</v>
      </c>
      <c r="V69" s="38" t="s">
        <v>2085</v>
      </c>
      <c r="X69" s="38" t="s">
        <v>2080</v>
      </c>
      <c r="Y69" s="38" t="s">
        <v>2081</v>
      </c>
      <c r="Z69" s="38">
        <v>33810</v>
      </c>
      <c r="AA69" s="38" t="s">
        <v>1587</v>
      </c>
      <c r="AB69" s="38" t="s">
        <v>1587</v>
      </c>
      <c r="AF69" s="38" t="s">
        <v>2204</v>
      </c>
      <c r="AG69" s="38" t="s">
        <v>1619</v>
      </c>
      <c r="AI69" s="38">
        <v>43989</v>
      </c>
      <c r="AJ69" s="38">
        <v>26.25</v>
      </c>
      <c r="AK69" s="38">
        <v>178.5</v>
      </c>
      <c r="BG69" s="38" t="s">
        <v>1651</v>
      </c>
      <c r="BI69" s="38" t="s">
        <v>1648</v>
      </c>
      <c r="BJ69" s="38">
        <v>2020</v>
      </c>
      <c r="BK69" s="38" t="s">
        <v>48</v>
      </c>
      <c r="BL69" s="38" t="s">
        <v>1584</v>
      </c>
      <c r="BM69" s="38" t="s">
        <v>1583</v>
      </c>
      <c r="BN69" s="38">
        <v>44315.165837199071</v>
      </c>
      <c r="BR69" s="38" t="s">
        <v>1669</v>
      </c>
      <c r="BS69" s="38">
        <v>4.0423202112787599E+18</v>
      </c>
      <c r="BT69" s="38" t="s">
        <v>1581</v>
      </c>
      <c r="BV69" s="38">
        <v>2020</v>
      </c>
      <c r="BW69" s="38" t="s">
        <v>1579</v>
      </c>
      <c r="BY69" s="38">
        <v>4.0428202112825201E+18</v>
      </c>
      <c r="BZ69" s="38" t="s">
        <v>2207</v>
      </c>
      <c r="CA69" s="38" t="s">
        <v>2043</v>
      </c>
    </row>
    <row r="70" spans="1:79" x14ac:dyDescent="0.2">
      <c r="A70" s="38" t="s">
        <v>1170</v>
      </c>
      <c r="B70" s="38" t="s">
        <v>465</v>
      </c>
      <c r="C70" s="38">
        <v>2020</v>
      </c>
      <c r="D70" s="38" t="s">
        <v>1690</v>
      </c>
      <c r="E70" s="38">
        <v>2.0210420944462301E+17</v>
      </c>
      <c r="F70" s="38">
        <v>18</v>
      </c>
      <c r="G70" s="38" t="s">
        <v>2353</v>
      </c>
      <c r="H70" s="38">
        <v>1513938</v>
      </c>
      <c r="J70" s="38" t="s">
        <v>1596</v>
      </c>
      <c r="K70" s="38" t="s">
        <v>1595</v>
      </c>
      <c r="N70" s="38" t="s">
        <v>2076</v>
      </c>
      <c r="O70" s="38" t="s">
        <v>26</v>
      </c>
      <c r="Q70" s="38" t="s">
        <v>26</v>
      </c>
      <c r="R70" s="38" t="s">
        <v>2077</v>
      </c>
      <c r="T70" s="38" t="s">
        <v>2078</v>
      </c>
      <c r="V70" s="38" t="s">
        <v>2085</v>
      </c>
      <c r="X70" s="38" t="s">
        <v>2080</v>
      </c>
      <c r="Y70" s="38" t="s">
        <v>2081</v>
      </c>
      <c r="Z70" s="38">
        <v>33810</v>
      </c>
      <c r="AA70" s="38" t="s">
        <v>1587</v>
      </c>
      <c r="AB70" s="38" t="s">
        <v>1587</v>
      </c>
      <c r="AD70" s="38" t="s">
        <v>1621</v>
      </c>
      <c r="AE70" s="38" t="s">
        <v>1620</v>
      </c>
      <c r="AF70" s="38" t="s">
        <v>2204</v>
      </c>
      <c r="AG70" s="38" t="s">
        <v>1619</v>
      </c>
      <c r="AI70" s="38">
        <v>43996</v>
      </c>
      <c r="AJ70" s="38">
        <v>31.5</v>
      </c>
      <c r="AK70" s="38">
        <v>210</v>
      </c>
      <c r="BG70" s="38" t="s">
        <v>1651</v>
      </c>
      <c r="BI70" s="38" t="s">
        <v>1648</v>
      </c>
      <c r="BJ70" s="38">
        <v>2020</v>
      </c>
      <c r="BK70" s="38" t="s">
        <v>48</v>
      </c>
      <c r="BL70" s="38" t="s">
        <v>1584</v>
      </c>
      <c r="BM70" s="38" t="s">
        <v>1583</v>
      </c>
      <c r="BN70" s="38">
        <v>44315.165837199071</v>
      </c>
      <c r="BR70" s="38" t="s">
        <v>1669</v>
      </c>
      <c r="BS70" s="38">
        <v>4.0423202112787599E+18</v>
      </c>
      <c r="BT70" s="38" t="s">
        <v>1581</v>
      </c>
      <c r="BV70" s="38">
        <v>2020</v>
      </c>
      <c r="BW70" s="38" t="s">
        <v>1579</v>
      </c>
      <c r="BY70" s="38">
        <v>4.0428202112825201E+18</v>
      </c>
      <c r="BZ70" s="38" t="s">
        <v>2207</v>
      </c>
      <c r="CA70" s="38" t="s">
        <v>2043</v>
      </c>
    </row>
    <row r="71" spans="1:79" x14ac:dyDescent="0.2">
      <c r="A71" s="38" t="s">
        <v>1309</v>
      </c>
      <c r="B71" s="38" t="s">
        <v>604</v>
      </c>
      <c r="C71" s="38">
        <v>2020</v>
      </c>
      <c r="D71" s="38" t="s">
        <v>1835</v>
      </c>
      <c r="E71" s="38">
        <v>2.0210114940157101E+17</v>
      </c>
      <c r="F71" s="38" t="s">
        <v>1598</v>
      </c>
      <c r="G71" s="38" t="s">
        <v>2354</v>
      </c>
      <c r="H71" s="38">
        <v>1487725</v>
      </c>
      <c r="J71" s="38" t="s">
        <v>1596</v>
      </c>
      <c r="K71" s="38" t="s">
        <v>1595</v>
      </c>
      <c r="L71" s="38" t="s">
        <v>1190</v>
      </c>
      <c r="N71" s="38" t="s">
        <v>2076</v>
      </c>
      <c r="O71" s="38" t="s">
        <v>1593</v>
      </c>
      <c r="Q71" s="38" t="s">
        <v>1592</v>
      </c>
      <c r="R71" s="38" t="s">
        <v>2077</v>
      </c>
      <c r="T71" s="38" t="s">
        <v>2078</v>
      </c>
      <c r="V71" s="38" t="s">
        <v>2085</v>
      </c>
      <c r="X71" s="38" t="s">
        <v>2080</v>
      </c>
      <c r="Y71" s="38" t="s">
        <v>2081</v>
      </c>
      <c r="Z71" s="38">
        <v>338100789</v>
      </c>
      <c r="AA71" s="38" t="s">
        <v>1587</v>
      </c>
      <c r="AB71" s="38" t="s">
        <v>1587</v>
      </c>
      <c r="AC71" s="38" t="s">
        <v>1190</v>
      </c>
      <c r="AD71" s="38" t="s">
        <v>1608</v>
      </c>
      <c r="AE71" s="38" t="s">
        <v>1607</v>
      </c>
      <c r="AF71" s="38" t="s">
        <v>2111</v>
      </c>
      <c r="AI71" s="38">
        <v>43996</v>
      </c>
      <c r="AJ71" s="38">
        <v>42</v>
      </c>
      <c r="AK71" s="38">
        <v>605</v>
      </c>
      <c r="BK71" s="38" t="s">
        <v>48</v>
      </c>
      <c r="BL71" s="38" t="s">
        <v>1584</v>
      </c>
      <c r="BM71" s="38" t="s">
        <v>1583</v>
      </c>
      <c r="BN71" s="38">
        <v>44245.363374583336</v>
      </c>
      <c r="BR71" s="38" t="s">
        <v>1582</v>
      </c>
      <c r="BS71" s="38">
        <v>4.0120202120938301E+18</v>
      </c>
      <c r="BT71" s="38" t="s">
        <v>1581</v>
      </c>
      <c r="BV71" s="38">
        <v>2020</v>
      </c>
      <c r="BW71" s="38" t="s">
        <v>1579</v>
      </c>
      <c r="BY71" s="38">
        <v>4.0217202111519099E+18</v>
      </c>
      <c r="BZ71" s="38" t="s">
        <v>2208</v>
      </c>
      <c r="CA71" s="38" t="s">
        <v>1577</v>
      </c>
    </row>
    <row r="72" spans="1:79" x14ac:dyDescent="0.2">
      <c r="A72" s="38" t="s">
        <v>1309</v>
      </c>
      <c r="B72" s="38" t="s">
        <v>604</v>
      </c>
      <c r="C72" s="38">
        <v>2020</v>
      </c>
      <c r="D72" s="38" t="s">
        <v>1696</v>
      </c>
      <c r="E72" s="38">
        <v>2.0210129941521101E+17</v>
      </c>
      <c r="F72" s="38" t="s">
        <v>1598</v>
      </c>
      <c r="G72" s="38" t="s">
        <v>2355</v>
      </c>
      <c r="H72" s="38">
        <v>1494216</v>
      </c>
      <c r="J72" s="38" t="s">
        <v>1596</v>
      </c>
      <c r="K72" s="38" t="s">
        <v>1595</v>
      </c>
      <c r="L72" s="38" t="s">
        <v>902</v>
      </c>
      <c r="N72" s="38" t="s">
        <v>2076</v>
      </c>
      <c r="O72" s="38" t="s">
        <v>1593</v>
      </c>
      <c r="Q72" s="38" t="s">
        <v>1592</v>
      </c>
      <c r="R72" s="38" t="s">
        <v>2077</v>
      </c>
      <c r="T72" s="38" t="s">
        <v>2078</v>
      </c>
      <c r="V72" s="38" t="s">
        <v>2085</v>
      </c>
      <c r="X72" s="38" t="s">
        <v>2080</v>
      </c>
      <c r="Y72" s="38" t="s">
        <v>2081</v>
      </c>
      <c r="Z72" s="38">
        <v>338100789</v>
      </c>
      <c r="AA72" s="38" t="s">
        <v>1587</v>
      </c>
      <c r="AB72" s="38" t="s">
        <v>1587</v>
      </c>
      <c r="AC72" s="38" t="s">
        <v>902</v>
      </c>
      <c r="AD72" s="38" t="s">
        <v>1608</v>
      </c>
      <c r="AE72" s="38" t="s">
        <v>1607</v>
      </c>
      <c r="AF72" s="38" t="s">
        <v>2175</v>
      </c>
      <c r="AI72" s="38">
        <v>44183</v>
      </c>
      <c r="AJ72" s="38">
        <v>35</v>
      </c>
      <c r="AK72" s="38">
        <v>1830.76</v>
      </c>
      <c r="BK72" s="38" t="s">
        <v>48</v>
      </c>
      <c r="BL72" s="38" t="s">
        <v>1584</v>
      </c>
      <c r="BM72" s="38" t="s">
        <v>1583</v>
      </c>
      <c r="BN72" s="38">
        <v>44265.194668263888</v>
      </c>
      <c r="BR72" s="38" t="s">
        <v>1582</v>
      </c>
      <c r="BS72" s="38">
        <v>4.0131202121392901E+18</v>
      </c>
      <c r="BT72" s="38" t="s">
        <v>1581</v>
      </c>
      <c r="BV72" s="38">
        <v>2020</v>
      </c>
      <c r="BW72" s="38" t="s">
        <v>1579</v>
      </c>
      <c r="BY72" s="38">
        <v>4.0309202112376699E+18</v>
      </c>
      <c r="BZ72" s="38" t="s">
        <v>2209</v>
      </c>
      <c r="CA72" s="38" t="s">
        <v>1577</v>
      </c>
    </row>
    <row r="73" spans="1:79" x14ac:dyDescent="0.2">
      <c r="A73" s="38" t="s">
        <v>1309</v>
      </c>
      <c r="B73" s="38" t="s">
        <v>604</v>
      </c>
      <c r="C73" s="38">
        <v>2020</v>
      </c>
      <c r="D73" s="38" t="s">
        <v>1659</v>
      </c>
      <c r="E73" s="38">
        <v>2.0210125940817101E+17</v>
      </c>
      <c r="F73" s="38" t="s">
        <v>1598</v>
      </c>
      <c r="G73" s="38" t="s">
        <v>2356</v>
      </c>
      <c r="H73" s="38">
        <v>1490496</v>
      </c>
      <c r="J73" s="38" t="s">
        <v>1596</v>
      </c>
      <c r="K73" s="38" t="s">
        <v>1595</v>
      </c>
      <c r="L73" s="38" t="s">
        <v>1098</v>
      </c>
      <c r="N73" s="38" t="s">
        <v>2076</v>
      </c>
      <c r="O73" s="38" t="s">
        <v>1593</v>
      </c>
      <c r="Q73" s="38" t="s">
        <v>1592</v>
      </c>
      <c r="R73" s="38" t="s">
        <v>2077</v>
      </c>
      <c r="T73" s="38" t="s">
        <v>2078</v>
      </c>
      <c r="V73" s="38" t="s">
        <v>2085</v>
      </c>
      <c r="X73" s="38" t="s">
        <v>2080</v>
      </c>
      <c r="Y73" s="38" t="s">
        <v>2081</v>
      </c>
      <c r="Z73" s="38">
        <v>338100789</v>
      </c>
      <c r="AA73" s="38" t="s">
        <v>1587</v>
      </c>
      <c r="AB73" s="38" t="s">
        <v>1587</v>
      </c>
      <c r="AC73" s="38" t="s">
        <v>1098</v>
      </c>
      <c r="AD73" s="38" t="s">
        <v>1608</v>
      </c>
      <c r="AE73" s="38" t="s">
        <v>1607</v>
      </c>
      <c r="AF73" s="38" t="s">
        <v>2113</v>
      </c>
      <c r="AI73" s="38">
        <v>44086</v>
      </c>
      <c r="AJ73" s="38">
        <v>1</v>
      </c>
      <c r="AK73" s="38">
        <v>1137.76</v>
      </c>
      <c r="BK73" s="38" t="s">
        <v>48</v>
      </c>
      <c r="BL73" s="38" t="s">
        <v>1584</v>
      </c>
      <c r="BM73" s="38" t="s">
        <v>1583</v>
      </c>
      <c r="BN73" s="38">
        <v>44252.60016011574</v>
      </c>
      <c r="BR73" s="38" t="s">
        <v>1582</v>
      </c>
      <c r="BS73" s="38">
        <v>4.0125202121377597E+18</v>
      </c>
      <c r="BT73" s="38" t="s">
        <v>1581</v>
      </c>
      <c r="BV73" s="38">
        <v>2020</v>
      </c>
      <c r="BW73" s="38" t="s">
        <v>1579</v>
      </c>
      <c r="BY73" s="38">
        <v>4.0224202111790198E+18</v>
      </c>
      <c r="BZ73" s="38" t="s">
        <v>2210</v>
      </c>
      <c r="CA73" s="38" t="s">
        <v>1577</v>
      </c>
    </row>
    <row r="74" spans="1:79" x14ac:dyDescent="0.2">
      <c r="A74" s="38" t="s">
        <v>1309</v>
      </c>
      <c r="B74" s="38" t="s">
        <v>604</v>
      </c>
      <c r="C74" s="38">
        <v>2020</v>
      </c>
      <c r="D74" s="38" t="s">
        <v>1835</v>
      </c>
      <c r="E74" s="38">
        <v>2.0210114940131002E+17</v>
      </c>
      <c r="F74" s="38" t="s">
        <v>1598</v>
      </c>
      <c r="G74" s="38" t="s">
        <v>2357</v>
      </c>
      <c r="H74" s="38">
        <v>1487725</v>
      </c>
      <c r="J74" s="38" t="s">
        <v>1596</v>
      </c>
      <c r="K74" s="38" t="s">
        <v>1595</v>
      </c>
      <c r="L74" s="38" t="s">
        <v>1190</v>
      </c>
      <c r="N74" s="38" t="s">
        <v>2076</v>
      </c>
      <c r="O74" s="38" t="s">
        <v>1593</v>
      </c>
      <c r="Q74" s="38" t="s">
        <v>1592</v>
      </c>
      <c r="R74" s="38" t="s">
        <v>2077</v>
      </c>
      <c r="T74" s="38" t="s">
        <v>2078</v>
      </c>
      <c r="V74" s="38" t="s">
        <v>2085</v>
      </c>
      <c r="X74" s="38" t="s">
        <v>2080</v>
      </c>
      <c r="Y74" s="38" t="s">
        <v>2081</v>
      </c>
      <c r="Z74" s="38">
        <v>338100789</v>
      </c>
      <c r="AA74" s="38" t="s">
        <v>1587</v>
      </c>
      <c r="AB74" s="38" t="s">
        <v>1587</v>
      </c>
      <c r="AC74" s="38" t="s">
        <v>1190</v>
      </c>
      <c r="AD74" s="38" t="s">
        <v>1608</v>
      </c>
      <c r="AE74" s="38" t="s">
        <v>1607</v>
      </c>
      <c r="AF74" s="38" t="s">
        <v>2111</v>
      </c>
      <c r="AI74" s="38">
        <v>43986</v>
      </c>
      <c r="AJ74" s="38">
        <v>42</v>
      </c>
      <c r="AK74" s="38">
        <v>493</v>
      </c>
      <c r="BK74" s="38" t="s">
        <v>48</v>
      </c>
      <c r="BL74" s="38" t="s">
        <v>1584</v>
      </c>
      <c r="BM74" s="38" t="s">
        <v>1583</v>
      </c>
      <c r="BN74" s="38">
        <v>44245.364600856483</v>
      </c>
      <c r="BR74" s="38" t="s">
        <v>1582</v>
      </c>
      <c r="BS74" s="38">
        <v>4.0120202120938301E+18</v>
      </c>
      <c r="BT74" s="38" t="s">
        <v>1581</v>
      </c>
      <c r="BV74" s="38">
        <v>2020</v>
      </c>
      <c r="BW74" s="38" t="s">
        <v>1579</v>
      </c>
      <c r="BY74" s="38">
        <v>4.0217202111515402E+18</v>
      </c>
      <c r="BZ74" s="38" t="s">
        <v>2211</v>
      </c>
      <c r="CA74" s="38" t="s">
        <v>1577</v>
      </c>
    </row>
    <row r="75" spans="1:79" x14ac:dyDescent="0.2">
      <c r="A75" s="38" t="s">
        <v>1309</v>
      </c>
      <c r="B75" s="38" t="s">
        <v>604</v>
      </c>
      <c r="C75" s="38">
        <v>2020</v>
      </c>
      <c r="D75" s="38" t="s">
        <v>1659</v>
      </c>
      <c r="E75" s="38">
        <v>2.0210125940648602E+17</v>
      </c>
      <c r="F75" s="38" t="s">
        <v>1598</v>
      </c>
      <c r="G75" s="38" t="s">
        <v>2358</v>
      </c>
      <c r="H75" s="38">
        <v>1490496</v>
      </c>
      <c r="J75" s="38" t="s">
        <v>1596</v>
      </c>
      <c r="K75" s="38" t="s">
        <v>1595</v>
      </c>
      <c r="L75" s="38" t="s">
        <v>1398</v>
      </c>
      <c r="N75" s="38" t="s">
        <v>2076</v>
      </c>
      <c r="O75" s="38" t="s">
        <v>1593</v>
      </c>
      <c r="Q75" s="38" t="s">
        <v>1592</v>
      </c>
      <c r="R75" s="38" t="s">
        <v>2077</v>
      </c>
      <c r="T75" s="38" t="s">
        <v>2078</v>
      </c>
      <c r="V75" s="38" t="s">
        <v>2085</v>
      </c>
      <c r="X75" s="38" t="s">
        <v>2080</v>
      </c>
      <c r="Y75" s="38" t="s">
        <v>2081</v>
      </c>
      <c r="Z75" s="38">
        <v>338100789</v>
      </c>
      <c r="AA75" s="38" t="s">
        <v>1587</v>
      </c>
      <c r="AB75" s="38" t="s">
        <v>1587</v>
      </c>
      <c r="AC75" s="38" t="s">
        <v>1398</v>
      </c>
      <c r="AD75" s="38" t="s">
        <v>1608</v>
      </c>
      <c r="AE75" s="38" t="s">
        <v>1607</v>
      </c>
      <c r="AF75" s="38" t="s">
        <v>2104</v>
      </c>
      <c r="AI75" s="38">
        <v>44044</v>
      </c>
      <c r="AJ75" s="38">
        <v>15</v>
      </c>
      <c r="AK75" s="38">
        <v>781</v>
      </c>
      <c r="AL75" s="38" t="s">
        <v>2105</v>
      </c>
      <c r="BK75" s="38" t="s">
        <v>48</v>
      </c>
      <c r="BL75" s="38" t="s">
        <v>1584</v>
      </c>
      <c r="BM75" s="38" t="s">
        <v>1583</v>
      </c>
      <c r="BN75" s="38">
        <v>44252.600887511573</v>
      </c>
      <c r="BR75" s="38" t="s">
        <v>1582</v>
      </c>
      <c r="BS75" s="38">
        <v>4.0125202121377597E+18</v>
      </c>
      <c r="BT75" s="38" t="s">
        <v>1581</v>
      </c>
      <c r="BV75" s="38">
        <v>2020</v>
      </c>
      <c r="BW75" s="38" t="s">
        <v>1579</v>
      </c>
      <c r="BY75" s="38">
        <v>4.02242021117809E+18</v>
      </c>
      <c r="BZ75" s="38" t="s">
        <v>2212</v>
      </c>
      <c r="CA75" s="38" t="s">
        <v>1577</v>
      </c>
    </row>
    <row r="76" spans="1:79" x14ac:dyDescent="0.2">
      <c r="A76" s="38" t="s">
        <v>1309</v>
      </c>
      <c r="B76" s="38" t="s">
        <v>604</v>
      </c>
      <c r="C76" s="38">
        <v>2020</v>
      </c>
      <c r="D76" s="38" t="s">
        <v>1659</v>
      </c>
      <c r="E76" s="38">
        <v>2.02101259407876E+17</v>
      </c>
      <c r="F76" s="38" t="s">
        <v>1598</v>
      </c>
      <c r="G76" s="38" t="s">
        <v>2359</v>
      </c>
      <c r="H76" s="38">
        <v>1490496</v>
      </c>
      <c r="J76" s="38" t="s">
        <v>1596</v>
      </c>
      <c r="K76" s="38" t="s">
        <v>1595</v>
      </c>
      <c r="L76" s="38" t="s">
        <v>1190</v>
      </c>
      <c r="N76" s="38" t="s">
        <v>2076</v>
      </c>
      <c r="O76" s="38" t="s">
        <v>1593</v>
      </c>
      <c r="Q76" s="38" t="s">
        <v>1592</v>
      </c>
      <c r="R76" s="38" t="s">
        <v>2077</v>
      </c>
      <c r="T76" s="38" t="s">
        <v>2078</v>
      </c>
      <c r="V76" s="38" t="s">
        <v>2085</v>
      </c>
      <c r="X76" s="38" t="s">
        <v>2080</v>
      </c>
      <c r="Y76" s="38" t="s">
        <v>2081</v>
      </c>
      <c r="Z76" s="38">
        <v>338100789</v>
      </c>
      <c r="AA76" s="38" t="s">
        <v>1587</v>
      </c>
      <c r="AB76" s="38" t="s">
        <v>1587</v>
      </c>
      <c r="AC76" s="38" t="s">
        <v>1190</v>
      </c>
      <c r="AD76" s="38" t="s">
        <v>1608</v>
      </c>
      <c r="AE76" s="38" t="s">
        <v>1607</v>
      </c>
      <c r="AF76" s="38" t="s">
        <v>2111</v>
      </c>
      <c r="AI76" s="38">
        <v>44078</v>
      </c>
      <c r="AJ76" s="38">
        <v>42</v>
      </c>
      <c r="AK76" s="38">
        <v>1097.76</v>
      </c>
      <c r="BK76" s="38" t="s">
        <v>48</v>
      </c>
      <c r="BL76" s="38" t="s">
        <v>1584</v>
      </c>
      <c r="BM76" s="38" t="s">
        <v>1583</v>
      </c>
      <c r="BN76" s="38">
        <v>44252.602761319446</v>
      </c>
      <c r="BR76" s="38" t="s">
        <v>1582</v>
      </c>
      <c r="BS76" s="38">
        <v>4.0125202121377597E+18</v>
      </c>
      <c r="BT76" s="38" t="s">
        <v>1581</v>
      </c>
      <c r="BV76" s="38">
        <v>2020</v>
      </c>
      <c r="BW76" s="38" t="s">
        <v>1579</v>
      </c>
      <c r="BY76" s="38">
        <v>4.0224202111830502E+18</v>
      </c>
      <c r="BZ76" s="38" t="s">
        <v>2213</v>
      </c>
      <c r="CA76" s="38" t="s">
        <v>1577</v>
      </c>
    </row>
    <row r="77" spans="1:79" x14ac:dyDescent="0.2">
      <c r="A77" s="38" t="s">
        <v>1309</v>
      </c>
      <c r="B77" s="38" t="s">
        <v>604</v>
      </c>
      <c r="C77" s="38">
        <v>2020</v>
      </c>
      <c r="D77" s="38" t="s">
        <v>1659</v>
      </c>
      <c r="E77" s="38">
        <v>2.0210125940553402E+17</v>
      </c>
      <c r="F77" s="38" t="s">
        <v>1598</v>
      </c>
      <c r="G77" s="38" t="s">
        <v>2360</v>
      </c>
      <c r="H77" s="38">
        <v>1490496</v>
      </c>
      <c r="J77" s="38" t="s">
        <v>1596</v>
      </c>
      <c r="K77" s="38" t="s">
        <v>1595</v>
      </c>
      <c r="L77" s="38" t="s">
        <v>1190</v>
      </c>
      <c r="N77" s="38" t="s">
        <v>2076</v>
      </c>
      <c r="O77" s="38" t="s">
        <v>1593</v>
      </c>
      <c r="Q77" s="38" t="s">
        <v>1592</v>
      </c>
      <c r="R77" s="38" t="s">
        <v>2077</v>
      </c>
      <c r="T77" s="38" t="s">
        <v>2078</v>
      </c>
      <c r="V77" s="38" t="s">
        <v>2085</v>
      </c>
      <c r="X77" s="38" t="s">
        <v>2080</v>
      </c>
      <c r="Y77" s="38" t="s">
        <v>2081</v>
      </c>
      <c r="Z77" s="38">
        <v>338100789</v>
      </c>
      <c r="AA77" s="38" t="s">
        <v>1587</v>
      </c>
      <c r="AB77" s="38" t="s">
        <v>1587</v>
      </c>
      <c r="AC77" s="38" t="s">
        <v>1190</v>
      </c>
      <c r="AD77" s="38" t="s">
        <v>1608</v>
      </c>
      <c r="AE77" s="38" t="s">
        <v>1607</v>
      </c>
      <c r="AF77" s="38" t="s">
        <v>2111</v>
      </c>
      <c r="AI77" s="38">
        <v>44016</v>
      </c>
      <c r="AJ77" s="38">
        <v>42</v>
      </c>
      <c r="AK77" s="38">
        <v>689</v>
      </c>
      <c r="BK77" s="38" t="s">
        <v>48</v>
      </c>
      <c r="BL77" s="38" t="s">
        <v>1584</v>
      </c>
      <c r="BM77" s="38" t="s">
        <v>1583</v>
      </c>
      <c r="BN77" s="38">
        <v>44252.602258310188</v>
      </c>
      <c r="BR77" s="38" t="s">
        <v>1582</v>
      </c>
      <c r="BS77" s="38">
        <v>4.0125202121377597E+18</v>
      </c>
      <c r="BT77" s="38" t="s">
        <v>1581</v>
      </c>
      <c r="BV77" s="38">
        <v>2020</v>
      </c>
      <c r="BW77" s="38" t="s">
        <v>1579</v>
      </c>
      <c r="BY77" s="38">
        <v>4.0224202111775401E+18</v>
      </c>
      <c r="BZ77" s="38" t="s">
        <v>2214</v>
      </c>
      <c r="CA77" s="38" t="s">
        <v>1577</v>
      </c>
    </row>
    <row r="78" spans="1:79" x14ac:dyDescent="0.2">
      <c r="A78" s="38" t="s">
        <v>1309</v>
      </c>
      <c r="B78" s="38" t="s">
        <v>604</v>
      </c>
      <c r="C78" s="38">
        <v>2020</v>
      </c>
      <c r="D78" s="38" t="s">
        <v>1659</v>
      </c>
      <c r="E78" s="38">
        <v>2.02101259406916E+17</v>
      </c>
      <c r="F78" s="38" t="s">
        <v>1598</v>
      </c>
      <c r="G78" s="38" t="s">
        <v>2361</v>
      </c>
      <c r="H78" s="38">
        <v>1490496</v>
      </c>
      <c r="J78" s="38" t="s">
        <v>1596</v>
      </c>
      <c r="K78" s="38" t="s">
        <v>1595</v>
      </c>
      <c r="L78" s="38" t="s">
        <v>1049</v>
      </c>
      <c r="N78" s="38" t="s">
        <v>2076</v>
      </c>
      <c r="O78" s="38" t="s">
        <v>1593</v>
      </c>
      <c r="Q78" s="38" t="s">
        <v>1592</v>
      </c>
      <c r="R78" s="38" t="s">
        <v>2077</v>
      </c>
      <c r="T78" s="38" t="s">
        <v>2078</v>
      </c>
      <c r="V78" s="38" t="s">
        <v>2085</v>
      </c>
      <c r="X78" s="38" t="s">
        <v>2080</v>
      </c>
      <c r="Y78" s="38" t="s">
        <v>2081</v>
      </c>
      <c r="Z78" s="38">
        <v>338100789</v>
      </c>
      <c r="AA78" s="38" t="s">
        <v>1587</v>
      </c>
      <c r="AB78" s="38" t="s">
        <v>1587</v>
      </c>
      <c r="AC78" s="38" t="s">
        <v>1049</v>
      </c>
      <c r="AD78" s="38" t="s">
        <v>1608</v>
      </c>
      <c r="AE78" s="38" t="s">
        <v>1607</v>
      </c>
      <c r="AF78" s="38" t="s">
        <v>2098</v>
      </c>
      <c r="AI78" s="38">
        <v>44057</v>
      </c>
      <c r="AJ78" s="38">
        <v>15</v>
      </c>
      <c r="AK78" s="38">
        <v>920.76</v>
      </c>
      <c r="AL78" s="38" t="s">
        <v>2099</v>
      </c>
      <c r="BK78" s="38" t="s">
        <v>48</v>
      </c>
      <c r="BL78" s="38" t="s">
        <v>1584</v>
      </c>
      <c r="BM78" s="38" t="s">
        <v>1583</v>
      </c>
      <c r="BN78" s="38">
        <v>44252.602716805559</v>
      </c>
      <c r="BR78" s="38" t="s">
        <v>1582</v>
      </c>
      <c r="BS78" s="38">
        <v>4.0125202121377597E+18</v>
      </c>
      <c r="BT78" s="38" t="s">
        <v>1581</v>
      </c>
      <c r="BV78" s="38">
        <v>2020</v>
      </c>
      <c r="BW78" s="38" t="s">
        <v>1579</v>
      </c>
      <c r="BY78" s="38">
        <v>4.0224202111830799E+18</v>
      </c>
      <c r="BZ78" s="38" t="s">
        <v>2215</v>
      </c>
      <c r="CA78" s="38" t="s">
        <v>1577</v>
      </c>
    </row>
    <row r="79" spans="1:79" x14ac:dyDescent="0.2">
      <c r="A79" s="38" t="s">
        <v>1309</v>
      </c>
      <c r="B79" s="38" t="s">
        <v>604</v>
      </c>
      <c r="C79" s="38">
        <v>2020</v>
      </c>
      <c r="D79" s="38" t="s">
        <v>1835</v>
      </c>
      <c r="E79" s="38">
        <v>2.02101149400088E+17</v>
      </c>
      <c r="F79" s="38" t="s">
        <v>1598</v>
      </c>
      <c r="G79" s="38" t="s">
        <v>2362</v>
      </c>
      <c r="H79" s="38">
        <v>1487725</v>
      </c>
      <c r="J79" s="38" t="s">
        <v>1596</v>
      </c>
      <c r="K79" s="38" t="s">
        <v>1595</v>
      </c>
      <c r="L79" s="38" t="s">
        <v>1190</v>
      </c>
      <c r="N79" s="38" t="s">
        <v>2076</v>
      </c>
      <c r="O79" s="38" t="s">
        <v>1593</v>
      </c>
      <c r="Q79" s="38" t="s">
        <v>1592</v>
      </c>
      <c r="R79" s="38" t="s">
        <v>2077</v>
      </c>
      <c r="T79" s="38" t="s">
        <v>2078</v>
      </c>
      <c r="V79" s="38" t="s">
        <v>2085</v>
      </c>
      <c r="X79" s="38" t="s">
        <v>2080</v>
      </c>
      <c r="Y79" s="38" t="s">
        <v>2081</v>
      </c>
      <c r="Z79" s="38">
        <v>338100789</v>
      </c>
      <c r="AA79" s="38" t="s">
        <v>1587</v>
      </c>
      <c r="AB79" s="38" t="s">
        <v>1587</v>
      </c>
      <c r="AC79" s="38" t="s">
        <v>1190</v>
      </c>
      <c r="AD79" s="38" t="s">
        <v>1608</v>
      </c>
      <c r="AE79" s="38" t="s">
        <v>1607</v>
      </c>
      <c r="AF79" s="38" t="s">
        <v>2111</v>
      </c>
      <c r="AI79" s="38">
        <v>43928</v>
      </c>
      <c r="AJ79" s="38">
        <v>35</v>
      </c>
      <c r="AK79" s="38">
        <v>248</v>
      </c>
      <c r="BK79" s="38" t="s">
        <v>48</v>
      </c>
      <c r="BL79" s="38" t="s">
        <v>1584</v>
      </c>
      <c r="BM79" s="38" t="s">
        <v>1583</v>
      </c>
      <c r="BN79" s="38">
        <v>44245.366195798611</v>
      </c>
      <c r="BR79" s="38" t="s">
        <v>1582</v>
      </c>
      <c r="BS79" s="38">
        <v>4.0120202120938301E+18</v>
      </c>
      <c r="BT79" s="38" t="s">
        <v>1581</v>
      </c>
      <c r="BV79" s="38">
        <v>2020</v>
      </c>
      <c r="BW79" s="38" t="s">
        <v>1579</v>
      </c>
      <c r="BY79" s="38">
        <v>4.0217202111499899E+18</v>
      </c>
      <c r="BZ79" s="38" t="s">
        <v>2216</v>
      </c>
      <c r="CA79" s="38" t="s">
        <v>1577</v>
      </c>
    </row>
    <row r="80" spans="1:79" x14ac:dyDescent="0.2">
      <c r="A80" s="38" t="s">
        <v>1309</v>
      </c>
      <c r="B80" s="38" t="s">
        <v>604</v>
      </c>
      <c r="C80" s="38">
        <v>2020</v>
      </c>
      <c r="D80" s="38" t="s">
        <v>1659</v>
      </c>
      <c r="E80" s="38">
        <v>2.02101259408172E+17</v>
      </c>
      <c r="F80" s="38" t="s">
        <v>1598</v>
      </c>
      <c r="G80" s="38" t="s">
        <v>2363</v>
      </c>
      <c r="H80" s="38">
        <v>1490496</v>
      </c>
      <c r="J80" s="38" t="s">
        <v>1596</v>
      </c>
      <c r="K80" s="38" t="s">
        <v>1595</v>
      </c>
      <c r="L80" s="38" t="s">
        <v>2120</v>
      </c>
      <c r="N80" s="38" t="s">
        <v>2076</v>
      </c>
      <c r="O80" s="38" t="s">
        <v>1593</v>
      </c>
      <c r="Q80" s="38" t="s">
        <v>1592</v>
      </c>
      <c r="R80" s="38" t="s">
        <v>2077</v>
      </c>
      <c r="T80" s="38" t="s">
        <v>2078</v>
      </c>
      <c r="V80" s="38" t="s">
        <v>2085</v>
      </c>
      <c r="X80" s="38" t="s">
        <v>2080</v>
      </c>
      <c r="Y80" s="38" t="s">
        <v>2081</v>
      </c>
      <c r="Z80" s="38">
        <v>338100789</v>
      </c>
      <c r="AA80" s="38" t="s">
        <v>1587</v>
      </c>
      <c r="AB80" s="38" t="s">
        <v>1587</v>
      </c>
      <c r="AC80" s="38" t="s">
        <v>2120</v>
      </c>
      <c r="AD80" s="38" t="s">
        <v>1608</v>
      </c>
      <c r="AE80" s="38" t="s">
        <v>1607</v>
      </c>
      <c r="AF80" s="38" t="s">
        <v>2121</v>
      </c>
      <c r="AI80" s="38">
        <v>44086</v>
      </c>
      <c r="AJ80" s="38">
        <v>9</v>
      </c>
      <c r="AK80" s="38">
        <v>1137.76</v>
      </c>
      <c r="AL80" s="38" t="s">
        <v>2122</v>
      </c>
      <c r="BK80" s="38" t="s">
        <v>48</v>
      </c>
      <c r="BL80" s="38" t="s">
        <v>1584</v>
      </c>
      <c r="BM80" s="38" t="s">
        <v>1583</v>
      </c>
      <c r="BN80" s="38">
        <v>44252.606127754632</v>
      </c>
      <c r="BR80" s="38" t="s">
        <v>1582</v>
      </c>
      <c r="BS80" s="38">
        <v>4.0125202121377597E+18</v>
      </c>
      <c r="BT80" s="38" t="s">
        <v>1581</v>
      </c>
      <c r="BV80" s="38">
        <v>2020</v>
      </c>
      <c r="BW80" s="38" t="s">
        <v>1579</v>
      </c>
      <c r="BY80" s="38">
        <v>4.0224202111823002E+18</v>
      </c>
      <c r="BZ80" s="38" t="s">
        <v>2217</v>
      </c>
      <c r="CA80" s="38" t="s">
        <v>1577</v>
      </c>
    </row>
    <row r="81" spans="1:79" x14ac:dyDescent="0.2">
      <c r="A81" s="38" t="s">
        <v>1309</v>
      </c>
      <c r="B81" s="38" t="s">
        <v>604</v>
      </c>
      <c r="C81" s="38">
        <v>2020</v>
      </c>
      <c r="D81" s="38" t="s">
        <v>1612</v>
      </c>
      <c r="E81" s="38">
        <v>2.0210303943224701E+17</v>
      </c>
      <c r="F81" s="38" t="s">
        <v>1598</v>
      </c>
      <c r="G81" s="38" t="s">
        <v>2364</v>
      </c>
      <c r="H81" s="38">
        <v>1502683</v>
      </c>
      <c r="J81" s="38" t="s">
        <v>1596</v>
      </c>
      <c r="K81" s="38" t="s">
        <v>1595</v>
      </c>
      <c r="L81" s="38" t="s">
        <v>1398</v>
      </c>
      <c r="N81" s="38" t="s">
        <v>2076</v>
      </c>
      <c r="O81" s="38" t="s">
        <v>1593</v>
      </c>
      <c r="Q81" s="38" t="s">
        <v>1592</v>
      </c>
      <c r="R81" s="38" t="s">
        <v>2077</v>
      </c>
      <c r="T81" s="38" t="s">
        <v>2078</v>
      </c>
      <c r="V81" s="38" t="s">
        <v>2085</v>
      </c>
      <c r="X81" s="38" t="s">
        <v>2080</v>
      </c>
      <c r="Y81" s="38" t="s">
        <v>2081</v>
      </c>
      <c r="Z81" s="38">
        <v>338100789</v>
      </c>
      <c r="AA81" s="38" t="s">
        <v>1587</v>
      </c>
      <c r="AB81" s="38" t="s">
        <v>1587</v>
      </c>
      <c r="AC81" s="38" t="s">
        <v>1398</v>
      </c>
      <c r="AD81" s="38" t="s">
        <v>1608</v>
      </c>
      <c r="AE81" s="38" t="s">
        <v>1607</v>
      </c>
      <c r="AF81" s="38" t="s">
        <v>2104</v>
      </c>
      <c r="AI81" s="38">
        <v>44127</v>
      </c>
      <c r="AJ81" s="38">
        <v>10</v>
      </c>
      <c r="AK81" s="38">
        <v>1578.76</v>
      </c>
      <c r="BK81" s="38" t="s">
        <v>48</v>
      </c>
      <c r="BL81" s="38" t="s">
        <v>1584</v>
      </c>
      <c r="BM81" s="38" t="s">
        <v>1583</v>
      </c>
      <c r="BN81" s="38">
        <v>44260.6073200463</v>
      </c>
      <c r="BR81" s="38" t="s">
        <v>1582</v>
      </c>
      <c r="BS81" s="38">
        <v>4.0304202111990902E+18</v>
      </c>
      <c r="BT81" s="38" t="s">
        <v>1581</v>
      </c>
      <c r="BV81" s="38">
        <v>2020</v>
      </c>
      <c r="BW81" s="38" t="s">
        <v>1579</v>
      </c>
      <c r="BY81" s="38">
        <v>4.0304202112245499E+18</v>
      </c>
      <c r="BZ81" s="38" t="s">
        <v>2218</v>
      </c>
      <c r="CA81" s="38" t="s">
        <v>1577</v>
      </c>
    </row>
    <row r="82" spans="1:79" x14ac:dyDescent="0.2">
      <c r="A82" s="38" t="s">
        <v>1309</v>
      </c>
      <c r="B82" s="38" t="s">
        <v>604</v>
      </c>
      <c r="C82" s="38">
        <v>2020</v>
      </c>
      <c r="D82" s="38" t="s">
        <v>1612</v>
      </c>
      <c r="E82" s="38">
        <v>2.02103039433072E+17</v>
      </c>
      <c r="F82" s="38" t="s">
        <v>1598</v>
      </c>
      <c r="G82" s="38" t="s">
        <v>2365</v>
      </c>
      <c r="H82" s="38">
        <v>1502683</v>
      </c>
      <c r="J82" s="38" t="s">
        <v>1596</v>
      </c>
      <c r="K82" s="38" t="s">
        <v>1595</v>
      </c>
      <c r="L82" s="38" t="s">
        <v>2120</v>
      </c>
      <c r="N82" s="38" t="s">
        <v>2076</v>
      </c>
      <c r="O82" s="38" t="s">
        <v>1593</v>
      </c>
      <c r="Q82" s="38" t="s">
        <v>1592</v>
      </c>
      <c r="R82" s="38" t="s">
        <v>2077</v>
      </c>
      <c r="T82" s="38" t="s">
        <v>2078</v>
      </c>
      <c r="V82" s="38" t="s">
        <v>2085</v>
      </c>
      <c r="X82" s="38" t="s">
        <v>2080</v>
      </c>
      <c r="Y82" s="38" t="s">
        <v>2081</v>
      </c>
      <c r="Z82" s="38">
        <v>338100789</v>
      </c>
      <c r="AA82" s="38" t="s">
        <v>1587</v>
      </c>
      <c r="AB82" s="38" t="s">
        <v>1587</v>
      </c>
      <c r="AC82" s="38" t="s">
        <v>2120</v>
      </c>
      <c r="AD82" s="38" t="s">
        <v>1608</v>
      </c>
      <c r="AE82" s="38" t="s">
        <v>1607</v>
      </c>
      <c r="AF82" s="38" t="s">
        <v>2121</v>
      </c>
      <c r="AI82" s="38">
        <v>44134</v>
      </c>
      <c r="AJ82" s="38">
        <v>10</v>
      </c>
      <c r="AK82" s="38">
        <v>1638.76</v>
      </c>
      <c r="BK82" s="38" t="s">
        <v>48</v>
      </c>
      <c r="BL82" s="38" t="s">
        <v>1584</v>
      </c>
      <c r="BM82" s="38" t="s">
        <v>1583</v>
      </c>
      <c r="BN82" s="38">
        <v>44260.60378662037</v>
      </c>
      <c r="BR82" s="38" t="s">
        <v>1582</v>
      </c>
      <c r="BS82" s="38">
        <v>4.0304202111990902E+18</v>
      </c>
      <c r="BT82" s="38" t="s">
        <v>1581</v>
      </c>
      <c r="BV82" s="38">
        <v>2020</v>
      </c>
      <c r="BW82" s="38" t="s">
        <v>1579</v>
      </c>
      <c r="BY82" s="38">
        <v>4.0304202112189798E+18</v>
      </c>
      <c r="BZ82" s="38" t="s">
        <v>2219</v>
      </c>
      <c r="CA82" s="38" t="s">
        <v>1577</v>
      </c>
    </row>
    <row r="83" spans="1:79" x14ac:dyDescent="0.2">
      <c r="A83" s="38" t="s">
        <v>1309</v>
      </c>
      <c r="B83" s="38" t="s">
        <v>604</v>
      </c>
      <c r="C83" s="38">
        <v>2020</v>
      </c>
      <c r="D83" s="38" t="s">
        <v>1612</v>
      </c>
      <c r="E83" s="38">
        <v>2.0210303943307002E+17</v>
      </c>
      <c r="F83" s="38" t="s">
        <v>1598</v>
      </c>
      <c r="G83" s="38" t="s">
        <v>2366</v>
      </c>
      <c r="H83" s="38">
        <v>1502683</v>
      </c>
      <c r="J83" s="38" t="s">
        <v>1596</v>
      </c>
      <c r="K83" s="38" t="s">
        <v>1595</v>
      </c>
      <c r="L83" s="38" t="s">
        <v>1398</v>
      </c>
      <c r="N83" s="38" t="s">
        <v>2076</v>
      </c>
      <c r="O83" s="38" t="s">
        <v>1593</v>
      </c>
      <c r="Q83" s="38" t="s">
        <v>1592</v>
      </c>
      <c r="R83" s="38" t="s">
        <v>2077</v>
      </c>
      <c r="T83" s="38" t="s">
        <v>2078</v>
      </c>
      <c r="V83" s="38" t="s">
        <v>2085</v>
      </c>
      <c r="X83" s="38" t="s">
        <v>2080</v>
      </c>
      <c r="Y83" s="38" t="s">
        <v>2081</v>
      </c>
      <c r="Z83" s="38">
        <v>338100789</v>
      </c>
      <c r="AA83" s="38" t="s">
        <v>1587</v>
      </c>
      <c r="AB83" s="38" t="s">
        <v>1587</v>
      </c>
      <c r="AC83" s="38" t="s">
        <v>1398</v>
      </c>
      <c r="AD83" s="38" t="s">
        <v>1608</v>
      </c>
      <c r="AE83" s="38" t="s">
        <v>1607</v>
      </c>
      <c r="AF83" s="38" t="s">
        <v>2104</v>
      </c>
      <c r="AI83" s="38">
        <v>44134</v>
      </c>
      <c r="AJ83" s="38">
        <v>10</v>
      </c>
      <c r="AK83" s="38">
        <v>1638.76</v>
      </c>
      <c r="BK83" s="38" t="s">
        <v>48</v>
      </c>
      <c r="BL83" s="38" t="s">
        <v>1584</v>
      </c>
      <c r="BM83" s="38" t="s">
        <v>1583</v>
      </c>
      <c r="BN83" s="38">
        <v>44260.614097048609</v>
      </c>
      <c r="BR83" s="38" t="s">
        <v>1582</v>
      </c>
      <c r="BS83" s="38">
        <v>4.0304202111990902E+18</v>
      </c>
      <c r="BT83" s="38" t="s">
        <v>1581</v>
      </c>
      <c r="BV83" s="38">
        <v>2020</v>
      </c>
      <c r="BW83" s="38" t="s">
        <v>1579</v>
      </c>
      <c r="BY83" s="38">
        <v>4.0304202112151501E+18</v>
      </c>
      <c r="BZ83" s="38" t="s">
        <v>2220</v>
      </c>
      <c r="CA83" s="38" t="s">
        <v>1577</v>
      </c>
    </row>
    <row r="84" spans="1:79" x14ac:dyDescent="0.2">
      <c r="A84" s="38" t="s">
        <v>1309</v>
      </c>
      <c r="B84" s="38" t="s">
        <v>604</v>
      </c>
      <c r="C84" s="38">
        <v>2020</v>
      </c>
      <c r="D84" s="38" t="s">
        <v>1612</v>
      </c>
      <c r="E84" s="38">
        <v>2.0210303943251802E+17</v>
      </c>
      <c r="F84" s="38" t="s">
        <v>1598</v>
      </c>
      <c r="G84" s="38" t="s">
        <v>2367</v>
      </c>
      <c r="H84" s="38">
        <v>1502683</v>
      </c>
      <c r="J84" s="38" t="s">
        <v>1596</v>
      </c>
      <c r="K84" s="38" t="s">
        <v>1595</v>
      </c>
      <c r="L84" s="38" t="s">
        <v>1493</v>
      </c>
      <c r="N84" s="38" t="s">
        <v>2076</v>
      </c>
      <c r="O84" s="38" t="s">
        <v>1593</v>
      </c>
      <c r="Q84" s="38" t="s">
        <v>1592</v>
      </c>
      <c r="R84" s="38" t="s">
        <v>2077</v>
      </c>
      <c r="T84" s="38" t="s">
        <v>2078</v>
      </c>
      <c r="V84" s="38" t="s">
        <v>2085</v>
      </c>
      <c r="X84" s="38" t="s">
        <v>2080</v>
      </c>
      <c r="Y84" s="38" t="s">
        <v>2081</v>
      </c>
      <c r="Z84" s="38">
        <v>338100789</v>
      </c>
      <c r="AA84" s="38" t="s">
        <v>1587</v>
      </c>
      <c r="AB84" s="38" t="s">
        <v>1587</v>
      </c>
      <c r="AC84" s="38" t="s">
        <v>1493</v>
      </c>
      <c r="AD84" s="38" t="s">
        <v>1608</v>
      </c>
      <c r="AE84" s="38" t="s">
        <v>1607</v>
      </c>
      <c r="AF84" s="38" t="s">
        <v>2193</v>
      </c>
      <c r="AI84" s="38">
        <v>44130</v>
      </c>
      <c r="AJ84" s="38">
        <v>10</v>
      </c>
      <c r="AK84" s="38">
        <v>1608.76</v>
      </c>
      <c r="BK84" s="38" t="s">
        <v>48</v>
      </c>
      <c r="BL84" s="38" t="s">
        <v>1584</v>
      </c>
      <c r="BM84" s="38" t="s">
        <v>1583</v>
      </c>
      <c r="BN84" s="38">
        <v>44260.615880104167</v>
      </c>
      <c r="BR84" s="38" t="s">
        <v>1582</v>
      </c>
      <c r="BS84" s="38">
        <v>4.0304202111990902E+18</v>
      </c>
      <c r="BT84" s="38" t="s">
        <v>1581</v>
      </c>
      <c r="BV84" s="38">
        <v>2020</v>
      </c>
      <c r="BW84" s="38" t="s">
        <v>1579</v>
      </c>
      <c r="BY84" s="38">
        <v>4.03042021121743E+18</v>
      </c>
      <c r="BZ84" s="38" t="s">
        <v>2221</v>
      </c>
      <c r="CA84" s="38" t="s">
        <v>1577</v>
      </c>
    </row>
    <row r="85" spans="1:79" x14ac:dyDescent="0.2">
      <c r="A85" s="38" t="s">
        <v>1309</v>
      </c>
      <c r="B85" s="38" t="s">
        <v>604</v>
      </c>
      <c r="C85" s="38">
        <v>2020</v>
      </c>
      <c r="D85" s="38" t="s">
        <v>1612</v>
      </c>
      <c r="E85" s="38">
        <v>2.0210303943386598E+17</v>
      </c>
      <c r="F85" s="38" t="s">
        <v>1598</v>
      </c>
      <c r="G85" s="38" t="s">
        <v>2368</v>
      </c>
      <c r="H85" s="38">
        <v>1502683</v>
      </c>
      <c r="J85" s="38" t="s">
        <v>1596</v>
      </c>
      <c r="K85" s="38" t="s">
        <v>1595</v>
      </c>
      <c r="L85" s="38" t="s">
        <v>1190</v>
      </c>
      <c r="N85" s="38" t="s">
        <v>2076</v>
      </c>
      <c r="O85" s="38" t="s">
        <v>1593</v>
      </c>
      <c r="Q85" s="38" t="s">
        <v>1592</v>
      </c>
      <c r="R85" s="38" t="s">
        <v>2077</v>
      </c>
      <c r="T85" s="38" t="s">
        <v>2078</v>
      </c>
      <c r="V85" s="38" t="s">
        <v>2085</v>
      </c>
      <c r="X85" s="38" t="s">
        <v>2080</v>
      </c>
      <c r="Y85" s="38" t="s">
        <v>2081</v>
      </c>
      <c r="Z85" s="38">
        <v>338100789</v>
      </c>
      <c r="AA85" s="38" t="s">
        <v>1587</v>
      </c>
      <c r="AB85" s="38" t="s">
        <v>1587</v>
      </c>
      <c r="AC85" s="38" t="s">
        <v>1190</v>
      </c>
      <c r="AD85" s="38" t="s">
        <v>1608</v>
      </c>
      <c r="AE85" s="38" t="s">
        <v>1607</v>
      </c>
      <c r="AF85" s="38" t="s">
        <v>2111</v>
      </c>
      <c r="AI85" s="38">
        <v>44139</v>
      </c>
      <c r="AJ85" s="38">
        <v>42</v>
      </c>
      <c r="AK85" s="38">
        <v>1680.76</v>
      </c>
      <c r="BK85" s="38" t="s">
        <v>48</v>
      </c>
      <c r="BL85" s="38" t="s">
        <v>1584</v>
      </c>
      <c r="BM85" s="38" t="s">
        <v>1583</v>
      </c>
      <c r="BN85" s="38">
        <v>44260.615772002318</v>
      </c>
      <c r="BR85" s="38" t="s">
        <v>1582</v>
      </c>
      <c r="BS85" s="38">
        <v>4.0304202111990902E+18</v>
      </c>
      <c r="BT85" s="38" t="s">
        <v>1581</v>
      </c>
      <c r="BV85" s="38">
        <v>2020</v>
      </c>
      <c r="BW85" s="38" t="s">
        <v>1579</v>
      </c>
      <c r="BY85" s="38">
        <v>4.0304202112186199E+18</v>
      </c>
      <c r="BZ85" s="38" t="s">
        <v>2222</v>
      </c>
      <c r="CA85" s="38" t="s">
        <v>1577</v>
      </c>
    </row>
    <row r="86" spans="1:79" x14ac:dyDescent="0.2">
      <c r="A86" s="38" t="s">
        <v>1309</v>
      </c>
      <c r="B86" s="38" t="s">
        <v>604</v>
      </c>
      <c r="C86" s="38">
        <v>2020</v>
      </c>
      <c r="D86" s="38" t="s">
        <v>1612</v>
      </c>
      <c r="E86" s="38">
        <v>2.0210303943225299E+17</v>
      </c>
      <c r="F86" s="38" t="s">
        <v>1598</v>
      </c>
      <c r="G86" s="38" t="s">
        <v>2369</v>
      </c>
      <c r="H86" s="38">
        <v>1502683</v>
      </c>
      <c r="J86" s="38" t="s">
        <v>1596</v>
      </c>
      <c r="K86" s="38" t="s">
        <v>1595</v>
      </c>
      <c r="L86" s="38" t="s">
        <v>1467</v>
      </c>
      <c r="N86" s="38" t="s">
        <v>2076</v>
      </c>
      <c r="O86" s="38" t="s">
        <v>1593</v>
      </c>
      <c r="Q86" s="38" t="s">
        <v>1592</v>
      </c>
      <c r="R86" s="38" t="s">
        <v>2077</v>
      </c>
      <c r="T86" s="38" t="s">
        <v>2078</v>
      </c>
      <c r="V86" s="38" t="s">
        <v>2085</v>
      </c>
      <c r="X86" s="38" t="s">
        <v>2080</v>
      </c>
      <c r="Y86" s="38" t="s">
        <v>2081</v>
      </c>
      <c r="Z86" s="38">
        <v>338100789</v>
      </c>
      <c r="AA86" s="38" t="s">
        <v>1587</v>
      </c>
      <c r="AB86" s="38" t="s">
        <v>1587</v>
      </c>
      <c r="AC86" s="38" t="s">
        <v>1467</v>
      </c>
      <c r="AD86" s="38" t="s">
        <v>1608</v>
      </c>
      <c r="AE86" s="38" t="s">
        <v>1607</v>
      </c>
      <c r="AF86" s="38" t="s">
        <v>2171</v>
      </c>
      <c r="AI86" s="38">
        <v>44127</v>
      </c>
      <c r="AJ86" s="38">
        <v>15</v>
      </c>
      <c r="AK86" s="38">
        <v>1578.76</v>
      </c>
      <c r="BK86" s="38" t="s">
        <v>48</v>
      </c>
      <c r="BL86" s="38" t="s">
        <v>1584</v>
      </c>
      <c r="BM86" s="38" t="s">
        <v>1583</v>
      </c>
      <c r="BN86" s="38">
        <v>44260.614350069445</v>
      </c>
      <c r="BR86" s="38" t="s">
        <v>1582</v>
      </c>
      <c r="BS86" s="38">
        <v>4.0304202111990902E+18</v>
      </c>
      <c r="BT86" s="38" t="s">
        <v>1581</v>
      </c>
      <c r="BV86" s="38">
        <v>2020</v>
      </c>
      <c r="BW86" s="38" t="s">
        <v>1579</v>
      </c>
      <c r="BY86" s="38">
        <v>4.0304202112139203E+18</v>
      </c>
      <c r="BZ86" s="38" t="s">
        <v>2223</v>
      </c>
      <c r="CA86" s="38" t="s">
        <v>1577</v>
      </c>
    </row>
    <row r="87" spans="1:79" x14ac:dyDescent="0.2">
      <c r="A87" s="38" t="s">
        <v>1309</v>
      </c>
      <c r="B87" s="38" t="s">
        <v>604</v>
      </c>
      <c r="C87" s="38">
        <v>2020</v>
      </c>
      <c r="D87" s="38" t="s">
        <v>1612</v>
      </c>
      <c r="E87" s="38">
        <v>2.0210303943254701E+17</v>
      </c>
      <c r="F87" s="38" t="s">
        <v>1598</v>
      </c>
      <c r="G87" s="38" t="s">
        <v>2370</v>
      </c>
      <c r="H87" s="38">
        <v>1502683</v>
      </c>
      <c r="J87" s="38" t="s">
        <v>1596</v>
      </c>
      <c r="K87" s="38" t="s">
        <v>1595</v>
      </c>
      <c r="L87" s="38" t="s">
        <v>2115</v>
      </c>
      <c r="N87" s="38" t="s">
        <v>2076</v>
      </c>
      <c r="O87" s="38" t="s">
        <v>1593</v>
      </c>
      <c r="Q87" s="38" t="s">
        <v>1592</v>
      </c>
      <c r="R87" s="38" t="s">
        <v>2077</v>
      </c>
      <c r="T87" s="38" t="s">
        <v>2078</v>
      </c>
      <c r="V87" s="38" t="s">
        <v>2085</v>
      </c>
      <c r="X87" s="38" t="s">
        <v>2080</v>
      </c>
      <c r="Y87" s="38" t="s">
        <v>2081</v>
      </c>
      <c r="Z87" s="38">
        <v>338100789</v>
      </c>
      <c r="AA87" s="38" t="s">
        <v>1587</v>
      </c>
      <c r="AB87" s="38" t="s">
        <v>1587</v>
      </c>
      <c r="AC87" s="38" t="s">
        <v>2115</v>
      </c>
      <c r="AD87" s="38" t="s">
        <v>1608</v>
      </c>
      <c r="AE87" s="38" t="s">
        <v>1607</v>
      </c>
      <c r="AF87" s="38" t="s">
        <v>2116</v>
      </c>
      <c r="AI87" s="38">
        <v>44130</v>
      </c>
      <c r="AJ87" s="38">
        <v>10</v>
      </c>
      <c r="AK87" s="38">
        <v>1608.76</v>
      </c>
      <c r="BK87" s="38" t="s">
        <v>48</v>
      </c>
      <c r="BL87" s="38" t="s">
        <v>1584</v>
      </c>
      <c r="BM87" s="38" t="s">
        <v>1583</v>
      </c>
      <c r="BN87" s="38">
        <v>44260.616160104168</v>
      </c>
      <c r="BR87" s="38" t="s">
        <v>1582</v>
      </c>
      <c r="BS87" s="38">
        <v>4.0304202111990902E+18</v>
      </c>
      <c r="BT87" s="38" t="s">
        <v>1581</v>
      </c>
      <c r="BV87" s="38">
        <v>2020</v>
      </c>
      <c r="BW87" s="38" t="s">
        <v>1579</v>
      </c>
      <c r="BY87" s="38">
        <v>4.0304202112174397E+18</v>
      </c>
      <c r="BZ87" s="38" t="s">
        <v>2224</v>
      </c>
      <c r="CA87" s="38" t="s">
        <v>1577</v>
      </c>
    </row>
    <row r="88" spans="1:79" x14ac:dyDescent="0.2">
      <c r="A88" s="38" t="s">
        <v>1309</v>
      </c>
      <c r="B88" s="38" t="s">
        <v>604</v>
      </c>
      <c r="C88" s="38">
        <v>2020</v>
      </c>
      <c r="D88" s="38" t="s">
        <v>1612</v>
      </c>
      <c r="E88" s="38">
        <v>2.02103039434808E+17</v>
      </c>
      <c r="F88" s="38" t="s">
        <v>1598</v>
      </c>
      <c r="G88" s="38" t="s">
        <v>2371</v>
      </c>
      <c r="H88" s="38">
        <v>1502683</v>
      </c>
      <c r="J88" s="38" t="s">
        <v>1596</v>
      </c>
      <c r="K88" s="38" t="s">
        <v>1595</v>
      </c>
      <c r="L88" s="38" t="s">
        <v>936</v>
      </c>
      <c r="N88" s="38" t="s">
        <v>2076</v>
      </c>
      <c r="O88" s="38" t="s">
        <v>1593</v>
      </c>
      <c r="Q88" s="38" t="s">
        <v>1592</v>
      </c>
      <c r="R88" s="38" t="s">
        <v>2077</v>
      </c>
      <c r="T88" s="38" t="s">
        <v>2078</v>
      </c>
      <c r="V88" s="38" t="s">
        <v>2085</v>
      </c>
      <c r="X88" s="38" t="s">
        <v>2080</v>
      </c>
      <c r="Y88" s="38" t="s">
        <v>2081</v>
      </c>
      <c r="Z88" s="38">
        <v>338100789</v>
      </c>
      <c r="AA88" s="38" t="s">
        <v>1587</v>
      </c>
      <c r="AB88" s="38" t="s">
        <v>1587</v>
      </c>
      <c r="AC88" s="38" t="s">
        <v>936</v>
      </c>
      <c r="AD88" s="38" t="s">
        <v>1608</v>
      </c>
      <c r="AE88" s="38" t="s">
        <v>1607</v>
      </c>
      <c r="AF88" s="38" t="s">
        <v>2225</v>
      </c>
      <c r="AI88" s="38">
        <v>44147</v>
      </c>
      <c r="AJ88" s="38">
        <v>35</v>
      </c>
      <c r="AK88" s="38">
        <v>1725.76</v>
      </c>
      <c r="BK88" s="38" t="s">
        <v>48</v>
      </c>
      <c r="BL88" s="38" t="s">
        <v>1584</v>
      </c>
      <c r="BM88" s="38" t="s">
        <v>1583</v>
      </c>
      <c r="BN88" s="38">
        <v>44260.619684166668</v>
      </c>
      <c r="BR88" s="38" t="s">
        <v>1582</v>
      </c>
      <c r="BS88" s="38">
        <v>4.0304202111990902E+18</v>
      </c>
      <c r="BT88" s="38" t="s">
        <v>1581</v>
      </c>
      <c r="BV88" s="38">
        <v>2020</v>
      </c>
      <c r="BW88" s="38" t="s">
        <v>1579</v>
      </c>
      <c r="BY88" s="38">
        <v>4.0304202112231501E+18</v>
      </c>
      <c r="BZ88" s="38" t="s">
        <v>2226</v>
      </c>
      <c r="CA88" s="38" t="s">
        <v>1577</v>
      </c>
    </row>
    <row r="89" spans="1:79" x14ac:dyDescent="0.2">
      <c r="A89" s="38" t="s">
        <v>1309</v>
      </c>
      <c r="B89" s="38" t="s">
        <v>604</v>
      </c>
      <c r="C89" s="38">
        <v>2020</v>
      </c>
      <c r="D89" s="38" t="s">
        <v>1612</v>
      </c>
      <c r="E89" s="38">
        <v>2.0210303943460998E+17</v>
      </c>
      <c r="F89" s="38" t="s">
        <v>1598</v>
      </c>
      <c r="G89" s="38" t="s">
        <v>2372</v>
      </c>
      <c r="H89" s="38">
        <v>1502683</v>
      </c>
      <c r="J89" s="38" t="s">
        <v>1596</v>
      </c>
      <c r="K89" s="38" t="s">
        <v>1595</v>
      </c>
      <c r="L89" s="38" t="s">
        <v>2227</v>
      </c>
      <c r="N89" s="38" t="s">
        <v>2076</v>
      </c>
      <c r="O89" s="38" t="s">
        <v>1593</v>
      </c>
      <c r="Q89" s="38" t="s">
        <v>1592</v>
      </c>
      <c r="R89" s="38" t="s">
        <v>2077</v>
      </c>
      <c r="T89" s="38" t="s">
        <v>2078</v>
      </c>
      <c r="V89" s="38" t="s">
        <v>2085</v>
      </c>
      <c r="X89" s="38" t="s">
        <v>2080</v>
      </c>
      <c r="Y89" s="38" t="s">
        <v>2081</v>
      </c>
      <c r="Z89" s="38">
        <v>338100789</v>
      </c>
      <c r="AA89" s="38" t="s">
        <v>1587</v>
      </c>
      <c r="AB89" s="38" t="s">
        <v>1587</v>
      </c>
      <c r="AC89" s="38" t="s">
        <v>2227</v>
      </c>
      <c r="AD89" s="38" t="s">
        <v>1608</v>
      </c>
      <c r="AE89" s="38" t="s">
        <v>1607</v>
      </c>
      <c r="AF89" s="38" t="s">
        <v>2228</v>
      </c>
      <c r="AI89" s="38">
        <v>44145</v>
      </c>
      <c r="AJ89" s="38">
        <v>10</v>
      </c>
      <c r="AK89" s="38">
        <v>1690.76</v>
      </c>
      <c r="BK89" s="38" t="s">
        <v>48</v>
      </c>
      <c r="BL89" s="38" t="s">
        <v>1584</v>
      </c>
      <c r="BM89" s="38" t="s">
        <v>1583</v>
      </c>
      <c r="BN89" s="38">
        <v>44260.619570405092</v>
      </c>
      <c r="BR89" s="38" t="s">
        <v>1582</v>
      </c>
      <c r="BS89" s="38">
        <v>4.0304202111990902E+18</v>
      </c>
      <c r="BT89" s="38" t="s">
        <v>1581</v>
      </c>
      <c r="BV89" s="38">
        <v>2020</v>
      </c>
      <c r="BW89" s="38" t="s">
        <v>1579</v>
      </c>
      <c r="BY89" s="38">
        <v>4.0304202112207498E+18</v>
      </c>
      <c r="BZ89" s="38" t="s">
        <v>2229</v>
      </c>
      <c r="CA89" s="38" t="s">
        <v>1577</v>
      </c>
    </row>
    <row r="90" spans="1:79" x14ac:dyDescent="0.2">
      <c r="A90" s="38" t="s">
        <v>1309</v>
      </c>
      <c r="B90" s="38" t="s">
        <v>604</v>
      </c>
      <c r="C90" s="38">
        <v>2020</v>
      </c>
      <c r="D90" s="38" t="s">
        <v>1612</v>
      </c>
      <c r="E90" s="38">
        <v>2.0210303943246899E+17</v>
      </c>
      <c r="F90" s="38" t="s">
        <v>1598</v>
      </c>
      <c r="G90" s="38" t="s">
        <v>2373</v>
      </c>
      <c r="H90" s="38">
        <v>1502683</v>
      </c>
      <c r="J90" s="38" t="s">
        <v>1596</v>
      </c>
      <c r="K90" s="38" t="s">
        <v>1595</v>
      </c>
      <c r="L90" s="38" t="s">
        <v>1271</v>
      </c>
      <c r="N90" s="38" t="s">
        <v>2076</v>
      </c>
      <c r="O90" s="38" t="s">
        <v>1593</v>
      </c>
      <c r="Q90" s="38" t="s">
        <v>1592</v>
      </c>
      <c r="R90" s="38" t="s">
        <v>2077</v>
      </c>
      <c r="T90" s="38" t="s">
        <v>2078</v>
      </c>
      <c r="V90" s="38" t="s">
        <v>2085</v>
      </c>
      <c r="X90" s="38" t="s">
        <v>2080</v>
      </c>
      <c r="Y90" s="38" t="s">
        <v>2081</v>
      </c>
      <c r="Z90" s="38">
        <v>338100789</v>
      </c>
      <c r="AA90" s="38" t="s">
        <v>1587</v>
      </c>
      <c r="AB90" s="38" t="s">
        <v>1587</v>
      </c>
      <c r="AC90" s="38" t="s">
        <v>1271</v>
      </c>
      <c r="AD90" s="38" t="s">
        <v>1608</v>
      </c>
      <c r="AE90" s="38" t="s">
        <v>1607</v>
      </c>
      <c r="AF90" s="38" t="s">
        <v>2230</v>
      </c>
      <c r="AI90" s="38">
        <v>44129</v>
      </c>
      <c r="AJ90" s="38">
        <v>10</v>
      </c>
      <c r="AK90" s="38">
        <v>1588.76</v>
      </c>
      <c r="BK90" s="38" t="s">
        <v>48</v>
      </c>
      <c r="BL90" s="38" t="s">
        <v>1584</v>
      </c>
      <c r="BM90" s="38" t="s">
        <v>1583</v>
      </c>
      <c r="BN90" s="38">
        <v>44260.620453946758</v>
      </c>
      <c r="BR90" s="38" t="s">
        <v>1582</v>
      </c>
      <c r="BS90" s="38">
        <v>4.0304202111990902E+18</v>
      </c>
      <c r="BT90" s="38" t="s">
        <v>1581</v>
      </c>
      <c r="BV90" s="38">
        <v>2020</v>
      </c>
      <c r="BW90" s="38" t="s">
        <v>1579</v>
      </c>
      <c r="BY90" s="38">
        <v>4.0304202112247501E+18</v>
      </c>
      <c r="BZ90" s="38" t="s">
        <v>2231</v>
      </c>
      <c r="CA90" s="38" t="s">
        <v>1577</v>
      </c>
    </row>
    <row r="91" spans="1:79" x14ac:dyDescent="0.2">
      <c r="A91" s="38" t="s">
        <v>1309</v>
      </c>
      <c r="B91" s="38" t="s">
        <v>604</v>
      </c>
      <c r="C91" s="38">
        <v>2020</v>
      </c>
      <c r="D91" s="38" t="s">
        <v>1612</v>
      </c>
      <c r="E91" s="38">
        <v>2.0210303943521501E+17</v>
      </c>
      <c r="F91" s="38" t="s">
        <v>1598</v>
      </c>
      <c r="G91" s="38" t="s">
        <v>2374</v>
      </c>
      <c r="H91" s="38">
        <v>1502683</v>
      </c>
      <c r="J91" s="38" t="s">
        <v>1596</v>
      </c>
      <c r="K91" s="38" t="s">
        <v>1595</v>
      </c>
      <c r="L91" s="38" t="s">
        <v>883</v>
      </c>
      <c r="N91" s="38" t="s">
        <v>2076</v>
      </c>
      <c r="O91" s="38" t="s">
        <v>1593</v>
      </c>
      <c r="Q91" s="38" t="s">
        <v>1592</v>
      </c>
      <c r="R91" s="38" t="s">
        <v>2077</v>
      </c>
      <c r="T91" s="38" t="s">
        <v>2078</v>
      </c>
      <c r="V91" s="38" t="s">
        <v>2085</v>
      </c>
      <c r="X91" s="38" t="s">
        <v>2080</v>
      </c>
      <c r="Y91" s="38" t="s">
        <v>2081</v>
      </c>
      <c r="Z91" s="38">
        <v>338100789</v>
      </c>
      <c r="AA91" s="38" t="s">
        <v>1587</v>
      </c>
      <c r="AB91" s="38" t="s">
        <v>1587</v>
      </c>
      <c r="AC91" s="38" t="s">
        <v>883</v>
      </c>
      <c r="AD91" s="38" t="s">
        <v>1608</v>
      </c>
      <c r="AE91" s="38" t="s">
        <v>1607</v>
      </c>
      <c r="AF91" s="38" t="s">
        <v>2232</v>
      </c>
      <c r="AI91" s="38">
        <v>44153</v>
      </c>
      <c r="AJ91" s="38">
        <v>15</v>
      </c>
      <c r="AK91" s="38">
        <v>1740.76</v>
      </c>
      <c r="BK91" s="38" t="s">
        <v>48</v>
      </c>
      <c r="BL91" s="38" t="s">
        <v>1584</v>
      </c>
      <c r="BM91" s="38" t="s">
        <v>1583</v>
      </c>
      <c r="BN91" s="38">
        <v>44260.629649085648</v>
      </c>
      <c r="BR91" s="38" t="s">
        <v>1582</v>
      </c>
      <c r="BS91" s="38">
        <v>4.0304202111990902E+18</v>
      </c>
      <c r="BT91" s="38" t="s">
        <v>1581</v>
      </c>
      <c r="BV91" s="38">
        <v>2020</v>
      </c>
      <c r="BW91" s="38" t="s">
        <v>1579</v>
      </c>
      <c r="BY91" s="38">
        <v>4.0304202112153001E+18</v>
      </c>
      <c r="BZ91" s="38" t="s">
        <v>2233</v>
      </c>
      <c r="CA91" s="38" t="s">
        <v>1577</v>
      </c>
    </row>
    <row r="92" spans="1:79" x14ac:dyDescent="0.2">
      <c r="A92" s="38" t="s">
        <v>1309</v>
      </c>
      <c r="B92" s="38" t="s">
        <v>604</v>
      </c>
      <c r="C92" s="38">
        <v>2020</v>
      </c>
      <c r="D92" s="38" t="s">
        <v>1612</v>
      </c>
      <c r="E92" s="38">
        <v>2.0210303943224701E+17</v>
      </c>
      <c r="F92" s="38" t="s">
        <v>1598</v>
      </c>
      <c r="G92" s="38" t="s">
        <v>2375</v>
      </c>
      <c r="H92" s="38">
        <v>1502683</v>
      </c>
      <c r="J92" s="38" t="s">
        <v>1596</v>
      </c>
      <c r="K92" s="38" t="s">
        <v>1595</v>
      </c>
      <c r="L92" s="38" t="s">
        <v>1049</v>
      </c>
      <c r="N92" s="38" t="s">
        <v>2076</v>
      </c>
      <c r="O92" s="38" t="s">
        <v>1593</v>
      </c>
      <c r="Q92" s="38" t="s">
        <v>1592</v>
      </c>
      <c r="R92" s="38" t="s">
        <v>2077</v>
      </c>
      <c r="T92" s="38" t="s">
        <v>2078</v>
      </c>
      <c r="V92" s="38" t="s">
        <v>2085</v>
      </c>
      <c r="X92" s="38" t="s">
        <v>2080</v>
      </c>
      <c r="Y92" s="38" t="s">
        <v>2081</v>
      </c>
      <c r="Z92" s="38">
        <v>338100789</v>
      </c>
      <c r="AA92" s="38" t="s">
        <v>1587</v>
      </c>
      <c r="AB92" s="38" t="s">
        <v>1587</v>
      </c>
      <c r="AC92" s="38" t="s">
        <v>1049</v>
      </c>
      <c r="AD92" s="38" t="s">
        <v>1608</v>
      </c>
      <c r="AE92" s="38" t="s">
        <v>1607</v>
      </c>
      <c r="AF92" s="38" t="s">
        <v>2098</v>
      </c>
      <c r="AI92" s="38">
        <v>44127</v>
      </c>
      <c r="AJ92" s="38">
        <v>10</v>
      </c>
      <c r="AK92" s="38">
        <v>1578.76</v>
      </c>
      <c r="BK92" s="38" t="s">
        <v>48</v>
      </c>
      <c r="BL92" s="38" t="s">
        <v>1584</v>
      </c>
      <c r="BM92" s="38" t="s">
        <v>1583</v>
      </c>
      <c r="BN92" s="38">
        <v>44260.630733761573</v>
      </c>
      <c r="BR92" s="38" t="s">
        <v>1582</v>
      </c>
      <c r="BS92" s="38">
        <v>4.0304202111990902E+18</v>
      </c>
      <c r="BT92" s="38" t="s">
        <v>1581</v>
      </c>
      <c r="BV92" s="38">
        <v>2020</v>
      </c>
      <c r="BW92" s="38" t="s">
        <v>1579</v>
      </c>
      <c r="BY92" s="38">
        <v>4.0304202112135301E+18</v>
      </c>
      <c r="BZ92" s="38" t="s">
        <v>2234</v>
      </c>
      <c r="CA92" s="38" t="s">
        <v>1577</v>
      </c>
    </row>
    <row r="93" spans="1:79" x14ac:dyDescent="0.2">
      <c r="A93" s="38" t="s">
        <v>1309</v>
      </c>
      <c r="B93" s="38" t="s">
        <v>604</v>
      </c>
      <c r="C93" s="38">
        <v>2020</v>
      </c>
      <c r="D93" s="38" t="s">
        <v>1612</v>
      </c>
      <c r="E93" s="38">
        <v>2.0210303943143699E+17</v>
      </c>
      <c r="F93" s="38" t="s">
        <v>1598</v>
      </c>
      <c r="G93" s="38" t="s">
        <v>2376</v>
      </c>
      <c r="H93" s="38">
        <v>1502683</v>
      </c>
      <c r="J93" s="38" t="s">
        <v>1596</v>
      </c>
      <c r="K93" s="38" t="s">
        <v>1595</v>
      </c>
      <c r="L93" s="38" t="s">
        <v>1467</v>
      </c>
      <c r="N93" s="38" t="s">
        <v>2076</v>
      </c>
      <c r="O93" s="38" t="s">
        <v>1593</v>
      </c>
      <c r="Q93" s="38" t="s">
        <v>1592</v>
      </c>
      <c r="R93" s="38" t="s">
        <v>2077</v>
      </c>
      <c r="T93" s="38" t="s">
        <v>2078</v>
      </c>
      <c r="V93" s="38" t="s">
        <v>2085</v>
      </c>
      <c r="X93" s="38" t="s">
        <v>2080</v>
      </c>
      <c r="Y93" s="38" t="s">
        <v>2081</v>
      </c>
      <c r="Z93" s="38">
        <v>338100789</v>
      </c>
      <c r="AA93" s="38" t="s">
        <v>1587</v>
      </c>
      <c r="AB93" s="38" t="s">
        <v>1587</v>
      </c>
      <c r="AC93" s="38" t="s">
        <v>1467</v>
      </c>
      <c r="AD93" s="38" t="s">
        <v>1608</v>
      </c>
      <c r="AE93" s="38" t="s">
        <v>1607</v>
      </c>
      <c r="AF93" s="38" t="s">
        <v>2171</v>
      </c>
      <c r="AI93" s="38">
        <v>44119</v>
      </c>
      <c r="AJ93" s="38">
        <v>15</v>
      </c>
      <c r="AK93" s="38">
        <v>1518.76</v>
      </c>
      <c r="BK93" s="38" t="s">
        <v>48</v>
      </c>
      <c r="BL93" s="38" t="s">
        <v>1584</v>
      </c>
      <c r="BM93" s="38" t="s">
        <v>1583</v>
      </c>
      <c r="BN93" s="38">
        <v>44260.641127986113</v>
      </c>
      <c r="BR93" s="38" t="s">
        <v>1582</v>
      </c>
      <c r="BS93" s="38">
        <v>4.0304202111990902E+18</v>
      </c>
      <c r="BT93" s="38" t="s">
        <v>1581</v>
      </c>
      <c r="BV93" s="38">
        <v>2020</v>
      </c>
      <c r="BW93" s="38" t="s">
        <v>1579</v>
      </c>
      <c r="BY93" s="38">
        <v>4.03042021122142E+18</v>
      </c>
      <c r="BZ93" s="38" t="s">
        <v>2235</v>
      </c>
      <c r="CA93" s="38" t="s">
        <v>1577</v>
      </c>
    </row>
    <row r="94" spans="1:79" x14ac:dyDescent="0.2">
      <c r="A94" s="38" t="s">
        <v>1309</v>
      </c>
      <c r="B94" s="38" t="s">
        <v>604</v>
      </c>
      <c r="C94" s="38">
        <v>2020</v>
      </c>
      <c r="D94" s="38" t="s">
        <v>1835</v>
      </c>
      <c r="E94" s="38">
        <v>2.0210114940079501E+17</v>
      </c>
      <c r="F94" s="38" t="s">
        <v>1598</v>
      </c>
      <c r="G94" s="38" t="s">
        <v>2377</v>
      </c>
      <c r="H94" s="38">
        <v>1487725</v>
      </c>
      <c r="J94" s="38" t="s">
        <v>1596</v>
      </c>
      <c r="K94" s="38" t="s">
        <v>1595</v>
      </c>
      <c r="L94" s="38" t="s">
        <v>1190</v>
      </c>
      <c r="N94" s="38" t="s">
        <v>2076</v>
      </c>
      <c r="O94" s="38" t="s">
        <v>1593</v>
      </c>
      <c r="Q94" s="38" t="s">
        <v>1592</v>
      </c>
      <c r="R94" s="38" t="s">
        <v>2077</v>
      </c>
      <c r="T94" s="38" t="s">
        <v>2078</v>
      </c>
      <c r="V94" s="38" t="s">
        <v>2085</v>
      </c>
      <c r="X94" s="38" t="s">
        <v>2080</v>
      </c>
      <c r="Y94" s="38" t="s">
        <v>2081</v>
      </c>
      <c r="Z94" s="38">
        <v>338100789</v>
      </c>
      <c r="AA94" s="38" t="s">
        <v>1587</v>
      </c>
      <c r="AB94" s="38" t="s">
        <v>1587</v>
      </c>
      <c r="AC94" s="38" t="s">
        <v>1190</v>
      </c>
      <c r="AD94" s="38" t="s">
        <v>1608</v>
      </c>
      <c r="AE94" s="38" t="s">
        <v>1607</v>
      </c>
      <c r="AF94" s="38" t="s">
        <v>2111</v>
      </c>
      <c r="AI94" s="38">
        <v>43965</v>
      </c>
      <c r="AJ94" s="38">
        <v>42</v>
      </c>
      <c r="AK94" s="38">
        <v>409</v>
      </c>
      <c r="BK94" s="38" t="s">
        <v>48</v>
      </c>
      <c r="BL94" s="38" t="s">
        <v>1584</v>
      </c>
      <c r="BM94" s="38" t="s">
        <v>1583</v>
      </c>
      <c r="BN94" s="38">
        <v>44245.370929525459</v>
      </c>
      <c r="BR94" s="38" t="s">
        <v>1582</v>
      </c>
      <c r="BS94" s="38">
        <v>4.0120202120938301E+18</v>
      </c>
      <c r="BT94" s="38" t="s">
        <v>1581</v>
      </c>
      <c r="BV94" s="38">
        <v>2020</v>
      </c>
      <c r="BW94" s="38" t="s">
        <v>1579</v>
      </c>
      <c r="BY94" s="38">
        <v>4.0217202111556398E+18</v>
      </c>
      <c r="BZ94" s="38" t="s">
        <v>2236</v>
      </c>
      <c r="CA94" s="38" t="s">
        <v>1577</v>
      </c>
    </row>
    <row r="95" spans="1:79" x14ac:dyDescent="0.2">
      <c r="A95" s="38" t="s">
        <v>1309</v>
      </c>
      <c r="B95" s="38" t="s">
        <v>604</v>
      </c>
      <c r="C95" s="38">
        <v>2020</v>
      </c>
      <c r="D95" s="38" t="s">
        <v>1835</v>
      </c>
      <c r="E95" s="38">
        <v>2.0210114940039101E+17</v>
      </c>
      <c r="F95" s="38" t="s">
        <v>1598</v>
      </c>
      <c r="G95" s="38" t="s">
        <v>2378</v>
      </c>
      <c r="H95" s="38">
        <v>1487725</v>
      </c>
      <c r="J95" s="38" t="s">
        <v>1596</v>
      </c>
      <c r="K95" s="38" t="s">
        <v>1595</v>
      </c>
      <c r="L95" s="38" t="s">
        <v>1190</v>
      </c>
      <c r="N95" s="38" t="s">
        <v>2076</v>
      </c>
      <c r="O95" s="38" t="s">
        <v>1593</v>
      </c>
      <c r="Q95" s="38" t="s">
        <v>1592</v>
      </c>
      <c r="R95" s="38" t="s">
        <v>2077</v>
      </c>
      <c r="T95" s="38" t="s">
        <v>2078</v>
      </c>
      <c r="V95" s="38" t="s">
        <v>2085</v>
      </c>
      <c r="X95" s="38" t="s">
        <v>2080</v>
      </c>
      <c r="Y95" s="38" t="s">
        <v>2081</v>
      </c>
      <c r="Z95" s="38">
        <v>338100789</v>
      </c>
      <c r="AA95" s="38" t="s">
        <v>1587</v>
      </c>
      <c r="AB95" s="38" t="s">
        <v>1587</v>
      </c>
      <c r="AC95" s="38" t="s">
        <v>1190</v>
      </c>
      <c r="AD95" s="38" t="s">
        <v>1608</v>
      </c>
      <c r="AE95" s="38" t="s">
        <v>1607</v>
      </c>
      <c r="AF95" s="38" t="s">
        <v>2111</v>
      </c>
      <c r="AI95" s="38">
        <v>43948</v>
      </c>
      <c r="AJ95" s="38">
        <v>42</v>
      </c>
      <c r="AK95" s="38">
        <v>290</v>
      </c>
      <c r="BK95" s="38" t="s">
        <v>48</v>
      </c>
      <c r="BL95" s="38" t="s">
        <v>1584</v>
      </c>
      <c r="BM95" s="38" t="s">
        <v>1583</v>
      </c>
      <c r="BN95" s="38">
        <v>44245.374146574075</v>
      </c>
      <c r="BR95" s="38" t="s">
        <v>1582</v>
      </c>
      <c r="BS95" s="38">
        <v>4.0120202120938301E+18</v>
      </c>
      <c r="BT95" s="38" t="s">
        <v>1581</v>
      </c>
      <c r="BV95" s="38">
        <v>2020</v>
      </c>
      <c r="BW95" s="38" t="s">
        <v>1579</v>
      </c>
      <c r="BY95" s="38">
        <v>4.0217202111504102E+18</v>
      </c>
      <c r="BZ95" s="38" t="s">
        <v>2237</v>
      </c>
      <c r="CA95" s="38" t="s">
        <v>1577</v>
      </c>
    </row>
    <row r="96" spans="1:79" x14ac:dyDescent="0.2">
      <c r="A96" s="38" t="s">
        <v>1309</v>
      </c>
      <c r="B96" s="38" t="s">
        <v>604</v>
      </c>
      <c r="C96" s="38">
        <v>2020</v>
      </c>
      <c r="D96" s="38" t="s">
        <v>1659</v>
      </c>
      <c r="E96" s="38">
        <v>2.0210125940739101E+17</v>
      </c>
      <c r="F96" s="38" t="s">
        <v>1598</v>
      </c>
      <c r="G96" s="38" t="s">
        <v>2379</v>
      </c>
      <c r="H96" s="38">
        <v>1490496</v>
      </c>
      <c r="J96" s="38" t="s">
        <v>1596</v>
      </c>
      <c r="K96" s="38" t="s">
        <v>1595</v>
      </c>
      <c r="L96" s="38" t="s">
        <v>1541</v>
      </c>
      <c r="N96" s="38" t="s">
        <v>2076</v>
      </c>
      <c r="O96" s="38" t="s">
        <v>1593</v>
      </c>
      <c r="Q96" s="38" t="s">
        <v>1592</v>
      </c>
      <c r="R96" s="38" t="s">
        <v>2077</v>
      </c>
      <c r="T96" s="38" t="s">
        <v>2078</v>
      </c>
      <c r="V96" s="38" t="s">
        <v>2085</v>
      </c>
      <c r="X96" s="38" t="s">
        <v>2080</v>
      </c>
      <c r="Y96" s="38" t="s">
        <v>2081</v>
      </c>
      <c r="Z96" s="38">
        <v>338100789</v>
      </c>
      <c r="AA96" s="38" t="s">
        <v>1587</v>
      </c>
      <c r="AB96" s="38" t="s">
        <v>1587</v>
      </c>
      <c r="AC96" s="38" t="s">
        <v>1541</v>
      </c>
      <c r="AD96" s="38" t="s">
        <v>1608</v>
      </c>
      <c r="AE96" s="38" t="s">
        <v>1607</v>
      </c>
      <c r="AF96" s="38" t="s">
        <v>2132</v>
      </c>
      <c r="AI96" s="38">
        <v>44069</v>
      </c>
      <c r="AJ96" s="38">
        <v>25</v>
      </c>
      <c r="AK96" s="38">
        <v>995.76</v>
      </c>
      <c r="BK96" s="38" t="s">
        <v>48</v>
      </c>
      <c r="BL96" s="38" t="s">
        <v>1584</v>
      </c>
      <c r="BM96" s="38" t="s">
        <v>1583</v>
      </c>
      <c r="BN96" s="38">
        <v>44252.608122812497</v>
      </c>
      <c r="BR96" s="38" t="s">
        <v>1582</v>
      </c>
      <c r="BS96" s="38">
        <v>4.0125202121377597E+18</v>
      </c>
      <c r="BT96" s="38" t="s">
        <v>1581</v>
      </c>
      <c r="BV96" s="38">
        <v>2020</v>
      </c>
      <c r="BW96" s="38" t="s">
        <v>1579</v>
      </c>
      <c r="BY96" s="38">
        <v>4.0224202111843E+18</v>
      </c>
      <c r="BZ96" s="38" t="s">
        <v>2238</v>
      </c>
      <c r="CA96" s="38" t="s">
        <v>1577</v>
      </c>
    </row>
    <row r="97" spans="1:79" x14ac:dyDescent="0.2">
      <c r="A97" s="38" t="s">
        <v>860</v>
      </c>
      <c r="B97" s="38" t="s">
        <v>155</v>
      </c>
      <c r="C97" s="38">
        <v>2020</v>
      </c>
      <c r="D97" s="38" t="s">
        <v>1612</v>
      </c>
      <c r="E97" s="38">
        <v>2.02106249450452E+17</v>
      </c>
      <c r="F97" s="38">
        <v>12</v>
      </c>
      <c r="G97" s="38" t="s">
        <v>2380</v>
      </c>
      <c r="H97" s="38">
        <v>1521551</v>
      </c>
      <c r="J97" s="38" t="s">
        <v>1596</v>
      </c>
      <c r="K97" s="38" t="s">
        <v>1595</v>
      </c>
      <c r="N97" s="38" t="s">
        <v>2076</v>
      </c>
      <c r="O97" s="38" t="s">
        <v>24</v>
      </c>
      <c r="Q97" s="38" t="s">
        <v>1592</v>
      </c>
      <c r="R97" s="38" t="s">
        <v>2077</v>
      </c>
      <c r="T97" s="38" t="s">
        <v>2078</v>
      </c>
      <c r="V97" s="38" t="s">
        <v>2085</v>
      </c>
      <c r="X97" s="38" t="s">
        <v>2080</v>
      </c>
      <c r="Y97" s="38" t="s">
        <v>2081</v>
      </c>
      <c r="Z97" s="38">
        <v>338100789</v>
      </c>
      <c r="AA97" s="38" t="s">
        <v>1587</v>
      </c>
      <c r="AB97" s="38" t="s">
        <v>1587</v>
      </c>
      <c r="AD97" s="38" t="s">
        <v>1621</v>
      </c>
      <c r="AE97" s="38" t="s">
        <v>1620</v>
      </c>
      <c r="AF97" s="38" t="s">
        <v>1819</v>
      </c>
      <c r="AG97" s="38" t="s">
        <v>1619</v>
      </c>
      <c r="AI97" s="38">
        <v>44139</v>
      </c>
      <c r="AJ97" s="38">
        <v>39.9</v>
      </c>
      <c r="AK97" s="38">
        <v>236.25</v>
      </c>
      <c r="BG97" s="38" t="s">
        <v>26</v>
      </c>
      <c r="BI97" s="38" t="s">
        <v>1648</v>
      </c>
      <c r="BK97" s="38" t="s">
        <v>48</v>
      </c>
      <c r="BL97" s="38" t="s">
        <v>1584</v>
      </c>
      <c r="BM97" s="38" t="s">
        <v>1583</v>
      </c>
      <c r="BN97" s="38">
        <v>44377.238581064812</v>
      </c>
      <c r="BP97" s="38" t="s">
        <v>2239</v>
      </c>
      <c r="BQ97" s="38" t="s">
        <v>1615</v>
      </c>
      <c r="BR97" s="38" t="s">
        <v>1582</v>
      </c>
      <c r="BS97" s="38">
        <v>4.0626202113116902E+18</v>
      </c>
      <c r="BT97" s="38" t="s">
        <v>1581</v>
      </c>
      <c r="BU97" s="38" t="s">
        <v>2240</v>
      </c>
      <c r="BV97" s="38">
        <v>2020</v>
      </c>
      <c r="BW97" s="38" t="s">
        <v>1579</v>
      </c>
      <c r="BY97" s="38">
        <v>4.0630202113154099E+18</v>
      </c>
      <c r="BZ97" s="38" t="s">
        <v>2241</v>
      </c>
      <c r="CA97" s="38" t="s">
        <v>2064</v>
      </c>
    </row>
    <row r="98" spans="1:79" x14ac:dyDescent="0.2">
      <c r="A98" s="38" t="s">
        <v>1550</v>
      </c>
      <c r="B98" s="38" t="s">
        <v>845</v>
      </c>
      <c r="C98" s="38">
        <v>2020</v>
      </c>
      <c r="D98" s="38" t="s">
        <v>1612</v>
      </c>
      <c r="E98" s="38">
        <v>2.0210310944038099E+17</v>
      </c>
      <c r="F98" s="38" t="s">
        <v>1598</v>
      </c>
      <c r="G98" s="38" t="s">
        <v>2381</v>
      </c>
      <c r="H98" s="38">
        <v>1503611</v>
      </c>
      <c r="J98" s="38" t="s">
        <v>1596</v>
      </c>
      <c r="K98" s="38" t="s">
        <v>1595</v>
      </c>
      <c r="N98" s="38" t="s">
        <v>2076</v>
      </c>
      <c r="O98" s="38" t="s">
        <v>1593</v>
      </c>
      <c r="Q98" s="38" t="s">
        <v>1592</v>
      </c>
      <c r="R98" s="38" t="s">
        <v>2077</v>
      </c>
      <c r="T98" s="38" t="s">
        <v>2078</v>
      </c>
      <c r="V98" s="38" t="s">
        <v>2079</v>
      </c>
      <c r="X98" s="38" t="s">
        <v>2080</v>
      </c>
      <c r="Y98" s="38" t="s">
        <v>2081</v>
      </c>
      <c r="Z98" s="38">
        <v>33810</v>
      </c>
      <c r="AA98" s="38" t="s">
        <v>1587</v>
      </c>
      <c r="AB98" s="38" t="s">
        <v>1587</v>
      </c>
      <c r="AF98" s="38" t="s">
        <v>2242</v>
      </c>
      <c r="AI98" s="38">
        <v>44125</v>
      </c>
      <c r="AJ98" s="38">
        <v>25</v>
      </c>
      <c r="AK98" s="38">
        <v>25</v>
      </c>
      <c r="BK98" s="38" t="s">
        <v>48</v>
      </c>
      <c r="BL98" s="38" t="s">
        <v>1584</v>
      </c>
      <c r="BM98" s="38" t="s">
        <v>1583</v>
      </c>
      <c r="BN98" s="38">
        <v>44268.163031168981</v>
      </c>
      <c r="BR98" s="38" t="s">
        <v>1582</v>
      </c>
      <c r="BS98" s="38">
        <v>4.0311202112393001E+18</v>
      </c>
      <c r="BT98" s="38" t="s">
        <v>1581</v>
      </c>
      <c r="BV98" s="38">
        <v>2020</v>
      </c>
      <c r="BW98" s="38" t="s">
        <v>1579</v>
      </c>
      <c r="BY98" s="38">
        <v>4.0313202112552602E+18</v>
      </c>
      <c r="BZ98" s="38" t="s">
        <v>2243</v>
      </c>
      <c r="CA98" s="38" t="s">
        <v>1577</v>
      </c>
    </row>
    <row r="99" spans="1:79" x14ac:dyDescent="0.2">
      <c r="A99" s="38" t="s">
        <v>860</v>
      </c>
      <c r="B99" s="38" t="s">
        <v>155</v>
      </c>
      <c r="C99" s="38">
        <v>2020</v>
      </c>
      <c r="D99" s="38" t="s">
        <v>1612</v>
      </c>
      <c r="E99" s="38">
        <v>2.0210624945036099E+17</v>
      </c>
      <c r="F99" s="38">
        <v>12</v>
      </c>
      <c r="G99" s="38" t="s">
        <v>2382</v>
      </c>
      <c r="H99" s="38">
        <v>1521551</v>
      </c>
      <c r="J99" s="38" t="s">
        <v>1596</v>
      </c>
      <c r="K99" s="38" t="s">
        <v>1595</v>
      </c>
      <c r="N99" s="38" t="s">
        <v>2076</v>
      </c>
      <c r="O99" s="38" t="s">
        <v>24</v>
      </c>
      <c r="Q99" s="38" t="s">
        <v>1592</v>
      </c>
      <c r="R99" s="38" t="s">
        <v>2077</v>
      </c>
      <c r="T99" s="38" t="s">
        <v>2078</v>
      </c>
      <c r="V99" s="38" t="s">
        <v>2085</v>
      </c>
      <c r="X99" s="38" t="s">
        <v>2080</v>
      </c>
      <c r="Y99" s="38" t="s">
        <v>2081</v>
      </c>
      <c r="Z99" s="38">
        <v>338100789</v>
      </c>
      <c r="AA99" s="38" t="s">
        <v>1587</v>
      </c>
      <c r="AB99" s="38" t="s">
        <v>1587</v>
      </c>
      <c r="AD99" s="38" t="s">
        <v>1621</v>
      </c>
      <c r="AE99" s="38" t="s">
        <v>1620</v>
      </c>
      <c r="AF99" s="38" t="s">
        <v>1819</v>
      </c>
      <c r="AG99" s="38" t="s">
        <v>1619</v>
      </c>
      <c r="AI99" s="38">
        <v>44047</v>
      </c>
      <c r="AJ99" s="38">
        <v>10.5</v>
      </c>
      <c r="AK99" s="38">
        <v>236.25</v>
      </c>
      <c r="BG99" s="38" t="s">
        <v>26</v>
      </c>
      <c r="BI99" s="38" t="s">
        <v>1648</v>
      </c>
      <c r="BK99" s="38" t="s">
        <v>48</v>
      </c>
      <c r="BL99" s="38" t="s">
        <v>1584</v>
      </c>
      <c r="BM99" s="38" t="s">
        <v>1583</v>
      </c>
      <c r="BN99" s="38">
        <v>44377.242934212962</v>
      </c>
      <c r="BP99" s="38" t="s">
        <v>2244</v>
      </c>
      <c r="BQ99" s="38" t="s">
        <v>1615</v>
      </c>
      <c r="BR99" s="38" t="s">
        <v>1582</v>
      </c>
      <c r="BS99" s="38">
        <v>4.0626202113116902E+18</v>
      </c>
      <c r="BT99" s="38" t="s">
        <v>1581</v>
      </c>
      <c r="BU99" s="38" t="s">
        <v>2240</v>
      </c>
      <c r="BV99" s="38">
        <v>2020</v>
      </c>
      <c r="BW99" s="38" t="s">
        <v>1579</v>
      </c>
      <c r="BY99" s="38">
        <v>4.0630202113151299E+18</v>
      </c>
      <c r="BZ99" s="38" t="s">
        <v>2245</v>
      </c>
      <c r="CA99" s="38" t="s">
        <v>2064</v>
      </c>
    </row>
    <row r="100" spans="1:79" x14ac:dyDescent="0.2">
      <c r="A100" s="38" t="s">
        <v>860</v>
      </c>
      <c r="B100" s="38" t="s">
        <v>155</v>
      </c>
      <c r="C100" s="38">
        <v>2020</v>
      </c>
      <c r="D100" s="38" t="s">
        <v>1612</v>
      </c>
      <c r="E100" s="38">
        <v>2.0210624945036099E+17</v>
      </c>
      <c r="F100" s="38">
        <v>12</v>
      </c>
      <c r="G100" s="38" t="s">
        <v>2383</v>
      </c>
      <c r="H100" s="38">
        <v>1521551</v>
      </c>
      <c r="J100" s="38" t="s">
        <v>1596</v>
      </c>
      <c r="K100" s="38" t="s">
        <v>1595</v>
      </c>
      <c r="N100" s="38" t="s">
        <v>2076</v>
      </c>
      <c r="O100" s="38" t="s">
        <v>24</v>
      </c>
      <c r="Q100" s="38" t="s">
        <v>1592</v>
      </c>
      <c r="R100" s="38" t="s">
        <v>2077</v>
      </c>
      <c r="T100" s="38" t="s">
        <v>2078</v>
      </c>
      <c r="V100" s="38" t="s">
        <v>2085</v>
      </c>
      <c r="X100" s="38" t="s">
        <v>2080</v>
      </c>
      <c r="Y100" s="38" t="s">
        <v>2081</v>
      </c>
      <c r="Z100" s="38">
        <v>338100789</v>
      </c>
      <c r="AA100" s="38" t="s">
        <v>1587</v>
      </c>
      <c r="AB100" s="38" t="s">
        <v>1587</v>
      </c>
      <c r="AD100" s="38" t="s">
        <v>1621</v>
      </c>
      <c r="AE100" s="38" t="s">
        <v>1620</v>
      </c>
      <c r="AF100" s="38" t="s">
        <v>1819</v>
      </c>
      <c r="AG100" s="38" t="s">
        <v>1619</v>
      </c>
      <c r="AI100" s="38">
        <v>44078</v>
      </c>
      <c r="AJ100" s="38">
        <v>2.1</v>
      </c>
      <c r="AK100" s="38">
        <v>236.25</v>
      </c>
      <c r="BG100" s="38" t="s">
        <v>26</v>
      </c>
      <c r="BI100" s="38" t="s">
        <v>1648</v>
      </c>
      <c r="BK100" s="38" t="s">
        <v>48</v>
      </c>
      <c r="BL100" s="38" t="s">
        <v>1584</v>
      </c>
      <c r="BM100" s="38" t="s">
        <v>1583</v>
      </c>
      <c r="BN100" s="38">
        <v>44377.242934212962</v>
      </c>
      <c r="BP100" s="38" t="s">
        <v>2244</v>
      </c>
      <c r="BQ100" s="38" t="s">
        <v>1615</v>
      </c>
      <c r="BR100" s="38" t="s">
        <v>1582</v>
      </c>
      <c r="BS100" s="38">
        <v>4.0626202113116902E+18</v>
      </c>
      <c r="BT100" s="38" t="s">
        <v>1581</v>
      </c>
      <c r="BU100" s="38" t="s">
        <v>2240</v>
      </c>
      <c r="BV100" s="38">
        <v>2020</v>
      </c>
      <c r="BW100" s="38" t="s">
        <v>1579</v>
      </c>
      <c r="BY100" s="38">
        <v>4.0630202113151299E+18</v>
      </c>
      <c r="BZ100" s="38" t="s">
        <v>2245</v>
      </c>
      <c r="CA100" s="38" t="s">
        <v>2064</v>
      </c>
    </row>
    <row r="101" spans="1:79" x14ac:dyDescent="0.2">
      <c r="A101" s="38" t="s">
        <v>860</v>
      </c>
      <c r="B101" s="38" t="s">
        <v>155</v>
      </c>
      <c r="C101" s="38">
        <v>2020</v>
      </c>
      <c r="D101" s="38" t="s">
        <v>1612</v>
      </c>
      <c r="E101" s="38">
        <v>2.02106249450252E+17</v>
      </c>
      <c r="F101" s="38">
        <v>12</v>
      </c>
      <c r="G101" s="38" t="s">
        <v>2384</v>
      </c>
      <c r="H101" s="38">
        <v>1521551</v>
      </c>
      <c r="J101" s="38" t="s">
        <v>1596</v>
      </c>
      <c r="K101" s="38" t="s">
        <v>1595</v>
      </c>
      <c r="N101" s="38" t="s">
        <v>2076</v>
      </c>
      <c r="O101" s="38" t="s">
        <v>24</v>
      </c>
      <c r="Q101" s="38" t="s">
        <v>1592</v>
      </c>
      <c r="R101" s="38" t="s">
        <v>2077</v>
      </c>
      <c r="T101" s="38" t="s">
        <v>2078</v>
      </c>
      <c r="V101" s="38" t="s">
        <v>2085</v>
      </c>
      <c r="X101" s="38" t="s">
        <v>2080</v>
      </c>
      <c r="Y101" s="38" t="s">
        <v>2081</v>
      </c>
      <c r="Z101" s="38">
        <v>338100789</v>
      </c>
      <c r="AA101" s="38" t="s">
        <v>1587</v>
      </c>
      <c r="AB101" s="38" t="s">
        <v>1587</v>
      </c>
      <c r="AD101" s="38" t="s">
        <v>1621</v>
      </c>
      <c r="AE101" s="38" t="s">
        <v>1620</v>
      </c>
      <c r="AF101" s="38" t="s">
        <v>1819</v>
      </c>
      <c r="AG101" s="38" t="s">
        <v>1619</v>
      </c>
      <c r="AI101" s="38">
        <v>44097</v>
      </c>
      <c r="AJ101" s="38">
        <v>0.5</v>
      </c>
      <c r="AK101" s="38">
        <v>236.25</v>
      </c>
      <c r="BG101" s="38" t="s">
        <v>26</v>
      </c>
      <c r="BI101" s="38" t="s">
        <v>1648</v>
      </c>
      <c r="BK101" s="38" t="s">
        <v>48</v>
      </c>
      <c r="BL101" s="38" t="s">
        <v>1584</v>
      </c>
      <c r="BM101" s="38" t="s">
        <v>1583</v>
      </c>
      <c r="BN101" s="38">
        <v>44377.244625601852</v>
      </c>
      <c r="BP101" s="38" t="s">
        <v>2246</v>
      </c>
      <c r="BQ101" s="38" t="s">
        <v>1615</v>
      </c>
      <c r="BR101" s="38" t="s">
        <v>1582</v>
      </c>
      <c r="BS101" s="38">
        <v>4.0626202113116902E+18</v>
      </c>
      <c r="BT101" s="38" t="s">
        <v>1581</v>
      </c>
      <c r="BU101" s="38" t="s">
        <v>2240</v>
      </c>
      <c r="BV101" s="38">
        <v>2020</v>
      </c>
      <c r="BW101" s="38" t="s">
        <v>1579</v>
      </c>
      <c r="BY101" s="38">
        <v>4.0630202113148099E+18</v>
      </c>
      <c r="BZ101" s="38" t="s">
        <v>2247</v>
      </c>
      <c r="CA101" s="38" t="s">
        <v>2064</v>
      </c>
    </row>
    <row r="102" spans="1:79" x14ac:dyDescent="0.2">
      <c r="A102" s="38" t="s">
        <v>860</v>
      </c>
      <c r="B102" s="38" t="s">
        <v>155</v>
      </c>
      <c r="C102" s="38">
        <v>2020</v>
      </c>
      <c r="D102" s="38" t="s">
        <v>1612</v>
      </c>
      <c r="E102" s="38">
        <v>2.02106249450252E+17</v>
      </c>
      <c r="F102" s="38">
        <v>12</v>
      </c>
      <c r="G102" s="38" t="s">
        <v>2385</v>
      </c>
      <c r="H102" s="38">
        <v>1521551</v>
      </c>
      <c r="J102" s="38" t="s">
        <v>1596</v>
      </c>
      <c r="K102" s="38" t="s">
        <v>1595</v>
      </c>
      <c r="N102" s="38" t="s">
        <v>2076</v>
      </c>
      <c r="O102" s="38" t="s">
        <v>24</v>
      </c>
      <c r="Q102" s="38" t="s">
        <v>1592</v>
      </c>
      <c r="R102" s="38" t="s">
        <v>2077</v>
      </c>
      <c r="T102" s="38" t="s">
        <v>2078</v>
      </c>
      <c r="V102" s="38" t="s">
        <v>2085</v>
      </c>
      <c r="X102" s="38" t="s">
        <v>2080</v>
      </c>
      <c r="Y102" s="38" t="s">
        <v>2081</v>
      </c>
      <c r="Z102" s="38">
        <v>338100789</v>
      </c>
      <c r="AA102" s="38" t="s">
        <v>1587</v>
      </c>
      <c r="AB102" s="38" t="s">
        <v>1587</v>
      </c>
      <c r="AD102" s="38" t="s">
        <v>1621</v>
      </c>
      <c r="AE102" s="38" t="s">
        <v>1620</v>
      </c>
      <c r="AF102" s="38" t="s">
        <v>1819</v>
      </c>
      <c r="AG102" s="38" t="s">
        <v>1619</v>
      </c>
      <c r="AI102" s="38">
        <v>44113</v>
      </c>
      <c r="AJ102" s="38">
        <v>2.25</v>
      </c>
      <c r="AK102" s="38">
        <v>236.25</v>
      </c>
      <c r="BG102" s="38" t="s">
        <v>26</v>
      </c>
      <c r="BI102" s="38" t="s">
        <v>1648</v>
      </c>
      <c r="BK102" s="38" t="s">
        <v>48</v>
      </c>
      <c r="BL102" s="38" t="s">
        <v>1584</v>
      </c>
      <c r="BM102" s="38" t="s">
        <v>1583</v>
      </c>
      <c r="BN102" s="38">
        <v>44377.244625601852</v>
      </c>
      <c r="BP102" s="38" t="s">
        <v>2246</v>
      </c>
      <c r="BQ102" s="38" t="s">
        <v>1615</v>
      </c>
      <c r="BR102" s="38" t="s">
        <v>1582</v>
      </c>
      <c r="BS102" s="38">
        <v>4.0626202113116902E+18</v>
      </c>
      <c r="BT102" s="38" t="s">
        <v>1581</v>
      </c>
      <c r="BU102" s="38" t="s">
        <v>2240</v>
      </c>
      <c r="BV102" s="38">
        <v>2020</v>
      </c>
      <c r="BW102" s="38" t="s">
        <v>1579</v>
      </c>
      <c r="BY102" s="38">
        <v>4.0630202113148099E+18</v>
      </c>
      <c r="BZ102" s="38" t="s">
        <v>2247</v>
      </c>
      <c r="CA102" s="38" t="s">
        <v>2064</v>
      </c>
    </row>
    <row r="103" spans="1:79" x14ac:dyDescent="0.2">
      <c r="A103" s="38" t="s">
        <v>1309</v>
      </c>
      <c r="B103" s="38" t="s">
        <v>604</v>
      </c>
      <c r="C103" s="38">
        <v>2020</v>
      </c>
      <c r="D103" s="38" t="s">
        <v>1659</v>
      </c>
      <c r="E103" s="38">
        <v>2.0210125940805402E+17</v>
      </c>
      <c r="F103" s="38" t="s">
        <v>1598</v>
      </c>
      <c r="G103" s="38" t="s">
        <v>2386</v>
      </c>
      <c r="H103" s="38">
        <v>1490496</v>
      </c>
      <c r="J103" s="38" t="s">
        <v>1596</v>
      </c>
      <c r="K103" s="38" t="s">
        <v>1595</v>
      </c>
      <c r="L103" s="38" t="s">
        <v>1049</v>
      </c>
      <c r="N103" s="38" t="s">
        <v>2076</v>
      </c>
      <c r="O103" s="38" t="s">
        <v>1593</v>
      </c>
      <c r="Q103" s="38" t="s">
        <v>1592</v>
      </c>
      <c r="R103" s="38" t="s">
        <v>2077</v>
      </c>
      <c r="T103" s="38" t="s">
        <v>2078</v>
      </c>
      <c r="V103" s="38" t="s">
        <v>2085</v>
      </c>
      <c r="X103" s="38" t="s">
        <v>2080</v>
      </c>
      <c r="Y103" s="38" t="s">
        <v>2081</v>
      </c>
      <c r="Z103" s="38">
        <v>338100789</v>
      </c>
      <c r="AA103" s="38" t="s">
        <v>1587</v>
      </c>
      <c r="AB103" s="38" t="s">
        <v>1587</v>
      </c>
      <c r="AC103" s="38" t="s">
        <v>1049</v>
      </c>
      <c r="AD103" s="38" t="s">
        <v>1608</v>
      </c>
      <c r="AE103" s="38" t="s">
        <v>1607</v>
      </c>
      <c r="AF103" s="38" t="s">
        <v>2098</v>
      </c>
      <c r="AI103" s="38">
        <v>44083</v>
      </c>
      <c r="AJ103" s="38">
        <v>10</v>
      </c>
      <c r="AK103" s="38">
        <v>1107.76</v>
      </c>
      <c r="AL103" s="38" t="s">
        <v>2099</v>
      </c>
      <c r="BK103" s="38" t="s">
        <v>48</v>
      </c>
      <c r="BL103" s="38" t="s">
        <v>1584</v>
      </c>
      <c r="BM103" s="38" t="s">
        <v>1583</v>
      </c>
      <c r="BN103" s="38">
        <v>44252.608732048611</v>
      </c>
      <c r="BR103" s="38" t="s">
        <v>1582</v>
      </c>
      <c r="BS103" s="38">
        <v>4.0125202121377597E+18</v>
      </c>
      <c r="BT103" s="38" t="s">
        <v>1581</v>
      </c>
      <c r="BV103" s="38">
        <v>2020</v>
      </c>
      <c r="BW103" s="38" t="s">
        <v>1579</v>
      </c>
      <c r="BY103" s="38">
        <v>4.0224202111824E+18</v>
      </c>
      <c r="BZ103" s="38" t="s">
        <v>2248</v>
      </c>
      <c r="CA103" s="38" t="s">
        <v>1577</v>
      </c>
    </row>
    <row r="104" spans="1:79" x14ac:dyDescent="0.2">
      <c r="A104" s="38" t="s">
        <v>1309</v>
      </c>
      <c r="B104" s="38" t="s">
        <v>604</v>
      </c>
      <c r="C104" s="38">
        <v>2020</v>
      </c>
      <c r="D104" s="38" t="s">
        <v>1659</v>
      </c>
      <c r="E104" s="38">
        <v>2.0210125940710301E+17</v>
      </c>
      <c r="F104" s="38" t="s">
        <v>1598</v>
      </c>
      <c r="G104" s="38" t="s">
        <v>2387</v>
      </c>
      <c r="H104" s="38">
        <v>1490496</v>
      </c>
      <c r="J104" s="38" t="s">
        <v>1596</v>
      </c>
      <c r="K104" s="38" t="s">
        <v>1595</v>
      </c>
      <c r="L104" s="38" t="s">
        <v>1467</v>
      </c>
      <c r="N104" s="38" t="s">
        <v>2076</v>
      </c>
      <c r="O104" s="38" t="s">
        <v>1593</v>
      </c>
      <c r="Q104" s="38" t="s">
        <v>1592</v>
      </c>
      <c r="R104" s="38" t="s">
        <v>2077</v>
      </c>
      <c r="T104" s="38" t="s">
        <v>2078</v>
      </c>
      <c r="V104" s="38" t="s">
        <v>2085</v>
      </c>
      <c r="X104" s="38" t="s">
        <v>2080</v>
      </c>
      <c r="Y104" s="38" t="s">
        <v>2081</v>
      </c>
      <c r="Z104" s="38">
        <v>338100789</v>
      </c>
      <c r="AA104" s="38" t="s">
        <v>1587</v>
      </c>
      <c r="AB104" s="38" t="s">
        <v>1587</v>
      </c>
      <c r="AC104" s="38" t="s">
        <v>1467</v>
      </c>
      <c r="AD104" s="38" t="s">
        <v>1608</v>
      </c>
      <c r="AE104" s="38" t="s">
        <v>1607</v>
      </c>
      <c r="AF104" s="38" t="s">
        <v>2171</v>
      </c>
      <c r="AI104" s="38">
        <v>44062</v>
      </c>
      <c r="AJ104" s="38">
        <v>10</v>
      </c>
      <c r="AK104" s="38">
        <v>930.76</v>
      </c>
      <c r="AL104" s="38" t="s">
        <v>2172</v>
      </c>
      <c r="BK104" s="38" t="s">
        <v>48</v>
      </c>
      <c r="BL104" s="38" t="s">
        <v>1584</v>
      </c>
      <c r="BM104" s="38" t="s">
        <v>1583</v>
      </c>
      <c r="BN104" s="38">
        <v>44252.608795196757</v>
      </c>
      <c r="BR104" s="38" t="s">
        <v>1582</v>
      </c>
      <c r="BS104" s="38">
        <v>4.0125202121377597E+18</v>
      </c>
      <c r="BT104" s="38" t="s">
        <v>1581</v>
      </c>
      <c r="BV104" s="38">
        <v>2020</v>
      </c>
      <c r="BW104" s="38" t="s">
        <v>1579</v>
      </c>
      <c r="BY104" s="38">
        <v>4.0224202111871099E+18</v>
      </c>
      <c r="BZ104" s="38" t="s">
        <v>2249</v>
      </c>
      <c r="CA104" s="38" t="s">
        <v>1577</v>
      </c>
    </row>
    <row r="105" spans="1:79" x14ac:dyDescent="0.2">
      <c r="A105" s="38" t="s">
        <v>1309</v>
      </c>
      <c r="B105" s="38" t="s">
        <v>604</v>
      </c>
      <c r="C105" s="38">
        <v>2020</v>
      </c>
      <c r="D105" s="38" t="s">
        <v>1835</v>
      </c>
      <c r="E105" s="38">
        <v>2.0210114940137699E+17</v>
      </c>
      <c r="F105" s="38" t="s">
        <v>1598</v>
      </c>
      <c r="G105" s="38" t="s">
        <v>2388</v>
      </c>
      <c r="H105" s="38">
        <v>1487725</v>
      </c>
      <c r="J105" s="38" t="s">
        <v>1596</v>
      </c>
      <c r="K105" s="38" t="s">
        <v>1595</v>
      </c>
      <c r="L105" s="38" t="s">
        <v>1190</v>
      </c>
      <c r="N105" s="38" t="s">
        <v>2076</v>
      </c>
      <c r="O105" s="38" t="s">
        <v>1593</v>
      </c>
      <c r="Q105" s="38" t="s">
        <v>1592</v>
      </c>
      <c r="R105" s="38" t="s">
        <v>2077</v>
      </c>
      <c r="T105" s="38" t="s">
        <v>2078</v>
      </c>
      <c r="V105" s="38" t="s">
        <v>2085</v>
      </c>
      <c r="X105" s="38" t="s">
        <v>2080</v>
      </c>
      <c r="Y105" s="38" t="s">
        <v>2081</v>
      </c>
      <c r="Z105" s="38">
        <v>338100789</v>
      </c>
      <c r="AA105" s="38" t="s">
        <v>1587</v>
      </c>
      <c r="AB105" s="38" t="s">
        <v>1587</v>
      </c>
      <c r="AC105" s="38" t="s">
        <v>1190</v>
      </c>
      <c r="AD105" s="38" t="s">
        <v>1608</v>
      </c>
      <c r="AE105" s="38" t="s">
        <v>1607</v>
      </c>
      <c r="AF105" s="38" t="s">
        <v>2111</v>
      </c>
      <c r="AI105" s="38">
        <v>43989</v>
      </c>
      <c r="AJ105" s="38">
        <v>35</v>
      </c>
      <c r="AK105" s="38">
        <v>528</v>
      </c>
      <c r="BK105" s="38" t="s">
        <v>48</v>
      </c>
      <c r="BL105" s="38" t="s">
        <v>1584</v>
      </c>
      <c r="BM105" s="38" t="s">
        <v>1583</v>
      </c>
      <c r="BN105" s="38">
        <v>44245.390655578703</v>
      </c>
      <c r="BR105" s="38" t="s">
        <v>1582</v>
      </c>
      <c r="BS105" s="38">
        <v>4.0120202120938301E+18</v>
      </c>
      <c r="BT105" s="38" t="s">
        <v>1581</v>
      </c>
      <c r="BV105" s="38">
        <v>2020</v>
      </c>
      <c r="BW105" s="38" t="s">
        <v>1579</v>
      </c>
      <c r="BY105" s="38">
        <v>4.0217202111491702E+18</v>
      </c>
      <c r="BZ105" s="38" t="s">
        <v>2250</v>
      </c>
      <c r="CA105" s="38" t="s">
        <v>1577</v>
      </c>
    </row>
    <row r="106" spans="1:79" x14ac:dyDescent="0.2">
      <c r="A106" s="38" t="s">
        <v>1309</v>
      </c>
      <c r="B106" s="38" t="s">
        <v>604</v>
      </c>
      <c r="C106" s="38">
        <v>2020</v>
      </c>
      <c r="D106" s="38" t="s">
        <v>1659</v>
      </c>
      <c r="E106" s="38">
        <v>2.0210125940878202E+17</v>
      </c>
      <c r="F106" s="38" t="s">
        <v>1598</v>
      </c>
      <c r="G106" s="38" t="s">
        <v>2389</v>
      </c>
      <c r="H106" s="38">
        <v>1490496</v>
      </c>
      <c r="J106" s="38" t="s">
        <v>1596</v>
      </c>
      <c r="K106" s="38" t="s">
        <v>1595</v>
      </c>
      <c r="L106" s="38" t="s">
        <v>2144</v>
      </c>
      <c r="N106" s="38" t="s">
        <v>2076</v>
      </c>
      <c r="O106" s="38" t="s">
        <v>1593</v>
      </c>
      <c r="Q106" s="38" t="s">
        <v>1592</v>
      </c>
      <c r="R106" s="38" t="s">
        <v>2077</v>
      </c>
      <c r="T106" s="38" t="s">
        <v>2078</v>
      </c>
      <c r="V106" s="38" t="s">
        <v>2085</v>
      </c>
      <c r="X106" s="38" t="s">
        <v>2080</v>
      </c>
      <c r="Y106" s="38" t="s">
        <v>2081</v>
      </c>
      <c r="Z106" s="38">
        <v>338100789</v>
      </c>
      <c r="AA106" s="38" t="s">
        <v>1587</v>
      </c>
      <c r="AB106" s="38" t="s">
        <v>1587</v>
      </c>
      <c r="AC106" s="38" t="s">
        <v>2144</v>
      </c>
      <c r="AD106" s="38" t="s">
        <v>1608</v>
      </c>
      <c r="AE106" s="38" t="s">
        <v>1607</v>
      </c>
      <c r="AF106" s="38" t="s">
        <v>2145</v>
      </c>
      <c r="AI106" s="38">
        <v>44098</v>
      </c>
      <c r="AJ106" s="38">
        <v>10</v>
      </c>
      <c r="AK106" s="38">
        <v>1237.76</v>
      </c>
      <c r="AL106" s="38" t="s">
        <v>2146</v>
      </c>
      <c r="BK106" s="38" t="s">
        <v>48</v>
      </c>
      <c r="BL106" s="38" t="s">
        <v>1584</v>
      </c>
      <c r="BM106" s="38" t="s">
        <v>1583</v>
      </c>
      <c r="BN106" s="38">
        <v>44252.609887858795</v>
      </c>
      <c r="BR106" s="38" t="s">
        <v>1582</v>
      </c>
      <c r="BS106" s="38">
        <v>4.0125202121377597E+18</v>
      </c>
      <c r="BT106" s="38" t="s">
        <v>1581</v>
      </c>
      <c r="BV106" s="38">
        <v>2020</v>
      </c>
      <c r="BW106" s="38" t="s">
        <v>1579</v>
      </c>
      <c r="BY106" s="38">
        <v>4.02242021118513E+18</v>
      </c>
      <c r="BZ106" s="38" t="s">
        <v>2251</v>
      </c>
      <c r="CA106" s="38" t="s">
        <v>1577</v>
      </c>
    </row>
    <row r="107" spans="1:79" x14ac:dyDescent="0.2">
      <c r="A107" s="38" t="s">
        <v>1309</v>
      </c>
      <c r="B107" s="38" t="s">
        <v>604</v>
      </c>
      <c r="C107" s="38">
        <v>2020</v>
      </c>
      <c r="D107" s="38" t="s">
        <v>1659</v>
      </c>
      <c r="E107" s="38">
        <v>2.0210125940853901E+17</v>
      </c>
      <c r="F107" s="38" t="s">
        <v>1598</v>
      </c>
      <c r="G107" s="38" t="s">
        <v>2390</v>
      </c>
      <c r="H107" s="38">
        <v>1490496</v>
      </c>
      <c r="J107" s="38" t="s">
        <v>1596</v>
      </c>
      <c r="K107" s="38" t="s">
        <v>1595</v>
      </c>
      <c r="L107" s="38" t="s">
        <v>936</v>
      </c>
      <c r="N107" s="38" t="s">
        <v>2076</v>
      </c>
      <c r="O107" s="38" t="s">
        <v>1593</v>
      </c>
      <c r="Q107" s="38" t="s">
        <v>1592</v>
      </c>
      <c r="R107" s="38" t="s">
        <v>2077</v>
      </c>
      <c r="T107" s="38" t="s">
        <v>2078</v>
      </c>
      <c r="V107" s="38" t="s">
        <v>2085</v>
      </c>
      <c r="X107" s="38" t="s">
        <v>2080</v>
      </c>
      <c r="Y107" s="38" t="s">
        <v>2081</v>
      </c>
      <c r="Z107" s="38">
        <v>338100789</v>
      </c>
      <c r="AA107" s="38" t="s">
        <v>1587</v>
      </c>
      <c r="AB107" s="38" t="s">
        <v>1587</v>
      </c>
      <c r="AC107" s="38" t="s">
        <v>936</v>
      </c>
      <c r="AD107" s="38" t="s">
        <v>1608</v>
      </c>
      <c r="AE107" s="38" t="s">
        <v>1607</v>
      </c>
      <c r="AF107" s="38" t="s">
        <v>2225</v>
      </c>
      <c r="AI107" s="38">
        <v>44094</v>
      </c>
      <c r="AJ107" s="38">
        <v>10</v>
      </c>
      <c r="AK107" s="38">
        <v>1167.76</v>
      </c>
      <c r="AL107" s="38" t="s">
        <v>2252</v>
      </c>
      <c r="BK107" s="38" t="s">
        <v>48</v>
      </c>
      <c r="BL107" s="38" t="s">
        <v>1584</v>
      </c>
      <c r="BM107" s="38" t="s">
        <v>1583</v>
      </c>
      <c r="BN107" s="38">
        <v>44252.610644398148</v>
      </c>
      <c r="BR107" s="38" t="s">
        <v>1582</v>
      </c>
      <c r="BS107" s="38">
        <v>4.0125202121377597E+18</v>
      </c>
      <c r="BT107" s="38" t="s">
        <v>1581</v>
      </c>
      <c r="BV107" s="38">
        <v>2020</v>
      </c>
      <c r="BW107" s="38" t="s">
        <v>1579</v>
      </c>
      <c r="BY107" s="38">
        <v>4.0224202111853199E+18</v>
      </c>
      <c r="BZ107" s="38" t="s">
        <v>2253</v>
      </c>
      <c r="CA107" s="38" t="s">
        <v>1577</v>
      </c>
    </row>
    <row r="108" spans="1:79" x14ac:dyDescent="0.2">
      <c r="A108" s="38" t="s">
        <v>1309</v>
      </c>
      <c r="B108" s="38" t="s">
        <v>604</v>
      </c>
      <c r="C108" s="38">
        <v>2020</v>
      </c>
      <c r="D108" s="38" t="s">
        <v>1835</v>
      </c>
      <c r="E108" s="38">
        <v>2.0210114940008499E+17</v>
      </c>
      <c r="F108" s="38" t="s">
        <v>1598</v>
      </c>
      <c r="G108" s="38" t="s">
        <v>2391</v>
      </c>
      <c r="H108" s="38">
        <v>1487725</v>
      </c>
      <c r="J108" s="38" t="s">
        <v>1596</v>
      </c>
      <c r="K108" s="38" t="s">
        <v>1595</v>
      </c>
      <c r="L108" s="38" t="s">
        <v>1190</v>
      </c>
      <c r="N108" s="38" t="s">
        <v>2076</v>
      </c>
      <c r="O108" s="38" t="s">
        <v>1593</v>
      </c>
      <c r="Q108" s="38" t="s">
        <v>1592</v>
      </c>
      <c r="R108" s="38" t="s">
        <v>2077</v>
      </c>
      <c r="T108" s="38" t="s">
        <v>2078</v>
      </c>
      <c r="V108" s="38" t="s">
        <v>2085</v>
      </c>
      <c r="X108" s="38" t="s">
        <v>2080</v>
      </c>
      <c r="Y108" s="38" t="s">
        <v>2081</v>
      </c>
      <c r="Z108" s="38">
        <v>338100789</v>
      </c>
      <c r="AA108" s="38" t="s">
        <v>1587</v>
      </c>
      <c r="AB108" s="38" t="s">
        <v>1587</v>
      </c>
      <c r="AC108" s="38" t="s">
        <v>1190</v>
      </c>
      <c r="AD108" s="38" t="s">
        <v>1608</v>
      </c>
      <c r="AE108" s="38" t="s">
        <v>1607</v>
      </c>
      <c r="AF108" s="38" t="s">
        <v>2111</v>
      </c>
      <c r="AI108" s="38">
        <v>43928</v>
      </c>
      <c r="AJ108" s="38">
        <v>5</v>
      </c>
      <c r="AK108" s="38">
        <v>248</v>
      </c>
      <c r="BK108" s="38" t="s">
        <v>48</v>
      </c>
      <c r="BL108" s="38" t="s">
        <v>1584</v>
      </c>
      <c r="BM108" s="38" t="s">
        <v>1583</v>
      </c>
      <c r="BN108" s="38">
        <v>44245.392113981485</v>
      </c>
      <c r="BR108" s="38" t="s">
        <v>1582</v>
      </c>
      <c r="BS108" s="38">
        <v>4.0120202120938301E+18</v>
      </c>
      <c r="BT108" s="38" t="s">
        <v>1581</v>
      </c>
      <c r="BV108" s="38">
        <v>2020</v>
      </c>
      <c r="BW108" s="38" t="s">
        <v>1579</v>
      </c>
      <c r="BY108" s="38">
        <v>4.0217202111554202E+18</v>
      </c>
      <c r="BZ108" s="38" t="s">
        <v>2254</v>
      </c>
      <c r="CA108" s="38" t="s">
        <v>1577</v>
      </c>
    </row>
    <row r="109" spans="1:79" x14ac:dyDescent="0.2">
      <c r="A109" s="38" t="s">
        <v>1309</v>
      </c>
      <c r="B109" s="38" t="s">
        <v>604</v>
      </c>
      <c r="C109" s="38">
        <v>2020</v>
      </c>
      <c r="D109" s="38" t="s">
        <v>1835</v>
      </c>
      <c r="E109" s="38">
        <v>2.0210114940066499E+17</v>
      </c>
      <c r="F109" s="38" t="s">
        <v>1598</v>
      </c>
      <c r="G109" s="38" t="s">
        <v>2392</v>
      </c>
      <c r="H109" s="38">
        <v>1487725</v>
      </c>
      <c r="J109" s="38" t="s">
        <v>1596</v>
      </c>
      <c r="K109" s="38" t="s">
        <v>1595</v>
      </c>
      <c r="L109" s="38" t="s">
        <v>1190</v>
      </c>
      <c r="N109" s="38" t="s">
        <v>2076</v>
      </c>
      <c r="O109" s="38" t="s">
        <v>1593</v>
      </c>
      <c r="Q109" s="38" t="s">
        <v>1592</v>
      </c>
      <c r="R109" s="38" t="s">
        <v>2077</v>
      </c>
      <c r="T109" s="38" t="s">
        <v>2078</v>
      </c>
      <c r="V109" s="38" t="s">
        <v>2085</v>
      </c>
      <c r="X109" s="38" t="s">
        <v>2080</v>
      </c>
      <c r="Y109" s="38" t="s">
        <v>2081</v>
      </c>
      <c r="Z109" s="38">
        <v>338100789</v>
      </c>
      <c r="AA109" s="38" t="s">
        <v>1587</v>
      </c>
      <c r="AB109" s="38" t="s">
        <v>1587</v>
      </c>
      <c r="AC109" s="38" t="s">
        <v>1190</v>
      </c>
      <c r="AD109" s="38" t="s">
        <v>1608</v>
      </c>
      <c r="AE109" s="38" t="s">
        <v>1607</v>
      </c>
      <c r="AF109" s="38" t="s">
        <v>2111</v>
      </c>
      <c r="AI109" s="38">
        <v>43958</v>
      </c>
      <c r="AJ109" s="38">
        <v>35</v>
      </c>
      <c r="AK109" s="38">
        <v>367</v>
      </c>
      <c r="BK109" s="38" t="s">
        <v>48</v>
      </c>
      <c r="BL109" s="38" t="s">
        <v>1584</v>
      </c>
      <c r="BM109" s="38" t="s">
        <v>1583</v>
      </c>
      <c r="BN109" s="38">
        <v>44245.380331111111</v>
      </c>
      <c r="BR109" s="38" t="s">
        <v>1582</v>
      </c>
      <c r="BS109" s="38">
        <v>4.0120202120938301E+18</v>
      </c>
      <c r="BT109" s="38" t="s">
        <v>1581</v>
      </c>
      <c r="BV109" s="38">
        <v>2020</v>
      </c>
      <c r="BW109" s="38" t="s">
        <v>1579</v>
      </c>
      <c r="BY109" s="38">
        <v>4.0217202111541002E+18</v>
      </c>
      <c r="BZ109" s="38" t="s">
        <v>2255</v>
      </c>
      <c r="CA109" s="38" t="s">
        <v>1577</v>
      </c>
    </row>
    <row r="110" spans="1:79" x14ac:dyDescent="0.2">
      <c r="A110" s="38" t="s">
        <v>1309</v>
      </c>
      <c r="B110" s="38" t="s">
        <v>604</v>
      </c>
      <c r="C110" s="38">
        <v>2020</v>
      </c>
      <c r="D110" s="38" t="s">
        <v>1835</v>
      </c>
      <c r="E110" s="38">
        <v>2.0210114940200099E+17</v>
      </c>
      <c r="F110" s="38" t="s">
        <v>1598</v>
      </c>
      <c r="G110" s="38" t="s">
        <v>2393</v>
      </c>
      <c r="H110" s="38">
        <v>1487725</v>
      </c>
      <c r="J110" s="38" t="s">
        <v>1596</v>
      </c>
      <c r="K110" s="38" t="s">
        <v>1595</v>
      </c>
      <c r="L110" s="38" t="s">
        <v>1190</v>
      </c>
      <c r="N110" s="38" t="s">
        <v>2076</v>
      </c>
      <c r="O110" s="38" t="s">
        <v>1593</v>
      </c>
      <c r="Q110" s="38" t="s">
        <v>1592</v>
      </c>
      <c r="R110" s="38" t="s">
        <v>2077</v>
      </c>
      <c r="T110" s="38" t="s">
        <v>2078</v>
      </c>
      <c r="V110" s="38" t="s">
        <v>2085</v>
      </c>
      <c r="X110" s="38" t="s">
        <v>2080</v>
      </c>
      <c r="Y110" s="38" t="s">
        <v>2081</v>
      </c>
      <c r="Z110" s="38">
        <v>338100789</v>
      </c>
      <c r="AA110" s="38" t="s">
        <v>1587</v>
      </c>
      <c r="AB110" s="38" t="s">
        <v>1587</v>
      </c>
      <c r="AC110" s="38" t="s">
        <v>1190</v>
      </c>
      <c r="AD110" s="38" t="s">
        <v>1608</v>
      </c>
      <c r="AE110" s="38" t="s">
        <v>1607</v>
      </c>
      <c r="AF110" s="38" t="s">
        <v>2111</v>
      </c>
      <c r="AI110" s="38">
        <v>44009</v>
      </c>
      <c r="AJ110" s="38">
        <v>42</v>
      </c>
      <c r="AK110" s="38">
        <v>647</v>
      </c>
      <c r="BK110" s="38" t="s">
        <v>48</v>
      </c>
      <c r="BL110" s="38" t="s">
        <v>1584</v>
      </c>
      <c r="BM110" s="38" t="s">
        <v>1583</v>
      </c>
      <c r="BN110" s="38">
        <v>44245.392863923611</v>
      </c>
      <c r="BR110" s="38" t="s">
        <v>1582</v>
      </c>
      <c r="BS110" s="38">
        <v>4.0120202120938301E+18</v>
      </c>
      <c r="BT110" s="38" t="s">
        <v>1581</v>
      </c>
      <c r="BV110" s="38">
        <v>2020</v>
      </c>
      <c r="BW110" s="38" t="s">
        <v>1579</v>
      </c>
      <c r="BY110" s="38">
        <v>4.0217202111536302E+18</v>
      </c>
      <c r="BZ110" s="38" t="s">
        <v>2256</v>
      </c>
      <c r="CA110" s="38" t="s">
        <v>1577</v>
      </c>
    </row>
    <row r="111" spans="1:79" x14ac:dyDescent="0.2">
      <c r="A111" s="38" t="s">
        <v>1309</v>
      </c>
      <c r="B111" s="38" t="s">
        <v>604</v>
      </c>
      <c r="C111" s="38">
        <v>2020</v>
      </c>
      <c r="D111" s="38" t="s">
        <v>1835</v>
      </c>
      <c r="E111" s="38">
        <v>2.0210114940104602E+17</v>
      </c>
      <c r="F111" s="38" t="s">
        <v>1598</v>
      </c>
      <c r="G111" s="38" t="s">
        <v>2394</v>
      </c>
      <c r="H111" s="38">
        <v>1487725</v>
      </c>
      <c r="J111" s="38" t="s">
        <v>1596</v>
      </c>
      <c r="K111" s="38" t="s">
        <v>1595</v>
      </c>
      <c r="L111" s="38" t="s">
        <v>1190</v>
      </c>
      <c r="N111" s="38" t="s">
        <v>2076</v>
      </c>
      <c r="O111" s="38" t="s">
        <v>1593</v>
      </c>
      <c r="Q111" s="38" t="s">
        <v>1592</v>
      </c>
      <c r="R111" s="38" t="s">
        <v>2077</v>
      </c>
      <c r="T111" s="38" t="s">
        <v>2078</v>
      </c>
      <c r="V111" s="38" t="s">
        <v>2085</v>
      </c>
      <c r="X111" s="38" t="s">
        <v>2080</v>
      </c>
      <c r="Y111" s="38" t="s">
        <v>2081</v>
      </c>
      <c r="Z111" s="38">
        <v>338100789</v>
      </c>
      <c r="AA111" s="38" t="s">
        <v>1587</v>
      </c>
      <c r="AB111" s="38" t="s">
        <v>1587</v>
      </c>
      <c r="AC111" s="38" t="s">
        <v>1190</v>
      </c>
      <c r="AD111" s="38" t="s">
        <v>1608</v>
      </c>
      <c r="AE111" s="38" t="s">
        <v>1607</v>
      </c>
      <c r="AF111" s="38" t="s">
        <v>2111</v>
      </c>
      <c r="AI111" s="38">
        <v>43978</v>
      </c>
      <c r="AJ111" s="38">
        <v>42</v>
      </c>
      <c r="AK111" s="38">
        <v>451</v>
      </c>
      <c r="BK111" s="38" t="s">
        <v>48</v>
      </c>
      <c r="BL111" s="38" t="s">
        <v>1584</v>
      </c>
      <c r="BM111" s="38" t="s">
        <v>1583</v>
      </c>
      <c r="BN111" s="38">
        <v>44245.395709895834</v>
      </c>
      <c r="BR111" s="38" t="s">
        <v>1582</v>
      </c>
      <c r="BS111" s="38">
        <v>4.0120202120938301E+18</v>
      </c>
      <c r="BT111" s="38" t="s">
        <v>1581</v>
      </c>
      <c r="BV111" s="38">
        <v>2020</v>
      </c>
      <c r="BW111" s="38" t="s">
        <v>1579</v>
      </c>
      <c r="BY111" s="38">
        <v>4.0217202111547602E+18</v>
      </c>
      <c r="BZ111" s="38" t="s">
        <v>2257</v>
      </c>
      <c r="CA111" s="38" t="s">
        <v>1577</v>
      </c>
    </row>
    <row r="112" spans="1:79" x14ac:dyDescent="0.2">
      <c r="A112" s="38" t="s">
        <v>1190</v>
      </c>
      <c r="B112" s="38" t="s">
        <v>485</v>
      </c>
      <c r="C112" s="38">
        <v>2020</v>
      </c>
      <c r="D112" s="38" t="s">
        <v>1667</v>
      </c>
      <c r="E112" s="38">
        <v>2.0210208942714099E+17</v>
      </c>
      <c r="F112" s="38" t="s">
        <v>1598</v>
      </c>
      <c r="G112" s="38" t="s">
        <v>2395</v>
      </c>
      <c r="H112" s="38">
        <v>1499074</v>
      </c>
      <c r="J112" s="38" t="s">
        <v>1596</v>
      </c>
      <c r="K112" s="38" t="s">
        <v>1595</v>
      </c>
      <c r="N112" s="38" t="s">
        <v>2076</v>
      </c>
      <c r="O112" s="38" t="s">
        <v>0</v>
      </c>
      <c r="Q112" s="38" t="s">
        <v>58</v>
      </c>
      <c r="R112" s="38" t="s">
        <v>2077</v>
      </c>
      <c r="T112" s="38" t="s">
        <v>2078</v>
      </c>
      <c r="V112" s="38" t="s">
        <v>2085</v>
      </c>
      <c r="X112" s="38" t="s">
        <v>2080</v>
      </c>
      <c r="Y112" s="38" t="s">
        <v>2081</v>
      </c>
      <c r="Z112" s="38">
        <v>33810</v>
      </c>
      <c r="AA112" s="38" t="s">
        <v>1587</v>
      </c>
      <c r="AB112" s="38" t="s">
        <v>1587</v>
      </c>
      <c r="AF112" s="38" t="s">
        <v>2258</v>
      </c>
      <c r="AI112" s="38">
        <v>44108</v>
      </c>
      <c r="AJ112" s="38">
        <v>42</v>
      </c>
      <c r="AK112" s="38">
        <v>42</v>
      </c>
      <c r="BK112" s="38" t="s">
        <v>48</v>
      </c>
      <c r="BL112" s="38" t="s">
        <v>1584</v>
      </c>
      <c r="BM112" s="38" t="s">
        <v>1583</v>
      </c>
      <c r="BN112" s="38">
        <v>44246.189778125001</v>
      </c>
      <c r="BR112" s="38" t="s">
        <v>1582</v>
      </c>
      <c r="BS112" s="38">
        <v>4.0209202111221601E+18</v>
      </c>
      <c r="BT112" s="38" t="s">
        <v>1581</v>
      </c>
      <c r="BV112" s="38">
        <v>2020</v>
      </c>
      <c r="BW112" s="38" t="s">
        <v>1579</v>
      </c>
      <c r="BY112" s="38">
        <v>4.0219202111599498E+18</v>
      </c>
      <c r="BZ112" s="38" t="s">
        <v>2259</v>
      </c>
      <c r="CA112" s="38" t="s">
        <v>1577</v>
      </c>
    </row>
    <row r="113" spans="1:79" x14ac:dyDescent="0.2">
      <c r="A113" s="38" t="s">
        <v>1309</v>
      </c>
      <c r="B113" s="38" t="s">
        <v>604</v>
      </c>
      <c r="C113" s="38">
        <v>2020</v>
      </c>
      <c r="D113" s="38" t="s">
        <v>1659</v>
      </c>
      <c r="E113" s="38">
        <v>2.0210125940563299E+17</v>
      </c>
      <c r="F113" s="38" t="s">
        <v>1598</v>
      </c>
      <c r="G113" s="38" t="s">
        <v>2396</v>
      </c>
      <c r="H113" s="38">
        <v>1490496</v>
      </c>
      <c r="J113" s="38" t="s">
        <v>1596</v>
      </c>
      <c r="K113" s="38" t="s">
        <v>1595</v>
      </c>
      <c r="L113" s="38" t="s">
        <v>1190</v>
      </c>
      <c r="N113" s="38" t="s">
        <v>2076</v>
      </c>
      <c r="O113" s="38" t="s">
        <v>1593</v>
      </c>
      <c r="Q113" s="38" t="s">
        <v>1592</v>
      </c>
      <c r="R113" s="38" t="s">
        <v>2077</v>
      </c>
      <c r="T113" s="38" t="s">
        <v>2078</v>
      </c>
      <c r="V113" s="38" t="s">
        <v>2085</v>
      </c>
      <c r="X113" s="38" t="s">
        <v>2080</v>
      </c>
      <c r="Y113" s="38" t="s">
        <v>2081</v>
      </c>
      <c r="Z113" s="38">
        <v>338100789</v>
      </c>
      <c r="AA113" s="38" t="s">
        <v>1587</v>
      </c>
      <c r="AB113" s="38" t="s">
        <v>1587</v>
      </c>
      <c r="AC113" s="38" t="s">
        <v>1190</v>
      </c>
      <c r="AD113" s="38" t="s">
        <v>1608</v>
      </c>
      <c r="AE113" s="38" t="s">
        <v>1607</v>
      </c>
      <c r="AF113" s="38" t="s">
        <v>2111</v>
      </c>
      <c r="AI113" s="38">
        <v>44019</v>
      </c>
      <c r="AJ113" s="38">
        <v>35</v>
      </c>
      <c r="AK113" s="38">
        <v>724</v>
      </c>
      <c r="BK113" s="38" t="s">
        <v>48</v>
      </c>
      <c r="BL113" s="38" t="s">
        <v>1584</v>
      </c>
      <c r="BM113" s="38" t="s">
        <v>1583</v>
      </c>
      <c r="BN113" s="38">
        <v>44252.615742511574</v>
      </c>
      <c r="BR113" s="38" t="s">
        <v>1582</v>
      </c>
      <c r="BS113" s="38">
        <v>4.0125202121377597E+18</v>
      </c>
      <c r="BT113" s="38" t="s">
        <v>1581</v>
      </c>
      <c r="BV113" s="38">
        <v>2020</v>
      </c>
      <c r="BW113" s="38" t="s">
        <v>1579</v>
      </c>
      <c r="BY113" s="38">
        <v>4.0224202111773102E+18</v>
      </c>
      <c r="BZ113" s="38" t="s">
        <v>2260</v>
      </c>
      <c r="CA113" s="38" t="s">
        <v>1577</v>
      </c>
    </row>
    <row r="114" spans="1:79" x14ac:dyDescent="0.2">
      <c r="A114" s="38" t="s">
        <v>1309</v>
      </c>
      <c r="B114" s="38" t="s">
        <v>604</v>
      </c>
      <c r="C114" s="38">
        <v>2020</v>
      </c>
      <c r="D114" s="38" t="s">
        <v>1659</v>
      </c>
      <c r="E114" s="38">
        <v>2.02101259408136E+17</v>
      </c>
      <c r="F114" s="38" t="s">
        <v>1598</v>
      </c>
      <c r="G114" s="38" t="s">
        <v>2397</v>
      </c>
      <c r="H114" s="38">
        <v>1490496</v>
      </c>
      <c r="J114" s="38" t="s">
        <v>1596</v>
      </c>
      <c r="K114" s="38" t="s">
        <v>1595</v>
      </c>
      <c r="L114" s="38" t="s">
        <v>1495</v>
      </c>
      <c r="N114" s="38" t="s">
        <v>2076</v>
      </c>
      <c r="O114" s="38" t="s">
        <v>1593</v>
      </c>
      <c r="Q114" s="38" t="s">
        <v>1592</v>
      </c>
      <c r="R114" s="38" t="s">
        <v>2077</v>
      </c>
      <c r="T114" s="38" t="s">
        <v>2078</v>
      </c>
      <c r="V114" s="38" t="s">
        <v>2085</v>
      </c>
      <c r="X114" s="38" t="s">
        <v>2080</v>
      </c>
      <c r="Y114" s="38" t="s">
        <v>2081</v>
      </c>
      <c r="Z114" s="38">
        <v>338100789</v>
      </c>
      <c r="AA114" s="38" t="s">
        <v>1587</v>
      </c>
      <c r="AB114" s="38" t="s">
        <v>1587</v>
      </c>
      <c r="AC114" s="38" t="s">
        <v>1495</v>
      </c>
      <c r="AD114" s="38" t="s">
        <v>1608</v>
      </c>
      <c r="AE114" s="38" t="s">
        <v>1607</v>
      </c>
      <c r="AF114" s="38" t="s">
        <v>2138</v>
      </c>
      <c r="AI114" s="38">
        <v>44085</v>
      </c>
      <c r="AJ114" s="38">
        <v>9</v>
      </c>
      <c r="AK114" s="38">
        <v>1117.76</v>
      </c>
      <c r="AL114" s="38" t="s">
        <v>2139</v>
      </c>
      <c r="BK114" s="38" t="s">
        <v>48</v>
      </c>
      <c r="BL114" s="38" t="s">
        <v>1584</v>
      </c>
      <c r="BM114" s="38" t="s">
        <v>1583</v>
      </c>
      <c r="BN114" s="38">
        <v>44252.612295729166</v>
      </c>
      <c r="BR114" s="38" t="s">
        <v>1582</v>
      </c>
      <c r="BS114" s="38">
        <v>4.0125202121377597E+18</v>
      </c>
      <c r="BT114" s="38" t="s">
        <v>1581</v>
      </c>
      <c r="BV114" s="38">
        <v>2020</v>
      </c>
      <c r="BW114" s="38" t="s">
        <v>1579</v>
      </c>
      <c r="BY114" s="38">
        <v>4.0224202111872502E+18</v>
      </c>
      <c r="BZ114" s="38" t="s">
        <v>2261</v>
      </c>
      <c r="CA114" s="38" t="s">
        <v>1577</v>
      </c>
    </row>
    <row r="115" spans="1:79" x14ac:dyDescent="0.2">
      <c r="A115" s="38" t="s">
        <v>1309</v>
      </c>
      <c r="B115" s="38" t="s">
        <v>604</v>
      </c>
      <c r="C115" s="38">
        <v>2020</v>
      </c>
      <c r="D115" s="38" t="s">
        <v>1659</v>
      </c>
      <c r="E115" s="38">
        <v>2.0210125940813798E+17</v>
      </c>
      <c r="F115" s="38" t="s">
        <v>1598</v>
      </c>
      <c r="G115" s="38" t="s">
        <v>2398</v>
      </c>
      <c r="H115" s="38">
        <v>1490496</v>
      </c>
      <c r="J115" s="38" t="s">
        <v>1596</v>
      </c>
      <c r="K115" s="38" t="s">
        <v>1595</v>
      </c>
      <c r="L115" s="38" t="s">
        <v>1098</v>
      </c>
      <c r="N115" s="38" t="s">
        <v>2076</v>
      </c>
      <c r="O115" s="38" t="s">
        <v>1593</v>
      </c>
      <c r="Q115" s="38" t="s">
        <v>1592</v>
      </c>
      <c r="R115" s="38" t="s">
        <v>2077</v>
      </c>
      <c r="T115" s="38" t="s">
        <v>2078</v>
      </c>
      <c r="V115" s="38" t="s">
        <v>2085</v>
      </c>
      <c r="X115" s="38" t="s">
        <v>2080</v>
      </c>
      <c r="Y115" s="38" t="s">
        <v>2081</v>
      </c>
      <c r="Z115" s="38">
        <v>338100789</v>
      </c>
      <c r="AA115" s="38" t="s">
        <v>1587</v>
      </c>
      <c r="AB115" s="38" t="s">
        <v>1587</v>
      </c>
      <c r="AC115" s="38" t="s">
        <v>1098</v>
      </c>
      <c r="AD115" s="38" t="s">
        <v>1608</v>
      </c>
      <c r="AE115" s="38" t="s">
        <v>1607</v>
      </c>
      <c r="AF115" s="38" t="s">
        <v>2113</v>
      </c>
      <c r="AI115" s="38">
        <v>44085</v>
      </c>
      <c r="AJ115" s="38">
        <v>1</v>
      </c>
      <c r="AK115" s="38">
        <v>1117.76</v>
      </c>
      <c r="BK115" s="38" t="s">
        <v>48</v>
      </c>
      <c r="BL115" s="38" t="s">
        <v>1584</v>
      </c>
      <c r="BM115" s="38" t="s">
        <v>1583</v>
      </c>
      <c r="BN115" s="38">
        <v>44252.618639872686</v>
      </c>
      <c r="BR115" s="38" t="s">
        <v>1582</v>
      </c>
      <c r="BS115" s="38">
        <v>4.0125202121377597E+18</v>
      </c>
      <c r="BT115" s="38" t="s">
        <v>1581</v>
      </c>
      <c r="BV115" s="38">
        <v>2020</v>
      </c>
      <c r="BW115" s="38" t="s">
        <v>1579</v>
      </c>
      <c r="BY115" s="38">
        <v>4.0224202111789901E+18</v>
      </c>
      <c r="BZ115" s="38" t="s">
        <v>2262</v>
      </c>
      <c r="CA115" s="38" t="s">
        <v>1577</v>
      </c>
    </row>
    <row r="116" spans="1:79" x14ac:dyDescent="0.2">
      <c r="A116" s="38" t="s">
        <v>1309</v>
      </c>
      <c r="B116" s="38" t="s">
        <v>604</v>
      </c>
      <c r="C116" s="38">
        <v>2020</v>
      </c>
      <c r="D116" s="38" t="s">
        <v>1659</v>
      </c>
      <c r="E116" s="38">
        <v>2.0210125940691501E+17</v>
      </c>
      <c r="F116" s="38" t="s">
        <v>1598</v>
      </c>
      <c r="G116" s="38" t="s">
        <v>2399</v>
      </c>
      <c r="H116" s="38">
        <v>1490496</v>
      </c>
      <c r="J116" s="38" t="s">
        <v>1596</v>
      </c>
      <c r="K116" s="38" t="s">
        <v>1595</v>
      </c>
      <c r="L116" s="38" t="s">
        <v>2144</v>
      </c>
      <c r="N116" s="38" t="s">
        <v>2076</v>
      </c>
      <c r="O116" s="38" t="s">
        <v>1593</v>
      </c>
      <c r="Q116" s="38" t="s">
        <v>1592</v>
      </c>
      <c r="R116" s="38" t="s">
        <v>2077</v>
      </c>
      <c r="T116" s="38" t="s">
        <v>2078</v>
      </c>
      <c r="V116" s="38" t="s">
        <v>2085</v>
      </c>
      <c r="X116" s="38" t="s">
        <v>2080</v>
      </c>
      <c r="Y116" s="38" t="s">
        <v>2081</v>
      </c>
      <c r="Z116" s="38">
        <v>338100789</v>
      </c>
      <c r="AA116" s="38" t="s">
        <v>1587</v>
      </c>
      <c r="AB116" s="38" t="s">
        <v>1587</v>
      </c>
      <c r="AC116" s="38" t="s">
        <v>2144</v>
      </c>
      <c r="AD116" s="38" t="s">
        <v>1608</v>
      </c>
      <c r="AE116" s="38" t="s">
        <v>1607</v>
      </c>
      <c r="AF116" s="38" t="s">
        <v>2145</v>
      </c>
      <c r="AI116" s="38">
        <v>44057</v>
      </c>
      <c r="AJ116" s="38">
        <v>17.760000000000002</v>
      </c>
      <c r="AK116" s="38">
        <v>920.76</v>
      </c>
      <c r="AL116" s="38" t="s">
        <v>2146</v>
      </c>
      <c r="BK116" s="38" t="s">
        <v>48</v>
      </c>
      <c r="BL116" s="38" t="s">
        <v>1584</v>
      </c>
      <c r="BM116" s="38" t="s">
        <v>1583</v>
      </c>
      <c r="BN116" s="38">
        <v>44252.617396689813</v>
      </c>
      <c r="BR116" s="38" t="s">
        <v>1582</v>
      </c>
      <c r="BS116" s="38">
        <v>4.0125202121377597E+18</v>
      </c>
      <c r="BT116" s="38" t="s">
        <v>1581</v>
      </c>
      <c r="BV116" s="38">
        <v>2020</v>
      </c>
      <c r="BW116" s="38" t="s">
        <v>1579</v>
      </c>
      <c r="BY116" s="38">
        <v>4.0224202111804401E+18</v>
      </c>
      <c r="BZ116" s="38" t="s">
        <v>2263</v>
      </c>
      <c r="CA116" s="38" t="s">
        <v>1577</v>
      </c>
    </row>
    <row r="117" spans="1:79" x14ac:dyDescent="0.2">
      <c r="A117" s="38" t="s">
        <v>1309</v>
      </c>
      <c r="B117" s="38" t="s">
        <v>604</v>
      </c>
      <c r="C117" s="38">
        <v>2020</v>
      </c>
      <c r="D117" s="38" t="s">
        <v>1659</v>
      </c>
      <c r="E117" s="38">
        <v>2.0210125940657699E+17</v>
      </c>
      <c r="F117" s="38" t="s">
        <v>1598</v>
      </c>
      <c r="G117" s="38" t="s">
        <v>2400</v>
      </c>
      <c r="H117" s="38">
        <v>1490496</v>
      </c>
      <c r="J117" s="38" t="s">
        <v>1596</v>
      </c>
      <c r="K117" s="38" t="s">
        <v>1595</v>
      </c>
      <c r="L117" s="38" t="s">
        <v>1190</v>
      </c>
      <c r="N117" s="38" t="s">
        <v>2076</v>
      </c>
      <c r="O117" s="38" t="s">
        <v>1593</v>
      </c>
      <c r="Q117" s="38" t="s">
        <v>1592</v>
      </c>
      <c r="R117" s="38" t="s">
        <v>2077</v>
      </c>
      <c r="T117" s="38" t="s">
        <v>2078</v>
      </c>
      <c r="V117" s="38" t="s">
        <v>2085</v>
      </c>
      <c r="X117" s="38" t="s">
        <v>2080</v>
      </c>
      <c r="Y117" s="38" t="s">
        <v>2081</v>
      </c>
      <c r="Z117" s="38">
        <v>338100789</v>
      </c>
      <c r="AA117" s="38" t="s">
        <v>1587</v>
      </c>
      <c r="AB117" s="38" t="s">
        <v>1587</v>
      </c>
      <c r="AC117" s="38" t="s">
        <v>1190</v>
      </c>
      <c r="AD117" s="38" t="s">
        <v>1608</v>
      </c>
      <c r="AE117" s="38" t="s">
        <v>1607</v>
      </c>
      <c r="AF117" s="38" t="s">
        <v>2111</v>
      </c>
      <c r="AI117" s="38">
        <v>44047</v>
      </c>
      <c r="AJ117" s="38">
        <v>42</v>
      </c>
      <c r="AK117" s="38">
        <v>838</v>
      </c>
      <c r="BK117" s="38" t="s">
        <v>48</v>
      </c>
      <c r="BL117" s="38" t="s">
        <v>1584</v>
      </c>
      <c r="BM117" s="38" t="s">
        <v>1583</v>
      </c>
      <c r="BN117" s="38">
        <v>44252.619189837962</v>
      </c>
      <c r="BR117" s="38" t="s">
        <v>1582</v>
      </c>
      <c r="BS117" s="38">
        <v>4.0125202121377597E+18</v>
      </c>
      <c r="BT117" s="38" t="s">
        <v>1581</v>
      </c>
      <c r="BV117" s="38">
        <v>2020</v>
      </c>
      <c r="BW117" s="38" t="s">
        <v>1579</v>
      </c>
      <c r="BY117" s="38">
        <v>4.02242021117779E+18</v>
      </c>
      <c r="BZ117" s="38" t="s">
        <v>2264</v>
      </c>
      <c r="CA117" s="38" t="s">
        <v>1577</v>
      </c>
    </row>
    <row r="118" spans="1:79" x14ac:dyDescent="0.2">
      <c r="A118" s="38" t="s">
        <v>1309</v>
      </c>
      <c r="B118" s="38" t="s">
        <v>604</v>
      </c>
      <c r="C118" s="38">
        <v>2020</v>
      </c>
      <c r="D118" s="38" t="s">
        <v>1659</v>
      </c>
      <c r="E118" s="38">
        <v>2.02101259408348E+17</v>
      </c>
      <c r="F118" s="38" t="s">
        <v>1598</v>
      </c>
      <c r="G118" s="38" t="s">
        <v>2401</v>
      </c>
      <c r="H118" s="38">
        <v>1490496</v>
      </c>
      <c r="J118" s="38" t="s">
        <v>1596</v>
      </c>
      <c r="K118" s="38" t="s">
        <v>1595</v>
      </c>
      <c r="L118" s="38" t="s">
        <v>1431</v>
      </c>
      <c r="N118" s="38" t="s">
        <v>2076</v>
      </c>
      <c r="O118" s="38" t="s">
        <v>1593</v>
      </c>
      <c r="Q118" s="38" t="s">
        <v>1592</v>
      </c>
      <c r="R118" s="38" t="s">
        <v>2077</v>
      </c>
      <c r="T118" s="38" t="s">
        <v>2078</v>
      </c>
      <c r="V118" s="38" t="s">
        <v>2085</v>
      </c>
      <c r="X118" s="38" t="s">
        <v>2080</v>
      </c>
      <c r="Y118" s="38" t="s">
        <v>2081</v>
      </c>
      <c r="Z118" s="38">
        <v>338100789</v>
      </c>
      <c r="AA118" s="38" t="s">
        <v>1587</v>
      </c>
      <c r="AB118" s="38" t="s">
        <v>1587</v>
      </c>
      <c r="AC118" s="38" t="s">
        <v>1431</v>
      </c>
      <c r="AD118" s="38" t="s">
        <v>1608</v>
      </c>
      <c r="AE118" s="38" t="s">
        <v>1607</v>
      </c>
      <c r="AF118" s="38" t="s">
        <v>2141</v>
      </c>
      <c r="AI118" s="38">
        <v>44090</v>
      </c>
      <c r="AJ118" s="38">
        <v>10</v>
      </c>
      <c r="AK118" s="38">
        <v>1147.76</v>
      </c>
      <c r="AL118" s="38" t="s">
        <v>2142</v>
      </c>
      <c r="BK118" s="38" t="s">
        <v>48</v>
      </c>
      <c r="BL118" s="38" t="s">
        <v>1584</v>
      </c>
      <c r="BM118" s="38" t="s">
        <v>1583</v>
      </c>
      <c r="BN118" s="38">
        <v>44252.617830405092</v>
      </c>
      <c r="BR118" s="38" t="s">
        <v>1582</v>
      </c>
      <c r="BS118" s="38">
        <v>4.0125202121377597E+18</v>
      </c>
      <c r="BT118" s="38" t="s">
        <v>1581</v>
      </c>
      <c r="BV118" s="38">
        <v>2020</v>
      </c>
      <c r="BW118" s="38" t="s">
        <v>1579</v>
      </c>
      <c r="BY118" s="38">
        <v>4.0224202111777198E+18</v>
      </c>
      <c r="BZ118" s="38" t="s">
        <v>2265</v>
      </c>
      <c r="CA118" s="38" t="s">
        <v>1577</v>
      </c>
    </row>
    <row r="119" spans="1:79" x14ac:dyDescent="0.2">
      <c r="A119" s="38" t="s">
        <v>1309</v>
      </c>
      <c r="B119" s="38" t="s">
        <v>604</v>
      </c>
      <c r="C119" s="38">
        <v>2020</v>
      </c>
      <c r="D119" s="38" t="s">
        <v>1659</v>
      </c>
      <c r="E119" s="38">
        <v>2.0210125940854301E+17</v>
      </c>
      <c r="F119" s="38" t="s">
        <v>1598</v>
      </c>
      <c r="G119" s="38" t="s">
        <v>2402</v>
      </c>
      <c r="H119" s="38">
        <v>1490496</v>
      </c>
      <c r="J119" s="38" t="s">
        <v>1596</v>
      </c>
      <c r="K119" s="38" t="s">
        <v>1595</v>
      </c>
      <c r="L119" s="38" t="s">
        <v>1075</v>
      </c>
      <c r="N119" s="38" t="s">
        <v>2076</v>
      </c>
      <c r="O119" s="38" t="s">
        <v>1593</v>
      </c>
      <c r="Q119" s="38" t="s">
        <v>1592</v>
      </c>
      <c r="R119" s="38" t="s">
        <v>2077</v>
      </c>
      <c r="T119" s="38" t="s">
        <v>2078</v>
      </c>
      <c r="V119" s="38" t="s">
        <v>2085</v>
      </c>
      <c r="X119" s="38" t="s">
        <v>2080</v>
      </c>
      <c r="Y119" s="38" t="s">
        <v>2081</v>
      </c>
      <c r="Z119" s="38">
        <v>338100789</v>
      </c>
      <c r="AA119" s="38" t="s">
        <v>1587</v>
      </c>
      <c r="AB119" s="38" t="s">
        <v>1587</v>
      </c>
      <c r="AC119" s="38" t="s">
        <v>1075</v>
      </c>
      <c r="AD119" s="38" t="s">
        <v>1608</v>
      </c>
      <c r="AE119" s="38" t="s">
        <v>1607</v>
      </c>
      <c r="AF119" s="38" t="s">
        <v>2093</v>
      </c>
      <c r="AI119" s="38">
        <v>44094</v>
      </c>
      <c r="AJ119" s="38">
        <v>10</v>
      </c>
      <c r="AK119" s="38">
        <v>1167.76</v>
      </c>
      <c r="AL119" s="38" t="s">
        <v>2094</v>
      </c>
      <c r="BK119" s="38" t="s">
        <v>48</v>
      </c>
      <c r="BL119" s="38" t="s">
        <v>1584</v>
      </c>
      <c r="BM119" s="38" t="s">
        <v>1583</v>
      </c>
      <c r="BN119" s="38">
        <v>44252.619925347222</v>
      </c>
      <c r="BR119" s="38" t="s">
        <v>1582</v>
      </c>
      <c r="BS119" s="38">
        <v>4.0125202121377597E+18</v>
      </c>
      <c r="BT119" s="38" t="s">
        <v>1581</v>
      </c>
      <c r="BV119" s="38">
        <v>2020</v>
      </c>
      <c r="BW119" s="38" t="s">
        <v>1579</v>
      </c>
      <c r="BY119" s="38">
        <v>4.0224202111816899E+18</v>
      </c>
      <c r="BZ119" s="38" t="s">
        <v>2266</v>
      </c>
      <c r="CA119" s="38" t="s">
        <v>1577</v>
      </c>
    </row>
    <row r="120" spans="1:79" x14ac:dyDescent="0.2">
      <c r="A120" s="38" t="s">
        <v>1309</v>
      </c>
      <c r="B120" s="38" t="s">
        <v>604</v>
      </c>
      <c r="C120" s="38">
        <v>2020</v>
      </c>
      <c r="D120" s="38" t="s">
        <v>1659</v>
      </c>
      <c r="E120" s="38">
        <v>2.0210125940872701E+17</v>
      </c>
      <c r="F120" s="38" t="s">
        <v>1598</v>
      </c>
      <c r="G120" s="38" t="s">
        <v>2403</v>
      </c>
      <c r="H120" s="38">
        <v>1490496</v>
      </c>
      <c r="J120" s="38" t="s">
        <v>1596</v>
      </c>
      <c r="K120" s="38" t="s">
        <v>1595</v>
      </c>
      <c r="L120" s="38" t="s">
        <v>1190</v>
      </c>
      <c r="N120" s="38" t="s">
        <v>2076</v>
      </c>
      <c r="O120" s="38" t="s">
        <v>1593</v>
      </c>
      <c r="Q120" s="38" t="s">
        <v>1592</v>
      </c>
      <c r="R120" s="38" t="s">
        <v>2077</v>
      </c>
      <c r="T120" s="38" t="s">
        <v>2078</v>
      </c>
      <c r="V120" s="38" t="s">
        <v>2085</v>
      </c>
      <c r="X120" s="38" t="s">
        <v>2080</v>
      </c>
      <c r="Y120" s="38" t="s">
        <v>2081</v>
      </c>
      <c r="Z120" s="38">
        <v>338100789</v>
      </c>
      <c r="AA120" s="38" t="s">
        <v>1587</v>
      </c>
      <c r="AB120" s="38" t="s">
        <v>1587</v>
      </c>
      <c r="AC120" s="38" t="s">
        <v>1190</v>
      </c>
      <c r="AD120" s="38" t="s">
        <v>1608</v>
      </c>
      <c r="AE120" s="38" t="s">
        <v>1607</v>
      </c>
      <c r="AF120" s="38" t="s">
        <v>2111</v>
      </c>
      <c r="AI120" s="38">
        <v>44097</v>
      </c>
      <c r="AJ120" s="38">
        <v>10</v>
      </c>
      <c r="AK120" s="38">
        <v>1217.76</v>
      </c>
      <c r="BK120" s="38" t="s">
        <v>48</v>
      </c>
      <c r="BL120" s="38" t="s">
        <v>1584</v>
      </c>
      <c r="BM120" s="38" t="s">
        <v>1583</v>
      </c>
      <c r="BN120" s="38">
        <v>44252.619564641202</v>
      </c>
      <c r="BR120" s="38" t="s">
        <v>1582</v>
      </c>
      <c r="BS120" s="38">
        <v>4.0125202121377597E+18</v>
      </c>
      <c r="BT120" s="38" t="s">
        <v>1581</v>
      </c>
      <c r="BV120" s="38">
        <v>2020</v>
      </c>
      <c r="BW120" s="38" t="s">
        <v>1579</v>
      </c>
      <c r="BY120" s="38">
        <v>4.0224202111778002E+18</v>
      </c>
      <c r="BZ120" s="38" t="s">
        <v>2267</v>
      </c>
      <c r="CA120" s="38" t="s">
        <v>1577</v>
      </c>
    </row>
    <row r="121" spans="1:79" x14ac:dyDescent="0.2">
      <c r="A121" s="38" t="s">
        <v>1309</v>
      </c>
      <c r="B121" s="38" t="s">
        <v>604</v>
      </c>
      <c r="C121" s="38">
        <v>2020</v>
      </c>
      <c r="D121" s="38" t="s">
        <v>1659</v>
      </c>
      <c r="E121" s="38">
        <v>2.0210125940867501E+17</v>
      </c>
      <c r="F121" s="38" t="s">
        <v>1598</v>
      </c>
      <c r="G121" s="38" t="s">
        <v>2404</v>
      </c>
      <c r="H121" s="38">
        <v>1490496</v>
      </c>
      <c r="J121" s="38" t="s">
        <v>1596</v>
      </c>
      <c r="K121" s="38" t="s">
        <v>1595</v>
      </c>
      <c r="L121" s="38" t="s">
        <v>1398</v>
      </c>
      <c r="N121" s="38" t="s">
        <v>2076</v>
      </c>
      <c r="O121" s="38" t="s">
        <v>1593</v>
      </c>
      <c r="Q121" s="38" t="s">
        <v>1592</v>
      </c>
      <c r="R121" s="38" t="s">
        <v>2077</v>
      </c>
      <c r="T121" s="38" t="s">
        <v>2078</v>
      </c>
      <c r="V121" s="38" t="s">
        <v>2085</v>
      </c>
      <c r="X121" s="38" t="s">
        <v>2080</v>
      </c>
      <c r="Y121" s="38" t="s">
        <v>2081</v>
      </c>
      <c r="Z121" s="38">
        <v>338100789</v>
      </c>
      <c r="AA121" s="38" t="s">
        <v>1587</v>
      </c>
      <c r="AB121" s="38" t="s">
        <v>1587</v>
      </c>
      <c r="AC121" s="38" t="s">
        <v>1398</v>
      </c>
      <c r="AD121" s="38" t="s">
        <v>1608</v>
      </c>
      <c r="AE121" s="38" t="s">
        <v>1607</v>
      </c>
      <c r="AF121" s="38" t="s">
        <v>2104</v>
      </c>
      <c r="AI121" s="38">
        <v>44096</v>
      </c>
      <c r="AJ121" s="38">
        <v>10</v>
      </c>
      <c r="AK121" s="38">
        <v>1197.76</v>
      </c>
      <c r="AL121" s="38" t="s">
        <v>2105</v>
      </c>
      <c r="BK121" s="38" t="s">
        <v>48</v>
      </c>
      <c r="BL121" s="38" t="s">
        <v>1584</v>
      </c>
      <c r="BM121" s="38" t="s">
        <v>1583</v>
      </c>
      <c r="BN121" s="38">
        <v>44252.61986564815</v>
      </c>
      <c r="BR121" s="38" t="s">
        <v>1582</v>
      </c>
      <c r="BS121" s="38">
        <v>4.0125202121377597E+18</v>
      </c>
      <c r="BT121" s="38" t="s">
        <v>1581</v>
      </c>
      <c r="BV121" s="38">
        <v>2020</v>
      </c>
      <c r="BW121" s="38" t="s">
        <v>1579</v>
      </c>
      <c r="BY121" s="38">
        <v>4.02242021118097E+18</v>
      </c>
      <c r="BZ121" s="38" t="s">
        <v>2268</v>
      </c>
      <c r="CA121" s="38" t="s">
        <v>1577</v>
      </c>
    </row>
    <row r="122" spans="1:79" x14ac:dyDescent="0.2">
      <c r="A122" s="38" t="s">
        <v>1309</v>
      </c>
      <c r="B122" s="38" t="s">
        <v>604</v>
      </c>
      <c r="C122" s="38">
        <v>2020</v>
      </c>
      <c r="D122" s="38" t="s">
        <v>1659</v>
      </c>
      <c r="E122" s="38">
        <v>2.0210125940722499E+17</v>
      </c>
      <c r="F122" s="38" t="s">
        <v>1598</v>
      </c>
      <c r="G122" s="38" t="s">
        <v>2405</v>
      </c>
      <c r="H122" s="38">
        <v>1490496</v>
      </c>
      <c r="J122" s="38" t="s">
        <v>1596</v>
      </c>
      <c r="K122" s="38" t="s">
        <v>1595</v>
      </c>
      <c r="L122" s="38" t="s">
        <v>1269</v>
      </c>
      <c r="N122" s="38" t="s">
        <v>2076</v>
      </c>
      <c r="O122" s="38" t="s">
        <v>1593</v>
      </c>
      <c r="Q122" s="38" t="s">
        <v>1592</v>
      </c>
      <c r="R122" s="38" t="s">
        <v>2077</v>
      </c>
      <c r="T122" s="38" t="s">
        <v>2078</v>
      </c>
      <c r="V122" s="38" t="s">
        <v>2085</v>
      </c>
      <c r="X122" s="38" t="s">
        <v>2080</v>
      </c>
      <c r="Y122" s="38" t="s">
        <v>2081</v>
      </c>
      <c r="Z122" s="38">
        <v>338100789</v>
      </c>
      <c r="AA122" s="38" t="s">
        <v>1587</v>
      </c>
      <c r="AB122" s="38" t="s">
        <v>1587</v>
      </c>
      <c r="AC122" s="38" t="s">
        <v>1269</v>
      </c>
      <c r="AD122" s="38" t="s">
        <v>1608</v>
      </c>
      <c r="AE122" s="38" t="s">
        <v>1607</v>
      </c>
      <c r="AF122" s="38" t="s">
        <v>2107</v>
      </c>
      <c r="AI122" s="38">
        <v>44065</v>
      </c>
      <c r="AJ122" s="38">
        <v>10</v>
      </c>
      <c r="AK122" s="38">
        <v>960.76</v>
      </c>
      <c r="AL122" s="38" t="s">
        <v>2108</v>
      </c>
      <c r="BK122" s="38" t="s">
        <v>48</v>
      </c>
      <c r="BL122" s="38" t="s">
        <v>1584</v>
      </c>
      <c r="BM122" s="38" t="s">
        <v>1583</v>
      </c>
      <c r="BN122" s="38">
        <v>44252.620973240744</v>
      </c>
      <c r="BR122" s="38" t="s">
        <v>1582</v>
      </c>
      <c r="BS122" s="38">
        <v>4.0125202121377597E+18</v>
      </c>
      <c r="BT122" s="38" t="s">
        <v>1581</v>
      </c>
      <c r="BV122" s="38">
        <v>2020</v>
      </c>
      <c r="BW122" s="38" t="s">
        <v>1579</v>
      </c>
      <c r="BY122" s="38">
        <v>4.0224202111850399E+18</v>
      </c>
      <c r="BZ122" s="38" t="s">
        <v>2269</v>
      </c>
      <c r="CA122" s="38" t="s">
        <v>1577</v>
      </c>
    </row>
    <row r="123" spans="1:79" x14ac:dyDescent="0.2">
      <c r="A123" s="38" t="s">
        <v>1309</v>
      </c>
      <c r="B123" s="38" t="s">
        <v>604</v>
      </c>
      <c r="C123" s="38">
        <v>2020</v>
      </c>
      <c r="D123" s="38" t="s">
        <v>1659</v>
      </c>
      <c r="E123" s="38">
        <v>2.0210125940900998E+17</v>
      </c>
      <c r="F123" s="38" t="s">
        <v>1598</v>
      </c>
      <c r="G123" s="38" t="s">
        <v>2406</v>
      </c>
      <c r="H123" s="38">
        <v>1490496</v>
      </c>
      <c r="J123" s="38" t="s">
        <v>1596</v>
      </c>
      <c r="K123" s="38" t="s">
        <v>1595</v>
      </c>
      <c r="L123" s="38" t="s">
        <v>1467</v>
      </c>
      <c r="N123" s="38" t="s">
        <v>2076</v>
      </c>
      <c r="O123" s="38" t="s">
        <v>1593</v>
      </c>
      <c r="Q123" s="38" t="s">
        <v>1592</v>
      </c>
      <c r="R123" s="38" t="s">
        <v>2077</v>
      </c>
      <c r="T123" s="38" t="s">
        <v>2078</v>
      </c>
      <c r="V123" s="38" t="s">
        <v>2085</v>
      </c>
      <c r="X123" s="38" t="s">
        <v>2080</v>
      </c>
      <c r="Y123" s="38" t="s">
        <v>2081</v>
      </c>
      <c r="Z123" s="38">
        <v>338100789</v>
      </c>
      <c r="AA123" s="38" t="s">
        <v>1587</v>
      </c>
      <c r="AB123" s="38" t="s">
        <v>1587</v>
      </c>
      <c r="AC123" s="38" t="s">
        <v>1467</v>
      </c>
      <c r="AD123" s="38" t="s">
        <v>1608</v>
      </c>
      <c r="AE123" s="38" t="s">
        <v>1607</v>
      </c>
      <c r="AF123" s="38" t="s">
        <v>2171</v>
      </c>
      <c r="AI123" s="38">
        <v>44102</v>
      </c>
      <c r="AJ123" s="38">
        <v>15</v>
      </c>
      <c r="AK123" s="38">
        <v>1292.76</v>
      </c>
      <c r="AL123" s="38" t="s">
        <v>2172</v>
      </c>
      <c r="BK123" s="38" t="s">
        <v>48</v>
      </c>
      <c r="BL123" s="38" t="s">
        <v>1584</v>
      </c>
      <c r="BM123" s="38" t="s">
        <v>1583</v>
      </c>
      <c r="BN123" s="38">
        <v>44252.623012430558</v>
      </c>
      <c r="BR123" s="38" t="s">
        <v>1582</v>
      </c>
      <c r="BS123" s="38">
        <v>4.0125202121377597E+18</v>
      </c>
      <c r="BT123" s="38" t="s">
        <v>1581</v>
      </c>
      <c r="BV123" s="38">
        <v>2020</v>
      </c>
      <c r="BW123" s="38" t="s">
        <v>1579</v>
      </c>
      <c r="BY123" s="38">
        <v>4.02242021118255E+18</v>
      </c>
      <c r="BZ123" s="38" t="s">
        <v>2270</v>
      </c>
      <c r="CA123" s="38" t="s">
        <v>1577</v>
      </c>
    </row>
    <row r="124" spans="1:79" x14ac:dyDescent="0.2">
      <c r="A124" s="38" t="s">
        <v>1309</v>
      </c>
      <c r="B124" s="38" t="s">
        <v>604</v>
      </c>
      <c r="C124" s="38">
        <v>2020</v>
      </c>
      <c r="D124" s="38" t="s">
        <v>1659</v>
      </c>
      <c r="E124" s="38">
        <v>2.0210125940673901E+17</v>
      </c>
      <c r="F124" s="38" t="s">
        <v>1598</v>
      </c>
      <c r="G124" s="38" t="s">
        <v>2407</v>
      </c>
      <c r="H124" s="38">
        <v>1490496</v>
      </c>
      <c r="J124" s="38" t="s">
        <v>1596</v>
      </c>
      <c r="K124" s="38" t="s">
        <v>1595</v>
      </c>
      <c r="L124" s="38" t="s">
        <v>1049</v>
      </c>
      <c r="N124" s="38" t="s">
        <v>2076</v>
      </c>
      <c r="O124" s="38" t="s">
        <v>1593</v>
      </c>
      <c r="Q124" s="38" t="s">
        <v>1592</v>
      </c>
      <c r="R124" s="38" t="s">
        <v>2077</v>
      </c>
      <c r="T124" s="38" t="s">
        <v>2078</v>
      </c>
      <c r="V124" s="38" t="s">
        <v>2085</v>
      </c>
      <c r="X124" s="38" t="s">
        <v>2080</v>
      </c>
      <c r="Y124" s="38" t="s">
        <v>2081</v>
      </c>
      <c r="Z124" s="38">
        <v>338100789</v>
      </c>
      <c r="AA124" s="38" t="s">
        <v>1587</v>
      </c>
      <c r="AB124" s="38" t="s">
        <v>1587</v>
      </c>
      <c r="AC124" s="38" t="s">
        <v>1049</v>
      </c>
      <c r="AD124" s="38" t="s">
        <v>1608</v>
      </c>
      <c r="AE124" s="38" t="s">
        <v>1607</v>
      </c>
      <c r="AF124" s="38" t="s">
        <v>2098</v>
      </c>
      <c r="AI124" s="38">
        <v>44052</v>
      </c>
      <c r="AJ124" s="38">
        <v>15</v>
      </c>
      <c r="AK124" s="38">
        <v>868</v>
      </c>
      <c r="AL124" s="38" t="s">
        <v>2099</v>
      </c>
      <c r="BK124" s="38" t="s">
        <v>48</v>
      </c>
      <c r="BL124" s="38" t="s">
        <v>1584</v>
      </c>
      <c r="BM124" s="38" t="s">
        <v>1583</v>
      </c>
      <c r="BN124" s="38">
        <v>44252.624552974536</v>
      </c>
      <c r="BR124" s="38" t="s">
        <v>1582</v>
      </c>
      <c r="BS124" s="38">
        <v>4.0125202121377597E+18</v>
      </c>
      <c r="BT124" s="38" t="s">
        <v>1581</v>
      </c>
      <c r="BV124" s="38">
        <v>2020</v>
      </c>
      <c r="BW124" s="38" t="s">
        <v>1579</v>
      </c>
      <c r="BY124" s="38">
        <v>4.0224202111837599E+18</v>
      </c>
      <c r="BZ124" s="38" t="s">
        <v>2271</v>
      </c>
      <c r="CA124" s="38" t="s">
        <v>1577</v>
      </c>
    </row>
    <row r="125" spans="1:79" x14ac:dyDescent="0.2">
      <c r="A125" s="38" t="s">
        <v>1309</v>
      </c>
      <c r="B125" s="38" t="s">
        <v>604</v>
      </c>
      <c r="C125" s="38">
        <v>2020</v>
      </c>
      <c r="D125" s="38" t="s">
        <v>1659</v>
      </c>
      <c r="E125" s="38">
        <v>2.02101259408728E+17</v>
      </c>
      <c r="F125" s="38" t="s">
        <v>1598</v>
      </c>
      <c r="G125" s="38" t="s">
        <v>2408</v>
      </c>
      <c r="H125" s="38">
        <v>1490496</v>
      </c>
      <c r="J125" s="38" t="s">
        <v>1596</v>
      </c>
      <c r="K125" s="38" t="s">
        <v>1595</v>
      </c>
      <c r="L125" s="38" t="s">
        <v>1025</v>
      </c>
      <c r="N125" s="38" t="s">
        <v>2076</v>
      </c>
      <c r="O125" s="38" t="s">
        <v>1593</v>
      </c>
      <c r="Q125" s="38" t="s">
        <v>1592</v>
      </c>
      <c r="R125" s="38" t="s">
        <v>2077</v>
      </c>
      <c r="T125" s="38" t="s">
        <v>2078</v>
      </c>
      <c r="V125" s="38" t="s">
        <v>2085</v>
      </c>
      <c r="X125" s="38" t="s">
        <v>2080</v>
      </c>
      <c r="Y125" s="38" t="s">
        <v>2081</v>
      </c>
      <c r="Z125" s="38">
        <v>338100789</v>
      </c>
      <c r="AA125" s="38" t="s">
        <v>1587</v>
      </c>
      <c r="AB125" s="38" t="s">
        <v>1587</v>
      </c>
      <c r="AC125" s="38" t="s">
        <v>1025</v>
      </c>
      <c r="AD125" s="38" t="s">
        <v>1608</v>
      </c>
      <c r="AE125" s="38" t="s">
        <v>1607</v>
      </c>
      <c r="AF125" s="38" t="s">
        <v>2272</v>
      </c>
      <c r="AI125" s="38">
        <v>44097</v>
      </c>
      <c r="AJ125" s="38">
        <v>10</v>
      </c>
      <c r="AK125" s="38">
        <v>1217.76</v>
      </c>
      <c r="AL125" s="38" t="s">
        <v>2273</v>
      </c>
      <c r="BK125" s="38" t="s">
        <v>48</v>
      </c>
      <c r="BL125" s="38" t="s">
        <v>1584</v>
      </c>
      <c r="BM125" s="38" t="s">
        <v>1583</v>
      </c>
      <c r="BN125" s="38">
        <v>44252.624135532409</v>
      </c>
      <c r="BR125" s="38" t="s">
        <v>1582</v>
      </c>
      <c r="BS125" s="38">
        <v>4.0125202121377597E+18</v>
      </c>
      <c r="BT125" s="38" t="s">
        <v>1581</v>
      </c>
      <c r="BV125" s="38">
        <v>2020</v>
      </c>
      <c r="BW125" s="38" t="s">
        <v>1579</v>
      </c>
      <c r="BY125" s="38">
        <v>4.02242021118383E+18</v>
      </c>
      <c r="BZ125" s="38" t="s">
        <v>2274</v>
      </c>
      <c r="CA125" s="38" t="s">
        <v>1577</v>
      </c>
    </row>
    <row r="126" spans="1:79" x14ac:dyDescent="0.2">
      <c r="A126" s="38" t="s">
        <v>1309</v>
      </c>
      <c r="B126" s="38" t="s">
        <v>604</v>
      </c>
      <c r="C126" s="38">
        <v>2020</v>
      </c>
      <c r="D126" s="38" t="s">
        <v>1659</v>
      </c>
      <c r="E126" s="38">
        <v>2.0210125940756998E+17</v>
      </c>
      <c r="F126" s="38" t="s">
        <v>1598</v>
      </c>
      <c r="G126" s="38" t="s">
        <v>2409</v>
      </c>
      <c r="H126" s="38">
        <v>1490496</v>
      </c>
      <c r="J126" s="38" t="s">
        <v>1596</v>
      </c>
      <c r="K126" s="38" t="s">
        <v>1595</v>
      </c>
      <c r="L126" s="38" t="s">
        <v>1098</v>
      </c>
      <c r="N126" s="38" t="s">
        <v>2076</v>
      </c>
      <c r="O126" s="38" t="s">
        <v>1593</v>
      </c>
      <c r="Q126" s="38" t="s">
        <v>1592</v>
      </c>
      <c r="R126" s="38" t="s">
        <v>2077</v>
      </c>
      <c r="T126" s="38" t="s">
        <v>2078</v>
      </c>
      <c r="V126" s="38" t="s">
        <v>2085</v>
      </c>
      <c r="X126" s="38" t="s">
        <v>2080</v>
      </c>
      <c r="Y126" s="38" t="s">
        <v>2081</v>
      </c>
      <c r="Z126" s="38">
        <v>338100789</v>
      </c>
      <c r="AA126" s="38" t="s">
        <v>1587</v>
      </c>
      <c r="AB126" s="38" t="s">
        <v>1587</v>
      </c>
      <c r="AC126" s="38" t="s">
        <v>1098</v>
      </c>
      <c r="AD126" s="38" t="s">
        <v>1608</v>
      </c>
      <c r="AE126" s="38" t="s">
        <v>1607</v>
      </c>
      <c r="AF126" s="38" t="s">
        <v>2113</v>
      </c>
      <c r="AI126" s="38">
        <v>44072</v>
      </c>
      <c r="AJ126" s="38">
        <v>12.5</v>
      </c>
      <c r="AK126" s="38">
        <v>1020.76</v>
      </c>
      <c r="BK126" s="38" t="s">
        <v>48</v>
      </c>
      <c r="BL126" s="38" t="s">
        <v>1584</v>
      </c>
      <c r="BM126" s="38" t="s">
        <v>1583</v>
      </c>
      <c r="BN126" s="38">
        <v>44252.624703321759</v>
      </c>
      <c r="BR126" s="38" t="s">
        <v>1582</v>
      </c>
      <c r="BS126" s="38">
        <v>4.0125202121377597E+18</v>
      </c>
      <c r="BT126" s="38" t="s">
        <v>1581</v>
      </c>
      <c r="BV126" s="38">
        <v>2020</v>
      </c>
      <c r="BW126" s="38" t="s">
        <v>1579</v>
      </c>
      <c r="BY126" s="38">
        <v>4.0224202111820298E+18</v>
      </c>
      <c r="BZ126" s="38" t="s">
        <v>2275</v>
      </c>
      <c r="CA126" s="38" t="s">
        <v>1577</v>
      </c>
    </row>
    <row r="127" spans="1:79" x14ac:dyDescent="0.2">
      <c r="A127" s="38" t="s">
        <v>1309</v>
      </c>
      <c r="B127" s="38" t="s">
        <v>604</v>
      </c>
      <c r="C127" s="38">
        <v>2020</v>
      </c>
      <c r="D127" s="38" t="s">
        <v>1659</v>
      </c>
      <c r="E127" s="38">
        <v>2.02101259406916E+17</v>
      </c>
      <c r="F127" s="38" t="s">
        <v>1598</v>
      </c>
      <c r="G127" s="38" t="s">
        <v>2410</v>
      </c>
      <c r="H127" s="38">
        <v>1490496</v>
      </c>
      <c r="J127" s="38" t="s">
        <v>1596</v>
      </c>
      <c r="K127" s="38" t="s">
        <v>1595</v>
      </c>
      <c r="L127" s="38" t="s">
        <v>1380</v>
      </c>
      <c r="N127" s="38" t="s">
        <v>2076</v>
      </c>
      <c r="O127" s="38" t="s">
        <v>1593</v>
      </c>
      <c r="Q127" s="38" t="s">
        <v>1592</v>
      </c>
      <c r="R127" s="38" t="s">
        <v>2077</v>
      </c>
      <c r="T127" s="38" t="s">
        <v>2078</v>
      </c>
      <c r="V127" s="38" t="s">
        <v>2085</v>
      </c>
      <c r="X127" s="38" t="s">
        <v>2080</v>
      </c>
      <c r="Y127" s="38" t="s">
        <v>2081</v>
      </c>
      <c r="Z127" s="38">
        <v>338100789</v>
      </c>
      <c r="AA127" s="38" t="s">
        <v>1587</v>
      </c>
      <c r="AB127" s="38" t="s">
        <v>1587</v>
      </c>
      <c r="AC127" s="38" t="s">
        <v>1380</v>
      </c>
      <c r="AD127" s="38" t="s">
        <v>1608</v>
      </c>
      <c r="AE127" s="38" t="s">
        <v>1607</v>
      </c>
      <c r="AF127" s="38" t="s">
        <v>2127</v>
      </c>
      <c r="AI127" s="38">
        <v>44057</v>
      </c>
      <c r="AJ127" s="38">
        <v>15</v>
      </c>
      <c r="AK127" s="38">
        <v>920.76</v>
      </c>
      <c r="AL127" s="38" t="s">
        <v>2128</v>
      </c>
      <c r="BK127" s="38" t="s">
        <v>48</v>
      </c>
      <c r="BL127" s="38" t="s">
        <v>1584</v>
      </c>
      <c r="BM127" s="38" t="s">
        <v>1583</v>
      </c>
      <c r="BN127" s="38">
        <v>44252.624151388889</v>
      </c>
      <c r="BR127" s="38" t="s">
        <v>1582</v>
      </c>
      <c r="BS127" s="38">
        <v>4.0125202121377597E+18</v>
      </c>
      <c r="BT127" s="38" t="s">
        <v>1581</v>
      </c>
      <c r="BV127" s="38">
        <v>2020</v>
      </c>
      <c r="BW127" s="38" t="s">
        <v>1579</v>
      </c>
      <c r="BY127" s="38">
        <v>4.0224202111852902E+18</v>
      </c>
      <c r="BZ127" s="38" t="s">
        <v>2276</v>
      </c>
      <c r="CA127" s="38" t="s">
        <v>1577</v>
      </c>
    </row>
    <row r="128" spans="1:79" x14ac:dyDescent="0.2">
      <c r="A128" s="38" t="s">
        <v>1493</v>
      </c>
      <c r="B128" s="38" t="s">
        <v>788</v>
      </c>
      <c r="C128" s="38">
        <v>2020</v>
      </c>
      <c r="D128" s="38" t="s">
        <v>1612</v>
      </c>
      <c r="E128" s="38">
        <v>2.02102259428876E+17</v>
      </c>
      <c r="F128" s="38" t="s">
        <v>1598</v>
      </c>
      <c r="G128" s="38" t="s">
        <v>2411</v>
      </c>
      <c r="H128" s="38">
        <v>1502040</v>
      </c>
      <c r="J128" s="38" t="s">
        <v>1596</v>
      </c>
      <c r="K128" s="38" t="s">
        <v>1595</v>
      </c>
      <c r="N128" s="38" t="s">
        <v>2076</v>
      </c>
      <c r="O128" s="38" t="s">
        <v>73</v>
      </c>
      <c r="Q128" s="38" t="s">
        <v>26</v>
      </c>
      <c r="R128" s="38" t="s">
        <v>2077</v>
      </c>
      <c r="T128" s="38" t="s">
        <v>2078</v>
      </c>
      <c r="V128" s="38" t="s">
        <v>2085</v>
      </c>
      <c r="X128" s="38" t="s">
        <v>2080</v>
      </c>
      <c r="Y128" s="38" t="s">
        <v>2081</v>
      </c>
      <c r="Z128" s="38">
        <v>33810</v>
      </c>
      <c r="AA128" s="38" t="s">
        <v>1587</v>
      </c>
      <c r="AB128" s="38" t="s">
        <v>1587</v>
      </c>
      <c r="AF128" s="38" t="s">
        <v>2277</v>
      </c>
      <c r="AI128" s="38">
        <v>44130</v>
      </c>
      <c r="AJ128" s="38">
        <v>10</v>
      </c>
      <c r="AK128" s="38">
        <v>21.88</v>
      </c>
      <c r="BG128" s="38" t="s">
        <v>1606</v>
      </c>
      <c r="BI128" s="38" t="s">
        <v>1605</v>
      </c>
      <c r="BJ128" s="38">
        <v>2020</v>
      </c>
      <c r="BK128" s="38" t="s">
        <v>0</v>
      </c>
      <c r="BL128" s="38" t="s">
        <v>1848</v>
      </c>
      <c r="BM128" s="38" t="s">
        <v>1583</v>
      </c>
      <c r="BN128" s="38">
        <v>44254.164436331019</v>
      </c>
      <c r="BR128" s="38" t="s">
        <v>1602</v>
      </c>
      <c r="BS128" s="38">
        <v>4.0226202111890601E+18</v>
      </c>
      <c r="BT128" s="38" t="s">
        <v>1581</v>
      </c>
      <c r="BV128" s="38">
        <v>2020</v>
      </c>
      <c r="BW128" s="38" t="s">
        <v>1579</v>
      </c>
      <c r="BY128" s="38">
        <v>4.0227202111900001E+18</v>
      </c>
      <c r="BZ128" s="38" t="s">
        <v>2278</v>
      </c>
      <c r="CA128" s="38" t="s">
        <v>1577</v>
      </c>
    </row>
    <row r="129" spans="1:79" x14ac:dyDescent="0.2">
      <c r="A129" s="38" t="s">
        <v>1309</v>
      </c>
      <c r="B129" s="38" t="s">
        <v>604</v>
      </c>
      <c r="C129" s="38">
        <v>2020</v>
      </c>
      <c r="D129" s="38" t="s">
        <v>1612</v>
      </c>
      <c r="E129" s="38">
        <v>2.0210303943145402E+17</v>
      </c>
      <c r="F129" s="38" t="s">
        <v>1598</v>
      </c>
      <c r="G129" s="38" t="s">
        <v>2412</v>
      </c>
      <c r="H129" s="38">
        <v>1502683</v>
      </c>
      <c r="J129" s="38" t="s">
        <v>1596</v>
      </c>
      <c r="K129" s="38" t="s">
        <v>1595</v>
      </c>
      <c r="L129" s="38" t="s">
        <v>2120</v>
      </c>
      <c r="N129" s="38" t="s">
        <v>2076</v>
      </c>
      <c r="O129" s="38" t="s">
        <v>1593</v>
      </c>
      <c r="Q129" s="38" t="s">
        <v>1592</v>
      </c>
      <c r="R129" s="38" t="s">
        <v>2077</v>
      </c>
      <c r="T129" s="38" t="s">
        <v>2078</v>
      </c>
      <c r="V129" s="38" t="s">
        <v>2085</v>
      </c>
      <c r="X129" s="38" t="s">
        <v>2080</v>
      </c>
      <c r="Y129" s="38" t="s">
        <v>2081</v>
      </c>
      <c r="Z129" s="38">
        <v>338100789</v>
      </c>
      <c r="AA129" s="38" t="s">
        <v>1587</v>
      </c>
      <c r="AB129" s="38" t="s">
        <v>1587</v>
      </c>
      <c r="AC129" s="38" t="s">
        <v>2120</v>
      </c>
      <c r="AD129" s="38" t="s">
        <v>1608</v>
      </c>
      <c r="AE129" s="38" t="s">
        <v>1607</v>
      </c>
      <c r="AF129" s="38" t="s">
        <v>2121</v>
      </c>
      <c r="AI129" s="38">
        <v>44119</v>
      </c>
      <c r="AJ129" s="38">
        <v>5</v>
      </c>
      <c r="AK129" s="38">
        <v>1518.76</v>
      </c>
      <c r="BK129" s="38" t="s">
        <v>48</v>
      </c>
      <c r="BL129" s="38" t="s">
        <v>1584</v>
      </c>
      <c r="BM129" s="38" t="s">
        <v>1583</v>
      </c>
      <c r="BN129" s="38">
        <v>44260.651436412038</v>
      </c>
      <c r="BR129" s="38" t="s">
        <v>1582</v>
      </c>
      <c r="BS129" s="38">
        <v>4.0304202111990902E+18</v>
      </c>
      <c r="BT129" s="38" t="s">
        <v>1581</v>
      </c>
      <c r="BV129" s="38">
        <v>2020</v>
      </c>
      <c r="BW129" s="38" t="s">
        <v>1579</v>
      </c>
      <c r="BY129" s="38">
        <v>4.0304202112142198E+18</v>
      </c>
      <c r="BZ129" s="38" t="s">
        <v>2279</v>
      </c>
      <c r="CA129" s="38" t="s">
        <v>1577</v>
      </c>
    </row>
    <row r="130" spans="1:79" x14ac:dyDescent="0.2">
      <c r="A130" s="38" t="s">
        <v>1309</v>
      </c>
      <c r="B130" s="38" t="s">
        <v>604</v>
      </c>
      <c r="C130" s="38">
        <v>2020</v>
      </c>
      <c r="D130" s="38" t="s">
        <v>1612</v>
      </c>
      <c r="E130" s="38">
        <v>2.0210303943226E+17</v>
      </c>
      <c r="F130" s="38" t="s">
        <v>1598</v>
      </c>
      <c r="G130" s="38" t="s">
        <v>2413</v>
      </c>
      <c r="H130" s="38">
        <v>1502683</v>
      </c>
      <c r="J130" s="38" t="s">
        <v>1596</v>
      </c>
      <c r="K130" s="38" t="s">
        <v>1595</v>
      </c>
      <c r="L130" s="38" t="s">
        <v>2280</v>
      </c>
      <c r="N130" s="38" t="s">
        <v>2076</v>
      </c>
      <c r="O130" s="38" t="s">
        <v>1593</v>
      </c>
      <c r="Q130" s="38" t="s">
        <v>1592</v>
      </c>
      <c r="R130" s="38" t="s">
        <v>2077</v>
      </c>
      <c r="T130" s="38" t="s">
        <v>2078</v>
      </c>
      <c r="V130" s="38" t="s">
        <v>2085</v>
      </c>
      <c r="X130" s="38" t="s">
        <v>2080</v>
      </c>
      <c r="Y130" s="38" t="s">
        <v>2081</v>
      </c>
      <c r="Z130" s="38">
        <v>338100789</v>
      </c>
      <c r="AA130" s="38" t="s">
        <v>1587</v>
      </c>
      <c r="AB130" s="38" t="s">
        <v>1587</v>
      </c>
      <c r="AC130" s="38" t="s">
        <v>2280</v>
      </c>
      <c r="AD130" s="38" t="s">
        <v>1608</v>
      </c>
      <c r="AE130" s="38" t="s">
        <v>1607</v>
      </c>
      <c r="AF130" s="38" t="s">
        <v>2281</v>
      </c>
      <c r="AI130" s="38">
        <v>44127</v>
      </c>
      <c r="AJ130" s="38">
        <v>10</v>
      </c>
      <c r="AK130" s="38">
        <v>1578.76</v>
      </c>
      <c r="BK130" s="38" t="s">
        <v>48</v>
      </c>
      <c r="BL130" s="38" t="s">
        <v>1584</v>
      </c>
      <c r="BM130" s="38" t="s">
        <v>1583</v>
      </c>
      <c r="BN130" s="38">
        <v>44260.661295138889</v>
      </c>
      <c r="BR130" s="38" t="s">
        <v>1582</v>
      </c>
      <c r="BS130" s="38">
        <v>4.0304202111990902E+18</v>
      </c>
      <c r="BT130" s="38" t="s">
        <v>1581</v>
      </c>
      <c r="BV130" s="38">
        <v>2020</v>
      </c>
      <c r="BW130" s="38" t="s">
        <v>1579</v>
      </c>
      <c r="BY130" s="38">
        <v>4.0304202112172001E+18</v>
      </c>
      <c r="BZ130" s="38" t="s">
        <v>2282</v>
      </c>
      <c r="CA130" s="38" t="s">
        <v>1577</v>
      </c>
    </row>
    <row r="131" spans="1:79" x14ac:dyDescent="0.2">
      <c r="A131" s="38" t="s">
        <v>1309</v>
      </c>
      <c r="B131" s="38" t="s">
        <v>604</v>
      </c>
      <c r="C131" s="38">
        <v>2020</v>
      </c>
      <c r="D131" s="38" t="s">
        <v>1612</v>
      </c>
      <c r="E131" s="38">
        <v>2.0210303943273299E+17</v>
      </c>
      <c r="F131" s="38" t="s">
        <v>1598</v>
      </c>
      <c r="G131" s="38" t="s">
        <v>2414</v>
      </c>
      <c r="H131" s="38">
        <v>1502683</v>
      </c>
      <c r="J131" s="38" t="s">
        <v>1596</v>
      </c>
      <c r="K131" s="38" t="s">
        <v>1595</v>
      </c>
      <c r="L131" s="38" t="s">
        <v>2144</v>
      </c>
      <c r="N131" s="38" t="s">
        <v>2076</v>
      </c>
      <c r="O131" s="38" t="s">
        <v>1593</v>
      </c>
      <c r="Q131" s="38" t="s">
        <v>1592</v>
      </c>
      <c r="R131" s="38" t="s">
        <v>2077</v>
      </c>
      <c r="T131" s="38" t="s">
        <v>2078</v>
      </c>
      <c r="V131" s="38" t="s">
        <v>2085</v>
      </c>
      <c r="X131" s="38" t="s">
        <v>2080</v>
      </c>
      <c r="Y131" s="38" t="s">
        <v>2081</v>
      </c>
      <c r="Z131" s="38">
        <v>338100789</v>
      </c>
      <c r="AA131" s="38" t="s">
        <v>1587</v>
      </c>
      <c r="AB131" s="38" t="s">
        <v>1587</v>
      </c>
      <c r="AC131" s="38" t="s">
        <v>2144</v>
      </c>
      <c r="AD131" s="38" t="s">
        <v>1608</v>
      </c>
      <c r="AE131" s="38" t="s">
        <v>1607</v>
      </c>
      <c r="AF131" s="38" t="s">
        <v>2145</v>
      </c>
      <c r="AI131" s="38">
        <v>44131</v>
      </c>
      <c r="AJ131" s="38">
        <v>10</v>
      </c>
      <c r="AK131" s="38">
        <v>1618.76</v>
      </c>
      <c r="BK131" s="38" t="s">
        <v>48</v>
      </c>
      <c r="BL131" s="38" t="s">
        <v>1584</v>
      </c>
      <c r="BM131" s="38" t="s">
        <v>1583</v>
      </c>
      <c r="BN131" s="38">
        <v>44260.662754629629</v>
      </c>
      <c r="BR131" s="38" t="s">
        <v>1582</v>
      </c>
      <c r="BS131" s="38">
        <v>4.0304202111990902E+18</v>
      </c>
      <c r="BT131" s="38" t="s">
        <v>1581</v>
      </c>
      <c r="BV131" s="38">
        <v>2020</v>
      </c>
      <c r="BW131" s="38" t="s">
        <v>1579</v>
      </c>
      <c r="BY131" s="38">
        <v>4.0304202112166702E+18</v>
      </c>
      <c r="BZ131" s="38" t="s">
        <v>2283</v>
      </c>
      <c r="CA131" s="38" t="s">
        <v>1577</v>
      </c>
    </row>
    <row r="132" spans="1:79" x14ac:dyDescent="0.2">
      <c r="A132" s="38" t="s">
        <v>1309</v>
      </c>
      <c r="B132" s="38" t="s">
        <v>604</v>
      </c>
      <c r="C132" s="38">
        <v>2020</v>
      </c>
      <c r="D132" s="38" t="s">
        <v>1612</v>
      </c>
      <c r="E132" s="38">
        <v>2.0210303943224998E+17</v>
      </c>
      <c r="F132" s="38" t="s">
        <v>1598</v>
      </c>
      <c r="G132" s="38" t="s">
        <v>2415</v>
      </c>
      <c r="H132" s="38">
        <v>1502683</v>
      </c>
      <c r="J132" s="38" t="s">
        <v>1596</v>
      </c>
      <c r="K132" s="38" t="s">
        <v>1595</v>
      </c>
      <c r="L132" s="38" t="s">
        <v>1398</v>
      </c>
      <c r="N132" s="38" t="s">
        <v>2076</v>
      </c>
      <c r="O132" s="38" t="s">
        <v>1593</v>
      </c>
      <c r="Q132" s="38" t="s">
        <v>1592</v>
      </c>
      <c r="R132" s="38" t="s">
        <v>2077</v>
      </c>
      <c r="T132" s="38" t="s">
        <v>2078</v>
      </c>
      <c r="V132" s="38" t="s">
        <v>2085</v>
      </c>
      <c r="X132" s="38" t="s">
        <v>2080</v>
      </c>
      <c r="Y132" s="38" t="s">
        <v>2081</v>
      </c>
      <c r="Z132" s="38">
        <v>338100789</v>
      </c>
      <c r="AA132" s="38" t="s">
        <v>1587</v>
      </c>
      <c r="AB132" s="38" t="s">
        <v>1587</v>
      </c>
      <c r="AC132" s="38" t="s">
        <v>1398</v>
      </c>
      <c r="AD132" s="38" t="s">
        <v>1608</v>
      </c>
      <c r="AE132" s="38" t="s">
        <v>1607</v>
      </c>
      <c r="AF132" s="38" t="s">
        <v>2104</v>
      </c>
      <c r="AI132" s="38">
        <v>44127</v>
      </c>
      <c r="AJ132" s="38">
        <v>15</v>
      </c>
      <c r="AK132" s="38">
        <v>1578.76</v>
      </c>
      <c r="BK132" s="38" t="s">
        <v>48</v>
      </c>
      <c r="BL132" s="38" t="s">
        <v>1584</v>
      </c>
      <c r="BM132" s="38" t="s">
        <v>1583</v>
      </c>
      <c r="BN132" s="38">
        <v>44260.664806053239</v>
      </c>
      <c r="BR132" s="38" t="s">
        <v>1582</v>
      </c>
      <c r="BS132" s="38">
        <v>4.0304202111990902E+18</v>
      </c>
      <c r="BT132" s="38" t="s">
        <v>1581</v>
      </c>
      <c r="BV132" s="38">
        <v>2020</v>
      </c>
      <c r="BW132" s="38" t="s">
        <v>1579</v>
      </c>
      <c r="BY132" s="38">
        <v>4.0304202112196803E+18</v>
      </c>
      <c r="BZ132" s="38" t="s">
        <v>2284</v>
      </c>
      <c r="CA132" s="38" t="s">
        <v>1577</v>
      </c>
    </row>
    <row r="134" spans="1:79" x14ac:dyDescent="0.2">
      <c r="V134" s="38" t="str">
        <f>+V132&amp;X132&amp;Y132&amp;Z132</f>
        <v>5108 LEWELLYN RDLAKELANDFL338100789</v>
      </c>
    </row>
    <row r="136" spans="1:79" ht="15" x14ac:dyDescent="0.25">
      <c r="E136" s="35" t="s">
        <v>1803</v>
      </c>
      <c r="F136" t="s">
        <v>1805</v>
      </c>
      <c r="G136"/>
    </row>
    <row r="137" spans="1:79" ht="15" x14ac:dyDescent="0.25">
      <c r="E137" s="36" t="s">
        <v>788</v>
      </c>
      <c r="F137" s="2">
        <v>21.88</v>
      </c>
      <c r="G137" t="s">
        <v>1</v>
      </c>
    </row>
    <row r="138" spans="1:79" ht="15" x14ac:dyDescent="0.25">
      <c r="E138" s="36" t="s">
        <v>465</v>
      </c>
      <c r="F138" s="2">
        <v>276.25</v>
      </c>
      <c r="G138" t="s">
        <v>1</v>
      </c>
    </row>
    <row r="139" spans="1:79" ht="15" x14ac:dyDescent="0.25">
      <c r="E139" s="36" t="s">
        <v>845</v>
      </c>
      <c r="F139" s="2">
        <v>75</v>
      </c>
      <c r="G139" t="s">
        <v>1</v>
      </c>
    </row>
    <row r="140" spans="1:79" ht="15" x14ac:dyDescent="0.25">
      <c r="A140" s="26"/>
      <c r="B140" s="27"/>
      <c r="C140" s="28"/>
      <c r="E140" s="36" t="s">
        <v>155</v>
      </c>
      <c r="F140" s="2">
        <v>55.25</v>
      </c>
      <c r="G140" t="s">
        <v>1</v>
      </c>
    </row>
    <row r="141" spans="1:79" ht="15" x14ac:dyDescent="0.25">
      <c r="A141" s="29"/>
      <c r="B141" s="30"/>
      <c r="C141" s="31"/>
      <c r="E141" s="36" t="s">
        <v>306</v>
      </c>
      <c r="F141" s="2">
        <v>25</v>
      </c>
      <c r="G141" t="s">
        <v>1</v>
      </c>
    </row>
    <row r="142" spans="1:79" ht="15" x14ac:dyDescent="0.25">
      <c r="A142" s="29"/>
      <c r="B142" s="30"/>
      <c r="C142" s="31"/>
      <c r="E142" s="36" t="s">
        <v>485</v>
      </c>
      <c r="F142" s="2">
        <v>695</v>
      </c>
      <c r="G142" t="s">
        <v>1</v>
      </c>
    </row>
    <row r="143" spans="1:79" ht="15" x14ac:dyDescent="0.25">
      <c r="A143" s="29"/>
      <c r="B143" s="30"/>
      <c r="C143" s="31"/>
      <c r="E143" s="36" t="s">
        <v>604</v>
      </c>
      <c r="F143" s="2">
        <v>1664.76</v>
      </c>
      <c r="G143" t="s">
        <v>1</v>
      </c>
    </row>
    <row r="144" spans="1:79" ht="15" x14ac:dyDescent="0.25">
      <c r="A144" s="29"/>
      <c r="B144" s="30"/>
      <c r="C144" s="31"/>
      <c r="E144" s="36" t="s">
        <v>1804</v>
      </c>
      <c r="F144" s="2">
        <v>2813.1400000000003</v>
      </c>
      <c r="G144"/>
    </row>
    <row r="145" spans="1:7" ht="15" x14ac:dyDescent="0.25">
      <c r="A145" s="29"/>
      <c r="B145" s="30"/>
      <c r="C145" s="31"/>
      <c r="E145"/>
      <c r="F145"/>
      <c r="G145"/>
    </row>
    <row r="146" spans="1:7" ht="15" x14ac:dyDescent="0.25">
      <c r="A146" s="29"/>
      <c r="B146" s="30"/>
      <c r="C146" s="31"/>
      <c r="E146"/>
      <c r="F146"/>
      <c r="G146"/>
    </row>
    <row r="147" spans="1:7" ht="15" x14ac:dyDescent="0.25">
      <c r="A147" s="29"/>
      <c r="B147" s="30"/>
      <c r="C147" s="31"/>
      <c r="E147"/>
      <c r="F147"/>
      <c r="G147"/>
    </row>
    <row r="148" spans="1:7" ht="15" x14ac:dyDescent="0.25">
      <c r="A148" s="29"/>
      <c r="B148" s="30"/>
      <c r="C148" s="31"/>
      <c r="E148"/>
      <c r="F148"/>
      <c r="G148"/>
    </row>
    <row r="149" spans="1:7" ht="15" x14ac:dyDescent="0.25">
      <c r="A149" s="29"/>
      <c r="B149" s="30"/>
      <c r="C149" s="31"/>
      <c r="E149"/>
      <c r="F149"/>
      <c r="G149"/>
    </row>
    <row r="150" spans="1:7" ht="15" x14ac:dyDescent="0.25">
      <c r="A150" s="29"/>
      <c r="B150" s="30"/>
      <c r="C150" s="31"/>
      <c r="E150"/>
      <c r="F150"/>
      <c r="G150"/>
    </row>
    <row r="151" spans="1:7" ht="15" x14ac:dyDescent="0.25">
      <c r="A151" s="29"/>
      <c r="B151" s="30"/>
      <c r="C151" s="31"/>
      <c r="E151"/>
      <c r="F151"/>
      <c r="G151"/>
    </row>
    <row r="152" spans="1:7" ht="15" x14ac:dyDescent="0.25">
      <c r="A152" s="29"/>
      <c r="B152" s="30"/>
      <c r="C152" s="31"/>
      <c r="E152"/>
      <c r="F152"/>
      <c r="G152"/>
    </row>
    <row r="153" spans="1:7" ht="15" x14ac:dyDescent="0.25">
      <c r="A153" s="29"/>
      <c r="B153" s="30"/>
      <c r="C153" s="31"/>
      <c r="E153"/>
      <c r="F153"/>
      <c r="G153"/>
    </row>
    <row r="154" spans="1:7" ht="15" x14ac:dyDescent="0.25">
      <c r="A154" s="29"/>
      <c r="B154" s="30"/>
      <c r="C154" s="31"/>
    </row>
    <row r="155" spans="1:7" ht="15" x14ac:dyDescent="0.25">
      <c r="A155" s="29"/>
      <c r="B155" s="30"/>
      <c r="C155" s="31"/>
    </row>
    <row r="156" spans="1:7" ht="15" x14ac:dyDescent="0.25">
      <c r="A156" s="29"/>
      <c r="B156" s="30"/>
      <c r="C156" s="31"/>
    </row>
    <row r="157" spans="1:7" ht="15" x14ac:dyDescent="0.25">
      <c r="A157" s="32"/>
      <c r="B157" s="33"/>
      <c r="C157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72"/>
  <sheetViews>
    <sheetView topLeftCell="A52" workbookViewId="0">
      <selection activeCell="Y54" sqref="Y54"/>
    </sheetView>
  </sheetViews>
  <sheetFormatPr defaultRowHeight="15" x14ac:dyDescent="0.25"/>
  <cols>
    <col min="1" max="1" width="27.85546875" customWidth="1"/>
    <col min="2" max="2" width="34.5703125" bestFit="1" customWidth="1"/>
  </cols>
  <sheetData>
    <row r="1" spans="1:79" x14ac:dyDescent="0.25">
      <c r="A1" t="s">
        <v>852</v>
      </c>
      <c r="B1" t="s">
        <v>147</v>
      </c>
      <c r="C1" t="s">
        <v>1802</v>
      </c>
      <c r="D1" t="s">
        <v>1801</v>
      </c>
      <c r="E1" t="s">
        <v>1800</v>
      </c>
      <c r="F1" t="s">
        <v>1799</v>
      </c>
      <c r="G1" t="s">
        <v>1798</v>
      </c>
      <c r="H1" t="s">
        <v>1797</v>
      </c>
      <c r="I1" t="s">
        <v>147</v>
      </c>
      <c r="J1" t="s">
        <v>1796</v>
      </c>
      <c r="K1" t="s">
        <v>1795</v>
      </c>
      <c r="L1" t="s">
        <v>1794</v>
      </c>
      <c r="M1" t="s">
        <v>1793</v>
      </c>
      <c r="N1" t="s">
        <v>1792</v>
      </c>
      <c r="O1" t="s">
        <v>1791</v>
      </c>
      <c r="P1" t="s">
        <v>1790</v>
      </c>
      <c r="Q1" t="s">
        <v>1789</v>
      </c>
      <c r="R1" t="s">
        <v>1788</v>
      </c>
      <c r="S1" t="s">
        <v>1787</v>
      </c>
      <c r="T1" t="s">
        <v>1786</v>
      </c>
      <c r="U1" t="s">
        <v>1785</v>
      </c>
      <c r="V1" t="s">
        <v>1784</v>
      </c>
      <c r="W1" t="s">
        <v>1783</v>
      </c>
      <c r="X1" t="s">
        <v>1782</v>
      </c>
      <c r="Y1" t="s">
        <v>1781</v>
      </c>
      <c r="Z1" t="s">
        <v>1780</v>
      </c>
      <c r="AA1" t="s">
        <v>1779</v>
      </c>
      <c r="AB1" t="s">
        <v>1778</v>
      </c>
      <c r="AC1" t="s">
        <v>1777</v>
      </c>
      <c r="AD1" t="s">
        <v>1776</v>
      </c>
      <c r="AE1" t="s">
        <v>1775</v>
      </c>
      <c r="AF1" t="s">
        <v>1774</v>
      </c>
      <c r="AG1" t="s">
        <v>1773</v>
      </c>
      <c r="AH1" t="s">
        <v>1772</v>
      </c>
      <c r="AI1" t="s">
        <v>1771</v>
      </c>
      <c r="AJ1" t="s">
        <v>1770</v>
      </c>
      <c r="AK1" t="s">
        <v>1769</v>
      </c>
      <c r="AL1" t="s">
        <v>1768</v>
      </c>
      <c r="AM1" t="s">
        <v>1767</v>
      </c>
      <c r="AN1" t="s">
        <v>1766</v>
      </c>
      <c r="AO1" t="s">
        <v>1765</v>
      </c>
      <c r="AP1" t="s">
        <v>1764</v>
      </c>
      <c r="AQ1" t="s">
        <v>1763</v>
      </c>
      <c r="AR1" t="s">
        <v>1762</v>
      </c>
      <c r="AS1" t="s">
        <v>1761</v>
      </c>
      <c r="AT1" t="s">
        <v>1760</v>
      </c>
      <c r="AU1" t="s">
        <v>1759</v>
      </c>
      <c r="AV1" t="s">
        <v>1758</v>
      </c>
      <c r="AW1" t="s">
        <v>1757</v>
      </c>
      <c r="AX1" t="s">
        <v>1756</v>
      </c>
      <c r="AY1" t="s">
        <v>1755</v>
      </c>
      <c r="AZ1" t="s">
        <v>1754</v>
      </c>
      <c r="BA1" t="s">
        <v>1753</v>
      </c>
      <c r="BB1" t="s">
        <v>1752</v>
      </c>
      <c r="BC1" t="s">
        <v>1751</v>
      </c>
      <c r="BD1" t="s">
        <v>1750</v>
      </c>
      <c r="BE1" t="s">
        <v>1749</v>
      </c>
      <c r="BF1" t="s">
        <v>1748</v>
      </c>
      <c r="BG1" t="s">
        <v>1747</v>
      </c>
      <c r="BH1" t="s">
        <v>1746</v>
      </c>
      <c r="BI1" t="s">
        <v>1745</v>
      </c>
      <c r="BJ1" t="s">
        <v>1744</v>
      </c>
      <c r="BK1" t="s">
        <v>1743</v>
      </c>
      <c r="BL1" t="s">
        <v>1742</v>
      </c>
      <c r="BM1" t="s">
        <v>1741</v>
      </c>
      <c r="BN1" t="s">
        <v>1740</v>
      </c>
      <c r="BO1" t="s">
        <v>1739</v>
      </c>
      <c r="BP1" t="s">
        <v>1738</v>
      </c>
      <c r="BQ1" t="s">
        <v>1737</v>
      </c>
      <c r="BR1" t="s">
        <v>1736</v>
      </c>
      <c r="BS1" t="s">
        <v>1735</v>
      </c>
      <c r="BT1" t="s">
        <v>1734</v>
      </c>
      <c r="BU1" t="s">
        <v>1733</v>
      </c>
      <c r="BV1" t="s">
        <v>1732</v>
      </c>
      <c r="BW1" t="s">
        <v>1731</v>
      </c>
      <c r="BX1" t="s">
        <v>1730</v>
      </c>
      <c r="BY1" t="s">
        <v>1729</v>
      </c>
      <c r="BZ1" t="s">
        <v>1728</v>
      </c>
      <c r="CA1" t="s">
        <v>1727</v>
      </c>
    </row>
    <row r="2" spans="1:79" x14ac:dyDescent="0.25">
      <c r="A2" t="s">
        <v>1959</v>
      </c>
      <c r="B2" t="s">
        <v>1960</v>
      </c>
      <c r="C2">
        <v>2020</v>
      </c>
      <c r="D2" t="s">
        <v>1678</v>
      </c>
      <c r="E2">
        <v>2.02104149443336E+17</v>
      </c>
      <c r="F2" t="s">
        <v>1598</v>
      </c>
      <c r="G2" t="s">
        <v>1961</v>
      </c>
      <c r="H2">
        <v>1510510</v>
      </c>
      <c r="J2" t="s">
        <v>1596</v>
      </c>
      <c r="K2" t="s">
        <v>1595</v>
      </c>
      <c r="N2" t="s">
        <v>1962</v>
      </c>
      <c r="O2" t="s">
        <v>73</v>
      </c>
      <c r="Q2" t="s">
        <v>26</v>
      </c>
      <c r="R2" t="s">
        <v>1963</v>
      </c>
      <c r="S2" t="s">
        <v>1890</v>
      </c>
      <c r="T2" t="s">
        <v>1964</v>
      </c>
      <c r="V2" t="s">
        <v>1965</v>
      </c>
      <c r="X2" t="s">
        <v>1966</v>
      </c>
      <c r="Y2" t="s">
        <v>1967</v>
      </c>
      <c r="Z2">
        <v>441081119</v>
      </c>
      <c r="AA2" t="s">
        <v>1968</v>
      </c>
      <c r="AB2" t="s">
        <v>1969</v>
      </c>
      <c r="AD2">
        <v>15</v>
      </c>
      <c r="AE2" t="s">
        <v>1819</v>
      </c>
      <c r="AI2">
        <v>43900</v>
      </c>
      <c r="AJ2">
        <v>1500</v>
      </c>
      <c r="AK2">
        <v>1500</v>
      </c>
      <c r="BG2" t="s">
        <v>1651</v>
      </c>
      <c r="BI2" t="s">
        <v>1648</v>
      </c>
      <c r="BJ2">
        <v>2020</v>
      </c>
      <c r="BK2" t="s">
        <v>0</v>
      </c>
      <c r="BL2" t="s">
        <v>1848</v>
      </c>
      <c r="BM2" t="s">
        <v>1583</v>
      </c>
      <c r="BN2">
        <v>44304.147707372686</v>
      </c>
      <c r="BR2" t="s">
        <v>1602</v>
      </c>
      <c r="BS2">
        <v>4.0415202112771799E+18</v>
      </c>
      <c r="BT2" t="s">
        <v>1581</v>
      </c>
      <c r="BV2">
        <v>2020</v>
      </c>
      <c r="BW2" t="s">
        <v>1579</v>
      </c>
      <c r="BY2">
        <v>4.0418202112780902E+18</v>
      </c>
      <c r="BZ2" t="s">
        <v>1970</v>
      </c>
      <c r="CA2" t="s">
        <v>1577</v>
      </c>
    </row>
    <row r="3" spans="1:79" x14ac:dyDescent="0.25">
      <c r="A3" t="s">
        <v>1971</v>
      </c>
      <c r="B3" t="s">
        <v>1972</v>
      </c>
      <c r="C3">
        <v>2019</v>
      </c>
      <c r="D3" t="s">
        <v>1973</v>
      </c>
      <c r="E3">
        <v>2.0191007916375802E+17</v>
      </c>
      <c r="F3" t="s">
        <v>1598</v>
      </c>
      <c r="G3" t="s">
        <v>1974</v>
      </c>
      <c r="H3">
        <v>1355016</v>
      </c>
      <c r="J3" t="s">
        <v>1596</v>
      </c>
      <c r="K3" t="s">
        <v>1595</v>
      </c>
      <c r="N3" t="s">
        <v>1975</v>
      </c>
      <c r="O3" t="s">
        <v>64</v>
      </c>
      <c r="P3" t="s">
        <v>1676</v>
      </c>
      <c r="Q3" t="s">
        <v>32</v>
      </c>
      <c r="R3" t="s">
        <v>1963</v>
      </c>
      <c r="T3" t="s">
        <v>1964</v>
      </c>
      <c r="V3" t="s">
        <v>1965</v>
      </c>
      <c r="X3" t="s">
        <v>1966</v>
      </c>
      <c r="Y3" t="s">
        <v>1967</v>
      </c>
      <c r="Z3">
        <v>441081119</v>
      </c>
      <c r="AA3" t="s">
        <v>1976</v>
      </c>
      <c r="AB3" t="s">
        <v>1977</v>
      </c>
      <c r="AD3">
        <v>15</v>
      </c>
      <c r="AE3" t="s">
        <v>1819</v>
      </c>
      <c r="AI3">
        <v>43490</v>
      </c>
      <c r="AJ3">
        <v>192.3</v>
      </c>
      <c r="AK3">
        <v>2499.9</v>
      </c>
      <c r="BG3" t="s">
        <v>26</v>
      </c>
      <c r="BI3" t="s">
        <v>1648</v>
      </c>
      <c r="BK3" t="s">
        <v>48</v>
      </c>
      <c r="BL3" t="s">
        <v>1584</v>
      </c>
      <c r="BM3" t="s">
        <v>1583</v>
      </c>
      <c r="BN3">
        <v>43747.10918540509</v>
      </c>
      <c r="BR3" t="s">
        <v>1582</v>
      </c>
      <c r="BS3">
        <v>4.1007201916737802E+18</v>
      </c>
      <c r="BT3" t="s">
        <v>1581</v>
      </c>
      <c r="BV3">
        <v>2020</v>
      </c>
      <c r="BW3" t="s">
        <v>1579</v>
      </c>
      <c r="BY3">
        <v>4.1008201916740301E+18</v>
      </c>
      <c r="BZ3" t="s">
        <v>1978</v>
      </c>
      <c r="CA3" t="s">
        <v>1577</v>
      </c>
    </row>
    <row r="4" spans="1:79" x14ac:dyDescent="0.25">
      <c r="A4" t="s">
        <v>1971</v>
      </c>
      <c r="B4" t="s">
        <v>1972</v>
      </c>
      <c r="C4">
        <v>2019</v>
      </c>
      <c r="D4" t="s">
        <v>1973</v>
      </c>
      <c r="E4">
        <v>2.0191007916375802E+17</v>
      </c>
      <c r="F4" t="s">
        <v>1598</v>
      </c>
      <c r="G4" t="s">
        <v>1979</v>
      </c>
      <c r="H4">
        <v>1355016</v>
      </c>
      <c r="J4" t="s">
        <v>1596</v>
      </c>
      <c r="K4" t="s">
        <v>1595</v>
      </c>
      <c r="N4" t="s">
        <v>1975</v>
      </c>
      <c r="O4" t="s">
        <v>64</v>
      </c>
      <c r="P4" t="s">
        <v>1676</v>
      </c>
      <c r="Q4" t="s">
        <v>32</v>
      </c>
      <c r="R4" t="s">
        <v>1963</v>
      </c>
      <c r="T4" t="s">
        <v>1964</v>
      </c>
      <c r="V4" t="s">
        <v>1965</v>
      </c>
      <c r="X4" t="s">
        <v>1966</v>
      </c>
      <c r="Y4" t="s">
        <v>1967</v>
      </c>
      <c r="Z4">
        <v>441081119</v>
      </c>
      <c r="AA4" t="s">
        <v>1976</v>
      </c>
      <c r="AB4" t="s">
        <v>1977</v>
      </c>
      <c r="AD4">
        <v>15</v>
      </c>
      <c r="AE4" t="s">
        <v>1819</v>
      </c>
      <c r="AI4">
        <v>43504</v>
      </c>
      <c r="AJ4">
        <v>192.3</v>
      </c>
      <c r="AK4">
        <v>2499.9</v>
      </c>
      <c r="BG4" t="s">
        <v>26</v>
      </c>
      <c r="BI4" t="s">
        <v>1648</v>
      </c>
      <c r="BK4" t="s">
        <v>48</v>
      </c>
      <c r="BL4" t="s">
        <v>1584</v>
      </c>
      <c r="BM4" t="s">
        <v>1583</v>
      </c>
      <c r="BN4">
        <v>43747.10918540509</v>
      </c>
      <c r="BR4" t="s">
        <v>1582</v>
      </c>
      <c r="BS4">
        <v>4.1007201916737802E+18</v>
      </c>
      <c r="BT4" t="s">
        <v>1581</v>
      </c>
      <c r="BV4">
        <v>2020</v>
      </c>
      <c r="BW4" t="s">
        <v>1579</v>
      </c>
      <c r="BY4">
        <v>4.1008201916740301E+18</v>
      </c>
      <c r="BZ4" t="s">
        <v>1978</v>
      </c>
      <c r="CA4" t="s">
        <v>1577</v>
      </c>
    </row>
    <row r="5" spans="1:79" x14ac:dyDescent="0.25">
      <c r="A5" t="s">
        <v>1971</v>
      </c>
      <c r="B5" t="s">
        <v>1972</v>
      </c>
      <c r="C5">
        <v>2019</v>
      </c>
      <c r="D5" t="s">
        <v>1973</v>
      </c>
      <c r="E5">
        <v>2.0191007916375802E+17</v>
      </c>
      <c r="F5" t="s">
        <v>1598</v>
      </c>
      <c r="G5" t="s">
        <v>1980</v>
      </c>
      <c r="H5">
        <v>1355016</v>
      </c>
      <c r="J5" t="s">
        <v>1596</v>
      </c>
      <c r="K5" t="s">
        <v>1595</v>
      </c>
      <c r="N5" t="s">
        <v>1975</v>
      </c>
      <c r="O5" t="s">
        <v>64</v>
      </c>
      <c r="P5" t="s">
        <v>1676</v>
      </c>
      <c r="Q5" t="s">
        <v>32</v>
      </c>
      <c r="R5" t="s">
        <v>1963</v>
      </c>
      <c r="T5" t="s">
        <v>1964</v>
      </c>
      <c r="V5" t="s">
        <v>1965</v>
      </c>
      <c r="X5" t="s">
        <v>1966</v>
      </c>
      <c r="Y5" t="s">
        <v>1967</v>
      </c>
      <c r="Z5">
        <v>441081119</v>
      </c>
      <c r="AA5" t="s">
        <v>1976</v>
      </c>
      <c r="AB5" t="s">
        <v>1977</v>
      </c>
      <c r="AD5">
        <v>15</v>
      </c>
      <c r="AE5" t="s">
        <v>1819</v>
      </c>
      <c r="AI5">
        <v>43518</v>
      </c>
      <c r="AJ5">
        <v>192.3</v>
      </c>
      <c r="AK5">
        <v>2499.9</v>
      </c>
      <c r="BG5" t="s">
        <v>26</v>
      </c>
      <c r="BI5" t="s">
        <v>1648</v>
      </c>
      <c r="BK5" t="s">
        <v>48</v>
      </c>
      <c r="BL5" t="s">
        <v>1584</v>
      </c>
      <c r="BM5" t="s">
        <v>1583</v>
      </c>
      <c r="BN5">
        <v>43747.109185416666</v>
      </c>
      <c r="BR5" t="s">
        <v>1582</v>
      </c>
      <c r="BS5">
        <v>4.1007201916737802E+18</v>
      </c>
      <c r="BT5" t="s">
        <v>1581</v>
      </c>
      <c r="BV5">
        <v>2020</v>
      </c>
      <c r="BW5" t="s">
        <v>1579</v>
      </c>
      <c r="BY5">
        <v>4.1008201916740301E+18</v>
      </c>
      <c r="BZ5" t="s">
        <v>1978</v>
      </c>
      <c r="CA5" t="s">
        <v>1577</v>
      </c>
    </row>
    <row r="6" spans="1:79" x14ac:dyDescent="0.25">
      <c r="A6" t="s">
        <v>1971</v>
      </c>
      <c r="B6" t="s">
        <v>1972</v>
      </c>
      <c r="C6">
        <v>2019</v>
      </c>
      <c r="D6" t="s">
        <v>1973</v>
      </c>
      <c r="E6">
        <v>2.0191007916375802E+17</v>
      </c>
      <c r="F6" t="s">
        <v>1598</v>
      </c>
      <c r="G6" t="s">
        <v>1981</v>
      </c>
      <c r="H6">
        <v>1355016</v>
      </c>
      <c r="J6" t="s">
        <v>1596</v>
      </c>
      <c r="K6" t="s">
        <v>1595</v>
      </c>
      <c r="N6" t="s">
        <v>1975</v>
      </c>
      <c r="O6" t="s">
        <v>64</v>
      </c>
      <c r="P6" t="s">
        <v>1676</v>
      </c>
      <c r="Q6" t="s">
        <v>32</v>
      </c>
      <c r="R6" t="s">
        <v>1963</v>
      </c>
      <c r="T6" t="s">
        <v>1964</v>
      </c>
      <c r="V6" t="s">
        <v>1965</v>
      </c>
      <c r="X6" t="s">
        <v>1966</v>
      </c>
      <c r="Y6" t="s">
        <v>1967</v>
      </c>
      <c r="Z6">
        <v>441081119</v>
      </c>
      <c r="AA6" t="s">
        <v>1976</v>
      </c>
      <c r="AB6" t="s">
        <v>1977</v>
      </c>
      <c r="AD6">
        <v>15</v>
      </c>
      <c r="AE6" t="s">
        <v>1819</v>
      </c>
      <c r="AI6">
        <v>43532</v>
      </c>
      <c r="AJ6">
        <v>192.3</v>
      </c>
      <c r="AK6">
        <v>2499.9</v>
      </c>
      <c r="BG6" t="s">
        <v>26</v>
      </c>
      <c r="BI6" t="s">
        <v>1648</v>
      </c>
      <c r="BK6" t="s">
        <v>48</v>
      </c>
      <c r="BL6" t="s">
        <v>1584</v>
      </c>
      <c r="BM6" t="s">
        <v>1583</v>
      </c>
      <c r="BN6">
        <v>43747.109185416666</v>
      </c>
      <c r="BR6" t="s">
        <v>1582</v>
      </c>
      <c r="BS6">
        <v>4.1007201916737802E+18</v>
      </c>
      <c r="BT6" t="s">
        <v>1581</v>
      </c>
      <c r="BV6">
        <v>2020</v>
      </c>
      <c r="BW6" t="s">
        <v>1579</v>
      </c>
      <c r="BY6">
        <v>4.1008201916740301E+18</v>
      </c>
      <c r="BZ6" t="s">
        <v>1982</v>
      </c>
      <c r="CA6" t="s">
        <v>1577</v>
      </c>
    </row>
    <row r="7" spans="1:79" x14ac:dyDescent="0.25">
      <c r="A7" t="s">
        <v>1971</v>
      </c>
      <c r="B7" t="s">
        <v>1972</v>
      </c>
      <c r="C7">
        <v>2019</v>
      </c>
      <c r="D7" t="s">
        <v>1973</v>
      </c>
      <c r="E7">
        <v>2.0191007916375802E+17</v>
      </c>
      <c r="F7" t="s">
        <v>1598</v>
      </c>
      <c r="G7" t="s">
        <v>1983</v>
      </c>
      <c r="H7">
        <v>1355016</v>
      </c>
      <c r="J7" t="s">
        <v>1596</v>
      </c>
      <c r="K7" t="s">
        <v>1595</v>
      </c>
      <c r="N7" t="s">
        <v>1975</v>
      </c>
      <c r="O7" t="s">
        <v>64</v>
      </c>
      <c r="P7" t="s">
        <v>1676</v>
      </c>
      <c r="Q7" t="s">
        <v>32</v>
      </c>
      <c r="R7" t="s">
        <v>1963</v>
      </c>
      <c r="T7" t="s">
        <v>1964</v>
      </c>
      <c r="V7" t="s">
        <v>1965</v>
      </c>
      <c r="X7" t="s">
        <v>1966</v>
      </c>
      <c r="Y7" t="s">
        <v>1967</v>
      </c>
      <c r="Z7">
        <v>441081119</v>
      </c>
      <c r="AA7" t="s">
        <v>1976</v>
      </c>
      <c r="AB7" t="s">
        <v>1977</v>
      </c>
      <c r="AD7">
        <v>15</v>
      </c>
      <c r="AE7" t="s">
        <v>1819</v>
      </c>
      <c r="AI7">
        <v>43546</v>
      </c>
      <c r="AJ7">
        <v>192.3</v>
      </c>
      <c r="AK7">
        <v>2499.9</v>
      </c>
      <c r="BG7" t="s">
        <v>26</v>
      </c>
      <c r="BI7" t="s">
        <v>1648</v>
      </c>
      <c r="BK7" t="s">
        <v>48</v>
      </c>
      <c r="BL7" t="s">
        <v>1584</v>
      </c>
      <c r="BM7" t="s">
        <v>1583</v>
      </c>
      <c r="BN7">
        <v>43747.109185416666</v>
      </c>
      <c r="BR7" t="s">
        <v>1582</v>
      </c>
      <c r="BS7">
        <v>4.1007201916737802E+18</v>
      </c>
      <c r="BT7" t="s">
        <v>1581</v>
      </c>
      <c r="BV7">
        <v>2020</v>
      </c>
      <c r="BW7" t="s">
        <v>1579</v>
      </c>
      <c r="BY7">
        <v>4.1008201916740301E+18</v>
      </c>
      <c r="BZ7" t="s">
        <v>1982</v>
      </c>
      <c r="CA7" t="s">
        <v>1577</v>
      </c>
    </row>
    <row r="8" spans="1:79" x14ac:dyDescent="0.25">
      <c r="A8" t="s">
        <v>1971</v>
      </c>
      <c r="B8" t="s">
        <v>1972</v>
      </c>
      <c r="C8">
        <v>2019</v>
      </c>
      <c r="D8" t="s">
        <v>1973</v>
      </c>
      <c r="E8">
        <v>2.0191007916375802E+17</v>
      </c>
      <c r="F8" t="s">
        <v>1598</v>
      </c>
      <c r="G8" t="s">
        <v>1984</v>
      </c>
      <c r="H8">
        <v>1355016</v>
      </c>
      <c r="J8" t="s">
        <v>1596</v>
      </c>
      <c r="K8" t="s">
        <v>1595</v>
      </c>
      <c r="N8" t="s">
        <v>1975</v>
      </c>
      <c r="O8" t="s">
        <v>64</v>
      </c>
      <c r="P8" t="s">
        <v>1676</v>
      </c>
      <c r="Q8" t="s">
        <v>32</v>
      </c>
      <c r="R8" t="s">
        <v>1963</v>
      </c>
      <c r="T8" t="s">
        <v>1964</v>
      </c>
      <c r="V8" t="s">
        <v>1965</v>
      </c>
      <c r="X8" t="s">
        <v>1966</v>
      </c>
      <c r="Y8" t="s">
        <v>1967</v>
      </c>
      <c r="Z8">
        <v>441081119</v>
      </c>
      <c r="AA8" t="s">
        <v>1976</v>
      </c>
      <c r="AB8" t="s">
        <v>1977</v>
      </c>
      <c r="AD8">
        <v>15</v>
      </c>
      <c r="AE8" t="s">
        <v>1819</v>
      </c>
      <c r="AI8">
        <v>43560</v>
      </c>
      <c r="AJ8">
        <v>192.3</v>
      </c>
      <c r="AK8">
        <v>2499.9</v>
      </c>
      <c r="BG8" t="s">
        <v>26</v>
      </c>
      <c r="BI8" t="s">
        <v>1648</v>
      </c>
      <c r="BK8" t="s">
        <v>48</v>
      </c>
      <c r="BL8" t="s">
        <v>1584</v>
      </c>
      <c r="BM8" t="s">
        <v>1583</v>
      </c>
      <c r="BN8">
        <v>43747.109185416666</v>
      </c>
      <c r="BR8" t="s">
        <v>1582</v>
      </c>
      <c r="BS8">
        <v>4.1007201916737802E+18</v>
      </c>
      <c r="BT8" t="s">
        <v>1581</v>
      </c>
      <c r="BV8">
        <v>2020</v>
      </c>
      <c r="BW8" t="s">
        <v>1579</v>
      </c>
      <c r="BY8">
        <v>4.1008201916740301E+18</v>
      </c>
      <c r="BZ8" t="s">
        <v>1982</v>
      </c>
      <c r="CA8" t="s">
        <v>1577</v>
      </c>
    </row>
    <row r="9" spans="1:79" x14ac:dyDescent="0.25">
      <c r="A9" t="s">
        <v>1971</v>
      </c>
      <c r="B9" t="s">
        <v>1972</v>
      </c>
      <c r="C9">
        <v>2019</v>
      </c>
      <c r="D9" t="s">
        <v>1973</v>
      </c>
      <c r="E9">
        <v>2.0191007916375802E+17</v>
      </c>
      <c r="F9" t="s">
        <v>1598</v>
      </c>
      <c r="G9" t="s">
        <v>1985</v>
      </c>
      <c r="H9">
        <v>1355016</v>
      </c>
      <c r="J9" t="s">
        <v>1596</v>
      </c>
      <c r="K9" t="s">
        <v>1595</v>
      </c>
      <c r="N9" t="s">
        <v>1975</v>
      </c>
      <c r="O9" t="s">
        <v>64</v>
      </c>
      <c r="P9" t="s">
        <v>1676</v>
      </c>
      <c r="Q9" t="s">
        <v>32</v>
      </c>
      <c r="R9" t="s">
        <v>1963</v>
      </c>
      <c r="T9" t="s">
        <v>1964</v>
      </c>
      <c r="V9" t="s">
        <v>1965</v>
      </c>
      <c r="X9" t="s">
        <v>1966</v>
      </c>
      <c r="Y9" t="s">
        <v>1967</v>
      </c>
      <c r="Z9">
        <v>441081119</v>
      </c>
      <c r="AA9" t="s">
        <v>1976</v>
      </c>
      <c r="AB9" t="s">
        <v>1977</v>
      </c>
      <c r="AD9">
        <v>15</v>
      </c>
      <c r="AE9" t="s">
        <v>1819</v>
      </c>
      <c r="AI9">
        <v>43574</v>
      </c>
      <c r="AJ9">
        <v>192.3</v>
      </c>
      <c r="AK9">
        <v>2499.9</v>
      </c>
      <c r="BG9" t="s">
        <v>26</v>
      </c>
      <c r="BI9" t="s">
        <v>1648</v>
      </c>
      <c r="BK9" t="s">
        <v>48</v>
      </c>
      <c r="BL9" t="s">
        <v>1584</v>
      </c>
      <c r="BM9" t="s">
        <v>1583</v>
      </c>
      <c r="BN9">
        <v>43747.109185416666</v>
      </c>
      <c r="BR9" t="s">
        <v>1582</v>
      </c>
      <c r="BS9">
        <v>4.1007201916737802E+18</v>
      </c>
      <c r="BT9" t="s">
        <v>1581</v>
      </c>
      <c r="BV9">
        <v>2020</v>
      </c>
      <c r="BW9" t="s">
        <v>1579</v>
      </c>
      <c r="BY9">
        <v>4.1008201916740301E+18</v>
      </c>
      <c r="BZ9" t="s">
        <v>1986</v>
      </c>
      <c r="CA9" t="s">
        <v>1577</v>
      </c>
    </row>
    <row r="10" spans="1:79" x14ac:dyDescent="0.25">
      <c r="A10" t="s">
        <v>1971</v>
      </c>
      <c r="B10" t="s">
        <v>1972</v>
      </c>
      <c r="C10">
        <v>2019</v>
      </c>
      <c r="D10" t="s">
        <v>1973</v>
      </c>
      <c r="E10">
        <v>2.0191007916375802E+17</v>
      </c>
      <c r="F10" t="s">
        <v>1598</v>
      </c>
      <c r="G10" t="s">
        <v>1987</v>
      </c>
      <c r="H10">
        <v>1355016</v>
      </c>
      <c r="J10" t="s">
        <v>1596</v>
      </c>
      <c r="K10" t="s">
        <v>1595</v>
      </c>
      <c r="N10" t="s">
        <v>1975</v>
      </c>
      <c r="O10" t="s">
        <v>64</v>
      </c>
      <c r="P10" t="s">
        <v>1676</v>
      </c>
      <c r="Q10" t="s">
        <v>32</v>
      </c>
      <c r="R10" t="s">
        <v>1963</v>
      </c>
      <c r="T10" t="s">
        <v>1964</v>
      </c>
      <c r="V10" t="s">
        <v>1965</v>
      </c>
      <c r="X10" t="s">
        <v>1966</v>
      </c>
      <c r="Y10" t="s">
        <v>1967</v>
      </c>
      <c r="Z10">
        <v>441081119</v>
      </c>
      <c r="AA10" t="s">
        <v>1976</v>
      </c>
      <c r="AB10" t="s">
        <v>1977</v>
      </c>
      <c r="AD10">
        <v>15</v>
      </c>
      <c r="AE10" t="s">
        <v>1819</v>
      </c>
      <c r="AI10">
        <v>43588</v>
      </c>
      <c r="AJ10">
        <v>192.3</v>
      </c>
      <c r="AK10">
        <v>2499.9</v>
      </c>
      <c r="BG10" t="s">
        <v>26</v>
      </c>
      <c r="BI10" t="s">
        <v>1648</v>
      </c>
      <c r="BK10" t="s">
        <v>48</v>
      </c>
      <c r="BL10" t="s">
        <v>1584</v>
      </c>
      <c r="BM10" t="s">
        <v>1583</v>
      </c>
      <c r="BN10">
        <v>43747.109185428242</v>
      </c>
      <c r="BR10" t="s">
        <v>1582</v>
      </c>
      <c r="BS10">
        <v>4.1007201916737802E+18</v>
      </c>
      <c r="BT10" t="s">
        <v>1581</v>
      </c>
      <c r="BV10">
        <v>2020</v>
      </c>
      <c r="BW10" t="s">
        <v>1579</v>
      </c>
      <c r="BY10">
        <v>4.1008201916740301E+18</v>
      </c>
      <c r="BZ10" t="s">
        <v>1986</v>
      </c>
      <c r="CA10" t="s">
        <v>1577</v>
      </c>
    </row>
    <row r="11" spans="1:79" x14ac:dyDescent="0.25">
      <c r="A11" t="s">
        <v>1971</v>
      </c>
      <c r="B11" t="s">
        <v>1972</v>
      </c>
      <c r="C11">
        <v>2019</v>
      </c>
      <c r="D11" t="s">
        <v>1973</v>
      </c>
      <c r="E11">
        <v>2.0191007916375802E+17</v>
      </c>
      <c r="F11" t="s">
        <v>1598</v>
      </c>
      <c r="G11" t="s">
        <v>1988</v>
      </c>
      <c r="H11">
        <v>1355016</v>
      </c>
      <c r="J11" t="s">
        <v>1596</v>
      </c>
      <c r="K11" t="s">
        <v>1595</v>
      </c>
      <c r="N11" t="s">
        <v>1975</v>
      </c>
      <c r="O11" t="s">
        <v>64</v>
      </c>
      <c r="P11" t="s">
        <v>1676</v>
      </c>
      <c r="Q11" t="s">
        <v>32</v>
      </c>
      <c r="R11" t="s">
        <v>1963</v>
      </c>
      <c r="T11" t="s">
        <v>1964</v>
      </c>
      <c r="V11" t="s">
        <v>1965</v>
      </c>
      <c r="X11" t="s">
        <v>1966</v>
      </c>
      <c r="Y11" t="s">
        <v>1967</v>
      </c>
      <c r="Z11">
        <v>441081119</v>
      </c>
      <c r="AA11" t="s">
        <v>1976</v>
      </c>
      <c r="AB11" t="s">
        <v>1977</v>
      </c>
      <c r="AD11">
        <v>15</v>
      </c>
      <c r="AE11" t="s">
        <v>1819</v>
      </c>
      <c r="AI11">
        <v>43602</v>
      </c>
      <c r="AJ11">
        <v>192.3</v>
      </c>
      <c r="AK11">
        <v>2499.9</v>
      </c>
      <c r="BG11" t="s">
        <v>26</v>
      </c>
      <c r="BI11" t="s">
        <v>1648</v>
      </c>
      <c r="BK11" t="s">
        <v>48</v>
      </c>
      <c r="BL11" t="s">
        <v>1584</v>
      </c>
      <c r="BM11" t="s">
        <v>1583</v>
      </c>
      <c r="BN11">
        <v>43747.109185428242</v>
      </c>
      <c r="BR11" t="s">
        <v>1582</v>
      </c>
      <c r="BS11">
        <v>4.1007201916737802E+18</v>
      </c>
      <c r="BT11" t="s">
        <v>1581</v>
      </c>
      <c r="BV11">
        <v>2020</v>
      </c>
      <c r="BW11" t="s">
        <v>1579</v>
      </c>
      <c r="BY11">
        <v>4.1008201916740301E+18</v>
      </c>
      <c r="BZ11" t="s">
        <v>1986</v>
      </c>
      <c r="CA11" t="s">
        <v>1577</v>
      </c>
    </row>
    <row r="12" spans="1:79" x14ac:dyDescent="0.25">
      <c r="A12" t="s">
        <v>1971</v>
      </c>
      <c r="B12" t="s">
        <v>1972</v>
      </c>
      <c r="C12">
        <v>2019</v>
      </c>
      <c r="D12" t="s">
        <v>1973</v>
      </c>
      <c r="E12">
        <v>2.0191007916375802E+17</v>
      </c>
      <c r="F12" t="s">
        <v>1598</v>
      </c>
      <c r="G12" t="s">
        <v>1989</v>
      </c>
      <c r="H12">
        <v>1355016</v>
      </c>
      <c r="J12" t="s">
        <v>1596</v>
      </c>
      <c r="K12" t="s">
        <v>1595</v>
      </c>
      <c r="N12" t="s">
        <v>1975</v>
      </c>
      <c r="O12" t="s">
        <v>64</v>
      </c>
      <c r="P12" t="s">
        <v>1676</v>
      </c>
      <c r="Q12" t="s">
        <v>32</v>
      </c>
      <c r="R12" t="s">
        <v>1963</v>
      </c>
      <c r="T12" t="s">
        <v>1964</v>
      </c>
      <c r="V12" t="s">
        <v>1965</v>
      </c>
      <c r="X12" t="s">
        <v>1966</v>
      </c>
      <c r="Y12" t="s">
        <v>1967</v>
      </c>
      <c r="Z12">
        <v>441081119</v>
      </c>
      <c r="AA12" t="s">
        <v>1976</v>
      </c>
      <c r="AB12" t="s">
        <v>1977</v>
      </c>
      <c r="AD12">
        <v>15</v>
      </c>
      <c r="AE12" t="s">
        <v>1819</v>
      </c>
      <c r="AI12">
        <v>43616</v>
      </c>
      <c r="AJ12">
        <v>192.3</v>
      </c>
      <c r="AK12">
        <v>2499.9</v>
      </c>
      <c r="BG12" t="s">
        <v>26</v>
      </c>
      <c r="BI12" t="s">
        <v>1648</v>
      </c>
      <c r="BK12" t="s">
        <v>48</v>
      </c>
      <c r="BL12" t="s">
        <v>1584</v>
      </c>
      <c r="BM12" t="s">
        <v>1583</v>
      </c>
      <c r="BN12">
        <v>43747.109185428242</v>
      </c>
      <c r="BR12" t="s">
        <v>1582</v>
      </c>
      <c r="BS12">
        <v>4.1007201916737802E+18</v>
      </c>
      <c r="BT12" t="s">
        <v>1581</v>
      </c>
      <c r="BV12">
        <v>2020</v>
      </c>
      <c r="BW12" t="s">
        <v>1579</v>
      </c>
      <c r="BY12">
        <v>4.1008201916740301E+18</v>
      </c>
      <c r="BZ12" t="s">
        <v>1990</v>
      </c>
      <c r="CA12" t="s">
        <v>1577</v>
      </c>
    </row>
    <row r="13" spans="1:79" x14ac:dyDescent="0.25">
      <c r="A13" t="s">
        <v>1971</v>
      </c>
      <c r="B13" t="s">
        <v>1972</v>
      </c>
      <c r="C13">
        <v>2019</v>
      </c>
      <c r="D13" t="s">
        <v>1973</v>
      </c>
      <c r="E13">
        <v>2.0191007916375802E+17</v>
      </c>
      <c r="F13" t="s">
        <v>1598</v>
      </c>
      <c r="G13" t="s">
        <v>1991</v>
      </c>
      <c r="H13">
        <v>1355016</v>
      </c>
      <c r="J13" t="s">
        <v>1596</v>
      </c>
      <c r="K13" t="s">
        <v>1595</v>
      </c>
      <c r="N13" t="s">
        <v>1975</v>
      </c>
      <c r="O13" t="s">
        <v>64</v>
      </c>
      <c r="P13" t="s">
        <v>1676</v>
      </c>
      <c r="Q13" t="s">
        <v>32</v>
      </c>
      <c r="R13" t="s">
        <v>1963</v>
      </c>
      <c r="T13" t="s">
        <v>1964</v>
      </c>
      <c r="V13" t="s">
        <v>1965</v>
      </c>
      <c r="X13" t="s">
        <v>1966</v>
      </c>
      <c r="Y13" t="s">
        <v>1967</v>
      </c>
      <c r="Z13">
        <v>441081119</v>
      </c>
      <c r="AA13" t="s">
        <v>1976</v>
      </c>
      <c r="AB13" t="s">
        <v>1977</v>
      </c>
      <c r="AD13">
        <v>15</v>
      </c>
      <c r="AE13" t="s">
        <v>1819</v>
      </c>
      <c r="AI13">
        <v>43630</v>
      </c>
      <c r="AJ13">
        <v>192.3</v>
      </c>
      <c r="AK13">
        <v>2499.9</v>
      </c>
      <c r="BG13" t="s">
        <v>26</v>
      </c>
      <c r="BI13" t="s">
        <v>1648</v>
      </c>
      <c r="BK13" t="s">
        <v>48</v>
      </c>
      <c r="BL13" t="s">
        <v>1584</v>
      </c>
      <c r="BM13" t="s">
        <v>1583</v>
      </c>
      <c r="BN13">
        <v>43747.109185428242</v>
      </c>
      <c r="BR13" t="s">
        <v>1582</v>
      </c>
      <c r="BS13">
        <v>4.1007201916737802E+18</v>
      </c>
      <c r="BT13" t="s">
        <v>1581</v>
      </c>
      <c r="BV13">
        <v>2020</v>
      </c>
      <c r="BW13" t="s">
        <v>1579</v>
      </c>
      <c r="BY13">
        <v>4.1008201916740301E+18</v>
      </c>
      <c r="BZ13" t="s">
        <v>1990</v>
      </c>
      <c r="CA13" t="s">
        <v>1577</v>
      </c>
    </row>
    <row r="14" spans="1:79" x14ac:dyDescent="0.25">
      <c r="A14" t="s">
        <v>1971</v>
      </c>
      <c r="B14" t="s">
        <v>1972</v>
      </c>
      <c r="C14">
        <v>2019</v>
      </c>
      <c r="D14" t="s">
        <v>1973</v>
      </c>
      <c r="E14">
        <v>2.0191007916375802E+17</v>
      </c>
      <c r="F14" t="s">
        <v>1598</v>
      </c>
      <c r="G14" t="s">
        <v>1992</v>
      </c>
      <c r="H14">
        <v>1355016</v>
      </c>
      <c r="J14" t="s">
        <v>1596</v>
      </c>
      <c r="K14" t="s">
        <v>1595</v>
      </c>
      <c r="N14" t="s">
        <v>1975</v>
      </c>
      <c r="O14" t="s">
        <v>64</v>
      </c>
      <c r="P14" t="s">
        <v>1676</v>
      </c>
      <c r="Q14" t="s">
        <v>32</v>
      </c>
      <c r="R14" t="s">
        <v>1963</v>
      </c>
      <c r="T14" t="s">
        <v>1964</v>
      </c>
      <c r="V14" t="s">
        <v>1965</v>
      </c>
      <c r="X14" t="s">
        <v>1966</v>
      </c>
      <c r="Y14" t="s">
        <v>1967</v>
      </c>
      <c r="Z14">
        <v>441081119</v>
      </c>
      <c r="AA14" t="s">
        <v>1976</v>
      </c>
      <c r="AB14" t="s">
        <v>1977</v>
      </c>
      <c r="AD14">
        <v>15</v>
      </c>
      <c r="AE14" t="s">
        <v>1819</v>
      </c>
      <c r="AI14">
        <v>43644</v>
      </c>
      <c r="AJ14">
        <v>192.3</v>
      </c>
      <c r="AK14">
        <v>2499.9</v>
      </c>
      <c r="BG14" t="s">
        <v>26</v>
      </c>
      <c r="BI14" t="s">
        <v>1648</v>
      </c>
      <c r="BK14" t="s">
        <v>48</v>
      </c>
      <c r="BL14" t="s">
        <v>1584</v>
      </c>
      <c r="BM14" t="s">
        <v>1583</v>
      </c>
      <c r="BN14">
        <v>43747.109185428242</v>
      </c>
      <c r="BR14" t="s">
        <v>1582</v>
      </c>
      <c r="BS14">
        <v>4.1007201916737802E+18</v>
      </c>
      <c r="BT14" t="s">
        <v>1581</v>
      </c>
      <c r="BV14">
        <v>2020</v>
      </c>
      <c r="BW14" t="s">
        <v>1579</v>
      </c>
      <c r="BY14">
        <v>4.1008201916740301E+18</v>
      </c>
      <c r="BZ14" t="s">
        <v>1990</v>
      </c>
      <c r="CA14" t="s">
        <v>1577</v>
      </c>
    </row>
    <row r="15" spans="1:79" x14ac:dyDescent="0.25">
      <c r="A15" t="s">
        <v>1971</v>
      </c>
      <c r="B15" t="s">
        <v>1972</v>
      </c>
      <c r="C15">
        <v>2019</v>
      </c>
      <c r="D15" t="s">
        <v>1696</v>
      </c>
      <c r="E15">
        <v>2.0200124916735101E+17</v>
      </c>
      <c r="F15" t="s">
        <v>1598</v>
      </c>
      <c r="G15" t="s">
        <v>1993</v>
      </c>
      <c r="H15">
        <v>1372684</v>
      </c>
      <c r="J15" t="s">
        <v>1596</v>
      </c>
      <c r="K15" t="s">
        <v>1595</v>
      </c>
      <c r="N15" t="s">
        <v>1975</v>
      </c>
      <c r="O15" t="s">
        <v>64</v>
      </c>
      <c r="P15" t="s">
        <v>1676</v>
      </c>
      <c r="Q15" t="s">
        <v>32</v>
      </c>
      <c r="R15" t="s">
        <v>1963</v>
      </c>
      <c r="T15" t="s">
        <v>1964</v>
      </c>
      <c r="V15" t="s">
        <v>1965</v>
      </c>
      <c r="X15" t="s">
        <v>1966</v>
      </c>
      <c r="Y15" t="s">
        <v>1967</v>
      </c>
      <c r="Z15">
        <v>441081119</v>
      </c>
      <c r="AA15" t="s">
        <v>1976</v>
      </c>
      <c r="AB15" t="s">
        <v>1977</v>
      </c>
      <c r="AD15">
        <v>15</v>
      </c>
      <c r="AE15" t="s">
        <v>1819</v>
      </c>
      <c r="AI15">
        <v>43658</v>
      </c>
      <c r="AJ15">
        <v>192.3</v>
      </c>
      <c r="AK15">
        <v>4999.8</v>
      </c>
      <c r="BG15" t="s">
        <v>26</v>
      </c>
      <c r="BI15" t="s">
        <v>1648</v>
      </c>
      <c r="BK15" t="s">
        <v>48</v>
      </c>
      <c r="BL15" t="s">
        <v>1584</v>
      </c>
      <c r="BM15" t="s">
        <v>1583</v>
      </c>
      <c r="BN15">
        <v>43855.070721307871</v>
      </c>
      <c r="BR15" t="s">
        <v>1582</v>
      </c>
      <c r="BS15">
        <v>4.0124202016856699E+18</v>
      </c>
      <c r="BT15" t="s">
        <v>1581</v>
      </c>
      <c r="BV15">
        <v>2020</v>
      </c>
      <c r="BW15" t="s">
        <v>1579</v>
      </c>
      <c r="BY15">
        <v>4.0124202016857298E+18</v>
      </c>
      <c r="BZ15" t="s">
        <v>1994</v>
      </c>
      <c r="CA15" t="s">
        <v>1577</v>
      </c>
    </row>
    <row r="16" spans="1:79" x14ac:dyDescent="0.25">
      <c r="A16" t="s">
        <v>1971</v>
      </c>
      <c r="B16" t="s">
        <v>1972</v>
      </c>
      <c r="C16">
        <v>2019</v>
      </c>
      <c r="D16" t="s">
        <v>1696</v>
      </c>
      <c r="E16">
        <v>2.0200124916735101E+17</v>
      </c>
      <c r="F16" t="s">
        <v>1598</v>
      </c>
      <c r="G16" t="s">
        <v>1995</v>
      </c>
      <c r="H16">
        <v>1372684</v>
      </c>
      <c r="J16" t="s">
        <v>1596</v>
      </c>
      <c r="K16" t="s">
        <v>1595</v>
      </c>
      <c r="N16" t="s">
        <v>1975</v>
      </c>
      <c r="O16" t="s">
        <v>64</v>
      </c>
      <c r="P16" t="s">
        <v>1676</v>
      </c>
      <c r="Q16" t="s">
        <v>32</v>
      </c>
      <c r="R16" t="s">
        <v>1963</v>
      </c>
      <c r="T16" t="s">
        <v>1964</v>
      </c>
      <c r="V16" t="s">
        <v>1965</v>
      </c>
      <c r="X16" t="s">
        <v>1966</v>
      </c>
      <c r="Y16" t="s">
        <v>1967</v>
      </c>
      <c r="Z16">
        <v>441081119</v>
      </c>
      <c r="AA16" t="s">
        <v>1976</v>
      </c>
      <c r="AB16" t="s">
        <v>1977</v>
      </c>
      <c r="AD16">
        <v>15</v>
      </c>
      <c r="AE16" t="s">
        <v>1819</v>
      </c>
      <c r="AI16">
        <v>43672</v>
      </c>
      <c r="AJ16">
        <v>192.3</v>
      </c>
      <c r="AK16">
        <v>4999.8</v>
      </c>
      <c r="BG16" t="s">
        <v>26</v>
      </c>
      <c r="BI16" t="s">
        <v>1648</v>
      </c>
      <c r="BK16" t="s">
        <v>48</v>
      </c>
      <c r="BL16" t="s">
        <v>1584</v>
      </c>
      <c r="BM16" t="s">
        <v>1583</v>
      </c>
      <c r="BN16">
        <v>43855.070721307871</v>
      </c>
      <c r="BR16" t="s">
        <v>1582</v>
      </c>
      <c r="BS16">
        <v>4.0124202016856699E+18</v>
      </c>
      <c r="BT16" t="s">
        <v>1581</v>
      </c>
      <c r="BV16">
        <v>2020</v>
      </c>
      <c r="BW16" t="s">
        <v>1579</v>
      </c>
      <c r="BY16">
        <v>4.0124202016857298E+18</v>
      </c>
      <c r="BZ16" t="s">
        <v>1994</v>
      </c>
      <c r="CA16" t="s">
        <v>1577</v>
      </c>
    </row>
    <row r="17" spans="1:79" x14ac:dyDescent="0.25">
      <c r="A17" t="s">
        <v>1971</v>
      </c>
      <c r="B17" t="s">
        <v>1972</v>
      </c>
      <c r="C17">
        <v>2019</v>
      </c>
      <c r="D17" t="s">
        <v>1696</v>
      </c>
      <c r="E17">
        <v>2.0200124916735101E+17</v>
      </c>
      <c r="F17" t="s">
        <v>1598</v>
      </c>
      <c r="G17" t="s">
        <v>1996</v>
      </c>
      <c r="H17">
        <v>1372684</v>
      </c>
      <c r="J17" t="s">
        <v>1596</v>
      </c>
      <c r="K17" t="s">
        <v>1595</v>
      </c>
      <c r="N17" t="s">
        <v>1975</v>
      </c>
      <c r="O17" t="s">
        <v>64</v>
      </c>
      <c r="P17" t="s">
        <v>1676</v>
      </c>
      <c r="Q17" t="s">
        <v>32</v>
      </c>
      <c r="R17" t="s">
        <v>1963</v>
      </c>
      <c r="T17" t="s">
        <v>1964</v>
      </c>
      <c r="V17" t="s">
        <v>1965</v>
      </c>
      <c r="X17" t="s">
        <v>1966</v>
      </c>
      <c r="Y17" t="s">
        <v>1967</v>
      </c>
      <c r="Z17">
        <v>441081119</v>
      </c>
      <c r="AA17" t="s">
        <v>1976</v>
      </c>
      <c r="AB17" t="s">
        <v>1977</v>
      </c>
      <c r="AD17">
        <v>15</v>
      </c>
      <c r="AE17" t="s">
        <v>1819</v>
      </c>
      <c r="AI17">
        <v>43686</v>
      </c>
      <c r="AJ17">
        <v>192.3</v>
      </c>
      <c r="AK17">
        <v>4999.8</v>
      </c>
      <c r="BG17" t="s">
        <v>26</v>
      </c>
      <c r="BI17" t="s">
        <v>1648</v>
      </c>
      <c r="BK17" t="s">
        <v>48</v>
      </c>
      <c r="BL17" t="s">
        <v>1584</v>
      </c>
      <c r="BM17" t="s">
        <v>1583</v>
      </c>
      <c r="BN17">
        <v>43855.070721307871</v>
      </c>
      <c r="BR17" t="s">
        <v>1582</v>
      </c>
      <c r="BS17">
        <v>4.0124202016856699E+18</v>
      </c>
      <c r="BT17" t="s">
        <v>1581</v>
      </c>
      <c r="BV17">
        <v>2020</v>
      </c>
      <c r="BW17" t="s">
        <v>1579</v>
      </c>
      <c r="BY17">
        <v>4.0124202016857298E+18</v>
      </c>
      <c r="BZ17" t="s">
        <v>1997</v>
      </c>
      <c r="CA17" t="s">
        <v>1577</v>
      </c>
    </row>
    <row r="18" spans="1:79" x14ac:dyDescent="0.25">
      <c r="A18" t="s">
        <v>1971</v>
      </c>
      <c r="B18" t="s">
        <v>1972</v>
      </c>
      <c r="C18">
        <v>2019</v>
      </c>
      <c r="D18" t="s">
        <v>1696</v>
      </c>
      <c r="E18">
        <v>2.0200124916735101E+17</v>
      </c>
      <c r="F18" t="s">
        <v>1598</v>
      </c>
      <c r="G18" t="s">
        <v>1998</v>
      </c>
      <c r="H18">
        <v>1372684</v>
      </c>
      <c r="J18" t="s">
        <v>1596</v>
      </c>
      <c r="K18" t="s">
        <v>1595</v>
      </c>
      <c r="N18" t="s">
        <v>1975</v>
      </c>
      <c r="O18" t="s">
        <v>64</v>
      </c>
      <c r="P18" t="s">
        <v>1676</v>
      </c>
      <c r="Q18" t="s">
        <v>32</v>
      </c>
      <c r="R18" t="s">
        <v>1963</v>
      </c>
      <c r="T18" t="s">
        <v>1964</v>
      </c>
      <c r="V18" t="s">
        <v>1965</v>
      </c>
      <c r="X18" t="s">
        <v>1966</v>
      </c>
      <c r="Y18" t="s">
        <v>1967</v>
      </c>
      <c r="Z18">
        <v>441081119</v>
      </c>
      <c r="AA18" t="s">
        <v>1976</v>
      </c>
      <c r="AB18" t="s">
        <v>1977</v>
      </c>
      <c r="AD18">
        <v>15</v>
      </c>
      <c r="AE18" t="s">
        <v>1819</v>
      </c>
      <c r="AI18">
        <v>43700</v>
      </c>
      <c r="AJ18">
        <v>192.3</v>
      </c>
      <c r="AK18">
        <v>4999.8</v>
      </c>
      <c r="BG18" t="s">
        <v>26</v>
      </c>
      <c r="BI18" t="s">
        <v>1648</v>
      </c>
      <c r="BK18" t="s">
        <v>48</v>
      </c>
      <c r="BL18" t="s">
        <v>1584</v>
      </c>
      <c r="BM18" t="s">
        <v>1583</v>
      </c>
      <c r="BN18">
        <v>43855.070721307871</v>
      </c>
      <c r="BR18" t="s">
        <v>1582</v>
      </c>
      <c r="BS18">
        <v>4.0124202016856699E+18</v>
      </c>
      <c r="BT18" t="s">
        <v>1581</v>
      </c>
      <c r="BV18">
        <v>2020</v>
      </c>
      <c r="BW18" t="s">
        <v>1579</v>
      </c>
      <c r="BY18">
        <v>4.0124202016857298E+18</v>
      </c>
      <c r="BZ18" t="s">
        <v>1997</v>
      </c>
      <c r="CA18" t="s">
        <v>1577</v>
      </c>
    </row>
    <row r="19" spans="1:79" x14ac:dyDescent="0.25">
      <c r="A19" t="s">
        <v>1971</v>
      </c>
      <c r="B19" t="s">
        <v>1972</v>
      </c>
      <c r="C19">
        <v>2019</v>
      </c>
      <c r="D19" t="s">
        <v>1696</v>
      </c>
      <c r="E19">
        <v>2.0200124916735101E+17</v>
      </c>
      <c r="F19" t="s">
        <v>1598</v>
      </c>
      <c r="G19" t="s">
        <v>1999</v>
      </c>
      <c r="H19">
        <v>1372684</v>
      </c>
      <c r="J19" t="s">
        <v>1596</v>
      </c>
      <c r="K19" t="s">
        <v>1595</v>
      </c>
      <c r="N19" t="s">
        <v>1975</v>
      </c>
      <c r="O19" t="s">
        <v>64</v>
      </c>
      <c r="P19" t="s">
        <v>1676</v>
      </c>
      <c r="Q19" t="s">
        <v>32</v>
      </c>
      <c r="R19" t="s">
        <v>1963</v>
      </c>
      <c r="T19" t="s">
        <v>1964</v>
      </c>
      <c r="V19" t="s">
        <v>1965</v>
      </c>
      <c r="X19" t="s">
        <v>1966</v>
      </c>
      <c r="Y19" t="s">
        <v>1967</v>
      </c>
      <c r="Z19">
        <v>441081119</v>
      </c>
      <c r="AA19" t="s">
        <v>1976</v>
      </c>
      <c r="AB19" t="s">
        <v>1977</v>
      </c>
      <c r="AD19">
        <v>15</v>
      </c>
      <c r="AE19" t="s">
        <v>1819</v>
      </c>
      <c r="AI19">
        <v>43714</v>
      </c>
      <c r="AJ19">
        <v>192.3</v>
      </c>
      <c r="AK19">
        <v>4999.8</v>
      </c>
      <c r="BG19" t="s">
        <v>26</v>
      </c>
      <c r="BI19" t="s">
        <v>1648</v>
      </c>
      <c r="BK19" t="s">
        <v>48</v>
      </c>
      <c r="BL19" t="s">
        <v>1584</v>
      </c>
      <c r="BM19" t="s">
        <v>1583</v>
      </c>
      <c r="BN19">
        <v>43855.070721307871</v>
      </c>
      <c r="BR19" t="s">
        <v>1582</v>
      </c>
      <c r="BS19">
        <v>4.0124202016856699E+18</v>
      </c>
      <c r="BT19" t="s">
        <v>1581</v>
      </c>
      <c r="BV19">
        <v>2020</v>
      </c>
      <c r="BW19" t="s">
        <v>1579</v>
      </c>
      <c r="BY19">
        <v>4.0124202016857298E+18</v>
      </c>
      <c r="BZ19" t="s">
        <v>1997</v>
      </c>
      <c r="CA19" t="s">
        <v>1577</v>
      </c>
    </row>
    <row r="20" spans="1:79" x14ac:dyDescent="0.25">
      <c r="A20" t="s">
        <v>1971</v>
      </c>
      <c r="B20" t="s">
        <v>1972</v>
      </c>
      <c r="C20">
        <v>2019</v>
      </c>
      <c r="D20" t="s">
        <v>1696</v>
      </c>
      <c r="E20">
        <v>2.0200124916735101E+17</v>
      </c>
      <c r="F20" t="s">
        <v>1598</v>
      </c>
      <c r="G20" t="s">
        <v>2000</v>
      </c>
      <c r="H20">
        <v>1372684</v>
      </c>
      <c r="J20" t="s">
        <v>1596</v>
      </c>
      <c r="K20" t="s">
        <v>1595</v>
      </c>
      <c r="N20" t="s">
        <v>1975</v>
      </c>
      <c r="O20" t="s">
        <v>64</v>
      </c>
      <c r="P20" t="s">
        <v>1676</v>
      </c>
      <c r="Q20" t="s">
        <v>32</v>
      </c>
      <c r="R20" t="s">
        <v>1963</v>
      </c>
      <c r="T20" t="s">
        <v>1964</v>
      </c>
      <c r="V20" t="s">
        <v>1965</v>
      </c>
      <c r="X20" t="s">
        <v>1966</v>
      </c>
      <c r="Y20" t="s">
        <v>1967</v>
      </c>
      <c r="Z20">
        <v>441081119</v>
      </c>
      <c r="AA20" t="s">
        <v>1976</v>
      </c>
      <c r="AB20" t="s">
        <v>1977</v>
      </c>
      <c r="AD20">
        <v>15</v>
      </c>
      <c r="AE20" t="s">
        <v>1819</v>
      </c>
      <c r="AI20">
        <v>43728</v>
      </c>
      <c r="AJ20">
        <v>192.3</v>
      </c>
      <c r="AK20">
        <v>4999.8</v>
      </c>
      <c r="BG20" t="s">
        <v>26</v>
      </c>
      <c r="BI20" t="s">
        <v>1648</v>
      </c>
      <c r="BK20" t="s">
        <v>48</v>
      </c>
      <c r="BL20" t="s">
        <v>1584</v>
      </c>
      <c r="BM20" t="s">
        <v>1583</v>
      </c>
      <c r="BN20">
        <v>43855.070721319447</v>
      </c>
      <c r="BR20" t="s">
        <v>1582</v>
      </c>
      <c r="BS20">
        <v>4.0124202016856699E+18</v>
      </c>
      <c r="BT20" t="s">
        <v>1581</v>
      </c>
      <c r="BV20">
        <v>2020</v>
      </c>
      <c r="BW20" t="s">
        <v>1579</v>
      </c>
      <c r="BY20">
        <v>4.0124202016857298E+18</v>
      </c>
      <c r="BZ20" t="s">
        <v>2001</v>
      </c>
      <c r="CA20" t="s">
        <v>1577</v>
      </c>
    </row>
    <row r="21" spans="1:79" x14ac:dyDescent="0.25">
      <c r="A21" t="s">
        <v>1971</v>
      </c>
      <c r="B21" t="s">
        <v>1972</v>
      </c>
      <c r="C21">
        <v>2019</v>
      </c>
      <c r="D21" t="s">
        <v>1696</v>
      </c>
      <c r="E21">
        <v>2.0200124916735101E+17</v>
      </c>
      <c r="F21" t="s">
        <v>1598</v>
      </c>
      <c r="G21" t="s">
        <v>2002</v>
      </c>
      <c r="H21">
        <v>1372684</v>
      </c>
      <c r="J21" t="s">
        <v>1596</v>
      </c>
      <c r="K21" t="s">
        <v>1595</v>
      </c>
      <c r="N21" t="s">
        <v>1975</v>
      </c>
      <c r="O21" t="s">
        <v>64</v>
      </c>
      <c r="P21" t="s">
        <v>1676</v>
      </c>
      <c r="Q21" t="s">
        <v>32</v>
      </c>
      <c r="R21" t="s">
        <v>1963</v>
      </c>
      <c r="T21" t="s">
        <v>1964</v>
      </c>
      <c r="V21" t="s">
        <v>1965</v>
      </c>
      <c r="X21" t="s">
        <v>1966</v>
      </c>
      <c r="Y21" t="s">
        <v>1967</v>
      </c>
      <c r="Z21">
        <v>441081119</v>
      </c>
      <c r="AA21" t="s">
        <v>1976</v>
      </c>
      <c r="AB21" t="s">
        <v>1977</v>
      </c>
      <c r="AD21">
        <v>15</v>
      </c>
      <c r="AE21" t="s">
        <v>1819</v>
      </c>
      <c r="AI21">
        <v>43742</v>
      </c>
      <c r="AJ21">
        <v>192.3</v>
      </c>
      <c r="AK21">
        <v>4999.8</v>
      </c>
      <c r="BG21" t="s">
        <v>26</v>
      </c>
      <c r="BI21" t="s">
        <v>1648</v>
      </c>
      <c r="BK21" t="s">
        <v>48</v>
      </c>
      <c r="BL21" t="s">
        <v>1584</v>
      </c>
      <c r="BM21" t="s">
        <v>1583</v>
      </c>
      <c r="BN21">
        <v>43855.070721319447</v>
      </c>
      <c r="BR21" t="s">
        <v>1582</v>
      </c>
      <c r="BS21">
        <v>4.0124202016856699E+18</v>
      </c>
      <c r="BT21" t="s">
        <v>1581</v>
      </c>
      <c r="BV21">
        <v>2020</v>
      </c>
      <c r="BW21" t="s">
        <v>1579</v>
      </c>
      <c r="BY21">
        <v>4.0124202016857298E+18</v>
      </c>
      <c r="BZ21" t="s">
        <v>2001</v>
      </c>
      <c r="CA21" t="s">
        <v>1577</v>
      </c>
    </row>
    <row r="22" spans="1:79" x14ac:dyDescent="0.25">
      <c r="A22" t="s">
        <v>1971</v>
      </c>
      <c r="B22" t="s">
        <v>1972</v>
      </c>
      <c r="C22">
        <v>2019</v>
      </c>
      <c r="D22" t="s">
        <v>1696</v>
      </c>
      <c r="E22">
        <v>2.0200124916735101E+17</v>
      </c>
      <c r="F22" t="s">
        <v>1598</v>
      </c>
      <c r="G22" t="s">
        <v>2003</v>
      </c>
      <c r="H22">
        <v>1372684</v>
      </c>
      <c r="J22" t="s">
        <v>1596</v>
      </c>
      <c r="K22" t="s">
        <v>1595</v>
      </c>
      <c r="N22" t="s">
        <v>1975</v>
      </c>
      <c r="O22" t="s">
        <v>64</v>
      </c>
      <c r="P22" t="s">
        <v>1676</v>
      </c>
      <c r="Q22" t="s">
        <v>32</v>
      </c>
      <c r="R22" t="s">
        <v>1963</v>
      </c>
      <c r="T22" t="s">
        <v>1964</v>
      </c>
      <c r="V22" t="s">
        <v>1965</v>
      </c>
      <c r="X22" t="s">
        <v>1966</v>
      </c>
      <c r="Y22" t="s">
        <v>1967</v>
      </c>
      <c r="Z22">
        <v>441081119</v>
      </c>
      <c r="AA22" t="s">
        <v>1976</v>
      </c>
      <c r="AB22" t="s">
        <v>1977</v>
      </c>
      <c r="AD22">
        <v>15</v>
      </c>
      <c r="AE22" t="s">
        <v>1819</v>
      </c>
      <c r="AI22">
        <v>43756</v>
      </c>
      <c r="AJ22">
        <v>192.3</v>
      </c>
      <c r="AK22">
        <v>4999.8</v>
      </c>
      <c r="BG22" t="s">
        <v>26</v>
      </c>
      <c r="BI22" t="s">
        <v>1648</v>
      </c>
      <c r="BK22" t="s">
        <v>48</v>
      </c>
      <c r="BL22" t="s">
        <v>1584</v>
      </c>
      <c r="BM22" t="s">
        <v>1583</v>
      </c>
      <c r="BN22">
        <v>43855.070721319447</v>
      </c>
      <c r="BR22" t="s">
        <v>1582</v>
      </c>
      <c r="BS22">
        <v>4.0124202016856699E+18</v>
      </c>
      <c r="BT22" t="s">
        <v>1581</v>
      </c>
      <c r="BV22">
        <v>2020</v>
      </c>
      <c r="BW22" t="s">
        <v>1579</v>
      </c>
      <c r="BY22">
        <v>4.0124202016857298E+18</v>
      </c>
      <c r="BZ22" t="s">
        <v>2001</v>
      </c>
      <c r="CA22" t="s">
        <v>1577</v>
      </c>
    </row>
    <row r="23" spans="1:79" x14ac:dyDescent="0.25">
      <c r="A23" t="s">
        <v>1971</v>
      </c>
      <c r="B23" t="s">
        <v>1972</v>
      </c>
      <c r="C23">
        <v>2019</v>
      </c>
      <c r="D23" t="s">
        <v>1696</v>
      </c>
      <c r="E23">
        <v>2.0200124916735101E+17</v>
      </c>
      <c r="F23" t="s">
        <v>1598</v>
      </c>
      <c r="G23" t="s">
        <v>2004</v>
      </c>
      <c r="H23">
        <v>1372684</v>
      </c>
      <c r="J23" t="s">
        <v>1596</v>
      </c>
      <c r="K23" t="s">
        <v>1595</v>
      </c>
      <c r="N23" t="s">
        <v>1975</v>
      </c>
      <c r="O23" t="s">
        <v>64</v>
      </c>
      <c r="P23" t="s">
        <v>1676</v>
      </c>
      <c r="Q23" t="s">
        <v>32</v>
      </c>
      <c r="R23" t="s">
        <v>1963</v>
      </c>
      <c r="T23" t="s">
        <v>1964</v>
      </c>
      <c r="V23" t="s">
        <v>1965</v>
      </c>
      <c r="X23" t="s">
        <v>1966</v>
      </c>
      <c r="Y23" t="s">
        <v>1967</v>
      </c>
      <c r="Z23">
        <v>441081119</v>
      </c>
      <c r="AA23" t="s">
        <v>1976</v>
      </c>
      <c r="AB23" t="s">
        <v>1977</v>
      </c>
      <c r="AD23">
        <v>15</v>
      </c>
      <c r="AE23" t="s">
        <v>1819</v>
      </c>
      <c r="AI23">
        <v>43770</v>
      </c>
      <c r="AJ23">
        <v>192.3</v>
      </c>
      <c r="AK23">
        <v>4999.8</v>
      </c>
      <c r="BG23" t="s">
        <v>26</v>
      </c>
      <c r="BI23" t="s">
        <v>1648</v>
      </c>
      <c r="BK23" t="s">
        <v>48</v>
      </c>
      <c r="BL23" t="s">
        <v>1584</v>
      </c>
      <c r="BM23" t="s">
        <v>1583</v>
      </c>
      <c r="BN23">
        <v>43855.070721319447</v>
      </c>
      <c r="BR23" t="s">
        <v>1582</v>
      </c>
      <c r="BS23">
        <v>4.0124202016856699E+18</v>
      </c>
      <c r="BT23" t="s">
        <v>1581</v>
      </c>
      <c r="BV23">
        <v>2020</v>
      </c>
      <c r="BW23" t="s">
        <v>1579</v>
      </c>
      <c r="BY23">
        <v>4.0124202016857298E+18</v>
      </c>
      <c r="BZ23" t="s">
        <v>2005</v>
      </c>
      <c r="CA23" t="s">
        <v>1577</v>
      </c>
    </row>
    <row r="24" spans="1:79" x14ac:dyDescent="0.25">
      <c r="A24" t="s">
        <v>1971</v>
      </c>
      <c r="B24" t="s">
        <v>1972</v>
      </c>
      <c r="C24">
        <v>2019</v>
      </c>
      <c r="D24" t="s">
        <v>1696</v>
      </c>
      <c r="E24">
        <v>2.0200124916735101E+17</v>
      </c>
      <c r="F24" t="s">
        <v>1598</v>
      </c>
      <c r="G24" t="s">
        <v>2006</v>
      </c>
      <c r="H24">
        <v>1372684</v>
      </c>
      <c r="J24" t="s">
        <v>1596</v>
      </c>
      <c r="K24" t="s">
        <v>1595</v>
      </c>
      <c r="N24" t="s">
        <v>1975</v>
      </c>
      <c r="O24" t="s">
        <v>64</v>
      </c>
      <c r="P24" t="s">
        <v>1676</v>
      </c>
      <c r="Q24" t="s">
        <v>32</v>
      </c>
      <c r="R24" t="s">
        <v>1963</v>
      </c>
      <c r="T24" t="s">
        <v>1964</v>
      </c>
      <c r="V24" t="s">
        <v>1965</v>
      </c>
      <c r="X24" t="s">
        <v>1966</v>
      </c>
      <c r="Y24" t="s">
        <v>1967</v>
      </c>
      <c r="Z24">
        <v>441081119</v>
      </c>
      <c r="AA24" t="s">
        <v>1976</v>
      </c>
      <c r="AB24" t="s">
        <v>1977</v>
      </c>
      <c r="AD24">
        <v>15</v>
      </c>
      <c r="AE24" t="s">
        <v>1819</v>
      </c>
      <c r="AI24">
        <v>43784</v>
      </c>
      <c r="AJ24">
        <v>192.3</v>
      </c>
      <c r="AK24">
        <v>4999.8</v>
      </c>
      <c r="BG24" t="s">
        <v>26</v>
      </c>
      <c r="BI24" t="s">
        <v>1648</v>
      </c>
      <c r="BK24" t="s">
        <v>48</v>
      </c>
      <c r="BL24" t="s">
        <v>1584</v>
      </c>
      <c r="BM24" t="s">
        <v>1583</v>
      </c>
      <c r="BN24">
        <v>43855.070721319447</v>
      </c>
      <c r="BR24" t="s">
        <v>1582</v>
      </c>
      <c r="BS24">
        <v>4.0124202016856699E+18</v>
      </c>
      <c r="BT24" t="s">
        <v>1581</v>
      </c>
      <c r="BV24">
        <v>2020</v>
      </c>
      <c r="BW24" t="s">
        <v>1579</v>
      </c>
      <c r="BY24">
        <v>4.0124202016857298E+18</v>
      </c>
      <c r="BZ24" t="s">
        <v>2005</v>
      </c>
      <c r="CA24" t="s">
        <v>1577</v>
      </c>
    </row>
    <row r="25" spans="1:79" x14ac:dyDescent="0.25">
      <c r="A25" t="s">
        <v>1971</v>
      </c>
      <c r="B25" t="s">
        <v>1972</v>
      </c>
      <c r="C25">
        <v>2019</v>
      </c>
      <c r="D25" t="s">
        <v>1696</v>
      </c>
      <c r="E25">
        <v>2.0200124916735101E+17</v>
      </c>
      <c r="F25" t="s">
        <v>1598</v>
      </c>
      <c r="G25" t="s">
        <v>2007</v>
      </c>
      <c r="H25">
        <v>1372684</v>
      </c>
      <c r="J25" t="s">
        <v>1596</v>
      </c>
      <c r="K25" t="s">
        <v>1595</v>
      </c>
      <c r="N25" t="s">
        <v>1975</v>
      </c>
      <c r="O25" t="s">
        <v>64</v>
      </c>
      <c r="P25" t="s">
        <v>1676</v>
      </c>
      <c r="Q25" t="s">
        <v>32</v>
      </c>
      <c r="R25" t="s">
        <v>1963</v>
      </c>
      <c r="T25" t="s">
        <v>1964</v>
      </c>
      <c r="V25" t="s">
        <v>1965</v>
      </c>
      <c r="X25" t="s">
        <v>1966</v>
      </c>
      <c r="Y25" t="s">
        <v>1967</v>
      </c>
      <c r="Z25">
        <v>441081119</v>
      </c>
      <c r="AA25" t="s">
        <v>1976</v>
      </c>
      <c r="AB25" t="s">
        <v>1977</v>
      </c>
      <c r="AD25">
        <v>15</v>
      </c>
      <c r="AE25" t="s">
        <v>1819</v>
      </c>
      <c r="AI25">
        <v>43798</v>
      </c>
      <c r="AJ25">
        <v>192.3</v>
      </c>
      <c r="AK25">
        <v>4999.8</v>
      </c>
      <c r="BG25" t="s">
        <v>26</v>
      </c>
      <c r="BI25" t="s">
        <v>1648</v>
      </c>
      <c r="BK25" t="s">
        <v>48</v>
      </c>
      <c r="BL25" t="s">
        <v>1584</v>
      </c>
      <c r="BM25" t="s">
        <v>1583</v>
      </c>
      <c r="BN25">
        <v>43855.070721319447</v>
      </c>
      <c r="BR25" t="s">
        <v>1582</v>
      </c>
      <c r="BS25">
        <v>4.0124202016856699E+18</v>
      </c>
      <c r="BT25" t="s">
        <v>1581</v>
      </c>
      <c r="BV25">
        <v>2020</v>
      </c>
      <c r="BW25" t="s">
        <v>1579</v>
      </c>
      <c r="BY25">
        <v>4.0124202016857298E+18</v>
      </c>
      <c r="BZ25" t="s">
        <v>2005</v>
      </c>
      <c r="CA25" t="s">
        <v>1577</v>
      </c>
    </row>
    <row r="26" spans="1:79" x14ac:dyDescent="0.25">
      <c r="A26" t="s">
        <v>1971</v>
      </c>
      <c r="B26" t="s">
        <v>1972</v>
      </c>
      <c r="C26">
        <v>2019</v>
      </c>
      <c r="D26" t="s">
        <v>1696</v>
      </c>
      <c r="E26">
        <v>2.0200124916735101E+17</v>
      </c>
      <c r="F26" t="s">
        <v>1598</v>
      </c>
      <c r="G26" t="s">
        <v>2008</v>
      </c>
      <c r="H26">
        <v>1372684</v>
      </c>
      <c r="J26" t="s">
        <v>1596</v>
      </c>
      <c r="K26" t="s">
        <v>1595</v>
      </c>
      <c r="N26" t="s">
        <v>1975</v>
      </c>
      <c r="O26" t="s">
        <v>64</v>
      </c>
      <c r="P26" t="s">
        <v>1676</v>
      </c>
      <c r="Q26" t="s">
        <v>32</v>
      </c>
      <c r="R26" t="s">
        <v>1963</v>
      </c>
      <c r="T26" t="s">
        <v>1964</v>
      </c>
      <c r="V26" t="s">
        <v>1965</v>
      </c>
      <c r="X26" t="s">
        <v>1966</v>
      </c>
      <c r="Y26" t="s">
        <v>1967</v>
      </c>
      <c r="Z26">
        <v>441081119</v>
      </c>
      <c r="AA26" t="s">
        <v>1976</v>
      </c>
      <c r="AB26" t="s">
        <v>1977</v>
      </c>
      <c r="AD26">
        <v>15</v>
      </c>
      <c r="AE26" t="s">
        <v>1819</v>
      </c>
      <c r="AI26">
        <v>43812</v>
      </c>
      <c r="AJ26">
        <v>192.3</v>
      </c>
      <c r="AK26">
        <v>4999.8</v>
      </c>
      <c r="BG26" t="s">
        <v>26</v>
      </c>
      <c r="BI26" t="s">
        <v>1648</v>
      </c>
      <c r="BK26" t="s">
        <v>48</v>
      </c>
      <c r="BL26" t="s">
        <v>1584</v>
      </c>
      <c r="BM26" t="s">
        <v>1583</v>
      </c>
      <c r="BN26">
        <v>43855.070721319447</v>
      </c>
      <c r="BR26" t="s">
        <v>1582</v>
      </c>
      <c r="BS26">
        <v>4.0124202016856699E+18</v>
      </c>
      <c r="BT26" t="s">
        <v>1581</v>
      </c>
      <c r="BV26">
        <v>2020</v>
      </c>
      <c r="BW26" t="s">
        <v>1579</v>
      </c>
      <c r="BY26">
        <v>4.0124202016857298E+18</v>
      </c>
      <c r="BZ26" t="s">
        <v>2009</v>
      </c>
      <c r="CA26" t="s">
        <v>1577</v>
      </c>
    </row>
    <row r="27" spans="1:79" x14ac:dyDescent="0.25">
      <c r="A27" t="s">
        <v>1971</v>
      </c>
      <c r="B27" t="s">
        <v>1972</v>
      </c>
      <c r="C27">
        <v>2019</v>
      </c>
      <c r="D27" t="s">
        <v>1696</v>
      </c>
      <c r="E27">
        <v>2.0200124916735101E+17</v>
      </c>
      <c r="F27" t="s">
        <v>1598</v>
      </c>
      <c r="G27" t="s">
        <v>2010</v>
      </c>
      <c r="H27">
        <v>1372684</v>
      </c>
      <c r="J27" t="s">
        <v>1596</v>
      </c>
      <c r="K27" t="s">
        <v>1595</v>
      </c>
      <c r="N27" t="s">
        <v>1975</v>
      </c>
      <c r="O27" t="s">
        <v>64</v>
      </c>
      <c r="P27" t="s">
        <v>1676</v>
      </c>
      <c r="Q27" t="s">
        <v>32</v>
      </c>
      <c r="R27" t="s">
        <v>1963</v>
      </c>
      <c r="T27" t="s">
        <v>1964</v>
      </c>
      <c r="V27" t="s">
        <v>1965</v>
      </c>
      <c r="X27" t="s">
        <v>1966</v>
      </c>
      <c r="Y27" t="s">
        <v>1967</v>
      </c>
      <c r="Z27">
        <v>441081119</v>
      </c>
      <c r="AA27" t="s">
        <v>1976</v>
      </c>
      <c r="AB27" t="s">
        <v>1977</v>
      </c>
      <c r="AD27">
        <v>15</v>
      </c>
      <c r="AE27" t="s">
        <v>1819</v>
      </c>
      <c r="AI27">
        <v>43826</v>
      </c>
      <c r="AJ27">
        <v>192.3</v>
      </c>
      <c r="AK27">
        <v>4999.8</v>
      </c>
      <c r="BG27" t="s">
        <v>26</v>
      </c>
      <c r="BI27" t="s">
        <v>1648</v>
      </c>
      <c r="BK27" t="s">
        <v>48</v>
      </c>
      <c r="BL27" t="s">
        <v>1584</v>
      </c>
      <c r="BM27" t="s">
        <v>1583</v>
      </c>
      <c r="BN27">
        <v>43855.070721319447</v>
      </c>
      <c r="BR27" t="s">
        <v>1582</v>
      </c>
      <c r="BS27">
        <v>4.0124202016856699E+18</v>
      </c>
      <c r="BT27" t="s">
        <v>1581</v>
      </c>
      <c r="BV27">
        <v>2020</v>
      </c>
      <c r="BW27" t="s">
        <v>1579</v>
      </c>
      <c r="BY27">
        <v>4.0124202016857298E+18</v>
      </c>
      <c r="BZ27" t="s">
        <v>2009</v>
      </c>
      <c r="CA27" t="s">
        <v>1577</v>
      </c>
    </row>
    <row r="28" spans="1:79" x14ac:dyDescent="0.25">
      <c r="A28" t="s">
        <v>1971</v>
      </c>
      <c r="B28" t="s">
        <v>1972</v>
      </c>
      <c r="C28">
        <v>2020</v>
      </c>
      <c r="D28" t="s">
        <v>1699</v>
      </c>
      <c r="E28">
        <v>2.0200217918650701E+17</v>
      </c>
      <c r="F28" t="s">
        <v>1598</v>
      </c>
      <c r="G28" t="s">
        <v>2011</v>
      </c>
      <c r="H28">
        <v>1382591</v>
      </c>
      <c r="J28" t="s">
        <v>1596</v>
      </c>
      <c r="K28" t="s">
        <v>1595</v>
      </c>
      <c r="N28" t="s">
        <v>1975</v>
      </c>
      <c r="O28" t="s">
        <v>64</v>
      </c>
      <c r="P28" t="s">
        <v>1676</v>
      </c>
      <c r="Q28" t="s">
        <v>32</v>
      </c>
      <c r="R28" t="s">
        <v>1963</v>
      </c>
      <c r="T28" t="s">
        <v>1964</v>
      </c>
      <c r="V28" t="s">
        <v>1965</v>
      </c>
      <c r="X28" t="s">
        <v>1966</v>
      </c>
      <c r="Y28" t="s">
        <v>1967</v>
      </c>
      <c r="Z28">
        <v>441081119</v>
      </c>
      <c r="AA28" t="s">
        <v>1976</v>
      </c>
      <c r="AB28" t="s">
        <v>1977</v>
      </c>
      <c r="AD28">
        <v>15</v>
      </c>
      <c r="AE28" t="s">
        <v>1819</v>
      </c>
      <c r="AI28">
        <v>43854</v>
      </c>
      <c r="AJ28">
        <v>192.3</v>
      </c>
      <c r="AK28">
        <v>384.6</v>
      </c>
      <c r="BG28" t="s">
        <v>26</v>
      </c>
      <c r="BI28" t="s">
        <v>1648</v>
      </c>
      <c r="BK28" t="s">
        <v>48</v>
      </c>
      <c r="BL28" t="s">
        <v>1584</v>
      </c>
      <c r="BM28" t="s">
        <v>1583</v>
      </c>
      <c r="BN28">
        <v>43886.075321851851</v>
      </c>
      <c r="BR28" t="s">
        <v>1582</v>
      </c>
      <c r="BS28">
        <v>4.02172020169265E+18</v>
      </c>
      <c r="BT28" t="s">
        <v>1581</v>
      </c>
      <c r="BV28">
        <v>2020</v>
      </c>
      <c r="BW28" t="s">
        <v>1579</v>
      </c>
      <c r="BY28">
        <v>4.0224202016941798E+18</v>
      </c>
      <c r="BZ28" t="s">
        <v>2012</v>
      </c>
      <c r="CA28" t="s">
        <v>1577</v>
      </c>
    </row>
    <row r="29" spans="1:79" x14ac:dyDescent="0.25">
      <c r="A29" t="s">
        <v>1971</v>
      </c>
      <c r="B29" t="s">
        <v>1972</v>
      </c>
      <c r="C29">
        <v>2020</v>
      </c>
      <c r="D29" t="s">
        <v>2013</v>
      </c>
      <c r="E29">
        <v>2.0200320920402499E+17</v>
      </c>
      <c r="F29" t="s">
        <v>1598</v>
      </c>
      <c r="G29" t="s">
        <v>2014</v>
      </c>
      <c r="H29">
        <v>1391207</v>
      </c>
      <c r="J29" t="s">
        <v>1596</v>
      </c>
      <c r="K29" t="s">
        <v>1595</v>
      </c>
      <c r="N29" t="s">
        <v>1975</v>
      </c>
      <c r="O29" t="s">
        <v>64</v>
      </c>
      <c r="P29" t="s">
        <v>1676</v>
      </c>
      <c r="Q29" t="s">
        <v>32</v>
      </c>
      <c r="R29" t="s">
        <v>1963</v>
      </c>
      <c r="T29" t="s">
        <v>1964</v>
      </c>
      <c r="V29" t="s">
        <v>2015</v>
      </c>
      <c r="X29" t="s">
        <v>2016</v>
      </c>
      <c r="Y29" t="s">
        <v>1967</v>
      </c>
      <c r="Z29">
        <v>441141217</v>
      </c>
      <c r="AA29" t="s">
        <v>1976</v>
      </c>
      <c r="AB29" t="s">
        <v>1977</v>
      </c>
      <c r="AD29">
        <v>15</v>
      </c>
      <c r="AE29" t="s">
        <v>1819</v>
      </c>
      <c r="AI29">
        <v>43868</v>
      </c>
      <c r="AJ29">
        <v>192.3</v>
      </c>
      <c r="AK29">
        <v>769.2</v>
      </c>
      <c r="BG29" t="s">
        <v>26</v>
      </c>
      <c r="BI29" t="s">
        <v>1648</v>
      </c>
      <c r="BK29" t="s">
        <v>48</v>
      </c>
      <c r="BL29" t="s">
        <v>1584</v>
      </c>
      <c r="BM29" t="s">
        <v>1583</v>
      </c>
      <c r="BN29">
        <v>43915.233088622685</v>
      </c>
      <c r="BR29" t="s">
        <v>1582</v>
      </c>
      <c r="BS29">
        <v>4.0320202017039401E+18</v>
      </c>
      <c r="BT29" t="s">
        <v>1581</v>
      </c>
      <c r="BV29">
        <v>2020</v>
      </c>
      <c r="BW29" t="s">
        <v>1579</v>
      </c>
      <c r="BY29">
        <v>4.0324202017145999E+18</v>
      </c>
      <c r="BZ29" t="s">
        <v>2017</v>
      </c>
      <c r="CA29" t="s">
        <v>1577</v>
      </c>
    </row>
    <row r="30" spans="1:79" x14ac:dyDescent="0.25">
      <c r="A30" t="s">
        <v>1971</v>
      </c>
      <c r="B30" t="s">
        <v>1972</v>
      </c>
      <c r="C30">
        <v>2020</v>
      </c>
      <c r="D30" t="s">
        <v>2013</v>
      </c>
      <c r="E30">
        <v>2.0200320920402499E+17</v>
      </c>
      <c r="F30" t="s">
        <v>1598</v>
      </c>
      <c r="G30" t="s">
        <v>2018</v>
      </c>
      <c r="H30">
        <v>1391207</v>
      </c>
      <c r="J30" t="s">
        <v>1596</v>
      </c>
      <c r="K30" t="s">
        <v>1595</v>
      </c>
      <c r="N30" t="s">
        <v>1975</v>
      </c>
      <c r="O30" t="s">
        <v>64</v>
      </c>
      <c r="P30" t="s">
        <v>1676</v>
      </c>
      <c r="Q30" t="s">
        <v>32</v>
      </c>
      <c r="R30" t="s">
        <v>1963</v>
      </c>
      <c r="T30" t="s">
        <v>1964</v>
      </c>
      <c r="V30" t="s">
        <v>2015</v>
      </c>
      <c r="X30" t="s">
        <v>2016</v>
      </c>
      <c r="Y30" t="s">
        <v>1967</v>
      </c>
      <c r="Z30">
        <v>441141217</v>
      </c>
      <c r="AA30" t="s">
        <v>1976</v>
      </c>
      <c r="AB30" t="s">
        <v>1977</v>
      </c>
      <c r="AD30">
        <v>15</v>
      </c>
      <c r="AE30" t="s">
        <v>1819</v>
      </c>
      <c r="AI30">
        <v>43882</v>
      </c>
      <c r="AJ30">
        <v>192.3</v>
      </c>
      <c r="AK30">
        <v>769.2</v>
      </c>
      <c r="BG30" t="s">
        <v>26</v>
      </c>
      <c r="BI30" t="s">
        <v>1648</v>
      </c>
      <c r="BK30" t="s">
        <v>48</v>
      </c>
      <c r="BL30" t="s">
        <v>1584</v>
      </c>
      <c r="BM30" t="s">
        <v>1583</v>
      </c>
      <c r="BN30">
        <v>43915.33363375</v>
      </c>
      <c r="BR30" t="s">
        <v>1582</v>
      </c>
      <c r="BS30">
        <v>4.0320202017039401E+18</v>
      </c>
      <c r="BT30" t="s">
        <v>1581</v>
      </c>
      <c r="BV30">
        <v>2020</v>
      </c>
      <c r="BW30" t="s">
        <v>1579</v>
      </c>
      <c r="BY30">
        <v>4.0324202017145999E+18</v>
      </c>
      <c r="BZ30" t="s">
        <v>2019</v>
      </c>
      <c r="CA30" t="s">
        <v>1577</v>
      </c>
    </row>
    <row r="31" spans="1:79" x14ac:dyDescent="0.25">
      <c r="A31" t="s">
        <v>1971</v>
      </c>
      <c r="B31" t="s">
        <v>1972</v>
      </c>
      <c r="C31">
        <v>2020</v>
      </c>
      <c r="D31" t="s">
        <v>2020</v>
      </c>
      <c r="E31">
        <v>2.0200420921975101E+17</v>
      </c>
      <c r="F31" t="s">
        <v>1598</v>
      </c>
      <c r="G31" t="s">
        <v>2021</v>
      </c>
      <c r="H31">
        <v>1402192</v>
      </c>
      <c r="J31" t="s">
        <v>1596</v>
      </c>
      <c r="K31" t="s">
        <v>1595</v>
      </c>
      <c r="N31" t="s">
        <v>1975</v>
      </c>
      <c r="O31" t="s">
        <v>64</v>
      </c>
      <c r="P31" t="s">
        <v>1676</v>
      </c>
      <c r="Q31" t="s">
        <v>32</v>
      </c>
      <c r="R31" t="s">
        <v>1963</v>
      </c>
      <c r="T31" t="s">
        <v>1964</v>
      </c>
      <c r="V31" t="s">
        <v>1965</v>
      </c>
      <c r="X31" t="s">
        <v>1966</v>
      </c>
      <c r="Y31" t="s">
        <v>1967</v>
      </c>
      <c r="Z31">
        <v>441081119</v>
      </c>
      <c r="AA31" t="s">
        <v>1976</v>
      </c>
      <c r="AB31" t="s">
        <v>1977</v>
      </c>
      <c r="AD31">
        <v>15</v>
      </c>
      <c r="AE31" t="s">
        <v>1819</v>
      </c>
      <c r="AI31">
        <v>43896</v>
      </c>
      <c r="AJ31">
        <v>192.3</v>
      </c>
      <c r="AK31">
        <v>1153.8</v>
      </c>
      <c r="BG31" t="s">
        <v>26</v>
      </c>
      <c r="BI31" t="s">
        <v>1648</v>
      </c>
      <c r="BK31" t="s">
        <v>48</v>
      </c>
      <c r="BL31" t="s">
        <v>1584</v>
      </c>
      <c r="BM31" t="s">
        <v>1583</v>
      </c>
      <c r="BN31">
        <v>43942.077489340278</v>
      </c>
      <c r="BR31" t="s">
        <v>1582</v>
      </c>
      <c r="BS31">
        <v>4.0420202017373501E+18</v>
      </c>
      <c r="BT31" t="s">
        <v>1581</v>
      </c>
      <c r="BV31">
        <v>2020</v>
      </c>
      <c r="BW31" t="s">
        <v>1579</v>
      </c>
      <c r="BY31">
        <v>4.0420202017374198E+18</v>
      </c>
      <c r="BZ31" t="s">
        <v>2022</v>
      </c>
      <c r="CA31" t="s">
        <v>1577</v>
      </c>
    </row>
    <row r="32" spans="1:79" x14ac:dyDescent="0.25">
      <c r="A32" t="s">
        <v>1971</v>
      </c>
      <c r="B32" t="s">
        <v>1972</v>
      </c>
      <c r="C32">
        <v>2020</v>
      </c>
      <c r="D32" t="s">
        <v>2020</v>
      </c>
      <c r="E32">
        <v>2.0200420921975101E+17</v>
      </c>
      <c r="F32" t="s">
        <v>1598</v>
      </c>
      <c r="G32" t="s">
        <v>2023</v>
      </c>
      <c r="H32">
        <v>1402192</v>
      </c>
      <c r="J32" t="s">
        <v>1596</v>
      </c>
      <c r="K32" t="s">
        <v>1595</v>
      </c>
      <c r="N32" t="s">
        <v>1975</v>
      </c>
      <c r="O32" t="s">
        <v>64</v>
      </c>
      <c r="P32" t="s">
        <v>1676</v>
      </c>
      <c r="Q32" t="s">
        <v>32</v>
      </c>
      <c r="R32" t="s">
        <v>1963</v>
      </c>
      <c r="T32" t="s">
        <v>1964</v>
      </c>
      <c r="V32" t="s">
        <v>1965</v>
      </c>
      <c r="X32" t="s">
        <v>1966</v>
      </c>
      <c r="Y32" t="s">
        <v>1967</v>
      </c>
      <c r="Z32">
        <v>441081119</v>
      </c>
      <c r="AA32" t="s">
        <v>1976</v>
      </c>
      <c r="AB32" t="s">
        <v>1977</v>
      </c>
      <c r="AD32">
        <v>15</v>
      </c>
      <c r="AE32" t="s">
        <v>1819</v>
      </c>
      <c r="AI32">
        <v>43910</v>
      </c>
      <c r="AJ32">
        <v>192.3</v>
      </c>
      <c r="AK32">
        <v>1153.8</v>
      </c>
      <c r="BG32" t="s">
        <v>26</v>
      </c>
      <c r="BI32" t="s">
        <v>1648</v>
      </c>
      <c r="BK32" t="s">
        <v>48</v>
      </c>
      <c r="BL32" t="s">
        <v>1584</v>
      </c>
      <c r="BM32" t="s">
        <v>1583</v>
      </c>
      <c r="BN32">
        <v>43942.077489340278</v>
      </c>
      <c r="BR32" t="s">
        <v>1582</v>
      </c>
      <c r="BS32">
        <v>4.0420202017373501E+18</v>
      </c>
      <c r="BT32" t="s">
        <v>1581</v>
      </c>
      <c r="BV32">
        <v>2020</v>
      </c>
      <c r="BW32" t="s">
        <v>1579</v>
      </c>
      <c r="BY32">
        <v>4.0420202017374198E+18</v>
      </c>
      <c r="BZ32" t="s">
        <v>2022</v>
      </c>
      <c r="CA32" t="s">
        <v>1577</v>
      </c>
    </row>
    <row r="33" spans="1:79" x14ac:dyDescent="0.25">
      <c r="A33" t="s">
        <v>1971</v>
      </c>
      <c r="B33" t="s">
        <v>1972</v>
      </c>
      <c r="C33">
        <v>2020</v>
      </c>
      <c r="D33" t="s">
        <v>1902</v>
      </c>
      <c r="E33">
        <v>2.0200519923279699E+17</v>
      </c>
      <c r="F33" t="s">
        <v>1598</v>
      </c>
      <c r="G33" t="s">
        <v>2024</v>
      </c>
      <c r="H33">
        <v>1406467</v>
      </c>
      <c r="J33" t="s">
        <v>1596</v>
      </c>
      <c r="K33" t="s">
        <v>1595</v>
      </c>
      <c r="N33" t="s">
        <v>1975</v>
      </c>
      <c r="O33" t="s">
        <v>64</v>
      </c>
      <c r="P33" t="s">
        <v>1676</v>
      </c>
      <c r="Q33" t="s">
        <v>32</v>
      </c>
      <c r="R33" t="s">
        <v>1963</v>
      </c>
      <c r="T33" t="s">
        <v>1964</v>
      </c>
      <c r="V33" t="s">
        <v>1965</v>
      </c>
      <c r="X33" t="s">
        <v>1966</v>
      </c>
      <c r="Y33" t="s">
        <v>1967</v>
      </c>
      <c r="Z33">
        <v>441081119</v>
      </c>
      <c r="AA33" t="s">
        <v>1976</v>
      </c>
      <c r="AB33" t="s">
        <v>1977</v>
      </c>
      <c r="AD33">
        <v>15</v>
      </c>
      <c r="AE33" t="s">
        <v>1819</v>
      </c>
      <c r="AI33">
        <v>43924</v>
      </c>
      <c r="AJ33">
        <v>192.3</v>
      </c>
      <c r="AK33">
        <v>1538.4</v>
      </c>
      <c r="BG33" t="s">
        <v>26</v>
      </c>
      <c r="BI33" t="s">
        <v>1648</v>
      </c>
      <c r="BK33" t="s">
        <v>48</v>
      </c>
      <c r="BL33" t="s">
        <v>1584</v>
      </c>
      <c r="BM33" t="s">
        <v>1583</v>
      </c>
      <c r="BN33">
        <v>43971.06480605324</v>
      </c>
      <c r="BR33" t="s">
        <v>1582</v>
      </c>
      <c r="BS33">
        <v>4.0519202017615498E+18</v>
      </c>
      <c r="BT33" t="s">
        <v>1581</v>
      </c>
      <c r="BV33">
        <v>2020</v>
      </c>
      <c r="BW33" t="s">
        <v>1579</v>
      </c>
      <c r="BY33">
        <v>4.05192020176158E+18</v>
      </c>
      <c r="BZ33" t="s">
        <v>2025</v>
      </c>
      <c r="CA33" t="s">
        <v>1577</v>
      </c>
    </row>
    <row r="34" spans="1:79" x14ac:dyDescent="0.25">
      <c r="A34" t="s">
        <v>1971</v>
      </c>
      <c r="B34" t="s">
        <v>1972</v>
      </c>
      <c r="C34">
        <v>2020</v>
      </c>
      <c r="D34" t="s">
        <v>1902</v>
      </c>
      <c r="E34">
        <v>2.0200519923279699E+17</v>
      </c>
      <c r="F34" t="s">
        <v>1598</v>
      </c>
      <c r="G34" t="s">
        <v>2026</v>
      </c>
      <c r="H34">
        <v>1406467</v>
      </c>
      <c r="J34" t="s">
        <v>1596</v>
      </c>
      <c r="K34" t="s">
        <v>1595</v>
      </c>
      <c r="N34" t="s">
        <v>1975</v>
      </c>
      <c r="O34" t="s">
        <v>64</v>
      </c>
      <c r="P34" t="s">
        <v>1676</v>
      </c>
      <c r="Q34" t="s">
        <v>32</v>
      </c>
      <c r="R34" t="s">
        <v>1963</v>
      </c>
      <c r="T34" t="s">
        <v>1964</v>
      </c>
      <c r="V34" t="s">
        <v>1965</v>
      </c>
      <c r="X34" t="s">
        <v>1966</v>
      </c>
      <c r="Y34" t="s">
        <v>1967</v>
      </c>
      <c r="Z34">
        <v>441081119</v>
      </c>
      <c r="AA34" t="s">
        <v>1976</v>
      </c>
      <c r="AB34" t="s">
        <v>1977</v>
      </c>
      <c r="AD34">
        <v>15</v>
      </c>
      <c r="AE34" t="s">
        <v>1819</v>
      </c>
      <c r="AI34">
        <v>43938</v>
      </c>
      <c r="AJ34">
        <v>192.3</v>
      </c>
      <c r="AK34">
        <v>1538.4</v>
      </c>
      <c r="BG34" t="s">
        <v>26</v>
      </c>
      <c r="BI34" t="s">
        <v>1648</v>
      </c>
      <c r="BK34" t="s">
        <v>48</v>
      </c>
      <c r="BL34" t="s">
        <v>1584</v>
      </c>
      <c r="BM34" t="s">
        <v>1583</v>
      </c>
      <c r="BN34">
        <v>43971.06480605324</v>
      </c>
      <c r="BR34" t="s">
        <v>1582</v>
      </c>
      <c r="BS34">
        <v>4.0519202017615498E+18</v>
      </c>
      <c r="BT34" t="s">
        <v>1581</v>
      </c>
      <c r="BV34">
        <v>2020</v>
      </c>
      <c r="BW34" t="s">
        <v>1579</v>
      </c>
      <c r="BY34">
        <v>4.05192020176158E+18</v>
      </c>
      <c r="BZ34" t="s">
        <v>2025</v>
      </c>
      <c r="CA34" t="s">
        <v>1577</v>
      </c>
    </row>
    <row r="35" spans="1:79" x14ac:dyDescent="0.25">
      <c r="A35" t="s">
        <v>1013</v>
      </c>
      <c r="B35" t="s">
        <v>308</v>
      </c>
      <c r="C35">
        <v>2020</v>
      </c>
      <c r="D35" t="s">
        <v>1902</v>
      </c>
      <c r="E35">
        <v>2.02005209237048E+17</v>
      </c>
      <c r="F35" t="s">
        <v>1598</v>
      </c>
      <c r="G35" t="s">
        <v>2027</v>
      </c>
      <c r="H35">
        <v>1407307</v>
      </c>
      <c r="J35" t="s">
        <v>1596</v>
      </c>
      <c r="K35" t="s">
        <v>1595</v>
      </c>
      <c r="N35" t="s">
        <v>1975</v>
      </c>
      <c r="O35" t="s">
        <v>1593</v>
      </c>
      <c r="Q35" t="s">
        <v>1592</v>
      </c>
      <c r="R35" t="s">
        <v>1963</v>
      </c>
      <c r="T35" t="s">
        <v>1964</v>
      </c>
      <c r="V35" t="s">
        <v>1965</v>
      </c>
      <c r="X35" t="s">
        <v>1966</v>
      </c>
      <c r="Y35" t="s">
        <v>1967</v>
      </c>
      <c r="Z35">
        <v>441081119</v>
      </c>
      <c r="AA35" t="s">
        <v>1609</v>
      </c>
      <c r="AB35" t="s">
        <v>1609</v>
      </c>
      <c r="AF35" t="s">
        <v>1909</v>
      </c>
      <c r="AI35">
        <v>43951</v>
      </c>
      <c r="AJ35">
        <v>25</v>
      </c>
      <c r="AK35">
        <v>25</v>
      </c>
      <c r="BK35" t="s">
        <v>48</v>
      </c>
      <c r="BL35" t="s">
        <v>1584</v>
      </c>
      <c r="BM35" t="s">
        <v>1583</v>
      </c>
      <c r="BN35">
        <v>43979.300775462965</v>
      </c>
      <c r="BR35" t="s">
        <v>1582</v>
      </c>
      <c r="BS35">
        <v>4.05212020176224E+18</v>
      </c>
      <c r="BT35" t="s">
        <v>1581</v>
      </c>
      <c r="BU35" t="s">
        <v>1910</v>
      </c>
      <c r="BV35">
        <v>2020</v>
      </c>
      <c r="BW35" t="s">
        <v>1579</v>
      </c>
      <c r="BY35">
        <v>4.0527202017698698E+18</v>
      </c>
      <c r="BZ35" t="s">
        <v>2028</v>
      </c>
      <c r="CA35" t="s">
        <v>1577</v>
      </c>
    </row>
    <row r="36" spans="1:79" x14ac:dyDescent="0.25">
      <c r="A36" t="s">
        <v>1971</v>
      </c>
      <c r="B36" t="s">
        <v>1972</v>
      </c>
      <c r="C36">
        <v>2020</v>
      </c>
      <c r="D36" t="s">
        <v>2029</v>
      </c>
      <c r="E36">
        <v>2.0200618923992998E+17</v>
      </c>
      <c r="F36" t="s">
        <v>1598</v>
      </c>
      <c r="G36" t="s">
        <v>2030</v>
      </c>
      <c r="H36">
        <v>1412691</v>
      </c>
      <c r="J36" t="s">
        <v>1596</v>
      </c>
      <c r="K36" t="s">
        <v>1595</v>
      </c>
      <c r="N36" t="s">
        <v>1975</v>
      </c>
      <c r="O36" t="s">
        <v>64</v>
      </c>
      <c r="P36" t="s">
        <v>1676</v>
      </c>
      <c r="Q36" t="s">
        <v>32</v>
      </c>
      <c r="R36" t="s">
        <v>1963</v>
      </c>
      <c r="T36" t="s">
        <v>1964</v>
      </c>
      <c r="V36" t="s">
        <v>1965</v>
      </c>
      <c r="X36" t="s">
        <v>1966</v>
      </c>
      <c r="Y36" t="s">
        <v>1967</v>
      </c>
      <c r="Z36">
        <v>441081119</v>
      </c>
      <c r="AA36" t="s">
        <v>1976</v>
      </c>
      <c r="AB36" t="s">
        <v>1977</v>
      </c>
      <c r="AD36">
        <v>15</v>
      </c>
      <c r="AE36" t="s">
        <v>1819</v>
      </c>
      <c r="AI36">
        <v>43952</v>
      </c>
      <c r="AJ36">
        <v>192.3</v>
      </c>
      <c r="AK36">
        <v>1923</v>
      </c>
      <c r="BG36" t="s">
        <v>26</v>
      </c>
      <c r="BI36" t="s">
        <v>1648</v>
      </c>
      <c r="BK36" t="s">
        <v>48</v>
      </c>
      <c r="BL36" t="s">
        <v>1584</v>
      </c>
      <c r="BM36" t="s">
        <v>1583</v>
      </c>
      <c r="BN36">
        <v>44001.108141018522</v>
      </c>
      <c r="BR36" t="s">
        <v>1582</v>
      </c>
      <c r="BS36">
        <v>4.0618202017751101E+18</v>
      </c>
      <c r="BT36" t="s">
        <v>1581</v>
      </c>
      <c r="BV36">
        <v>2020</v>
      </c>
      <c r="BW36" t="s">
        <v>1579</v>
      </c>
      <c r="BY36">
        <v>4.06182020177517E+18</v>
      </c>
      <c r="BZ36" t="s">
        <v>2031</v>
      </c>
      <c r="CA36" t="s">
        <v>1577</v>
      </c>
    </row>
    <row r="37" spans="1:79" x14ac:dyDescent="0.25">
      <c r="A37" t="s">
        <v>1971</v>
      </c>
      <c r="B37" t="s">
        <v>1972</v>
      </c>
      <c r="C37">
        <v>2020</v>
      </c>
      <c r="D37" t="s">
        <v>2029</v>
      </c>
      <c r="E37">
        <v>2.0200618923992998E+17</v>
      </c>
      <c r="F37" t="s">
        <v>1598</v>
      </c>
      <c r="G37" t="s">
        <v>2032</v>
      </c>
      <c r="H37">
        <v>1412691</v>
      </c>
      <c r="J37" t="s">
        <v>1596</v>
      </c>
      <c r="K37" t="s">
        <v>1595</v>
      </c>
      <c r="N37" t="s">
        <v>1975</v>
      </c>
      <c r="O37" t="s">
        <v>64</v>
      </c>
      <c r="P37" t="s">
        <v>1676</v>
      </c>
      <c r="Q37" t="s">
        <v>32</v>
      </c>
      <c r="R37" t="s">
        <v>1963</v>
      </c>
      <c r="T37" t="s">
        <v>1964</v>
      </c>
      <c r="V37" t="s">
        <v>1965</v>
      </c>
      <c r="X37" t="s">
        <v>1966</v>
      </c>
      <c r="Y37" t="s">
        <v>1967</v>
      </c>
      <c r="Z37">
        <v>441081119</v>
      </c>
      <c r="AA37" t="s">
        <v>1976</v>
      </c>
      <c r="AB37" t="s">
        <v>1977</v>
      </c>
      <c r="AD37">
        <v>15</v>
      </c>
      <c r="AE37" t="s">
        <v>1819</v>
      </c>
      <c r="AI37">
        <v>43966</v>
      </c>
      <c r="AJ37">
        <v>192.3</v>
      </c>
      <c r="AK37">
        <v>1923</v>
      </c>
      <c r="BG37" t="s">
        <v>26</v>
      </c>
      <c r="BI37" t="s">
        <v>1648</v>
      </c>
      <c r="BK37" t="s">
        <v>48</v>
      </c>
      <c r="BL37" t="s">
        <v>1584</v>
      </c>
      <c r="BM37" t="s">
        <v>1583</v>
      </c>
      <c r="BN37">
        <v>44001.108141018522</v>
      </c>
      <c r="BR37" t="s">
        <v>1582</v>
      </c>
      <c r="BS37">
        <v>4.0618202017751101E+18</v>
      </c>
      <c r="BT37" t="s">
        <v>1581</v>
      </c>
      <c r="BV37">
        <v>2020</v>
      </c>
      <c r="BW37" t="s">
        <v>1579</v>
      </c>
      <c r="BY37">
        <v>4.06182020177517E+18</v>
      </c>
      <c r="BZ37" t="s">
        <v>2033</v>
      </c>
      <c r="CA37" t="s">
        <v>1577</v>
      </c>
    </row>
    <row r="38" spans="1:79" x14ac:dyDescent="0.25">
      <c r="A38" t="s">
        <v>1524</v>
      </c>
      <c r="B38" t="s">
        <v>819</v>
      </c>
      <c r="C38">
        <v>2020</v>
      </c>
      <c r="D38" t="s">
        <v>1667</v>
      </c>
      <c r="E38">
        <v>2.0210308944030598E+17</v>
      </c>
      <c r="F38" t="s">
        <v>1598</v>
      </c>
      <c r="G38">
        <v>19162720</v>
      </c>
      <c r="H38">
        <v>1503262</v>
      </c>
      <c r="J38" t="s">
        <v>1596</v>
      </c>
      <c r="K38" t="s">
        <v>1595</v>
      </c>
      <c r="N38" t="s">
        <v>1975</v>
      </c>
      <c r="O38" t="s">
        <v>0</v>
      </c>
      <c r="Q38" t="s">
        <v>58</v>
      </c>
      <c r="R38" t="s">
        <v>1963</v>
      </c>
      <c r="T38" t="s">
        <v>1964</v>
      </c>
      <c r="V38" t="s">
        <v>1965</v>
      </c>
      <c r="X38" t="s">
        <v>2016</v>
      </c>
      <c r="Y38" t="s">
        <v>1967</v>
      </c>
      <c r="Z38">
        <v>441081119</v>
      </c>
      <c r="AA38" t="s">
        <v>1587</v>
      </c>
      <c r="AB38" t="s">
        <v>1587</v>
      </c>
      <c r="AD38">
        <v>15</v>
      </c>
      <c r="AE38" t="s">
        <v>1819</v>
      </c>
      <c r="AI38">
        <v>44105</v>
      </c>
      <c r="AJ38">
        <v>10000</v>
      </c>
      <c r="AK38">
        <v>10000</v>
      </c>
      <c r="BG38" t="s">
        <v>26</v>
      </c>
      <c r="BI38" t="s">
        <v>1648</v>
      </c>
      <c r="BK38" t="s">
        <v>48</v>
      </c>
      <c r="BL38" t="s">
        <v>1584</v>
      </c>
      <c r="BM38" t="s">
        <v>1583</v>
      </c>
      <c r="BN38">
        <v>44329.162842129626</v>
      </c>
      <c r="BR38" t="s">
        <v>1582</v>
      </c>
      <c r="BS38">
        <v>4.0309202112269302E+18</v>
      </c>
      <c r="BT38" t="s">
        <v>1581</v>
      </c>
      <c r="BV38">
        <v>2020</v>
      </c>
      <c r="BW38" t="s">
        <v>1579</v>
      </c>
      <c r="BY38">
        <v>4.0309202112389699E+18</v>
      </c>
      <c r="BZ38" t="s">
        <v>2034</v>
      </c>
      <c r="CA38" t="s">
        <v>1577</v>
      </c>
    </row>
    <row r="39" spans="1:79" x14ac:dyDescent="0.25">
      <c r="A39" t="s">
        <v>1013</v>
      </c>
      <c r="B39" t="s">
        <v>308</v>
      </c>
      <c r="C39">
        <v>2020</v>
      </c>
      <c r="D39" t="s">
        <v>1860</v>
      </c>
      <c r="E39">
        <v>2.02012149378724E+17</v>
      </c>
      <c r="F39" t="s">
        <v>1598</v>
      </c>
      <c r="G39" t="s">
        <v>2035</v>
      </c>
      <c r="H39">
        <v>1482832</v>
      </c>
      <c r="J39" t="s">
        <v>1596</v>
      </c>
      <c r="K39" t="s">
        <v>1595</v>
      </c>
      <c r="N39" t="s">
        <v>1975</v>
      </c>
      <c r="O39" t="s">
        <v>1593</v>
      </c>
      <c r="Q39" t="s">
        <v>1592</v>
      </c>
      <c r="R39" t="s">
        <v>1963</v>
      </c>
      <c r="T39" t="s">
        <v>1964</v>
      </c>
      <c r="V39" t="s">
        <v>1965</v>
      </c>
      <c r="X39" t="s">
        <v>1966</v>
      </c>
      <c r="Y39" t="s">
        <v>1967</v>
      </c>
      <c r="Z39">
        <v>441081119</v>
      </c>
      <c r="AA39" t="s">
        <v>1609</v>
      </c>
      <c r="AB39" t="s">
        <v>1609</v>
      </c>
      <c r="AF39" t="s">
        <v>1586</v>
      </c>
      <c r="AI39">
        <v>44095</v>
      </c>
      <c r="AJ39">
        <v>50</v>
      </c>
      <c r="AK39">
        <v>150</v>
      </c>
      <c r="BF39" t="s">
        <v>1585</v>
      </c>
      <c r="BK39" t="s">
        <v>48</v>
      </c>
      <c r="BL39" t="s">
        <v>1584</v>
      </c>
      <c r="BM39" t="s">
        <v>1583</v>
      </c>
      <c r="BN39">
        <v>44218.661483425924</v>
      </c>
      <c r="BR39" t="s">
        <v>1582</v>
      </c>
      <c r="BS39">
        <v>4.1216202019742802E+18</v>
      </c>
      <c r="BT39" t="s">
        <v>1581</v>
      </c>
      <c r="BU39" t="s">
        <v>2036</v>
      </c>
      <c r="BV39">
        <v>2020</v>
      </c>
      <c r="BW39" t="s">
        <v>1579</v>
      </c>
      <c r="BY39">
        <v>4.01212021211885E+18</v>
      </c>
      <c r="BZ39" t="s">
        <v>2037</v>
      </c>
      <c r="CA39" t="s">
        <v>1577</v>
      </c>
    </row>
    <row r="40" spans="1:79" x14ac:dyDescent="0.25">
      <c r="A40" t="s">
        <v>1013</v>
      </c>
      <c r="B40" t="s">
        <v>308</v>
      </c>
      <c r="C40">
        <v>2020</v>
      </c>
      <c r="D40" t="s">
        <v>1865</v>
      </c>
      <c r="E40">
        <v>2.0200820926317402E+17</v>
      </c>
      <c r="F40" t="s">
        <v>1598</v>
      </c>
      <c r="G40" t="s">
        <v>2038</v>
      </c>
      <c r="H40">
        <v>1434463</v>
      </c>
      <c r="J40" t="s">
        <v>1596</v>
      </c>
      <c r="K40" t="s">
        <v>1595</v>
      </c>
      <c r="N40" t="s">
        <v>1975</v>
      </c>
      <c r="O40" t="s">
        <v>1593</v>
      </c>
      <c r="Q40" t="s">
        <v>1592</v>
      </c>
      <c r="R40" t="s">
        <v>1963</v>
      </c>
      <c r="T40" t="s">
        <v>1964</v>
      </c>
      <c r="V40" t="s">
        <v>1965</v>
      </c>
      <c r="X40" t="s">
        <v>1966</v>
      </c>
      <c r="Y40" t="s">
        <v>1967</v>
      </c>
      <c r="Z40">
        <v>441081119</v>
      </c>
      <c r="AA40" t="s">
        <v>1609</v>
      </c>
      <c r="AB40" t="s">
        <v>1609</v>
      </c>
      <c r="AF40" t="s">
        <v>1586</v>
      </c>
      <c r="AI40">
        <v>44033</v>
      </c>
      <c r="AJ40">
        <v>50</v>
      </c>
      <c r="AK40">
        <v>50</v>
      </c>
      <c r="BK40" t="s">
        <v>48</v>
      </c>
      <c r="BL40" t="s">
        <v>1584</v>
      </c>
      <c r="BM40" t="s">
        <v>1583</v>
      </c>
      <c r="BN40">
        <v>44090.279516111113</v>
      </c>
      <c r="BR40" t="s">
        <v>1582</v>
      </c>
      <c r="BS40">
        <v>4.0822202018295301E+18</v>
      </c>
      <c r="BT40" t="s">
        <v>1581</v>
      </c>
      <c r="BU40" t="s">
        <v>2036</v>
      </c>
      <c r="BV40">
        <v>2020</v>
      </c>
      <c r="BW40" t="s">
        <v>1579</v>
      </c>
      <c r="BY40">
        <v>4.0915202018433198E+18</v>
      </c>
      <c r="BZ40" t="s">
        <v>2039</v>
      </c>
      <c r="CA40" t="s">
        <v>1577</v>
      </c>
    </row>
    <row r="41" spans="1:79" x14ac:dyDescent="0.25">
      <c r="A41" t="s">
        <v>1354</v>
      </c>
      <c r="B41" t="s">
        <v>649</v>
      </c>
      <c r="C41">
        <v>2020</v>
      </c>
      <c r="D41" t="s">
        <v>1667</v>
      </c>
      <c r="E41">
        <v>2.0201022933614899E+17</v>
      </c>
      <c r="F41">
        <v>18</v>
      </c>
      <c r="G41">
        <v>24543330</v>
      </c>
      <c r="H41">
        <v>1463690</v>
      </c>
      <c r="J41" t="s">
        <v>1596</v>
      </c>
      <c r="K41" t="s">
        <v>1595</v>
      </c>
      <c r="N41" t="s">
        <v>1975</v>
      </c>
      <c r="O41" t="s">
        <v>26</v>
      </c>
      <c r="Q41" t="s">
        <v>26</v>
      </c>
      <c r="R41" t="s">
        <v>1963</v>
      </c>
      <c r="T41" t="s">
        <v>1964</v>
      </c>
      <c r="V41" t="s">
        <v>1965</v>
      </c>
      <c r="X41" t="s">
        <v>2016</v>
      </c>
      <c r="Y41" t="s">
        <v>1967</v>
      </c>
      <c r="Z41">
        <v>441081119</v>
      </c>
      <c r="AA41" t="s">
        <v>1587</v>
      </c>
      <c r="AB41" t="s">
        <v>1587</v>
      </c>
      <c r="AD41" t="s">
        <v>1621</v>
      </c>
      <c r="AE41" t="s">
        <v>1620</v>
      </c>
      <c r="AG41" t="s">
        <v>1619</v>
      </c>
      <c r="AI41">
        <v>44105</v>
      </c>
      <c r="AJ41">
        <v>2800</v>
      </c>
      <c r="AK41">
        <v>2800</v>
      </c>
      <c r="BG41" t="s">
        <v>1606</v>
      </c>
      <c r="BI41" t="s">
        <v>1605</v>
      </c>
      <c r="BJ41">
        <v>2020</v>
      </c>
      <c r="BK41" t="s">
        <v>48</v>
      </c>
      <c r="BL41" t="s">
        <v>1584</v>
      </c>
      <c r="BM41" t="s">
        <v>1583</v>
      </c>
      <c r="BN41">
        <v>44132.177152708333</v>
      </c>
      <c r="BP41">
        <v>20811383</v>
      </c>
      <c r="BQ41" t="s">
        <v>2040</v>
      </c>
      <c r="BR41" t="s">
        <v>1669</v>
      </c>
      <c r="BS41">
        <v>4.10242020188542E+18</v>
      </c>
      <c r="BT41" t="s">
        <v>1581</v>
      </c>
      <c r="BU41" t="s">
        <v>2041</v>
      </c>
      <c r="BV41">
        <v>2020</v>
      </c>
      <c r="BW41" t="s">
        <v>1579</v>
      </c>
      <c r="BY41">
        <v>4.1028202018885801E+18</v>
      </c>
      <c r="BZ41" t="s">
        <v>2042</v>
      </c>
      <c r="CA41" t="s">
        <v>2043</v>
      </c>
    </row>
    <row r="42" spans="1:79" x14ac:dyDescent="0.25">
      <c r="A42" t="s">
        <v>1378</v>
      </c>
      <c r="B42" t="s">
        <v>673</v>
      </c>
      <c r="C42">
        <v>2020</v>
      </c>
      <c r="D42" t="s">
        <v>1667</v>
      </c>
      <c r="E42">
        <v>2.0201022933643802E+17</v>
      </c>
      <c r="F42" t="s">
        <v>1598</v>
      </c>
      <c r="G42" t="s">
        <v>2044</v>
      </c>
      <c r="H42">
        <v>1464149</v>
      </c>
      <c r="J42" t="s">
        <v>1596</v>
      </c>
      <c r="K42" t="s">
        <v>1595</v>
      </c>
      <c r="L42" t="s">
        <v>1013</v>
      </c>
      <c r="N42" t="s">
        <v>1975</v>
      </c>
      <c r="O42" t="s">
        <v>37</v>
      </c>
      <c r="Q42" t="s">
        <v>26</v>
      </c>
      <c r="R42" t="s">
        <v>1963</v>
      </c>
      <c r="T42" t="s">
        <v>1964</v>
      </c>
      <c r="V42" t="s">
        <v>1965</v>
      </c>
      <c r="X42" t="s">
        <v>1966</v>
      </c>
      <c r="Y42" t="s">
        <v>1967</v>
      </c>
      <c r="Z42">
        <v>441081119</v>
      </c>
      <c r="AA42" t="s">
        <v>1976</v>
      </c>
      <c r="AB42" t="s">
        <v>1892</v>
      </c>
      <c r="AC42" t="s">
        <v>1013</v>
      </c>
      <c r="AD42" t="s">
        <v>1608</v>
      </c>
      <c r="AE42" t="s">
        <v>1607</v>
      </c>
      <c r="AI42">
        <v>44106</v>
      </c>
      <c r="AJ42">
        <v>1000</v>
      </c>
      <c r="AK42">
        <v>2000</v>
      </c>
      <c r="BG42" t="s">
        <v>1606</v>
      </c>
      <c r="BI42" t="s">
        <v>1605</v>
      </c>
      <c r="BJ42">
        <v>2020</v>
      </c>
      <c r="BK42" t="s">
        <v>48</v>
      </c>
      <c r="BL42" t="s">
        <v>1584</v>
      </c>
      <c r="BM42" t="s">
        <v>1583</v>
      </c>
      <c r="BN42">
        <v>44174.155313229166</v>
      </c>
      <c r="BP42" t="s">
        <v>2045</v>
      </c>
      <c r="BQ42" t="s">
        <v>1603</v>
      </c>
      <c r="BR42" t="s">
        <v>1602</v>
      </c>
      <c r="BS42">
        <v>4.1024202018854098E+18</v>
      </c>
      <c r="BT42" t="s">
        <v>1581</v>
      </c>
      <c r="BU42" t="s">
        <v>1601</v>
      </c>
      <c r="BV42">
        <v>2020</v>
      </c>
      <c r="BW42" t="s">
        <v>1579</v>
      </c>
      <c r="BY42">
        <v>4.1209202019671798E+18</v>
      </c>
      <c r="BZ42" t="s">
        <v>2046</v>
      </c>
      <c r="CA42" t="s">
        <v>1577</v>
      </c>
    </row>
    <row r="43" spans="1:79" x14ac:dyDescent="0.25">
      <c r="A43" t="s">
        <v>1320</v>
      </c>
      <c r="B43" t="s">
        <v>615</v>
      </c>
      <c r="C43">
        <v>2020</v>
      </c>
      <c r="D43" t="s">
        <v>1667</v>
      </c>
      <c r="E43">
        <v>2.0201022933541101E+17</v>
      </c>
      <c r="F43" t="s">
        <v>1598</v>
      </c>
      <c r="G43" t="s">
        <v>2047</v>
      </c>
      <c r="H43">
        <v>1463342</v>
      </c>
      <c r="J43" t="s">
        <v>1596</v>
      </c>
      <c r="K43" t="s">
        <v>1595</v>
      </c>
      <c r="L43" t="s">
        <v>1013</v>
      </c>
      <c r="N43" t="s">
        <v>1975</v>
      </c>
      <c r="O43" t="s">
        <v>37</v>
      </c>
      <c r="Q43" t="s">
        <v>26</v>
      </c>
      <c r="R43" t="s">
        <v>1963</v>
      </c>
      <c r="T43" t="s">
        <v>1964</v>
      </c>
      <c r="V43" t="s">
        <v>1965</v>
      </c>
      <c r="X43" t="s">
        <v>1966</v>
      </c>
      <c r="Y43" t="s">
        <v>1967</v>
      </c>
      <c r="Z43">
        <v>441081119</v>
      </c>
      <c r="AA43" t="s">
        <v>1976</v>
      </c>
      <c r="AB43" t="s">
        <v>1977</v>
      </c>
      <c r="AC43" t="s">
        <v>1013</v>
      </c>
      <c r="AD43" t="s">
        <v>1608</v>
      </c>
      <c r="AE43" t="s">
        <v>1607</v>
      </c>
      <c r="AI43">
        <v>44106</v>
      </c>
      <c r="AJ43">
        <v>1000</v>
      </c>
      <c r="AK43">
        <v>1000</v>
      </c>
      <c r="BG43" t="s">
        <v>1606</v>
      </c>
      <c r="BI43" t="s">
        <v>1605</v>
      </c>
      <c r="BJ43">
        <v>2020</v>
      </c>
      <c r="BK43" t="s">
        <v>48</v>
      </c>
      <c r="BL43" t="s">
        <v>1584</v>
      </c>
      <c r="BM43" t="s">
        <v>1583</v>
      </c>
      <c r="BN43">
        <v>44160.165158761571</v>
      </c>
      <c r="BP43" t="s">
        <v>2048</v>
      </c>
      <c r="BQ43" t="s">
        <v>1603</v>
      </c>
      <c r="BR43" t="s">
        <v>1602</v>
      </c>
      <c r="BS43">
        <v>4.1024202018854098E+18</v>
      </c>
      <c r="BT43" t="s">
        <v>1581</v>
      </c>
      <c r="BU43" t="s">
        <v>1601</v>
      </c>
      <c r="BV43">
        <v>2020</v>
      </c>
      <c r="BW43" t="s">
        <v>1579</v>
      </c>
      <c r="BY43">
        <v>4.1125202019609498E+18</v>
      </c>
      <c r="BZ43" t="s">
        <v>2049</v>
      </c>
      <c r="CA43" t="s">
        <v>1577</v>
      </c>
    </row>
    <row r="44" spans="1:79" x14ac:dyDescent="0.25">
      <c r="A44" t="s">
        <v>1225</v>
      </c>
      <c r="B44" t="s">
        <v>520</v>
      </c>
      <c r="C44">
        <v>2020</v>
      </c>
      <c r="D44" t="s">
        <v>1659</v>
      </c>
      <c r="E44">
        <v>2.0201015929438E+17</v>
      </c>
      <c r="F44" t="s">
        <v>1598</v>
      </c>
      <c r="G44" t="s">
        <v>2050</v>
      </c>
      <c r="H44">
        <v>1450337</v>
      </c>
      <c r="J44" t="s">
        <v>1596</v>
      </c>
      <c r="K44" t="s">
        <v>1595</v>
      </c>
      <c r="L44" t="s">
        <v>1013</v>
      </c>
      <c r="N44" t="s">
        <v>1975</v>
      </c>
      <c r="O44" t="s">
        <v>37</v>
      </c>
      <c r="Q44" t="s">
        <v>26</v>
      </c>
      <c r="R44" t="s">
        <v>1963</v>
      </c>
      <c r="T44" t="s">
        <v>1964</v>
      </c>
      <c r="V44" t="s">
        <v>1965</v>
      </c>
      <c r="X44" t="s">
        <v>1966</v>
      </c>
      <c r="Y44" t="s">
        <v>1967</v>
      </c>
      <c r="Z44">
        <v>441081119</v>
      </c>
      <c r="AA44" t="s">
        <v>1976</v>
      </c>
      <c r="AB44" t="s">
        <v>1892</v>
      </c>
      <c r="AC44" t="s">
        <v>1013</v>
      </c>
      <c r="AD44" t="s">
        <v>1608</v>
      </c>
      <c r="AE44" t="s">
        <v>1607</v>
      </c>
      <c r="AI44">
        <v>44033</v>
      </c>
      <c r="AJ44">
        <v>500</v>
      </c>
      <c r="AK44">
        <v>500</v>
      </c>
      <c r="BG44" t="s">
        <v>1606</v>
      </c>
      <c r="BI44" t="s">
        <v>1605</v>
      </c>
      <c r="BJ44">
        <v>2020</v>
      </c>
      <c r="BK44" t="s">
        <v>48</v>
      </c>
      <c r="BL44" t="s">
        <v>1584</v>
      </c>
      <c r="BM44" t="s">
        <v>1583</v>
      </c>
      <c r="BN44">
        <v>44170.154057581021</v>
      </c>
      <c r="BP44" t="s">
        <v>2051</v>
      </c>
      <c r="BQ44" t="s">
        <v>1603</v>
      </c>
      <c r="BR44" t="s">
        <v>1602</v>
      </c>
      <c r="BS44">
        <v>4.1016202018576502E+18</v>
      </c>
      <c r="BT44" t="s">
        <v>1581</v>
      </c>
      <c r="BU44" t="s">
        <v>1601</v>
      </c>
      <c r="BV44">
        <v>2020</v>
      </c>
      <c r="BW44" t="s">
        <v>1579</v>
      </c>
      <c r="BY44">
        <v>4.1205202019645998E+18</v>
      </c>
      <c r="BZ44" t="s">
        <v>2052</v>
      </c>
      <c r="CA44" t="s">
        <v>1577</v>
      </c>
    </row>
    <row r="45" spans="1:79" x14ac:dyDescent="0.25">
      <c r="A45" t="s">
        <v>1375</v>
      </c>
      <c r="B45" t="s">
        <v>670</v>
      </c>
      <c r="C45">
        <v>2020</v>
      </c>
      <c r="D45" t="s">
        <v>1667</v>
      </c>
      <c r="E45">
        <v>2.0201201933737798E+17</v>
      </c>
      <c r="F45" t="s">
        <v>1598</v>
      </c>
      <c r="G45" t="s">
        <v>2053</v>
      </c>
      <c r="H45">
        <v>1475521</v>
      </c>
      <c r="J45" t="s">
        <v>1596</v>
      </c>
      <c r="K45" t="s">
        <v>1595</v>
      </c>
      <c r="N45" t="s">
        <v>1975</v>
      </c>
      <c r="O45" t="s">
        <v>37</v>
      </c>
      <c r="Q45" t="s">
        <v>26</v>
      </c>
      <c r="R45" t="s">
        <v>1963</v>
      </c>
      <c r="T45" t="s">
        <v>1964</v>
      </c>
      <c r="V45" t="s">
        <v>1965</v>
      </c>
      <c r="X45" t="s">
        <v>1966</v>
      </c>
      <c r="Y45" t="s">
        <v>1967</v>
      </c>
      <c r="Z45">
        <v>441081119</v>
      </c>
      <c r="AA45" t="s">
        <v>1609</v>
      </c>
      <c r="AB45" t="s">
        <v>1609</v>
      </c>
      <c r="AD45" t="s">
        <v>1608</v>
      </c>
      <c r="AE45" t="s">
        <v>1607</v>
      </c>
      <c r="AI45">
        <v>44106</v>
      </c>
      <c r="AJ45">
        <v>500</v>
      </c>
      <c r="AK45">
        <v>650</v>
      </c>
      <c r="BG45" t="s">
        <v>1606</v>
      </c>
      <c r="BI45" t="s">
        <v>1605</v>
      </c>
      <c r="BJ45">
        <v>2020</v>
      </c>
      <c r="BK45" t="s">
        <v>48</v>
      </c>
      <c r="BL45" t="s">
        <v>1584</v>
      </c>
      <c r="BM45" t="s">
        <v>1583</v>
      </c>
      <c r="BN45">
        <v>44177.158018726848</v>
      </c>
      <c r="BP45" t="s">
        <v>2054</v>
      </c>
      <c r="BQ45" t="s">
        <v>1603</v>
      </c>
      <c r="BR45" t="s">
        <v>1602</v>
      </c>
      <c r="BS45">
        <v>4.12022020196288E+18</v>
      </c>
      <c r="BT45" t="s">
        <v>1581</v>
      </c>
      <c r="BU45" t="s">
        <v>1601</v>
      </c>
      <c r="BV45">
        <v>2020</v>
      </c>
      <c r="BW45" t="s">
        <v>1579</v>
      </c>
      <c r="BY45">
        <v>4.1212202019735101E+18</v>
      </c>
      <c r="BZ45" t="s">
        <v>2055</v>
      </c>
      <c r="CA45" t="s">
        <v>1577</v>
      </c>
    </row>
    <row r="46" spans="1:79" x14ac:dyDescent="0.25">
      <c r="A46" t="s">
        <v>1422</v>
      </c>
      <c r="B46" t="s">
        <v>717</v>
      </c>
      <c r="C46">
        <v>2020</v>
      </c>
      <c r="D46" t="s">
        <v>1667</v>
      </c>
      <c r="E46">
        <v>2.0210317944059299E+17</v>
      </c>
      <c r="F46" t="s">
        <v>1598</v>
      </c>
      <c r="G46">
        <v>7656532</v>
      </c>
      <c r="H46">
        <v>1504591</v>
      </c>
      <c r="J46" t="s">
        <v>1596</v>
      </c>
      <c r="K46" t="s">
        <v>1595</v>
      </c>
      <c r="N46" t="s">
        <v>1975</v>
      </c>
      <c r="O46" t="s">
        <v>37</v>
      </c>
      <c r="Q46" t="s">
        <v>26</v>
      </c>
      <c r="R46" t="s">
        <v>1963</v>
      </c>
      <c r="T46" t="s">
        <v>1964</v>
      </c>
      <c r="V46" t="s">
        <v>1965</v>
      </c>
      <c r="X46" t="s">
        <v>1966</v>
      </c>
      <c r="Y46" t="s">
        <v>1967</v>
      </c>
      <c r="Z46">
        <v>441081119</v>
      </c>
      <c r="AA46" t="s">
        <v>1609</v>
      </c>
      <c r="AB46" t="s">
        <v>1609</v>
      </c>
      <c r="AD46" t="s">
        <v>1608</v>
      </c>
      <c r="AE46" t="s">
        <v>1607</v>
      </c>
      <c r="AI46">
        <v>44106</v>
      </c>
      <c r="AJ46">
        <v>1000</v>
      </c>
      <c r="AK46">
        <v>1000</v>
      </c>
      <c r="BG46" t="s">
        <v>1606</v>
      </c>
      <c r="BI46" t="s">
        <v>1605</v>
      </c>
      <c r="BJ46">
        <v>2020</v>
      </c>
      <c r="BK46" t="s">
        <v>48</v>
      </c>
      <c r="BL46" t="s">
        <v>1584</v>
      </c>
      <c r="BM46" t="s">
        <v>1583</v>
      </c>
      <c r="BN46">
        <v>44279.557140532408</v>
      </c>
      <c r="BP46" t="s">
        <v>2056</v>
      </c>
      <c r="BQ46" t="s">
        <v>1603</v>
      </c>
      <c r="BR46" t="s">
        <v>1602</v>
      </c>
      <c r="BS46">
        <v>4.03182021126142E+18</v>
      </c>
      <c r="BT46" t="s">
        <v>1581</v>
      </c>
      <c r="BU46" t="s">
        <v>1601</v>
      </c>
      <c r="BV46">
        <v>2020</v>
      </c>
      <c r="BW46" t="s">
        <v>1579</v>
      </c>
      <c r="BY46">
        <v>4.03242021126242E+18</v>
      </c>
      <c r="BZ46" t="s">
        <v>2057</v>
      </c>
      <c r="CA46" t="s">
        <v>1577</v>
      </c>
    </row>
    <row r="47" spans="1:79" x14ac:dyDescent="0.25">
      <c r="A47" t="s">
        <v>1013</v>
      </c>
      <c r="B47" t="s">
        <v>308</v>
      </c>
      <c r="C47">
        <v>2020</v>
      </c>
      <c r="D47" t="s">
        <v>1612</v>
      </c>
      <c r="E47">
        <v>2.0201204935689101E+17</v>
      </c>
      <c r="F47" t="s">
        <v>1598</v>
      </c>
      <c r="G47" t="s">
        <v>2058</v>
      </c>
      <c r="H47">
        <v>1481637</v>
      </c>
      <c r="J47" t="s">
        <v>1596</v>
      </c>
      <c r="K47" t="s">
        <v>1595</v>
      </c>
      <c r="L47" t="s">
        <v>1375</v>
      </c>
      <c r="N47" t="s">
        <v>1975</v>
      </c>
      <c r="O47" t="s">
        <v>1593</v>
      </c>
      <c r="Q47" t="s">
        <v>1592</v>
      </c>
      <c r="R47" t="s">
        <v>1963</v>
      </c>
      <c r="T47" t="s">
        <v>1964</v>
      </c>
      <c r="V47" t="s">
        <v>1965</v>
      </c>
      <c r="X47" t="s">
        <v>1966</v>
      </c>
      <c r="Y47" t="s">
        <v>1967</v>
      </c>
      <c r="Z47">
        <v>441081119</v>
      </c>
      <c r="AA47" t="s">
        <v>1609</v>
      </c>
      <c r="AB47" t="s">
        <v>1609</v>
      </c>
      <c r="AC47" t="s">
        <v>1375</v>
      </c>
      <c r="AD47" t="s">
        <v>2059</v>
      </c>
      <c r="AE47" t="s">
        <v>2060</v>
      </c>
      <c r="AF47" t="s">
        <v>1586</v>
      </c>
      <c r="AI47">
        <v>44125</v>
      </c>
      <c r="AJ47">
        <v>50</v>
      </c>
      <c r="AK47">
        <v>700</v>
      </c>
      <c r="AL47" t="s">
        <v>2061</v>
      </c>
      <c r="BF47" t="s">
        <v>1585</v>
      </c>
      <c r="BK47" t="s">
        <v>48</v>
      </c>
      <c r="BL47" t="s">
        <v>1584</v>
      </c>
      <c r="BM47" t="s">
        <v>1583</v>
      </c>
      <c r="BN47">
        <v>44201.543955370369</v>
      </c>
      <c r="BR47" t="s">
        <v>1582</v>
      </c>
      <c r="BS47">
        <v>4.1205202019644498E+18</v>
      </c>
      <c r="BT47" t="s">
        <v>1581</v>
      </c>
      <c r="BU47" t="s">
        <v>2036</v>
      </c>
      <c r="BV47">
        <v>2020</v>
      </c>
      <c r="BW47" t="s">
        <v>1579</v>
      </c>
      <c r="BY47">
        <v>4.0104202119933302E+18</v>
      </c>
      <c r="BZ47" t="s">
        <v>2062</v>
      </c>
      <c r="CA47" t="s">
        <v>1577</v>
      </c>
    </row>
    <row r="48" spans="1:79" x14ac:dyDescent="0.25">
      <c r="A48" t="s">
        <v>871</v>
      </c>
      <c r="B48" t="s">
        <v>166</v>
      </c>
      <c r="C48">
        <v>2020</v>
      </c>
      <c r="D48" t="s">
        <v>1667</v>
      </c>
      <c r="E48">
        <v>2.0201022933624198E+17</v>
      </c>
      <c r="F48">
        <v>12</v>
      </c>
      <c r="G48">
        <v>37455716</v>
      </c>
      <c r="H48">
        <v>1463691</v>
      </c>
      <c r="J48" t="s">
        <v>1596</v>
      </c>
      <c r="K48" t="s">
        <v>1595</v>
      </c>
      <c r="N48" t="s">
        <v>1962</v>
      </c>
      <c r="O48" t="s">
        <v>24</v>
      </c>
      <c r="Q48" t="s">
        <v>1592</v>
      </c>
      <c r="R48" t="s">
        <v>1963</v>
      </c>
      <c r="S48" t="s">
        <v>1890</v>
      </c>
      <c r="T48" t="s">
        <v>1964</v>
      </c>
      <c r="V48" t="s">
        <v>1965</v>
      </c>
      <c r="X48" t="s">
        <v>1966</v>
      </c>
      <c r="Y48" t="s">
        <v>1967</v>
      </c>
      <c r="Z48">
        <v>441081119</v>
      </c>
      <c r="AA48" t="s">
        <v>1587</v>
      </c>
      <c r="AB48" t="s">
        <v>1587</v>
      </c>
      <c r="AD48" t="s">
        <v>1621</v>
      </c>
      <c r="AE48" t="s">
        <v>1620</v>
      </c>
      <c r="AG48" t="s">
        <v>1619</v>
      </c>
      <c r="AI48">
        <v>44105</v>
      </c>
      <c r="AJ48">
        <v>7200</v>
      </c>
      <c r="AK48">
        <v>7200</v>
      </c>
      <c r="BG48" t="s">
        <v>1606</v>
      </c>
      <c r="BI48" t="s">
        <v>1605</v>
      </c>
      <c r="BJ48">
        <v>2020</v>
      </c>
      <c r="BK48" t="s">
        <v>48</v>
      </c>
      <c r="BL48" t="s">
        <v>1584</v>
      </c>
      <c r="BM48" t="s">
        <v>1583</v>
      </c>
      <c r="BN48">
        <v>44155.298653344908</v>
      </c>
      <c r="BP48">
        <v>37430496</v>
      </c>
      <c r="BQ48" t="s">
        <v>1615</v>
      </c>
      <c r="BR48" t="s">
        <v>1582</v>
      </c>
      <c r="BS48">
        <v>4.10242020188542E+18</v>
      </c>
      <c r="BT48" t="s">
        <v>1581</v>
      </c>
      <c r="BU48" t="s">
        <v>2041</v>
      </c>
      <c r="BV48">
        <v>2020</v>
      </c>
      <c r="BW48" t="s">
        <v>1579</v>
      </c>
      <c r="BY48">
        <v>4.11192020195906E+18</v>
      </c>
      <c r="BZ48" t="s">
        <v>2063</v>
      </c>
      <c r="CA48" t="s">
        <v>2064</v>
      </c>
    </row>
    <row r="49" spans="1:79" x14ac:dyDescent="0.25">
      <c r="A49" t="s">
        <v>1378</v>
      </c>
      <c r="B49" t="s">
        <v>673</v>
      </c>
      <c r="C49">
        <v>2020</v>
      </c>
      <c r="D49" t="s">
        <v>1659</v>
      </c>
      <c r="E49">
        <v>2.0201203933764198E+17</v>
      </c>
      <c r="F49" t="s">
        <v>1598</v>
      </c>
      <c r="G49" t="s">
        <v>2065</v>
      </c>
      <c r="H49">
        <v>1477776</v>
      </c>
      <c r="J49" t="s">
        <v>1596</v>
      </c>
      <c r="K49" t="s">
        <v>1595</v>
      </c>
      <c r="N49" t="s">
        <v>1975</v>
      </c>
      <c r="O49" t="s">
        <v>37</v>
      </c>
      <c r="Q49" t="s">
        <v>26</v>
      </c>
      <c r="R49" t="s">
        <v>1963</v>
      </c>
      <c r="T49" t="s">
        <v>1964</v>
      </c>
      <c r="V49" t="s">
        <v>1965</v>
      </c>
      <c r="X49" t="s">
        <v>1966</v>
      </c>
      <c r="Y49" t="s">
        <v>1967</v>
      </c>
      <c r="Z49">
        <v>441081119</v>
      </c>
      <c r="AA49" t="s">
        <v>1976</v>
      </c>
      <c r="AB49" t="s">
        <v>1892</v>
      </c>
      <c r="AD49" t="s">
        <v>1608</v>
      </c>
      <c r="AE49" t="s">
        <v>1607</v>
      </c>
      <c r="AI49">
        <v>44033</v>
      </c>
      <c r="AJ49">
        <v>1000</v>
      </c>
      <c r="AK49">
        <v>1000</v>
      </c>
      <c r="BG49" t="s">
        <v>1606</v>
      </c>
      <c r="BI49" t="s">
        <v>1605</v>
      </c>
      <c r="BJ49">
        <v>2020</v>
      </c>
      <c r="BK49" t="s">
        <v>48</v>
      </c>
      <c r="BL49" t="s">
        <v>1584</v>
      </c>
      <c r="BM49" t="s">
        <v>1583</v>
      </c>
      <c r="BN49">
        <v>44202.163302037035</v>
      </c>
      <c r="BP49" t="s">
        <v>2066</v>
      </c>
      <c r="BQ49" t="s">
        <v>1603</v>
      </c>
      <c r="BR49" t="s">
        <v>1602</v>
      </c>
      <c r="BS49">
        <v>4.1204202019634202E+18</v>
      </c>
      <c r="BT49" t="s">
        <v>1581</v>
      </c>
      <c r="BU49" t="s">
        <v>1601</v>
      </c>
      <c r="BV49">
        <v>2020</v>
      </c>
      <c r="BW49" t="s">
        <v>1579</v>
      </c>
      <c r="BY49">
        <v>4.01062021203345E+18</v>
      </c>
      <c r="BZ49" t="s">
        <v>2067</v>
      </c>
      <c r="CA49" t="s">
        <v>1577</v>
      </c>
    </row>
    <row r="50" spans="1:79" x14ac:dyDescent="0.25">
      <c r="A50" t="s">
        <v>1375</v>
      </c>
      <c r="B50" t="s">
        <v>670</v>
      </c>
      <c r="C50">
        <v>2020</v>
      </c>
      <c r="D50" t="s">
        <v>1612</v>
      </c>
      <c r="E50">
        <v>2.0201203933868099E+17</v>
      </c>
      <c r="F50" t="s">
        <v>1598</v>
      </c>
      <c r="G50" t="s">
        <v>2068</v>
      </c>
      <c r="H50">
        <v>1479300</v>
      </c>
      <c r="J50" t="s">
        <v>1596</v>
      </c>
      <c r="K50" t="s">
        <v>1595</v>
      </c>
      <c r="L50" t="s">
        <v>1013</v>
      </c>
      <c r="N50" t="s">
        <v>1975</v>
      </c>
      <c r="O50" t="s">
        <v>37</v>
      </c>
      <c r="Q50" t="s">
        <v>26</v>
      </c>
      <c r="R50" t="s">
        <v>1963</v>
      </c>
      <c r="T50" t="s">
        <v>1964</v>
      </c>
      <c r="V50" t="s">
        <v>1965</v>
      </c>
      <c r="X50" t="s">
        <v>1966</v>
      </c>
      <c r="Y50" t="s">
        <v>1967</v>
      </c>
      <c r="Z50">
        <v>441081119</v>
      </c>
      <c r="AA50" t="s">
        <v>1609</v>
      </c>
      <c r="AB50" t="s">
        <v>1609</v>
      </c>
      <c r="AC50" t="s">
        <v>1013</v>
      </c>
      <c r="AD50" t="s">
        <v>1608</v>
      </c>
      <c r="AE50" t="s">
        <v>1607</v>
      </c>
      <c r="AI50">
        <v>44125</v>
      </c>
      <c r="AJ50">
        <v>50</v>
      </c>
      <c r="AK50">
        <v>700</v>
      </c>
      <c r="BG50" t="s">
        <v>1606</v>
      </c>
      <c r="BI50" t="s">
        <v>1605</v>
      </c>
      <c r="BJ50">
        <v>2020</v>
      </c>
      <c r="BK50" t="s">
        <v>48</v>
      </c>
      <c r="BL50" t="s">
        <v>1584</v>
      </c>
      <c r="BM50" t="s">
        <v>1583</v>
      </c>
      <c r="BN50">
        <v>44203.423804641207</v>
      </c>
      <c r="BP50" t="s">
        <v>2069</v>
      </c>
      <c r="BQ50" t="s">
        <v>1603</v>
      </c>
      <c r="BR50" t="s">
        <v>1602</v>
      </c>
      <c r="BS50">
        <v>4.1204202019634202E+18</v>
      </c>
      <c r="BT50" t="s">
        <v>1581</v>
      </c>
      <c r="BU50" t="s">
        <v>1601</v>
      </c>
      <c r="BV50">
        <v>2020</v>
      </c>
      <c r="BW50" t="s">
        <v>1579</v>
      </c>
      <c r="BY50">
        <v>4.0106202120635802E+18</v>
      </c>
      <c r="BZ50" t="s">
        <v>2070</v>
      </c>
      <c r="CA50" t="s">
        <v>1577</v>
      </c>
    </row>
    <row r="51" spans="1:79" x14ac:dyDescent="0.25">
      <c r="A51" t="s">
        <v>1438</v>
      </c>
      <c r="B51" t="s">
        <v>733</v>
      </c>
      <c r="C51">
        <v>2020</v>
      </c>
      <c r="D51" t="s">
        <v>1667</v>
      </c>
      <c r="E51">
        <v>2.0210602944846E+17</v>
      </c>
      <c r="F51" t="s">
        <v>1598</v>
      </c>
      <c r="G51">
        <v>2009443</v>
      </c>
      <c r="H51">
        <v>1518540</v>
      </c>
      <c r="J51" t="s">
        <v>1596</v>
      </c>
      <c r="K51" t="s">
        <v>1595</v>
      </c>
      <c r="L51" t="s">
        <v>1013</v>
      </c>
      <c r="N51" t="s">
        <v>1975</v>
      </c>
      <c r="O51" t="s">
        <v>37</v>
      </c>
      <c r="Q51" t="s">
        <v>26</v>
      </c>
      <c r="R51" t="s">
        <v>1963</v>
      </c>
      <c r="T51" t="s">
        <v>1964</v>
      </c>
      <c r="V51" t="s">
        <v>1965</v>
      </c>
      <c r="X51" t="s">
        <v>1966</v>
      </c>
      <c r="Y51" t="s">
        <v>1967</v>
      </c>
      <c r="Z51">
        <v>441081119</v>
      </c>
      <c r="AA51" t="s">
        <v>1609</v>
      </c>
      <c r="AB51" t="s">
        <v>1609</v>
      </c>
      <c r="AC51" t="s">
        <v>1013</v>
      </c>
      <c r="AD51" t="s">
        <v>1608</v>
      </c>
      <c r="AE51" t="s">
        <v>1607</v>
      </c>
      <c r="AI51">
        <v>44106</v>
      </c>
      <c r="AJ51">
        <v>500</v>
      </c>
      <c r="AK51">
        <v>500</v>
      </c>
      <c r="BG51" t="s">
        <v>1606</v>
      </c>
      <c r="BI51" t="s">
        <v>1605</v>
      </c>
      <c r="BJ51">
        <v>2020</v>
      </c>
      <c r="BK51" t="s">
        <v>48</v>
      </c>
      <c r="BL51" t="s">
        <v>1584</v>
      </c>
      <c r="BM51" t="s">
        <v>1583</v>
      </c>
      <c r="BN51">
        <v>44352.217070763887</v>
      </c>
      <c r="BP51" t="s">
        <v>2071</v>
      </c>
      <c r="BQ51" t="s">
        <v>1603</v>
      </c>
      <c r="BR51" t="s">
        <v>1602</v>
      </c>
      <c r="BS51">
        <v>4.0603202112997601E+18</v>
      </c>
      <c r="BT51" t="s">
        <v>1581</v>
      </c>
      <c r="BU51" t="s">
        <v>1601</v>
      </c>
      <c r="BV51">
        <v>2020</v>
      </c>
      <c r="BW51" t="s">
        <v>1579</v>
      </c>
      <c r="BY51">
        <v>4.0605202113056302E+18</v>
      </c>
      <c r="BZ51" t="s">
        <v>2072</v>
      </c>
      <c r="CA51" t="s">
        <v>1577</v>
      </c>
    </row>
    <row r="52" spans="1:79" x14ac:dyDescent="0.25">
      <c r="A52" t="s">
        <v>1013</v>
      </c>
      <c r="B52" t="s">
        <v>308</v>
      </c>
      <c r="C52">
        <v>2020</v>
      </c>
      <c r="D52" t="s">
        <v>1599</v>
      </c>
      <c r="E52">
        <v>2.0201211936917901E+17</v>
      </c>
      <c r="F52" t="s">
        <v>1598</v>
      </c>
      <c r="G52" t="s">
        <v>2073</v>
      </c>
      <c r="H52">
        <v>1482644</v>
      </c>
      <c r="J52" t="s">
        <v>1596</v>
      </c>
      <c r="K52" t="s">
        <v>1595</v>
      </c>
      <c r="N52" t="s">
        <v>1975</v>
      </c>
      <c r="O52" t="s">
        <v>1593</v>
      </c>
      <c r="Q52" t="s">
        <v>1592</v>
      </c>
      <c r="R52" t="s">
        <v>1963</v>
      </c>
      <c r="T52" t="s">
        <v>1964</v>
      </c>
      <c r="V52" t="s">
        <v>1965</v>
      </c>
      <c r="X52" t="s">
        <v>1966</v>
      </c>
      <c r="Y52" t="s">
        <v>1967</v>
      </c>
      <c r="Z52">
        <v>441081119</v>
      </c>
      <c r="AA52" t="s">
        <v>1609</v>
      </c>
      <c r="AB52" t="s">
        <v>1609</v>
      </c>
      <c r="AF52" t="s">
        <v>1586</v>
      </c>
      <c r="AI52">
        <v>44064</v>
      </c>
      <c r="AJ52">
        <v>50</v>
      </c>
      <c r="AK52">
        <v>100</v>
      </c>
      <c r="BF52" t="s">
        <v>1585</v>
      </c>
      <c r="BK52" t="s">
        <v>48</v>
      </c>
      <c r="BL52" t="s">
        <v>1584</v>
      </c>
      <c r="BM52" t="s">
        <v>1583</v>
      </c>
      <c r="BN52">
        <v>44209.414170266202</v>
      </c>
      <c r="BR52" t="s">
        <v>1582</v>
      </c>
      <c r="BS52">
        <v>4.1215202019740099E+18</v>
      </c>
      <c r="BT52" t="s">
        <v>1581</v>
      </c>
      <c r="BU52" t="s">
        <v>2036</v>
      </c>
      <c r="BV52">
        <v>2020</v>
      </c>
      <c r="BW52" t="s">
        <v>1579</v>
      </c>
      <c r="BY52">
        <v>4.01122021207601E+18</v>
      </c>
      <c r="BZ52" t="s">
        <v>2074</v>
      </c>
      <c r="CA52" t="s">
        <v>1577</v>
      </c>
    </row>
    <row r="54" spans="1:79" x14ac:dyDescent="0.25">
      <c r="Y54" t="str">
        <f>+V52&amp;X52&amp;Y52&amp;Z52</f>
        <v>11 COLONY LNBRATENAHLOH441081119</v>
      </c>
    </row>
    <row r="59" spans="1:79" x14ac:dyDescent="0.25">
      <c r="A59" s="35" t="s">
        <v>1803</v>
      </c>
      <c r="B59" t="s">
        <v>1805</v>
      </c>
    </row>
    <row r="60" spans="1:79" x14ac:dyDescent="0.25">
      <c r="A60" s="36" t="s">
        <v>308</v>
      </c>
      <c r="B60" s="2">
        <v>225</v>
      </c>
      <c r="C60" t="s">
        <v>1557</v>
      </c>
    </row>
    <row r="61" spans="1:79" x14ac:dyDescent="0.25">
      <c r="A61" s="36" t="s">
        <v>1960</v>
      </c>
      <c r="B61" s="2">
        <v>1500</v>
      </c>
      <c r="C61" t="s">
        <v>1557</v>
      </c>
    </row>
    <row r="62" spans="1:79" x14ac:dyDescent="0.25">
      <c r="A62" s="36" t="s">
        <v>649</v>
      </c>
      <c r="B62" s="2">
        <v>2800</v>
      </c>
      <c r="C62" t="s">
        <v>1557</v>
      </c>
    </row>
    <row r="63" spans="1:79" x14ac:dyDescent="0.25">
      <c r="A63" s="36" t="s">
        <v>819</v>
      </c>
      <c r="B63" s="2">
        <v>10000</v>
      </c>
      <c r="C63" t="s">
        <v>1557</v>
      </c>
    </row>
    <row r="64" spans="1:79" x14ac:dyDescent="0.25">
      <c r="A64" s="36" t="s">
        <v>670</v>
      </c>
      <c r="B64" s="2">
        <v>550</v>
      </c>
      <c r="C64" t="s">
        <v>1557</v>
      </c>
    </row>
    <row r="65" spans="1:3" x14ac:dyDescent="0.25">
      <c r="A65" s="36" t="s">
        <v>166</v>
      </c>
      <c r="B65" s="2">
        <v>7200</v>
      </c>
      <c r="C65" t="s">
        <v>1557</v>
      </c>
    </row>
    <row r="66" spans="1:3" x14ac:dyDescent="0.25">
      <c r="A66" s="36" t="s">
        <v>717</v>
      </c>
      <c r="B66" s="2">
        <v>1000</v>
      </c>
      <c r="C66" t="s">
        <v>1557</v>
      </c>
    </row>
    <row r="67" spans="1:3" x14ac:dyDescent="0.25">
      <c r="A67" s="36" t="s">
        <v>733</v>
      </c>
      <c r="B67" s="2">
        <v>500</v>
      </c>
      <c r="C67" t="s">
        <v>1557</v>
      </c>
    </row>
    <row r="68" spans="1:3" x14ac:dyDescent="0.25">
      <c r="A68" s="36" t="s">
        <v>1972</v>
      </c>
      <c r="B68" s="2">
        <v>6538.2000000000035</v>
      </c>
      <c r="C68" t="s">
        <v>1557</v>
      </c>
    </row>
    <row r="69" spans="1:3" x14ac:dyDescent="0.25">
      <c r="A69" s="36" t="s">
        <v>615</v>
      </c>
      <c r="B69" s="2">
        <v>1000</v>
      </c>
      <c r="C69" t="s">
        <v>1557</v>
      </c>
    </row>
    <row r="70" spans="1:3" x14ac:dyDescent="0.25">
      <c r="A70" s="36" t="s">
        <v>520</v>
      </c>
      <c r="B70" s="2">
        <v>500</v>
      </c>
      <c r="C70" t="s">
        <v>1557</v>
      </c>
    </row>
    <row r="71" spans="1:3" x14ac:dyDescent="0.25">
      <c r="A71" s="36" t="s">
        <v>673</v>
      </c>
      <c r="B71" s="2">
        <v>2000</v>
      </c>
      <c r="C71" t="s">
        <v>1557</v>
      </c>
    </row>
    <row r="72" spans="1:3" x14ac:dyDescent="0.25">
      <c r="A72" s="36" t="s">
        <v>1804</v>
      </c>
      <c r="B72" s="2">
        <v>33813.200000000004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7"/>
  <sheetViews>
    <sheetView topLeftCell="S1" workbookViewId="0">
      <selection activeCell="W7" sqref="W7"/>
    </sheetView>
  </sheetViews>
  <sheetFormatPr defaultRowHeight="15" x14ac:dyDescent="0.25"/>
  <cols>
    <col min="1" max="1" width="31.28515625" bestFit="1" customWidth="1"/>
    <col min="2" max="2" width="34.5703125" bestFit="1" customWidth="1"/>
  </cols>
  <sheetData>
    <row r="1" spans="1:79" x14ac:dyDescent="0.25">
      <c r="A1" t="s">
        <v>852</v>
      </c>
      <c r="B1" t="s">
        <v>147</v>
      </c>
      <c r="C1" t="s">
        <v>1802</v>
      </c>
      <c r="D1" t="s">
        <v>1801</v>
      </c>
      <c r="E1" t="s">
        <v>1800</v>
      </c>
      <c r="F1" t="s">
        <v>1799</v>
      </c>
      <c r="G1" t="s">
        <v>1798</v>
      </c>
      <c r="H1" t="s">
        <v>1797</v>
      </c>
      <c r="I1" t="s">
        <v>147</v>
      </c>
      <c r="J1" t="s">
        <v>1796</v>
      </c>
      <c r="K1" t="s">
        <v>1795</v>
      </c>
      <c r="L1" t="s">
        <v>1794</v>
      </c>
      <c r="M1" t="s">
        <v>1793</v>
      </c>
      <c r="N1" t="s">
        <v>1792</v>
      </c>
      <c r="O1" t="s">
        <v>1791</v>
      </c>
      <c r="P1" t="s">
        <v>1790</v>
      </c>
      <c r="Q1" t="s">
        <v>1789</v>
      </c>
      <c r="R1" t="s">
        <v>1788</v>
      </c>
      <c r="S1" t="s">
        <v>1787</v>
      </c>
      <c r="T1" t="s">
        <v>1786</v>
      </c>
      <c r="U1" t="s">
        <v>1785</v>
      </c>
      <c r="V1" t="s">
        <v>1784</v>
      </c>
      <c r="W1" t="s">
        <v>1783</v>
      </c>
      <c r="X1" t="s">
        <v>1782</v>
      </c>
      <c r="Y1" t="s">
        <v>1781</v>
      </c>
      <c r="Z1" t="s">
        <v>1780</v>
      </c>
      <c r="AA1" t="s">
        <v>1779</v>
      </c>
      <c r="AB1" t="s">
        <v>1778</v>
      </c>
      <c r="AC1" t="s">
        <v>1777</v>
      </c>
      <c r="AD1" t="s">
        <v>1776</v>
      </c>
      <c r="AE1" t="s">
        <v>1775</v>
      </c>
      <c r="AF1" t="s">
        <v>1774</v>
      </c>
      <c r="AG1" t="s">
        <v>1773</v>
      </c>
      <c r="AH1" t="s">
        <v>1772</v>
      </c>
      <c r="AI1" t="s">
        <v>1771</v>
      </c>
      <c r="AJ1" t="s">
        <v>1770</v>
      </c>
      <c r="AK1" t="s">
        <v>1769</v>
      </c>
      <c r="AL1" t="s">
        <v>1768</v>
      </c>
      <c r="AM1" t="s">
        <v>1767</v>
      </c>
      <c r="AN1" t="s">
        <v>1766</v>
      </c>
      <c r="AO1" t="s">
        <v>1765</v>
      </c>
      <c r="AP1" t="s">
        <v>1764</v>
      </c>
      <c r="AQ1" t="s">
        <v>1763</v>
      </c>
      <c r="AR1" t="s">
        <v>1762</v>
      </c>
      <c r="AS1" t="s">
        <v>1761</v>
      </c>
      <c r="AT1" t="s">
        <v>1760</v>
      </c>
      <c r="AU1" t="s">
        <v>1759</v>
      </c>
      <c r="AV1" t="s">
        <v>1758</v>
      </c>
      <c r="AW1" t="s">
        <v>1757</v>
      </c>
      <c r="AX1" t="s">
        <v>1756</v>
      </c>
      <c r="AY1" t="s">
        <v>1755</v>
      </c>
      <c r="AZ1" t="s">
        <v>1754</v>
      </c>
      <c r="BA1" t="s">
        <v>1753</v>
      </c>
      <c r="BB1" t="s">
        <v>1752</v>
      </c>
      <c r="BC1" t="s">
        <v>1751</v>
      </c>
      <c r="BD1" t="s">
        <v>1750</v>
      </c>
      <c r="BE1" t="s">
        <v>1749</v>
      </c>
      <c r="BF1" t="s">
        <v>1748</v>
      </c>
      <c r="BG1" t="s">
        <v>1747</v>
      </c>
      <c r="BH1" t="s">
        <v>1746</v>
      </c>
      <c r="BI1" t="s">
        <v>1745</v>
      </c>
      <c r="BJ1" t="s">
        <v>1744</v>
      </c>
      <c r="BK1" t="s">
        <v>1743</v>
      </c>
      <c r="BL1" t="s">
        <v>1742</v>
      </c>
      <c r="BM1" t="s">
        <v>1741</v>
      </c>
      <c r="BN1" t="s">
        <v>1740</v>
      </c>
      <c r="BO1" t="s">
        <v>1739</v>
      </c>
      <c r="BP1" t="s">
        <v>1738</v>
      </c>
      <c r="BQ1" t="s">
        <v>1737</v>
      </c>
      <c r="BR1" t="s">
        <v>1736</v>
      </c>
      <c r="BS1" t="s">
        <v>1735</v>
      </c>
      <c r="BT1" t="s">
        <v>1734</v>
      </c>
      <c r="BU1" t="s">
        <v>1733</v>
      </c>
      <c r="BV1" t="s">
        <v>1732</v>
      </c>
      <c r="BW1" t="s">
        <v>1731</v>
      </c>
      <c r="BX1" t="s">
        <v>1730</v>
      </c>
      <c r="BY1" t="s">
        <v>1729</v>
      </c>
      <c r="BZ1" t="s">
        <v>1728</v>
      </c>
      <c r="CA1" t="s">
        <v>1727</v>
      </c>
    </row>
    <row r="2" spans="1:79" x14ac:dyDescent="0.25">
      <c r="A2" t="s">
        <v>1936</v>
      </c>
      <c r="B2" t="s">
        <v>1937</v>
      </c>
      <c r="C2">
        <v>2019</v>
      </c>
      <c r="D2" t="s">
        <v>1865</v>
      </c>
      <c r="E2">
        <v>2.0190808916136701E+17</v>
      </c>
      <c r="F2" t="s">
        <v>1598</v>
      </c>
      <c r="G2">
        <v>25111003</v>
      </c>
      <c r="H2">
        <v>1347267</v>
      </c>
      <c r="J2" t="s">
        <v>1596</v>
      </c>
      <c r="K2" t="s">
        <v>1595</v>
      </c>
      <c r="N2" t="s">
        <v>1938</v>
      </c>
      <c r="O2" t="s">
        <v>64</v>
      </c>
      <c r="P2" t="s">
        <v>1676</v>
      </c>
      <c r="Q2" t="s">
        <v>32</v>
      </c>
      <c r="R2" t="s">
        <v>1871</v>
      </c>
      <c r="T2" t="s">
        <v>1939</v>
      </c>
      <c r="V2" t="s">
        <v>1940</v>
      </c>
      <c r="X2" t="s">
        <v>1941</v>
      </c>
      <c r="Y2" t="s">
        <v>1942</v>
      </c>
      <c r="Z2">
        <v>294012736</v>
      </c>
      <c r="AA2" t="s">
        <v>1943</v>
      </c>
      <c r="AB2" t="s">
        <v>1820</v>
      </c>
      <c r="AD2">
        <v>15</v>
      </c>
      <c r="AE2" t="s">
        <v>1819</v>
      </c>
      <c r="AI2">
        <v>43669</v>
      </c>
      <c r="AJ2">
        <v>2500</v>
      </c>
      <c r="AK2">
        <v>2500</v>
      </c>
      <c r="BG2" t="s">
        <v>26</v>
      </c>
      <c r="BI2" t="s">
        <v>1648</v>
      </c>
      <c r="BK2" t="s">
        <v>48</v>
      </c>
      <c r="BL2" t="s">
        <v>1584</v>
      </c>
      <c r="BM2" t="s">
        <v>1583</v>
      </c>
      <c r="BN2">
        <v>43687.126074664353</v>
      </c>
      <c r="BR2" t="s">
        <v>1582</v>
      </c>
      <c r="BS2">
        <v>4.0808201916632499E+18</v>
      </c>
      <c r="BT2" t="s">
        <v>1581</v>
      </c>
      <c r="BV2">
        <v>2020</v>
      </c>
      <c r="BW2" t="s">
        <v>1579</v>
      </c>
      <c r="BY2">
        <v>4.0809201916632602E+18</v>
      </c>
      <c r="BZ2" t="s">
        <v>1944</v>
      </c>
      <c r="CA2" t="s">
        <v>1577</v>
      </c>
    </row>
    <row r="3" spans="1:79" x14ac:dyDescent="0.25">
      <c r="A3" t="s">
        <v>1936</v>
      </c>
      <c r="B3" t="s">
        <v>1937</v>
      </c>
      <c r="C3">
        <v>2019</v>
      </c>
      <c r="D3" t="s">
        <v>1865</v>
      </c>
      <c r="E3">
        <v>2.0190808916136701E+17</v>
      </c>
      <c r="F3" t="s">
        <v>1598</v>
      </c>
      <c r="G3">
        <v>25111011</v>
      </c>
      <c r="H3">
        <v>1347267</v>
      </c>
      <c r="J3" t="s">
        <v>1596</v>
      </c>
      <c r="K3" t="s">
        <v>1595</v>
      </c>
      <c r="N3" t="s">
        <v>1938</v>
      </c>
      <c r="O3" t="s">
        <v>64</v>
      </c>
      <c r="P3" t="s">
        <v>1676</v>
      </c>
      <c r="Q3" t="s">
        <v>32</v>
      </c>
      <c r="R3" t="s">
        <v>1871</v>
      </c>
      <c r="T3" t="s">
        <v>1939</v>
      </c>
      <c r="V3" t="s">
        <v>1940</v>
      </c>
      <c r="X3" t="s">
        <v>1941</v>
      </c>
      <c r="Y3" t="s">
        <v>1942</v>
      </c>
      <c r="Z3">
        <v>294012736</v>
      </c>
      <c r="AA3" t="s">
        <v>1943</v>
      </c>
      <c r="AB3" t="s">
        <v>1820</v>
      </c>
      <c r="AD3">
        <v>15</v>
      </c>
      <c r="AE3" t="s">
        <v>1819</v>
      </c>
      <c r="AI3">
        <v>43669</v>
      </c>
      <c r="AJ3">
        <v>2500</v>
      </c>
      <c r="AK3">
        <v>5000</v>
      </c>
      <c r="BG3" t="s">
        <v>26</v>
      </c>
      <c r="BI3" t="s">
        <v>1648</v>
      </c>
      <c r="BK3" t="s">
        <v>48</v>
      </c>
      <c r="BL3" t="s">
        <v>1584</v>
      </c>
      <c r="BM3" t="s">
        <v>1583</v>
      </c>
      <c r="BN3">
        <v>43687.126074687498</v>
      </c>
      <c r="BR3" t="s">
        <v>1582</v>
      </c>
      <c r="BS3">
        <v>4.0808201916632499E+18</v>
      </c>
      <c r="BT3" t="s">
        <v>1581</v>
      </c>
      <c r="BV3">
        <v>2020</v>
      </c>
      <c r="BW3" t="s">
        <v>1579</v>
      </c>
      <c r="BY3">
        <v>4.0809201916632602E+18</v>
      </c>
      <c r="BZ3" t="s">
        <v>1945</v>
      </c>
      <c r="CA3" t="s">
        <v>1577</v>
      </c>
    </row>
    <row r="4" spans="1:79" x14ac:dyDescent="0.25">
      <c r="A4" t="s">
        <v>1946</v>
      </c>
      <c r="B4" t="s">
        <v>1947</v>
      </c>
      <c r="C4">
        <v>2019</v>
      </c>
      <c r="D4" t="s">
        <v>1696</v>
      </c>
      <c r="E4">
        <v>2.0200130918248099E+17</v>
      </c>
      <c r="F4" t="s">
        <v>1598</v>
      </c>
      <c r="G4" t="s">
        <v>1948</v>
      </c>
      <c r="H4">
        <v>1375706</v>
      </c>
      <c r="J4" t="s">
        <v>1596</v>
      </c>
      <c r="K4" t="s">
        <v>1595</v>
      </c>
      <c r="L4" t="s">
        <v>1013</v>
      </c>
      <c r="N4" t="s">
        <v>1938</v>
      </c>
      <c r="O4" t="s">
        <v>73</v>
      </c>
      <c r="Q4" t="s">
        <v>26</v>
      </c>
      <c r="R4" t="s">
        <v>1871</v>
      </c>
      <c r="T4" t="s">
        <v>1939</v>
      </c>
      <c r="V4" t="s">
        <v>1949</v>
      </c>
      <c r="X4" t="s">
        <v>1941</v>
      </c>
      <c r="Y4" t="s">
        <v>1942</v>
      </c>
      <c r="Z4">
        <v>294012736</v>
      </c>
      <c r="AA4" t="s">
        <v>1609</v>
      </c>
      <c r="AB4" t="s">
        <v>1609</v>
      </c>
      <c r="AC4" t="s">
        <v>1013</v>
      </c>
      <c r="AD4" t="s">
        <v>1608</v>
      </c>
      <c r="AE4" t="s">
        <v>1607</v>
      </c>
      <c r="AI4">
        <v>43776</v>
      </c>
      <c r="AJ4">
        <v>1000</v>
      </c>
      <c r="AK4">
        <v>1000</v>
      </c>
      <c r="BG4" t="s">
        <v>1651</v>
      </c>
      <c r="BI4" t="s">
        <v>1648</v>
      </c>
      <c r="BJ4">
        <v>2020</v>
      </c>
      <c r="BK4" t="s">
        <v>48</v>
      </c>
      <c r="BL4" t="s">
        <v>1584</v>
      </c>
      <c r="BM4" t="s">
        <v>1583</v>
      </c>
      <c r="BN4">
        <v>43862.072798136571</v>
      </c>
      <c r="BP4" t="s">
        <v>1950</v>
      </c>
      <c r="BQ4" t="s">
        <v>1603</v>
      </c>
      <c r="BR4" t="s">
        <v>1602</v>
      </c>
      <c r="BS4">
        <v>4.0130202016861199E+18</v>
      </c>
      <c r="BT4" t="s">
        <v>1581</v>
      </c>
      <c r="BU4" t="s">
        <v>1601</v>
      </c>
      <c r="BV4">
        <v>2020</v>
      </c>
      <c r="BW4" t="s">
        <v>1579</v>
      </c>
      <c r="BY4">
        <v>4.0131202016863201E+18</v>
      </c>
      <c r="BZ4" t="s">
        <v>1951</v>
      </c>
      <c r="CA4" t="s">
        <v>1577</v>
      </c>
    </row>
    <row r="5" spans="1:79" x14ac:dyDescent="0.25">
      <c r="A5" t="s">
        <v>1952</v>
      </c>
      <c r="B5" t="s">
        <v>1953</v>
      </c>
      <c r="C5">
        <v>2019</v>
      </c>
      <c r="D5" t="s">
        <v>1696</v>
      </c>
      <c r="E5">
        <v>2.02012319394492E+17</v>
      </c>
      <c r="F5" t="s">
        <v>1598</v>
      </c>
      <c r="G5" t="s">
        <v>1954</v>
      </c>
      <c r="H5">
        <v>1484857</v>
      </c>
      <c r="J5" t="s">
        <v>1596</v>
      </c>
      <c r="K5" t="s">
        <v>1595</v>
      </c>
      <c r="N5" t="s">
        <v>1938</v>
      </c>
      <c r="O5" t="s">
        <v>73</v>
      </c>
      <c r="Q5" t="s">
        <v>26</v>
      </c>
      <c r="R5" t="s">
        <v>1871</v>
      </c>
      <c r="T5" t="s">
        <v>1939</v>
      </c>
      <c r="V5" t="s">
        <v>1949</v>
      </c>
      <c r="X5" t="s">
        <v>1941</v>
      </c>
      <c r="Y5" t="s">
        <v>1942</v>
      </c>
      <c r="Z5">
        <v>294012736</v>
      </c>
      <c r="AA5" t="s">
        <v>1955</v>
      </c>
      <c r="AB5" t="s">
        <v>1956</v>
      </c>
      <c r="AD5">
        <v>15</v>
      </c>
      <c r="AE5" t="s">
        <v>1819</v>
      </c>
      <c r="AI5">
        <v>43782</v>
      </c>
      <c r="AJ5">
        <v>250</v>
      </c>
      <c r="AK5">
        <v>250</v>
      </c>
      <c r="BG5" t="s">
        <v>1651</v>
      </c>
      <c r="BI5" t="s">
        <v>1648</v>
      </c>
      <c r="BJ5">
        <v>2020</v>
      </c>
      <c r="BK5" t="s">
        <v>0</v>
      </c>
      <c r="BL5" t="s">
        <v>1848</v>
      </c>
      <c r="BM5" t="s">
        <v>1583</v>
      </c>
      <c r="BN5">
        <v>44203.375797418979</v>
      </c>
      <c r="BR5" t="s">
        <v>1602</v>
      </c>
      <c r="BS5">
        <v>4.0102202119890601E+18</v>
      </c>
      <c r="BT5" t="s">
        <v>1581</v>
      </c>
      <c r="BV5">
        <v>2020</v>
      </c>
      <c r="BW5" t="s">
        <v>1579</v>
      </c>
      <c r="BY5">
        <v>4.0106202120616202E+18</v>
      </c>
      <c r="BZ5" t="s">
        <v>1957</v>
      </c>
      <c r="CA5" t="s">
        <v>1577</v>
      </c>
    </row>
    <row r="7" spans="1:79" x14ac:dyDescent="0.25">
      <c r="W7" t="str">
        <f>+V5&amp;X5&amp;Y5&amp;Z5</f>
        <v>41 MEETING STCHARLESTONSC294012736</v>
      </c>
    </row>
    <row r="10" spans="1:79" x14ac:dyDescent="0.25">
      <c r="A10" s="35" t="s">
        <v>1803</v>
      </c>
      <c r="B10" t="s">
        <v>1805</v>
      </c>
    </row>
    <row r="11" spans="1:79" x14ac:dyDescent="0.25">
      <c r="A11" s="36" t="s">
        <v>1947</v>
      </c>
      <c r="B11" s="2">
        <v>1000</v>
      </c>
      <c r="C11" t="s">
        <v>1557</v>
      </c>
    </row>
    <row r="12" spans="1:79" x14ac:dyDescent="0.25">
      <c r="A12" s="36" t="s">
        <v>1937</v>
      </c>
      <c r="B12" s="2">
        <v>5000</v>
      </c>
      <c r="C12" t="s">
        <v>1</v>
      </c>
    </row>
    <row r="13" spans="1:79" x14ac:dyDescent="0.25">
      <c r="A13" s="36" t="s">
        <v>1953</v>
      </c>
      <c r="B13" s="2">
        <v>250</v>
      </c>
      <c r="C13" t="s">
        <v>1557</v>
      </c>
    </row>
    <row r="14" spans="1:79" x14ac:dyDescent="0.25">
      <c r="A14" s="36" t="s">
        <v>1804</v>
      </c>
      <c r="B14" s="2">
        <v>6250</v>
      </c>
    </row>
    <row r="15" spans="1:79" x14ac:dyDescent="0.25">
      <c r="B15">
        <f>+GETPIVOTDATA("contribution_receipt_amount",$A$10,"committee_name","ADAIR FOR CONGRESS")+GETPIVOTDATA("contribution_receipt_amount",$A$10,"committee_name","JIM COSTA FOR CONGRESS")</f>
        <v>1250</v>
      </c>
      <c r="C15" t="s">
        <v>1557</v>
      </c>
    </row>
    <row r="16" spans="1:79" x14ac:dyDescent="0.25">
      <c r="B16">
        <f>+GETPIVOTDATA("contribution_receipt_amount",$A$10,"committee_name","DUKE ENERGY CORPORATION PAC")</f>
        <v>5000</v>
      </c>
      <c r="C16" t="s">
        <v>1</v>
      </c>
    </row>
    <row r="17" spans="2:2" x14ac:dyDescent="0.25">
      <c r="B17">
        <f>SUM(B15:B16)</f>
        <v>6250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"/>
  <sheetViews>
    <sheetView topLeftCell="O1" workbookViewId="0">
      <selection activeCell="V5" sqref="V5"/>
    </sheetView>
  </sheetViews>
  <sheetFormatPr defaultRowHeight="12.75" x14ac:dyDescent="0.2"/>
  <cols>
    <col min="1" max="1" width="9.140625" style="23"/>
    <col min="2" max="2" width="27.28515625" style="23" bestFit="1" customWidth="1"/>
    <col min="3" max="13" width="9.140625" style="23"/>
    <col min="14" max="14" width="15.85546875" style="23" bestFit="1" customWidth="1"/>
    <col min="15" max="26" width="9.140625" style="23"/>
    <col min="27" max="27" width="17.85546875" style="23" bestFit="1" customWidth="1"/>
    <col min="28" max="16384" width="9.140625" style="23"/>
  </cols>
  <sheetData>
    <row r="1" spans="1:79" x14ac:dyDescent="0.2">
      <c r="A1" s="23" t="s">
        <v>852</v>
      </c>
      <c r="B1" s="23" t="s">
        <v>147</v>
      </c>
      <c r="C1" s="23" t="s">
        <v>1802</v>
      </c>
      <c r="D1" s="23" t="s">
        <v>1801</v>
      </c>
      <c r="E1" s="23" t="s">
        <v>1800</v>
      </c>
      <c r="F1" s="23" t="s">
        <v>1799</v>
      </c>
      <c r="G1" s="23" t="s">
        <v>1798</v>
      </c>
      <c r="H1" s="23" t="s">
        <v>1797</v>
      </c>
      <c r="I1" s="23" t="s">
        <v>147</v>
      </c>
      <c r="J1" s="23" t="s">
        <v>1796</v>
      </c>
      <c r="K1" s="23" t="s">
        <v>1795</v>
      </c>
      <c r="L1" s="23" t="s">
        <v>1794</v>
      </c>
      <c r="M1" s="23" t="s">
        <v>1793</v>
      </c>
      <c r="N1" s="23" t="s">
        <v>1792</v>
      </c>
      <c r="O1" s="23" t="s">
        <v>1791</v>
      </c>
      <c r="P1" s="23" t="s">
        <v>1790</v>
      </c>
      <c r="Q1" s="23" t="s">
        <v>1789</v>
      </c>
      <c r="R1" s="23" t="s">
        <v>1788</v>
      </c>
      <c r="S1" s="23" t="s">
        <v>1787</v>
      </c>
      <c r="T1" s="23" t="s">
        <v>1786</v>
      </c>
      <c r="U1" s="23" t="s">
        <v>1785</v>
      </c>
      <c r="V1" s="23" t="s">
        <v>1784</v>
      </c>
      <c r="W1" s="23" t="s">
        <v>1783</v>
      </c>
      <c r="X1" s="23" t="s">
        <v>1782</v>
      </c>
      <c r="Y1" s="23" t="s">
        <v>1781</v>
      </c>
      <c r="Z1" s="23" t="s">
        <v>1780</v>
      </c>
      <c r="AA1" s="23" t="s">
        <v>1779</v>
      </c>
      <c r="AB1" s="23" t="s">
        <v>1778</v>
      </c>
      <c r="AC1" s="23" t="s">
        <v>1777</v>
      </c>
      <c r="AD1" s="23" t="s">
        <v>1776</v>
      </c>
      <c r="AE1" s="23" t="s">
        <v>1775</v>
      </c>
      <c r="AF1" s="23" t="s">
        <v>1774</v>
      </c>
      <c r="AG1" s="23" t="s">
        <v>1773</v>
      </c>
      <c r="AH1" s="23" t="s">
        <v>1772</v>
      </c>
      <c r="AI1" s="23" t="s">
        <v>1771</v>
      </c>
      <c r="AJ1" s="23" t="s">
        <v>1770</v>
      </c>
      <c r="AK1" s="23" t="s">
        <v>1769</v>
      </c>
      <c r="AL1" s="23" t="s">
        <v>1768</v>
      </c>
      <c r="AM1" s="23" t="s">
        <v>1767</v>
      </c>
      <c r="AN1" s="23" t="s">
        <v>1766</v>
      </c>
      <c r="AO1" s="23" t="s">
        <v>1765</v>
      </c>
      <c r="AP1" s="23" t="s">
        <v>1764</v>
      </c>
      <c r="AQ1" s="23" t="s">
        <v>1763</v>
      </c>
      <c r="AR1" s="23" t="s">
        <v>1762</v>
      </c>
      <c r="AS1" s="23" t="s">
        <v>1761</v>
      </c>
      <c r="AT1" s="23" t="s">
        <v>1760</v>
      </c>
      <c r="AU1" s="23" t="s">
        <v>1759</v>
      </c>
      <c r="AV1" s="23" t="s">
        <v>1758</v>
      </c>
      <c r="AW1" s="23" t="s">
        <v>1757</v>
      </c>
      <c r="AX1" s="23" t="s">
        <v>1756</v>
      </c>
      <c r="AY1" s="23" t="s">
        <v>1755</v>
      </c>
      <c r="AZ1" s="23" t="s">
        <v>1754</v>
      </c>
      <c r="BA1" s="23" t="s">
        <v>1753</v>
      </c>
      <c r="BB1" s="23" t="s">
        <v>1752</v>
      </c>
      <c r="BC1" s="23" t="s">
        <v>1751</v>
      </c>
      <c r="BD1" s="23" t="s">
        <v>1750</v>
      </c>
      <c r="BE1" s="23" t="s">
        <v>1749</v>
      </c>
      <c r="BF1" s="23" t="s">
        <v>1748</v>
      </c>
      <c r="BG1" s="23" t="s">
        <v>1747</v>
      </c>
      <c r="BH1" s="23" t="s">
        <v>1746</v>
      </c>
      <c r="BI1" s="23" t="s">
        <v>1745</v>
      </c>
      <c r="BJ1" s="23" t="s">
        <v>1744</v>
      </c>
      <c r="BK1" s="23" t="s">
        <v>1743</v>
      </c>
      <c r="BL1" s="23" t="s">
        <v>1742</v>
      </c>
      <c r="BM1" s="23" t="s">
        <v>1741</v>
      </c>
      <c r="BN1" s="23" t="s">
        <v>1740</v>
      </c>
      <c r="BO1" s="23" t="s">
        <v>1739</v>
      </c>
      <c r="BP1" s="23" t="s">
        <v>1738</v>
      </c>
      <c r="BQ1" s="23" t="s">
        <v>1737</v>
      </c>
      <c r="BR1" s="23" t="s">
        <v>1736</v>
      </c>
      <c r="BS1" s="23" t="s">
        <v>1735</v>
      </c>
      <c r="BT1" s="23" t="s">
        <v>1734</v>
      </c>
      <c r="BU1" s="23" t="s">
        <v>1733</v>
      </c>
      <c r="BV1" s="23" t="s">
        <v>1732</v>
      </c>
      <c r="BW1" s="23" t="s">
        <v>1731</v>
      </c>
      <c r="BX1" s="23" t="s">
        <v>1730</v>
      </c>
      <c r="BY1" s="23" t="s">
        <v>1729</v>
      </c>
      <c r="BZ1" s="23" t="s">
        <v>1728</v>
      </c>
      <c r="CA1" s="23" t="s">
        <v>1727</v>
      </c>
    </row>
    <row r="2" spans="1:79" x14ac:dyDescent="0.2">
      <c r="A2" s="23" t="s">
        <v>1934</v>
      </c>
      <c r="B2" s="23" t="s">
        <v>1933</v>
      </c>
      <c r="C2" s="23">
        <v>2020</v>
      </c>
      <c r="D2" s="23" t="s">
        <v>1932</v>
      </c>
      <c r="E2" s="23">
        <v>2.0200413921666598E+17</v>
      </c>
      <c r="F2" s="23" t="s">
        <v>1598</v>
      </c>
      <c r="G2" s="23" t="s">
        <v>1931</v>
      </c>
      <c r="H2" s="23">
        <v>1396048</v>
      </c>
      <c r="J2" s="23" t="s">
        <v>1596</v>
      </c>
      <c r="K2" s="23" t="s">
        <v>1595</v>
      </c>
      <c r="N2" s="23" t="s">
        <v>1930</v>
      </c>
      <c r="O2" s="23" t="s">
        <v>73</v>
      </c>
      <c r="Q2" s="23" t="s">
        <v>26</v>
      </c>
      <c r="R2" s="23" t="s">
        <v>1929</v>
      </c>
      <c r="T2" s="23" t="s">
        <v>1928</v>
      </c>
      <c r="V2" s="23" t="s">
        <v>1927</v>
      </c>
      <c r="X2" s="23" t="s">
        <v>1926</v>
      </c>
      <c r="Y2" s="23" t="s">
        <v>1925</v>
      </c>
      <c r="Z2" s="23">
        <v>84103</v>
      </c>
      <c r="AA2" s="23" t="s">
        <v>1924</v>
      </c>
      <c r="AB2" s="23" t="s">
        <v>1923</v>
      </c>
      <c r="AD2" s="23">
        <v>15</v>
      </c>
      <c r="AE2" s="23" t="s">
        <v>1819</v>
      </c>
      <c r="AI2" s="25">
        <v>43876</v>
      </c>
      <c r="AJ2" s="23">
        <v>2800</v>
      </c>
      <c r="AK2" s="23">
        <v>2800</v>
      </c>
      <c r="BG2" s="23" t="s">
        <v>1922</v>
      </c>
      <c r="BH2" s="23" t="s">
        <v>1921</v>
      </c>
      <c r="BI2" s="23" t="s">
        <v>1920</v>
      </c>
      <c r="BJ2" s="23">
        <v>2020</v>
      </c>
      <c r="BK2" s="23" t="s">
        <v>48</v>
      </c>
      <c r="BL2" s="23" t="s">
        <v>1584</v>
      </c>
      <c r="BM2" s="23" t="s">
        <v>1583</v>
      </c>
      <c r="BN2" s="24">
        <v>43936.106077662036</v>
      </c>
      <c r="BR2" s="23" t="s">
        <v>1602</v>
      </c>
      <c r="BS2" s="23">
        <v>4.0414202017356298E+18</v>
      </c>
      <c r="BT2" s="23" t="s">
        <v>1581</v>
      </c>
      <c r="BV2" s="23">
        <v>2020</v>
      </c>
      <c r="BW2" s="23" t="s">
        <v>1579</v>
      </c>
      <c r="BY2" s="23">
        <v>4.04142020173677E+18</v>
      </c>
      <c r="BZ2" s="23" t="s">
        <v>1919</v>
      </c>
      <c r="CA2" s="23" t="s">
        <v>1577</v>
      </c>
    </row>
    <row r="5" spans="1:79" x14ac:dyDescent="0.2">
      <c r="V5" s="23" t="str">
        <f>+V2&amp;X2&amp;Y2&amp;Z2</f>
        <v>1605 E NEW BEDFORD DRSALT LAKE CITYUT84103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7"/>
  <sheetViews>
    <sheetView topLeftCell="S1" workbookViewId="0">
      <selection activeCell="V9" sqref="V9"/>
    </sheetView>
  </sheetViews>
  <sheetFormatPr defaultRowHeight="12.75" x14ac:dyDescent="0.2"/>
  <cols>
    <col min="1" max="1" width="31.7109375" style="38" bestFit="1" customWidth="1"/>
    <col min="2" max="2" width="34.5703125" style="38" bestFit="1" customWidth="1"/>
    <col min="3" max="3" width="9.85546875" style="38" bestFit="1" customWidth="1"/>
    <col min="4" max="4" width="10" style="38" bestFit="1" customWidth="1"/>
    <col min="5" max="5" width="12.140625" style="38" bestFit="1" customWidth="1"/>
    <col min="6" max="6" width="10.42578125" style="38" bestFit="1" customWidth="1"/>
    <col min="7" max="7" width="16" style="38" bestFit="1" customWidth="1"/>
    <col min="8" max="8" width="10" style="38" bestFit="1" customWidth="1"/>
    <col min="9" max="9" width="13.85546875" style="38" bestFit="1" customWidth="1"/>
    <col min="10" max="10" width="9.85546875" style="38" bestFit="1" customWidth="1"/>
    <col min="11" max="11" width="14.5703125" style="38" bestFit="1" customWidth="1"/>
    <col min="12" max="12" width="15.28515625" style="38" bestFit="1" customWidth="1"/>
    <col min="13" max="13" width="14.85546875" style="38" bestFit="1" customWidth="1"/>
    <col min="14" max="14" width="18" style="38" bestFit="1" customWidth="1"/>
    <col min="15" max="15" width="21" style="38" bestFit="1" customWidth="1"/>
    <col min="16" max="16" width="24.7109375" style="38" bestFit="1" customWidth="1"/>
    <col min="17" max="17" width="26.85546875" style="38" bestFit="1" customWidth="1"/>
    <col min="18" max="18" width="18.85546875" style="38" bestFit="1" customWidth="1"/>
    <col min="19" max="19" width="20.85546875" style="38" bestFit="1" customWidth="1"/>
    <col min="20" max="20" width="18.5703125" style="38" bestFit="1" customWidth="1"/>
    <col min="21" max="21" width="14.85546875" style="38" bestFit="1" customWidth="1"/>
    <col min="22" max="23" width="16.85546875" style="38" bestFit="1" customWidth="1"/>
    <col min="24" max="24" width="13.5703125" style="38" bestFit="1" customWidth="1"/>
    <col min="25" max="25" width="14.42578125" style="38" bestFit="1" customWidth="1"/>
    <col min="26" max="26" width="12.7109375" style="38" bestFit="1" customWidth="1"/>
    <col min="27" max="27" width="24.140625" style="38" bestFit="1" customWidth="1"/>
    <col min="28" max="28" width="19.42578125" style="38" bestFit="1" customWidth="1"/>
    <col min="29" max="29" width="12" style="38" bestFit="1" customWidth="1"/>
    <col min="30" max="30" width="10.5703125" style="38" bestFit="1" customWidth="1"/>
    <col min="31" max="32" width="26.7109375" style="38" bestFit="1" customWidth="1"/>
    <col min="33" max="33" width="10.140625" style="38" bestFit="1" customWidth="1"/>
    <col min="34" max="34" width="13.7109375" style="38" bestFit="1" customWidth="1"/>
    <col min="35" max="35" width="21.140625" style="38" bestFit="1" customWidth="1"/>
    <col min="36" max="36" width="23.7109375" style="38" bestFit="1" customWidth="1"/>
    <col min="37" max="37" width="22.140625" style="38" bestFit="1" customWidth="1"/>
    <col min="38" max="38" width="10.85546875" style="38" bestFit="1" customWidth="1"/>
    <col min="39" max="39" width="13.5703125" style="38" bestFit="1" customWidth="1"/>
    <col min="40" max="40" width="17.7109375" style="38" bestFit="1" customWidth="1"/>
    <col min="41" max="41" width="17.42578125" style="38" bestFit="1" customWidth="1"/>
    <col min="42" max="42" width="19.7109375" style="38" bestFit="1" customWidth="1"/>
    <col min="43" max="44" width="13.7109375" style="38" bestFit="1" customWidth="1"/>
    <col min="45" max="45" width="13.85546875" style="38" bestFit="1" customWidth="1"/>
    <col min="46" max="46" width="17.42578125" style="38" bestFit="1" customWidth="1"/>
    <col min="47" max="47" width="18.7109375" style="38" bestFit="1" customWidth="1"/>
    <col min="48" max="48" width="22.28515625" style="38" bestFit="1" customWidth="1"/>
    <col min="49" max="49" width="20.28515625" style="38" bestFit="1" customWidth="1"/>
    <col min="50" max="50" width="18.28515625" style="38" bestFit="1" customWidth="1"/>
    <col min="51" max="51" width="20.85546875" style="38" bestFit="1" customWidth="1"/>
    <col min="52" max="53" width="22.140625" style="38" bestFit="1" customWidth="1"/>
    <col min="54" max="54" width="19.7109375" style="38" bestFit="1" customWidth="1"/>
    <col min="55" max="55" width="20.5703125" style="38" bestFit="1" customWidth="1"/>
    <col min="56" max="56" width="19" style="38" bestFit="1" customWidth="1"/>
    <col min="57" max="57" width="19.5703125" style="38" bestFit="1" customWidth="1"/>
    <col min="58" max="58" width="32.85546875" style="38" bestFit="1" customWidth="1"/>
    <col min="59" max="59" width="11.42578125" style="38" bestFit="1" customWidth="1"/>
    <col min="60" max="60" width="15" style="38" bestFit="1" customWidth="1"/>
    <col min="61" max="61" width="19.5703125" style="38" bestFit="1" customWidth="1"/>
    <col min="62" max="62" width="14.7109375" style="38" bestFit="1" customWidth="1"/>
    <col min="63" max="63" width="17.7109375" style="38" bestFit="1" customWidth="1"/>
    <col min="64" max="64" width="22.42578125" style="38" bestFit="1" customWidth="1"/>
    <col min="65" max="65" width="18.140625" style="38" bestFit="1" customWidth="1"/>
    <col min="66" max="66" width="10.42578125" style="38" bestFit="1" customWidth="1"/>
    <col min="67" max="67" width="13.140625" style="38" bestFit="1" customWidth="1"/>
    <col min="68" max="68" width="25" style="38" bestFit="1" customWidth="1"/>
    <col min="69" max="69" width="26" style="38" bestFit="1" customWidth="1"/>
    <col min="70" max="70" width="9.28515625" style="38" bestFit="1" customWidth="1"/>
    <col min="71" max="71" width="10.7109375" style="38" bestFit="1" customWidth="1"/>
    <col min="72" max="72" width="10.85546875" style="38" bestFit="1" customWidth="1"/>
    <col min="73" max="73" width="39.140625" style="38" bestFit="1" customWidth="1"/>
    <col min="74" max="74" width="24" style="38" bestFit="1" customWidth="1"/>
    <col min="75" max="75" width="12.28515625" style="38" bestFit="1" customWidth="1"/>
    <col min="76" max="76" width="12.42578125" style="38" bestFit="1" customWidth="1"/>
    <col min="77" max="77" width="10.7109375" style="38" bestFit="1" customWidth="1"/>
    <col min="78" max="78" width="48.7109375" style="38" bestFit="1" customWidth="1"/>
    <col min="79" max="79" width="58" style="38" bestFit="1" customWidth="1"/>
    <col min="80" max="16384" width="9.140625" style="38"/>
  </cols>
  <sheetData>
    <row r="1" spans="1:79" x14ac:dyDescent="0.2">
      <c r="A1" s="38" t="s">
        <v>852</v>
      </c>
      <c r="B1" s="38" t="s">
        <v>147</v>
      </c>
      <c r="C1" s="38" t="s">
        <v>1802</v>
      </c>
      <c r="D1" s="38" t="s">
        <v>1801</v>
      </c>
      <c r="E1" s="38" t="s">
        <v>1800</v>
      </c>
      <c r="F1" s="38" t="s">
        <v>1799</v>
      </c>
      <c r="G1" s="38" t="s">
        <v>1798</v>
      </c>
      <c r="H1" s="38" t="s">
        <v>1797</v>
      </c>
      <c r="I1" s="38" t="s">
        <v>147</v>
      </c>
      <c r="J1" s="38" t="s">
        <v>1796</v>
      </c>
      <c r="K1" s="38" t="s">
        <v>1795</v>
      </c>
      <c r="L1" s="38" t="s">
        <v>1794</v>
      </c>
      <c r="M1" s="38" t="s">
        <v>1793</v>
      </c>
      <c r="N1" s="38" t="s">
        <v>1792</v>
      </c>
      <c r="O1" s="38" t="s">
        <v>1791</v>
      </c>
      <c r="P1" s="38" t="s">
        <v>1790</v>
      </c>
      <c r="Q1" s="38" t="s">
        <v>1789</v>
      </c>
      <c r="R1" s="38" t="s">
        <v>1788</v>
      </c>
      <c r="S1" s="38" t="s">
        <v>1787</v>
      </c>
      <c r="T1" s="38" t="s">
        <v>1786</v>
      </c>
      <c r="U1" s="38" t="s">
        <v>1785</v>
      </c>
      <c r="V1" s="38" t="s">
        <v>1784</v>
      </c>
      <c r="W1" s="38" t="s">
        <v>1783</v>
      </c>
      <c r="X1" s="38" t="s">
        <v>1782</v>
      </c>
      <c r="Y1" s="38" t="s">
        <v>1781</v>
      </c>
      <c r="Z1" s="38" t="s">
        <v>1780</v>
      </c>
      <c r="AA1" s="38" t="s">
        <v>1779</v>
      </c>
      <c r="AB1" s="38" t="s">
        <v>1778</v>
      </c>
      <c r="AC1" s="38" t="s">
        <v>1777</v>
      </c>
      <c r="AD1" s="38" t="s">
        <v>1776</v>
      </c>
      <c r="AE1" s="38" t="s">
        <v>1775</v>
      </c>
      <c r="AF1" s="38" t="s">
        <v>1774</v>
      </c>
      <c r="AG1" s="38" t="s">
        <v>1773</v>
      </c>
      <c r="AH1" s="38" t="s">
        <v>1772</v>
      </c>
      <c r="AI1" s="38" t="s">
        <v>1771</v>
      </c>
      <c r="AJ1" s="38" t="s">
        <v>1770</v>
      </c>
      <c r="AK1" s="38" t="s">
        <v>1769</v>
      </c>
      <c r="AL1" s="38" t="s">
        <v>1768</v>
      </c>
      <c r="AM1" s="38" t="s">
        <v>1767</v>
      </c>
      <c r="AN1" s="38" t="s">
        <v>1766</v>
      </c>
      <c r="AO1" s="38" t="s">
        <v>1765</v>
      </c>
      <c r="AP1" s="38" t="s">
        <v>1764</v>
      </c>
      <c r="AQ1" s="38" t="s">
        <v>1763</v>
      </c>
      <c r="AR1" s="38" t="s">
        <v>1762</v>
      </c>
      <c r="AS1" s="38" t="s">
        <v>1761</v>
      </c>
      <c r="AT1" s="38" t="s">
        <v>1760</v>
      </c>
      <c r="AU1" s="38" t="s">
        <v>1759</v>
      </c>
      <c r="AV1" s="38" t="s">
        <v>1758</v>
      </c>
      <c r="AW1" s="38" t="s">
        <v>1757</v>
      </c>
      <c r="AX1" s="38" t="s">
        <v>1756</v>
      </c>
      <c r="AY1" s="38" t="s">
        <v>1755</v>
      </c>
      <c r="AZ1" s="38" t="s">
        <v>1754</v>
      </c>
      <c r="BA1" s="38" t="s">
        <v>1753</v>
      </c>
      <c r="BB1" s="38" t="s">
        <v>1752</v>
      </c>
      <c r="BC1" s="38" t="s">
        <v>1751</v>
      </c>
      <c r="BD1" s="38" t="s">
        <v>1750</v>
      </c>
      <c r="BE1" s="38" t="s">
        <v>1749</v>
      </c>
      <c r="BF1" s="38" t="s">
        <v>1748</v>
      </c>
      <c r="BG1" s="38" t="s">
        <v>1747</v>
      </c>
      <c r="BH1" s="38" t="s">
        <v>1746</v>
      </c>
      <c r="BI1" s="38" t="s">
        <v>1745</v>
      </c>
      <c r="BJ1" s="38" t="s">
        <v>1744</v>
      </c>
      <c r="BK1" s="38" t="s">
        <v>1743</v>
      </c>
      <c r="BL1" s="38" t="s">
        <v>1742</v>
      </c>
      <c r="BM1" s="38" t="s">
        <v>1741</v>
      </c>
      <c r="BN1" s="38" t="s">
        <v>1740</v>
      </c>
      <c r="BO1" s="38" t="s">
        <v>1739</v>
      </c>
      <c r="BP1" s="38" t="s">
        <v>1738</v>
      </c>
      <c r="BQ1" s="38" t="s">
        <v>1737</v>
      </c>
      <c r="BR1" s="38" t="s">
        <v>1736</v>
      </c>
      <c r="BS1" s="38" t="s">
        <v>1735</v>
      </c>
      <c r="BT1" s="38" t="s">
        <v>1734</v>
      </c>
      <c r="BU1" s="38" t="s">
        <v>1733</v>
      </c>
      <c r="BV1" s="38" t="s">
        <v>1732</v>
      </c>
      <c r="BW1" s="38" t="s">
        <v>1731</v>
      </c>
      <c r="BX1" s="38" t="s">
        <v>1730</v>
      </c>
      <c r="BY1" s="38" t="s">
        <v>1729</v>
      </c>
      <c r="BZ1" s="38" t="s">
        <v>1728</v>
      </c>
      <c r="CA1" s="38" t="s">
        <v>1727</v>
      </c>
    </row>
    <row r="2" spans="1:79" x14ac:dyDescent="0.2">
      <c r="A2" s="38" t="s">
        <v>1013</v>
      </c>
      <c r="B2" s="38" t="s">
        <v>308</v>
      </c>
      <c r="C2" s="38">
        <v>2020</v>
      </c>
      <c r="D2" s="38" t="s">
        <v>1902</v>
      </c>
      <c r="E2" s="38">
        <v>2.0200520923663398E+17</v>
      </c>
      <c r="F2" s="38" t="s">
        <v>1598</v>
      </c>
      <c r="G2" s="38" t="s">
        <v>1903</v>
      </c>
      <c r="H2" s="38">
        <v>1407307</v>
      </c>
      <c r="J2" s="38" t="s">
        <v>1596</v>
      </c>
      <c r="K2" s="38" t="s">
        <v>1595</v>
      </c>
      <c r="N2" s="38" t="s">
        <v>1904</v>
      </c>
      <c r="O2" s="38" t="s">
        <v>1593</v>
      </c>
      <c r="Q2" s="38" t="s">
        <v>1592</v>
      </c>
      <c r="R2" s="38" t="s">
        <v>1871</v>
      </c>
      <c r="T2" s="38" t="s">
        <v>1905</v>
      </c>
      <c r="V2" s="38" t="s">
        <v>1906</v>
      </c>
      <c r="X2" s="38" t="s">
        <v>1891</v>
      </c>
      <c r="Y2" s="38" t="s">
        <v>50</v>
      </c>
      <c r="Z2" s="38">
        <v>10011</v>
      </c>
      <c r="AA2" s="38" t="s">
        <v>1907</v>
      </c>
      <c r="AB2" s="38" t="s">
        <v>1908</v>
      </c>
      <c r="AF2" s="38" t="s">
        <v>1909</v>
      </c>
      <c r="AI2" s="38">
        <v>43948</v>
      </c>
      <c r="AJ2" s="38">
        <v>50</v>
      </c>
      <c r="AK2" s="38">
        <v>50</v>
      </c>
      <c r="BK2" s="38" t="s">
        <v>48</v>
      </c>
      <c r="BL2" s="38" t="s">
        <v>1584</v>
      </c>
      <c r="BM2" s="38" t="s">
        <v>1583</v>
      </c>
      <c r="BN2" s="38">
        <v>43979.288640497682</v>
      </c>
      <c r="BR2" s="38" t="s">
        <v>1582</v>
      </c>
      <c r="BS2" s="38">
        <v>4.05212020176224E+18</v>
      </c>
      <c r="BT2" s="38" t="s">
        <v>1581</v>
      </c>
      <c r="BU2" s="38" t="s">
        <v>1910</v>
      </c>
      <c r="BV2" s="38">
        <v>2020</v>
      </c>
      <c r="BW2" s="38" t="s">
        <v>1579</v>
      </c>
      <c r="BY2" s="38">
        <v>4.0527202017674399E+18</v>
      </c>
      <c r="BZ2" s="38" t="s">
        <v>1911</v>
      </c>
      <c r="CA2" s="38" t="s">
        <v>1577</v>
      </c>
    </row>
    <row r="3" spans="1:79" x14ac:dyDescent="0.2">
      <c r="A3" s="38" t="s">
        <v>1912</v>
      </c>
      <c r="B3" s="38" t="s">
        <v>1913</v>
      </c>
      <c r="C3" s="38">
        <v>2020</v>
      </c>
      <c r="D3" s="38" t="s">
        <v>1686</v>
      </c>
      <c r="E3" s="38">
        <v>2.0200611923976099E+17</v>
      </c>
      <c r="F3" s="38" t="s">
        <v>1598</v>
      </c>
      <c r="G3" s="38">
        <v>4392419</v>
      </c>
      <c r="H3" s="38">
        <v>1411297</v>
      </c>
      <c r="J3" s="38" t="s">
        <v>1596</v>
      </c>
      <c r="K3" s="38" t="s">
        <v>1595</v>
      </c>
      <c r="L3" s="38" t="s">
        <v>1013</v>
      </c>
      <c r="N3" s="38" t="s">
        <v>1904</v>
      </c>
      <c r="O3" s="38" t="s">
        <v>73</v>
      </c>
      <c r="Q3" s="38" t="s">
        <v>26</v>
      </c>
      <c r="R3" s="38" t="s">
        <v>1871</v>
      </c>
      <c r="T3" s="38" t="s">
        <v>1905</v>
      </c>
      <c r="V3" s="38" t="s">
        <v>1914</v>
      </c>
      <c r="W3" s="38" t="s">
        <v>1915</v>
      </c>
      <c r="X3" s="38" t="s">
        <v>1891</v>
      </c>
      <c r="Y3" s="38" t="s">
        <v>50</v>
      </c>
      <c r="Z3" s="38">
        <v>100111837</v>
      </c>
      <c r="AA3" s="38" t="s">
        <v>1907</v>
      </c>
      <c r="AB3" s="38" t="s">
        <v>1908</v>
      </c>
      <c r="AC3" s="38" t="s">
        <v>1013</v>
      </c>
      <c r="AD3" s="38" t="s">
        <v>1608</v>
      </c>
      <c r="AE3" s="38" t="s">
        <v>1607</v>
      </c>
      <c r="AI3" s="38">
        <v>43948</v>
      </c>
      <c r="AJ3" s="38">
        <v>2800</v>
      </c>
      <c r="AK3" s="38">
        <v>2800</v>
      </c>
      <c r="BG3" s="38" t="s">
        <v>1651</v>
      </c>
      <c r="BI3" s="38" t="s">
        <v>1648</v>
      </c>
      <c r="BJ3" s="38">
        <v>2020</v>
      </c>
      <c r="BK3" s="38" t="s">
        <v>48</v>
      </c>
      <c r="BL3" s="38" t="s">
        <v>1584</v>
      </c>
      <c r="BM3" s="38" t="s">
        <v>1583</v>
      </c>
      <c r="BN3" s="38">
        <v>43995.05843449074</v>
      </c>
      <c r="BP3" s="38" t="s">
        <v>1916</v>
      </c>
      <c r="BQ3" s="38" t="s">
        <v>1603</v>
      </c>
      <c r="BR3" s="38" t="s">
        <v>1602</v>
      </c>
      <c r="BS3" s="38">
        <v>4.0612202017747098E+18</v>
      </c>
      <c r="BT3" s="38" t="s">
        <v>1581</v>
      </c>
      <c r="BU3" s="38" t="s">
        <v>1601</v>
      </c>
      <c r="BV3" s="38">
        <v>2020</v>
      </c>
      <c r="BW3" s="38" t="s">
        <v>1579</v>
      </c>
      <c r="BY3" s="38">
        <v>4.0612202017747999E+18</v>
      </c>
      <c r="BZ3" s="38" t="s">
        <v>1917</v>
      </c>
      <c r="CA3" s="38" t="s">
        <v>1577</v>
      </c>
    </row>
    <row r="9" spans="1:79" x14ac:dyDescent="0.2">
      <c r="V9" s="38" t="str">
        <f>+V2&amp;X2&amp;Y2&amp;Z2</f>
        <v>106 7TH AVE PH 12NEW YORKNY10011</v>
      </c>
    </row>
    <row r="10" spans="1:79" ht="15" x14ac:dyDescent="0.25">
      <c r="A10" s="35" t="s">
        <v>1803</v>
      </c>
      <c r="B10" t="s">
        <v>1805</v>
      </c>
      <c r="C10"/>
    </row>
    <row r="11" spans="1:79" ht="15" x14ac:dyDescent="0.25">
      <c r="A11" s="36" t="s">
        <v>308</v>
      </c>
      <c r="B11" s="2">
        <v>50</v>
      </c>
      <c r="C11" t="s">
        <v>1557</v>
      </c>
    </row>
    <row r="12" spans="1:79" ht="15" x14ac:dyDescent="0.25">
      <c r="A12" s="36" t="s">
        <v>1913</v>
      </c>
      <c r="B12" s="2">
        <v>2800</v>
      </c>
      <c r="C12" t="s">
        <v>1557</v>
      </c>
    </row>
    <row r="13" spans="1:79" ht="15" x14ac:dyDescent="0.25">
      <c r="A13" s="36" t="s">
        <v>1804</v>
      </c>
      <c r="B13" s="2">
        <v>2850</v>
      </c>
      <c r="C13"/>
    </row>
    <row r="14" spans="1:79" ht="15" x14ac:dyDescent="0.25">
      <c r="A14"/>
      <c r="B14"/>
      <c r="C14"/>
    </row>
    <row r="15" spans="1:79" ht="15" x14ac:dyDescent="0.25">
      <c r="A15"/>
      <c r="B15"/>
      <c r="C15"/>
    </row>
    <row r="16" spans="1:79" ht="15" x14ac:dyDescent="0.25">
      <c r="A16"/>
      <c r="B16"/>
      <c r="C16"/>
    </row>
    <row r="17" spans="1:3" ht="15" x14ac:dyDescent="0.25">
      <c r="A17"/>
      <c r="B17"/>
      <c r="C17"/>
    </row>
    <row r="18" spans="1:3" ht="15" x14ac:dyDescent="0.25">
      <c r="A18"/>
      <c r="B18"/>
      <c r="C18"/>
    </row>
    <row r="19" spans="1:3" ht="15" x14ac:dyDescent="0.25">
      <c r="A19"/>
      <c r="B19"/>
      <c r="C19"/>
    </row>
    <row r="20" spans="1:3" ht="15" x14ac:dyDescent="0.25">
      <c r="A20"/>
      <c r="B20"/>
      <c r="C20"/>
    </row>
    <row r="21" spans="1:3" ht="15" x14ac:dyDescent="0.25">
      <c r="A21"/>
      <c r="B21"/>
      <c r="C21"/>
    </row>
    <row r="22" spans="1:3" ht="15" x14ac:dyDescent="0.25">
      <c r="A22"/>
      <c r="B22"/>
      <c r="C22"/>
    </row>
    <row r="23" spans="1:3" ht="15" x14ac:dyDescent="0.25">
      <c r="A23"/>
      <c r="B23"/>
      <c r="C23"/>
    </row>
    <row r="24" spans="1:3" ht="15" x14ac:dyDescent="0.25">
      <c r="A24"/>
      <c r="B24"/>
      <c r="C24"/>
    </row>
    <row r="25" spans="1:3" ht="15" x14ac:dyDescent="0.25">
      <c r="A25"/>
      <c r="B25"/>
      <c r="C25"/>
    </row>
    <row r="26" spans="1:3" ht="15" x14ac:dyDescent="0.25">
      <c r="A26"/>
      <c r="B26"/>
      <c r="C26"/>
    </row>
    <row r="27" spans="1:3" ht="15" x14ac:dyDescent="0.25">
      <c r="A27"/>
      <c r="B27"/>
      <c r="C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9"/>
  <sheetViews>
    <sheetView topLeftCell="M1" workbookViewId="0">
      <selection activeCell="V9" sqref="V9"/>
    </sheetView>
  </sheetViews>
  <sheetFormatPr defaultRowHeight="15" x14ac:dyDescent="0.25"/>
  <cols>
    <col min="1" max="1" width="28.28515625" bestFit="1" customWidth="1"/>
    <col min="2" max="2" width="34.5703125" bestFit="1" customWidth="1"/>
    <col min="14" max="14" width="24" bestFit="1" customWidth="1"/>
    <col min="22" max="22" width="17.42578125" customWidth="1"/>
  </cols>
  <sheetData>
    <row r="1" spans="1:79" x14ac:dyDescent="0.25">
      <c r="A1" t="s">
        <v>852</v>
      </c>
      <c r="B1" t="s">
        <v>147</v>
      </c>
      <c r="C1" t="s">
        <v>1802</v>
      </c>
      <c r="D1" t="s">
        <v>1801</v>
      </c>
      <c r="E1" t="s">
        <v>1800</v>
      </c>
      <c r="F1" t="s">
        <v>1799</v>
      </c>
      <c r="G1" t="s">
        <v>1798</v>
      </c>
      <c r="H1" t="s">
        <v>1797</v>
      </c>
      <c r="I1" t="s">
        <v>147</v>
      </c>
      <c r="J1" t="s">
        <v>1796</v>
      </c>
      <c r="K1" t="s">
        <v>1795</v>
      </c>
      <c r="L1" t="s">
        <v>1794</v>
      </c>
      <c r="M1" t="s">
        <v>1793</v>
      </c>
      <c r="N1" t="s">
        <v>1792</v>
      </c>
      <c r="O1" t="s">
        <v>1791</v>
      </c>
      <c r="P1" t="s">
        <v>1790</v>
      </c>
      <c r="Q1" t="s">
        <v>1789</v>
      </c>
      <c r="R1" t="s">
        <v>1788</v>
      </c>
      <c r="S1" t="s">
        <v>1787</v>
      </c>
      <c r="T1" t="s">
        <v>1786</v>
      </c>
      <c r="U1" t="s">
        <v>1785</v>
      </c>
      <c r="V1" t="s">
        <v>1784</v>
      </c>
      <c r="W1" t="s">
        <v>1783</v>
      </c>
      <c r="X1" t="s">
        <v>1782</v>
      </c>
      <c r="Y1" t="s">
        <v>1781</v>
      </c>
      <c r="Z1" t="s">
        <v>1780</v>
      </c>
      <c r="AA1" t="s">
        <v>1779</v>
      </c>
      <c r="AB1" t="s">
        <v>1778</v>
      </c>
      <c r="AC1" t="s">
        <v>1777</v>
      </c>
      <c r="AD1" t="s">
        <v>1776</v>
      </c>
      <c r="AE1" t="s">
        <v>1775</v>
      </c>
      <c r="AF1" t="s">
        <v>1774</v>
      </c>
      <c r="AG1" t="s">
        <v>1773</v>
      </c>
      <c r="AH1" t="s">
        <v>1772</v>
      </c>
      <c r="AI1" t="s">
        <v>1771</v>
      </c>
      <c r="AJ1" t="s">
        <v>1770</v>
      </c>
      <c r="AK1" t="s">
        <v>1769</v>
      </c>
      <c r="AL1" t="s">
        <v>1768</v>
      </c>
      <c r="AM1" t="s">
        <v>1767</v>
      </c>
      <c r="AN1" t="s">
        <v>1766</v>
      </c>
      <c r="AO1" t="s">
        <v>1765</v>
      </c>
      <c r="AP1" t="s">
        <v>1764</v>
      </c>
      <c r="AQ1" t="s">
        <v>1763</v>
      </c>
      <c r="AR1" t="s">
        <v>1762</v>
      </c>
      <c r="AS1" t="s">
        <v>1761</v>
      </c>
      <c r="AT1" t="s">
        <v>1760</v>
      </c>
      <c r="AU1" t="s">
        <v>1759</v>
      </c>
      <c r="AV1" t="s">
        <v>1758</v>
      </c>
      <c r="AW1" t="s">
        <v>1757</v>
      </c>
      <c r="AX1" t="s">
        <v>1756</v>
      </c>
      <c r="AY1" t="s">
        <v>1755</v>
      </c>
      <c r="AZ1" t="s">
        <v>1754</v>
      </c>
      <c r="BA1" t="s">
        <v>1753</v>
      </c>
      <c r="BB1" t="s">
        <v>1752</v>
      </c>
      <c r="BC1" t="s">
        <v>1751</v>
      </c>
      <c r="BD1" t="s">
        <v>1750</v>
      </c>
      <c r="BE1" t="s">
        <v>1749</v>
      </c>
      <c r="BF1" t="s">
        <v>1748</v>
      </c>
      <c r="BG1" t="s">
        <v>1747</v>
      </c>
      <c r="BH1" t="s">
        <v>1746</v>
      </c>
      <c r="BI1" t="s">
        <v>1745</v>
      </c>
      <c r="BJ1" t="s">
        <v>1744</v>
      </c>
      <c r="BK1" t="s">
        <v>1743</v>
      </c>
      <c r="BL1" t="s">
        <v>1742</v>
      </c>
      <c r="BM1" t="s">
        <v>1741</v>
      </c>
      <c r="BN1" t="s">
        <v>1740</v>
      </c>
      <c r="BO1" t="s">
        <v>1739</v>
      </c>
      <c r="BP1" t="s">
        <v>1738</v>
      </c>
      <c r="BQ1" t="s">
        <v>1737</v>
      </c>
      <c r="BR1" t="s">
        <v>1736</v>
      </c>
      <c r="BS1" t="s">
        <v>1735</v>
      </c>
      <c r="BT1" t="s">
        <v>1734</v>
      </c>
      <c r="BU1" t="s">
        <v>1733</v>
      </c>
      <c r="BV1" t="s">
        <v>1732</v>
      </c>
      <c r="BW1" t="s">
        <v>1731</v>
      </c>
      <c r="BX1" t="s">
        <v>1730</v>
      </c>
      <c r="BY1" t="s">
        <v>1729</v>
      </c>
      <c r="BZ1" t="s">
        <v>1728</v>
      </c>
      <c r="CA1" t="s">
        <v>1727</v>
      </c>
    </row>
    <row r="2" spans="1:79" x14ac:dyDescent="0.25">
      <c r="A2" t="s">
        <v>891</v>
      </c>
      <c r="B2" t="s">
        <v>186</v>
      </c>
      <c r="C2">
        <v>2019</v>
      </c>
      <c r="D2" t="s">
        <v>1696</v>
      </c>
      <c r="E2">
        <v>2.0200131918482202E+17</v>
      </c>
      <c r="F2" t="s">
        <v>1598</v>
      </c>
      <c r="G2" t="s">
        <v>1868</v>
      </c>
      <c r="H2">
        <v>1378361</v>
      </c>
      <c r="J2" t="s">
        <v>1596</v>
      </c>
      <c r="K2" t="s">
        <v>1595</v>
      </c>
      <c r="M2" t="s">
        <v>1869</v>
      </c>
      <c r="N2" t="s">
        <v>1870</v>
      </c>
      <c r="O2" t="s">
        <v>24</v>
      </c>
      <c r="Q2" t="s">
        <v>1592</v>
      </c>
      <c r="R2" t="s">
        <v>1871</v>
      </c>
      <c r="S2" t="s">
        <v>1676</v>
      </c>
      <c r="T2" t="s">
        <v>79</v>
      </c>
      <c r="U2" t="s">
        <v>1642</v>
      </c>
      <c r="V2" t="s">
        <v>1812</v>
      </c>
      <c r="W2" t="s">
        <v>1831</v>
      </c>
      <c r="X2" t="s">
        <v>1811</v>
      </c>
      <c r="Y2" t="s">
        <v>15</v>
      </c>
      <c r="Z2">
        <v>482262251</v>
      </c>
      <c r="AA2" t="s">
        <v>1810</v>
      </c>
      <c r="AB2" t="s">
        <v>1872</v>
      </c>
      <c r="AD2">
        <v>15</v>
      </c>
      <c r="AE2" t="s">
        <v>1819</v>
      </c>
      <c r="AI2">
        <v>43830</v>
      </c>
      <c r="AJ2">
        <v>10000</v>
      </c>
      <c r="AK2">
        <v>10000</v>
      </c>
      <c r="BG2" t="s">
        <v>26</v>
      </c>
      <c r="BI2" t="s">
        <v>1648</v>
      </c>
      <c r="BK2" t="s">
        <v>48</v>
      </c>
      <c r="BL2" t="s">
        <v>1584</v>
      </c>
      <c r="BM2" t="s">
        <v>1583</v>
      </c>
      <c r="BN2">
        <v>43865.066991736108</v>
      </c>
      <c r="BR2" t="s">
        <v>1582</v>
      </c>
      <c r="BS2">
        <v>4.0131202016861901E+18</v>
      </c>
      <c r="BT2" t="s">
        <v>1581</v>
      </c>
      <c r="BV2">
        <v>2020</v>
      </c>
      <c r="BW2" t="s">
        <v>1579</v>
      </c>
      <c r="BY2">
        <v>4.0203202016868101E+18</v>
      </c>
      <c r="BZ2" t="s">
        <v>1873</v>
      </c>
      <c r="CA2" t="s">
        <v>1577</v>
      </c>
    </row>
    <row r="3" spans="1:79" x14ac:dyDescent="0.25">
      <c r="A3" t="s">
        <v>891</v>
      </c>
      <c r="B3" t="s">
        <v>186</v>
      </c>
      <c r="C3">
        <v>2019</v>
      </c>
      <c r="D3" t="s">
        <v>1696</v>
      </c>
      <c r="E3">
        <v>2.0200131918482202E+17</v>
      </c>
      <c r="F3" t="s">
        <v>1874</v>
      </c>
      <c r="G3" t="s">
        <v>1875</v>
      </c>
      <c r="H3">
        <v>1378361</v>
      </c>
      <c r="J3" t="s">
        <v>1596</v>
      </c>
      <c r="K3" t="s">
        <v>1595</v>
      </c>
      <c r="M3" t="s">
        <v>1869</v>
      </c>
      <c r="N3" t="s">
        <v>1870</v>
      </c>
      <c r="O3" t="s">
        <v>24</v>
      </c>
      <c r="Q3" t="s">
        <v>1592</v>
      </c>
      <c r="R3" t="s">
        <v>1871</v>
      </c>
      <c r="S3" t="s">
        <v>1676</v>
      </c>
      <c r="T3" t="s">
        <v>79</v>
      </c>
      <c r="U3" t="s">
        <v>1642</v>
      </c>
      <c r="V3" t="s">
        <v>1812</v>
      </c>
      <c r="W3" t="s">
        <v>1831</v>
      </c>
      <c r="X3" t="s">
        <v>1811</v>
      </c>
      <c r="Y3" t="s">
        <v>15</v>
      </c>
      <c r="Z3">
        <v>482262251</v>
      </c>
      <c r="AA3" t="s">
        <v>1810</v>
      </c>
      <c r="AB3" t="s">
        <v>1872</v>
      </c>
      <c r="AD3">
        <v>10</v>
      </c>
      <c r="AE3" t="s">
        <v>1876</v>
      </c>
      <c r="AI3">
        <v>43830</v>
      </c>
      <c r="AJ3">
        <v>10000</v>
      </c>
      <c r="AK3">
        <v>10000</v>
      </c>
      <c r="BF3" t="s">
        <v>1877</v>
      </c>
      <c r="BG3" t="s">
        <v>26</v>
      </c>
      <c r="BI3" t="s">
        <v>1648</v>
      </c>
      <c r="BK3" t="s">
        <v>48</v>
      </c>
      <c r="BL3" t="s">
        <v>1584</v>
      </c>
      <c r="BM3" t="s">
        <v>1583</v>
      </c>
      <c r="BN3">
        <v>43865.066991840278</v>
      </c>
      <c r="BR3" t="s">
        <v>1582</v>
      </c>
      <c r="BS3">
        <v>4.0131202016861901E+18</v>
      </c>
      <c r="BT3" t="s">
        <v>1581</v>
      </c>
      <c r="BV3">
        <v>2020</v>
      </c>
      <c r="BW3" t="s">
        <v>1579</v>
      </c>
      <c r="BY3">
        <v>4.0203202016868198E+18</v>
      </c>
      <c r="BZ3" t="s">
        <v>1878</v>
      </c>
      <c r="CA3" t="s">
        <v>1879</v>
      </c>
    </row>
    <row r="4" spans="1:79" x14ac:dyDescent="0.25">
      <c r="A4" t="s">
        <v>1880</v>
      </c>
      <c r="B4" t="s">
        <v>1881</v>
      </c>
      <c r="C4">
        <v>2019</v>
      </c>
      <c r="D4" t="s">
        <v>1696</v>
      </c>
      <c r="E4">
        <v>2.0200131918419699E+17</v>
      </c>
      <c r="F4" t="s">
        <v>1598</v>
      </c>
      <c r="G4" t="s">
        <v>1882</v>
      </c>
      <c r="H4">
        <v>1377045</v>
      </c>
      <c r="J4" t="s">
        <v>1596</v>
      </c>
      <c r="K4" t="s">
        <v>1595</v>
      </c>
      <c r="N4" t="s">
        <v>1883</v>
      </c>
      <c r="O4" t="s">
        <v>64</v>
      </c>
      <c r="Q4" t="s">
        <v>32</v>
      </c>
      <c r="R4" t="s">
        <v>1871</v>
      </c>
      <c r="S4" t="s">
        <v>1676</v>
      </c>
      <c r="T4" t="s">
        <v>79</v>
      </c>
      <c r="U4" t="s">
        <v>1642</v>
      </c>
      <c r="V4" t="s">
        <v>1884</v>
      </c>
      <c r="W4" t="s">
        <v>1885</v>
      </c>
      <c r="X4" t="s">
        <v>1886</v>
      </c>
      <c r="Y4" t="s">
        <v>15</v>
      </c>
      <c r="Z4">
        <v>48101</v>
      </c>
      <c r="AA4" t="s">
        <v>1887</v>
      </c>
      <c r="AB4" t="s">
        <v>1888</v>
      </c>
      <c r="AD4">
        <v>15</v>
      </c>
      <c r="AE4" t="s">
        <v>1819</v>
      </c>
      <c r="AI4">
        <v>43815</v>
      </c>
      <c r="AJ4">
        <v>5000</v>
      </c>
      <c r="AK4">
        <v>5000</v>
      </c>
      <c r="BG4" t="s">
        <v>26</v>
      </c>
      <c r="BI4" t="s">
        <v>1648</v>
      </c>
      <c r="BK4" t="s">
        <v>48</v>
      </c>
      <c r="BL4" t="s">
        <v>1584</v>
      </c>
      <c r="BM4" t="s">
        <v>1583</v>
      </c>
      <c r="BN4">
        <v>43883.091929016206</v>
      </c>
      <c r="BR4" t="s">
        <v>1582</v>
      </c>
      <c r="BS4">
        <v>4.0131202016861901E+18</v>
      </c>
      <c r="BT4" t="s">
        <v>1581</v>
      </c>
      <c r="BV4">
        <v>2020</v>
      </c>
      <c r="BW4" t="s">
        <v>1579</v>
      </c>
      <c r="BY4">
        <v>4.0221202016935199E+18</v>
      </c>
      <c r="BZ4" t="s">
        <v>1889</v>
      </c>
      <c r="CA4" t="s">
        <v>1577</v>
      </c>
    </row>
    <row r="5" spans="1:79" x14ac:dyDescent="0.25">
      <c r="A5" t="s">
        <v>1880</v>
      </c>
      <c r="B5" t="s">
        <v>1881</v>
      </c>
      <c r="C5">
        <v>2020</v>
      </c>
      <c r="D5" t="s">
        <v>1612</v>
      </c>
      <c r="E5">
        <v>2.0201202933742701E+17</v>
      </c>
      <c r="F5" t="s">
        <v>1598</v>
      </c>
      <c r="G5" t="s">
        <v>1893</v>
      </c>
      <c r="H5">
        <v>1476407</v>
      </c>
      <c r="J5" t="s">
        <v>1596</v>
      </c>
      <c r="K5" t="s">
        <v>1595</v>
      </c>
      <c r="N5" t="s">
        <v>1883</v>
      </c>
      <c r="O5" t="s">
        <v>64</v>
      </c>
      <c r="Q5" t="s">
        <v>32</v>
      </c>
      <c r="R5" t="s">
        <v>1871</v>
      </c>
      <c r="S5" t="s">
        <v>1676</v>
      </c>
      <c r="T5" t="s">
        <v>79</v>
      </c>
      <c r="U5" t="s">
        <v>1642</v>
      </c>
      <c r="V5" t="s">
        <v>1884</v>
      </c>
      <c r="W5" t="s">
        <v>1885</v>
      </c>
      <c r="X5" t="s">
        <v>1886</v>
      </c>
      <c r="Y5" t="s">
        <v>15</v>
      </c>
      <c r="Z5">
        <v>48101</v>
      </c>
      <c r="AA5" t="s">
        <v>1887</v>
      </c>
      <c r="AB5" t="s">
        <v>1888</v>
      </c>
      <c r="AD5">
        <v>15</v>
      </c>
      <c r="AE5" t="s">
        <v>1819</v>
      </c>
      <c r="AI5">
        <v>44140</v>
      </c>
      <c r="AJ5">
        <v>5000</v>
      </c>
      <c r="AK5">
        <v>5000</v>
      </c>
      <c r="BG5" t="s">
        <v>26</v>
      </c>
      <c r="BI5" t="s">
        <v>1648</v>
      </c>
      <c r="BK5" t="s">
        <v>48</v>
      </c>
      <c r="BL5" t="s">
        <v>1584</v>
      </c>
      <c r="BM5" t="s">
        <v>1583</v>
      </c>
      <c r="BN5">
        <v>44194.155615856478</v>
      </c>
      <c r="BR5" t="s">
        <v>1582</v>
      </c>
      <c r="BS5">
        <v>4.1203202019631401E+18</v>
      </c>
      <c r="BT5" t="s">
        <v>1581</v>
      </c>
      <c r="BV5">
        <v>2020</v>
      </c>
      <c r="BW5" t="s">
        <v>1579</v>
      </c>
      <c r="BY5">
        <v>4.1229202019865702E+18</v>
      </c>
      <c r="BZ5" t="s">
        <v>1894</v>
      </c>
      <c r="CA5" t="s">
        <v>1577</v>
      </c>
    </row>
    <row r="6" spans="1:79" x14ac:dyDescent="0.25">
      <c r="A6" t="s">
        <v>1031</v>
      </c>
      <c r="B6" t="s">
        <v>326</v>
      </c>
      <c r="C6">
        <v>2019</v>
      </c>
      <c r="D6" t="s">
        <v>1659</v>
      </c>
      <c r="E6">
        <v>2.02102099427192E+17</v>
      </c>
      <c r="F6" t="s">
        <v>1598</v>
      </c>
      <c r="G6" t="s">
        <v>1895</v>
      </c>
      <c r="H6">
        <v>1499253</v>
      </c>
      <c r="J6" t="s">
        <v>1596</v>
      </c>
      <c r="K6" t="s">
        <v>1595</v>
      </c>
      <c r="L6" t="s">
        <v>1013</v>
      </c>
      <c r="N6" t="s">
        <v>1896</v>
      </c>
      <c r="O6" t="s">
        <v>37</v>
      </c>
      <c r="Q6" t="s">
        <v>26</v>
      </c>
      <c r="R6" t="s">
        <v>1871</v>
      </c>
      <c r="S6" t="s">
        <v>1897</v>
      </c>
      <c r="T6" t="s">
        <v>79</v>
      </c>
      <c r="U6" t="s">
        <v>1642</v>
      </c>
      <c r="V6" t="s">
        <v>1812</v>
      </c>
      <c r="X6" t="s">
        <v>1811</v>
      </c>
      <c r="Y6" t="s">
        <v>15</v>
      </c>
      <c r="Z6">
        <v>482262251</v>
      </c>
      <c r="AA6" t="s">
        <v>79</v>
      </c>
      <c r="AB6" t="s">
        <v>1898</v>
      </c>
      <c r="AC6" t="s">
        <v>1013</v>
      </c>
      <c r="AD6" t="s">
        <v>1608</v>
      </c>
      <c r="AE6" t="s">
        <v>1607</v>
      </c>
      <c r="AI6">
        <v>43664</v>
      </c>
      <c r="AJ6">
        <v>500</v>
      </c>
      <c r="AK6">
        <v>500</v>
      </c>
      <c r="BG6" t="s">
        <v>1651</v>
      </c>
      <c r="BI6" t="s">
        <v>1648</v>
      </c>
      <c r="BJ6">
        <v>2020</v>
      </c>
      <c r="BK6" t="s">
        <v>0</v>
      </c>
      <c r="BL6" t="s">
        <v>1848</v>
      </c>
      <c r="BM6" t="s">
        <v>1583</v>
      </c>
      <c r="BN6">
        <v>44253.156234675924</v>
      </c>
      <c r="BP6" t="s">
        <v>1899</v>
      </c>
      <c r="BQ6" t="s">
        <v>1603</v>
      </c>
      <c r="BR6" t="s">
        <v>1602</v>
      </c>
      <c r="BS6">
        <v>4.0209202111234601E+18</v>
      </c>
      <c r="BT6" t="s">
        <v>1581</v>
      </c>
      <c r="BU6" t="s">
        <v>1601</v>
      </c>
      <c r="BV6">
        <v>2020</v>
      </c>
      <c r="BW6" t="s">
        <v>1579</v>
      </c>
      <c r="BY6">
        <v>4.0226202111891E+18</v>
      </c>
      <c r="BZ6" t="s">
        <v>1900</v>
      </c>
      <c r="CA6" t="s">
        <v>1577</v>
      </c>
    </row>
    <row r="9" spans="1:79" x14ac:dyDescent="0.25">
      <c r="A9" s="35" t="s">
        <v>1803</v>
      </c>
      <c r="B9" t="s">
        <v>1805</v>
      </c>
      <c r="V9" t="str">
        <f>+V2&amp;W2&amp;X2&amp;Y2&amp;Z2</f>
        <v>2000 BRUSH STSTE 440DETROITMI482262251</v>
      </c>
    </row>
    <row r="10" spans="1:79" x14ac:dyDescent="0.25">
      <c r="A10" s="36" t="s">
        <v>1881</v>
      </c>
      <c r="B10" s="2">
        <v>10000</v>
      </c>
      <c r="C10" t="s">
        <v>0</v>
      </c>
    </row>
    <row r="11" spans="1:79" x14ac:dyDescent="0.25">
      <c r="A11" s="36" t="s">
        <v>186</v>
      </c>
      <c r="B11" s="2">
        <v>20000</v>
      </c>
      <c r="C11" t="s">
        <v>1</v>
      </c>
    </row>
    <row r="12" spans="1:79" x14ac:dyDescent="0.25">
      <c r="A12" s="36" t="s">
        <v>326</v>
      </c>
      <c r="B12" s="2">
        <v>500</v>
      </c>
      <c r="C12" t="s">
        <v>1557</v>
      </c>
    </row>
    <row r="13" spans="1:79" x14ac:dyDescent="0.25">
      <c r="A13" s="36" t="s">
        <v>1804</v>
      </c>
      <c r="B13" s="2">
        <v>30500</v>
      </c>
      <c r="C13" t="s">
        <v>1</v>
      </c>
    </row>
    <row r="15" spans="1:79" x14ac:dyDescent="0.25">
      <c r="A15" s="36"/>
    </row>
    <row r="16" spans="1:79" x14ac:dyDescent="0.25">
      <c r="A16" s="36" t="s">
        <v>1</v>
      </c>
      <c r="B16">
        <f>+GETPIVOTDATA("contribution_receipt_amount",$A$9,"committee_name","MICHIGAN REPUBLICAN PARTY")</f>
        <v>20000</v>
      </c>
    </row>
    <row r="17" spans="1:2" x14ac:dyDescent="0.25">
      <c r="A17" s="36" t="s">
        <v>0</v>
      </c>
      <c r="B17">
        <f>+GETPIVOTDATA("contribution_receipt_amount",$A$9,"committee_name","GRIDIRON-PAC")</f>
        <v>10000</v>
      </c>
    </row>
    <row r="18" spans="1:2" x14ac:dyDescent="0.25">
      <c r="A18" s="36" t="s">
        <v>1557</v>
      </c>
      <c r="B18">
        <f>+GETPIVOTDATA("contribution_receipt_amount",$A$9,"committee_name","PETERS FOR MICHIGAN")</f>
        <v>500</v>
      </c>
    </row>
    <row r="19" spans="1:2" x14ac:dyDescent="0.25">
      <c r="B19">
        <f>SUM(B16:B18)</f>
        <v>30500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6"/>
  <sheetViews>
    <sheetView topLeftCell="R1" workbookViewId="0">
      <selection activeCell="V17" sqref="V17"/>
    </sheetView>
  </sheetViews>
  <sheetFormatPr defaultRowHeight="12.75" x14ac:dyDescent="0.2"/>
  <cols>
    <col min="1" max="1" width="41.42578125" style="23" bestFit="1" customWidth="1"/>
    <col min="2" max="2" width="34.5703125" style="23" bestFit="1" customWidth="1"/>
    <col min="3" max="16384" width="9.140625" style="23"/>
  </cols>
  <sheetData>
    <row r="1" spans="1:79" x14ac:dyDescent="0.2">
      <c r="A1" s="23" t="s">
        <v>852</v>
      </c>
      <c r="B1" s="23" t="s">
        <v>147</v>
      </c>
      <c r="C1" s="23" t="s">
        <v>1802</v>
      </c>
      <c r="D1" s="23" t="s">
        <v>1801</v>
      </c>
      <c r="E1" s="23" t="s">
        <v>1800</v>
      </c>
      <c r="F1" s="23" t="s">
        <v>1799</v>
      </c>
      <c r="G1" s="23" t="s">
        <v>1798</v>
      </c>
      <c r="H1" s="23" t="s">
        <v>1797</v>
      </c>
      <c r="I1" s="23" t="s">
        <v>147</v>
      </c>
      <c r="J1" s="23" t="s">
        <v>1796</v>
      </c>
      <c r="K1" s="23" t="s">
        <v>1795</v>
      </c>
      <c r="L1" s="23" t="s">
        <v>1794</v>
      </c>
      <c r="M1" s="23" t="s">
        <v>1793</v>
      </c>
      <c r="N1" s="23" t="s">
        <v>1792</v>
      </c>
      <c r="O1" s="23" t="s">
        <v>1791</v>
      </c>
      <c r="P1" s="23" t="s">
        <v>1790</v>
      </c>
      <c r="Q1" s="23" t="s">
        <v>1789</v>
      </c>
      <c r="R1" s="23" t="s">
        <v>1788</v>
      </c>
      <c r="S1" s="23" t="s">
        <v>1787</v>
      </c>
      <c r="T1" s="23" t="s">
        <v>1786</v>
      </c>
      <c r="U1" s="23" t="s">
        <v>1785</v>
      </c>
      <c r="V1" s="23" t="s">
        <v>1784</v>
      </c>
      <c r="W1" s="23" t="s">
        <v>1783</v>
      </c>
      <c r="X1" s="23" t="s">
        <v>1782</v>
      </c>
      <c r="Y1" s="23" t="s">
        <v>1781</v>
      </c>
      <c r="Z1" s="23" t="s">
        <v>1780</v>
      </c>
      <c r="AA1" s="23" t="s">
        <v>1779</v>
      </c>
      <c r="AB1" s="23" t="s">
        <v>1778</v>
      </c>
      <c r="AC1" s="23" t="s">
        <v>1777</v>
      </c>
      <c r="AD1" s="23" t="s">
        <v>1776</v>
      </c>
      <c r="AE1" s="23" t="s">
        <v>1775</v>
      </c>
      <c r="AF1" s="23" t="s">
        <v>1774</v>
      </c>
      <c r="AG1" s="23" t="s">
        <v>1773</v>
      </c>
      <c r="AH1" s="23" t="s">
        <v>1772</v>
      </c>
      <c r="AI1" s="23" t="s">
        <v>1771</v>
      </c>
      <c r="AJ1" s="23" t="s">
        <v>1770</v>
      </c>
      <c r="AK1" s="23" t="s">
        <v>1769</v>
      </c>
      <c r="AL1" s="23" t="s">
        <v>1768</v>
      </c>
      <c r="AM1" s="23" t="s">
        <v>1767</v>
      </c>
      <c r="AN1" s="23" t="s">
        <v>1766</v>
      </c>
      <c r="AO1" s="23" t="s">
        <v>1765</v>
      </c>
      <c r="AP1" s="23" t="s">
        <v>1764</v>
      </c>
      <c r="AQ1" s="23" t="s">
        <v>1763</v>
      </c>
      <c r="AR1" s="23" t="s">
        <v>1762</v>
      </c>
      <c r="AS1" s="23" t="s">
        <v>1761</v>
      </c>
      <c r="AT1" s="23" t="s">
        <v>1760</v>
      </c>
      <c r="AU1" s="23" t="s">
        <v>1759</v>
      </c>
      <c r="AV1" s="23" t="s">
        <v>1758</v>
      </c>
      <c r="AW1" s="23" t="s">
        <v>1757</v>
      </c>
      <c r="AX1" s="23" t="s">
        <v>1756</v>
      </c>
      <c r="AY1" s="23" t="s">
        <v>1755</v>
      </c>
      <c r="AZ1" s="23" t="s">
        <v>1754</v>
      </c>
      <c r="BA1" s="23" t="s">
        <v>1753</v>
      </c>
      <c r="BB1" s="23" t="s">
        <v>1752</v>
      </c>
      <c r="BC1" s="23" t="s">
        <v>1751</v>
      </c>
      <c r="BD1" s="23" t="s">
        <v>1750</v>
      </c>
      <c r="BE1" s="23" t="s">
        <v>1749</v>
      </c>
      <c r="BF1" s="23" t="s">
        <v>1748</v>
      </c>
      <c r="BG1" s="23" t="s">
        <v>1747</v>
      </c>
      <c r="BH1" s="23" t="s">
        <v>1746</v>
      </c>
      <c r="BI1" s="23" t="s">
        <v>1745</v>
      </c>
      <c r="BJ1" s="23" t="s">
        <v>1744</v>
      </c>
      <c r="BK1" s="23" t="s">
        <v>1743</v>
      </c>
      <c r="BL1" s="23" t="s">
        <v>1742</v>
      </c>
      <c r="BM1" s="23" t="s">
        <v>1741</v>
      </c>
      <c r="BN1" s="23" t="s">
        <v>1740</v>
      </c>
      <c r="BO1" s="23" t="s">
        <v>1739</v>
      </c>
      <c r="BP1" s="23" t="s">
        <v>1738</v>
      </c>
      <c r="BQ1" s="23" t="s">
        <v>1737</v>
      </c>
      <c r="BR1" s="23" t="s">
        <v>1736</v>
      </c>
      <c r="BS1" s="23" t="s">
        <v>1735</v>
      </c>
      <c r="BT1" s="23" t="s">
        <v>1734</v>
      </c>
      <c r="BU1" s="23" t="s">
        <v>1733</v>
      </c>
      <c r="BV1" s="23" t="s">
        <v>1732</v>
      </c>
      <c r="BW1" s="23" t="s">
        <v>1731</v>
      </c>
      <c r="BX1" s="23" t="s">
        <v>1730</v>
      </c>
      <c r="BY1" s="23" t="s">
        <v>1729</v>
      </c>
      <c r="BZ1" s="23" t="s">
        <v>1728</v>
      </c>
      <c r="CA1" s="23" t="s">
        <v>1727</v>
      </c>
    </row>
    <row r="2" spans="1:79" x14ac:dyDescent="0.2">
      <c r="A2" s="23" t="s">
        <v>895</v>
      </c>
      <c r="B2" s="23" t="s">
        <v>190</v>
      </c>
      <c r="C2" s="23">
        <v>2019</v>
      </c>
      <c r="D2" s="23" t="s">
        <v>1865</v>
      </c>
      <c r="E2" s="23">
        <v>2.0190809916220301E+17</v>
      </c>
      <c r="F2" s="23" t="s">
        <v>1598</v>
      </c>
      <c r="G2" s="23" t="s">
        <v>1864</v>
      </c>
      <c r="H2" s="23">
        <v>1347296</v>
      </c>
      <c r="J2" s="23" t="s">
        <v>1596</v>
      </c>
      <c r="K2" s="23" t="s">
        <v>1595</v>
      </c>
      <c r="N2" s="23" t="s">
        <v>1824</v>
      </c>
      <c r="O2" s="23" t="s">
        <v>64</v>
      </c>
      <c r="P2" s="23" t="s">
        <v>1676</v>
      </c>
      <c r="Q2" s="23" t="s">
        <v>32</v>
      </c>
      <c r="R2" s="23" t="s">
        <v>1814</v>
      </c>
      <c r="T2" s="23" t="s">
        <v>1823</v>
      </c>
      <c r="V2" s="23" t="s">
        <v>1822</v>
      </c>
      <c r="X2" s="23" t="s">
        <v>1821</v>
      </c>
      <c r="Y2" s="23" t="s">
        <v>15</v>
      </c>
      <c r="Z2" s="23">
        <v>480091334</v>
      </c>
      <c r="AA2" s="23" t="s">
        <v>1810</v>
      </c>
      <c r="AB2" s="23" t="s">
        <v>1843</v>
      </c>
      <c r="AD2" s="23">
        <v>15</v>
      </c>
      <c r="AE2" s="23" t="s">
        <v>1819</v>
      </c>
      <c r="AI2" s="25">
        <v>43677</v>
      </c>
      <c r="AJ2" s="23">
        <v>30</v>
      </c>
      <c r="AK2" s="23">
        <v>210</v>
      </c>
      <c r="BG2" s="23" t="s">
        <v>26</v>
      </c>
      <c r="BI2" s="23" t="s">
        <v>1648</v>
      </c>
      <c r="BK2" s="23" t="s">
        <v>48</v>
      </c>
      <c r="BL2" s="23" t="s">
        <v>1584</v>
      </c>
      <c r="BM2" s="23" t="s">
        <v>1583</v>
      </c>
      <c r="BN2" s="24">
        <v>43687.126588923609</v>
      </c>
      <c r="BR2" s="23" t="s">
        <v>1582</v>
      </c>
      <c r="BS2" s="23">
        <v>4.0809201916632602E+18</v>
      </c>
      <c r="BT2" s="23" t="s">
        <v>1581</v>
      </c>
      <c r="BU2" s="23" t="s">
        <v>1818</v>
      </c>
      <c r="BV2" s="23">
        <v>2020</v>
      </c>
      <c r="BW2" s="23" t="s">
        <v>1579</v>
      </c>
      <c r="BY2" s="23">
        <v>4.0809201916632699E+18</v>
      </c>
      <c r="BZ2" s="23" t="s">
        <v>1863</v>
      </c>
      <c r="CA2" s="23" t="s">
        <v>1577</v>
      </c>
    </row>
    <row r="3" spans="1:79" x14ac:dyDescent="0.2">
      <c r="A3" s="23" t="s">
        <v>895</v>
      </c>
      <c r="B3" s="23" t="s">
        <v>190</v>
      </c>
      <c r="C3" s="23">
        <v>2019</v>
      </c>
      <c r="D3" s="23" t="s">
        <v>1599</v>
      </c>
      <c r="E3" s="23">
        <v>2.0190918916336899E+17</v>
      </c>
      <c r="F3" s="23" t="s">
        <v>1598</v>
      </c>
      <c r="G3" s="23" t="s">
        <v>1862</v>
      </c>
      <c r="H3" s="23">
        <v>1352521</v>
      </c>
      <c r="J3" s="23" t="s">
        <v>1596</v>
      </c>
      <c r="K3" s="23" t="s">
        <v>1595</v>
      </c>
      <c r="N3" s="23" t="s">
        <v>1824</v>
      </c>
      <c r="O3" s="23" t="s">
        <v>64</v>
      </c>
      <c r="P3" s="23" t="s">
        <v>1676</v>
      </c>
      <c r="Q3" s="23" t="s">
        <v>32</v>
      </c>
      <c r="R3" s="23" t="s">
        <v>1814</v>
      </c>
      <c r="T3" s="23" t="s">
        <v>1823</v>
      </c>
      <c r="V3" s="23" t="s">
        <v>1822</v>
      </c>
      <c r="X3" s="23" t="s">
        <v>1821</v>
      </c>
      <c r="Y3" s="23" t="s">
        <v>15</v>
      </c>
      <c r="Z3" s="23">
        <v>480091334</v>
      </c>
      <c r="AA3" s="23" t="s">
        <v>1810</v>
      </c>
      <c r="AB3" s="23" t="s">
        <v>1843</v>
      </c>
      <c r="AD3" s="23">
        <v>15</v>
      </c>
      <c r="AE3" s="23" t="s">
        <v>1819</v>
      </c>
      <c r="AI3" s="25">
        <v>43708</v>
      </c>
      <c r="AJ3" s="23">
        <v>30</v>
      </c>
      <c r="AK3" s="23">
        <v>240</v>
      </c>
      <c r="BG3" s="23" t="s">
        <v>26</v>
      </c>
      <c r="BI3" s="23" t="s">
        <v>1648</v>
      </c>
      <c r="BK3" s="23" t="s">
        <v>48</v>
      </c>
      <c r="BL3" s="23" t="s">
        <v>1584</v>
      </c>
      <c r="BM3" s="23" t="s">
        <v>1583</v>
      </c>
      <c r="BN3" s="24">
        <v>43727.110787500002</v>
      </c>
      <c r="BR3" s="23" t="s">
        <v>1582</v>
      </c>
      <c r="BS3" s="23">
        <v>4.0918201916730798E+18</v>
      </c>
      <c r="BT3" s="23" t="s">
        <v>1581</v>
      </c>
      <c r="BU3" s="23" t="s">
        <v>1818</v>
      </c>
      <c r="BV3" s="23">
        <v>2020</v>
      </c>
      <c r="BW3" s="23" t="s">
        <v>1579</v>
      </c>
      <c r="BY3" s="23">
        <v>4.09182019167311E+18</v>
      </c>
      <c r="BZ3" s="23" t="s">
        <v>1861</v>
      </c>
      <c r="CA3" s="23" t="s">
        <v>1577</v>
      </c>
    </row>
    <row r="4" spans="1:79" x14ac:dyDescent="0.2">
      <c r="A4" s="23" t="s">
        <v>895</v>
      </c>
      <c r="B4" s="23" t="s">
        <v>190</v>
      </c>
      <c r="C4" s="23">
        <v>2019</v>
      </c>
      <c r="D4" s="23" t="s">
        <v>1860</v>
      </c>
      <c r="E4" s="23">
        <v>2.0191017916501699E+17</v>
      </c>
      <c r="F4" s="23" t="s">
        <v>1598</v>
      </c>
      <c r="G4" s="23" t="s">
        <v>1859</v>
      </c>
      <c r="H4" s="23">
        <v>1359511</v>
      </c>
      <c r="J4" s="23" t="s">
        <v>1596</v>
      </c>
      <c r="K4" s="23" t="s">
        <v>1595</v>
      </c>
      <c r="N4" s="23" t="s">
        <v>1824</v>
      </c>
      <c r="O4" s="23" t="s">
        <v>64</v>
      </c>
      <c r="P4" s="23" t="s">
        <v>1676</v>
      </c>
      <c r="Q4" s="23" t="s">
        <v>32</v>
      </c>
      <c r="R4" s="23" t="s">
        <v>1814</v>
      </c>
      <c r="T4" s="23" t="s">
        <v>1823</v>
      </c>
      <c r="V4" s="23" t="s">
        <v>1822</v>
      </c>
      <c r="X4" s="23" t="s">
        <v>1821</v>
      </c>
      <c r="Y4" s="23" t="s">
        <v>15</v>
      </c>
      <c r="Z4" s="23">
        <v>480091334</v>
      </c>
      <c r="AA4" s="23" t="s">
        <v>1810</v>
      </c>
      <c r="AB4" s="23" t="s">
        <v>1843</v>
      </c>
      <c r="AD4" s="23">
        <v>15</v>
      </c>
      <c r="AE4" s="23" t="s">
        <v>1819</v>
      </c>
      <c r="AI4" s="25">
        <v>43738</v>
      </c>
      <c r="AJ4" s="23">
        <v>30</v>
      </c>
      <c r="AK4" s="23">
        <v>270</v>
      </c>
      <c r="BG4" s="23" t="s">
        <v>26</v>
      </c>
      <c r="BI4" s="23" t="s">
        <v>1648</v>
      </c>
      <c r="BK4" s="23" t="s">
        <v>48</v>
      </c>
      <c r="BL4" s="23" t="s">
        <v>1584</v>
      </c>
      <c r="BM4" s="23" t="s">
        <v>1583</v>
      </c>
      <c r="BN4" s="24">
        <v>43757.114149629633</v>
      </c>
      <c r="BR4" s="23" t="s">
        <v>1582</v>
      </c>
      <c r="BS4" s="23">
        <v>4.1017201916745001E+18</v>
      </c>
      <c r="BT4" s="23" t="s">
        <v>1581</v>
      </c>
      <c r="BU4" s="23" t="s">
        <v>1818</v>
      </c>
      <c r="BV4" s="23">
        <v>2020</v>
      </c>
      <c r="BW4" s="23" t="s">
        <v>1579</v>
      </c>
      <c r="BY4" s="23">
        <v>4.1018201916746998E+18</v>
      </c>
      <c r="BZ4" s="23" t="s">
        <v>1858</v>
      </c>
      <c r="CA4" s="23" t="s">
        <v>1577</v>
      </c>
    </row>
    <row r="5" spans="1:79" x14ac:dyDescent="0.2">
      <c r="A5" s="23" t="s">
        <v>1227</v>
      </c>
      <c r="B5" s="23" t="s">
        <v>522</v>
      </c>
      <c r="C5" s="23">
        <v>2019</v>
      </c>
      <c r="D5" s="23" t="s">
        <v>1659</v>
      </c>
      <c r="E5" s="23">
        <v>2.0191015916469798E+17</v>
      </c>
      <c r="F5" s="23" t="s">
        <v>1598</v>
      </c>
      <c r="G5" s="23" t="s">
        <v>1857</v>
      </c>
      <c r="H5" s="23">
        <v>1358782</v>
      </c>
      <c r="J5" s="23" t="s">
        <v>1596</v>
      </c>
      <c r="K5" s="23" t="s">
        <v>1595</v>
      </c>
      <c r="L5" s="23" t="s">
        <v>1013</v>
      </c>
      <c r="N5" s="23" t="s">
        <v>1815</v>
      </c>
      <c r="O5" s="23" t="s">
        <v>73</v>
      </c>
      <c r="Q5" s="23" t="s">
        <v>26</v>
      </c>
      <c r="R5" s="23" t="s">
        <v>1814</v>
      </c>
      <c r="T5" s="23" t="s">
        <v>79</v>
      </c>
      <c r="U5" s="23" t="s">
        <v>1813</v>
      </c>
      <c r="V5" s="23" t="s">
        <v>1840</v>
      </c>
      <c r="X5" s="23" t="s">
        <v>1839</v>
      </c>
      <c r="Y5" s="23" t="s">
        <v>15</v>
      </c>
      <c r="Z5" s="23">
        <v>482363758</v>
      </c>
      <c r="AA5" s="23" t="s">
        <v>1810</v>
      </c>
      <c r="AB5" s="23" t="s">
        <v>1838</v>
      </c>
      <c r="AC5" s="23" t="s">
        <v>1013</v>
      </c>
      <c r="AD5" s="23" t="s">
        <v>1608</v>
      </c>
      <c r="AE5" s="23" t="s">
        <v>1607</v>
      </c>
      <c r="AI5" s="25">
        <v>43737</v>
      </c>
      <c r="AJ5" s="23">
        <v>2800</v>
      </c>
      <c r="AK5" s="23">
        <v>2800</v>
      </c>
      <c r="BG5" s="23" t="s">
        <v>1651</v>
      </c>
      <c r="BI5" s="23" t="s">
        <v>1648</v>
      </c>
      <c r="BJ5" s="23">
        <v>2020</v>
      </c>
      <c r="BK5" s="23" t="s">
        <v>48</v>
      </c>
      <c r="BL5" s="23" t="s">
        <v>1584</v>
      </c>
      <c r="BM5" s="23" t="s">
        <v>1583</v>
      </c>
      <c r="BN5" s="24">
        <v>43760.113158125001</v>
      </c>
      <c r="BP5" s="23" t="s">
        <v>1856</v>
      </c>
      <c r="BQ5" s="23" t="s">
        <v>1603</v>
      </c>
      <c r="BR5" s="23" t="s">
        <v>1602</v>
      </c>
      <c r="BS5" s="23">
        <v>4.1016201916743598E+18</v>
      </c>
      <c r="BT5" s="23" t="s">
        <v>1581</v>
      </c>
      <c r="BU5" s="23" t="s">
        <v>1601</v>
      </c>
      <c r="BV5" s="23">
        <v>2020</v>
      </c>
      <c r="BW5" s="23" t="s">
        <v>1579</v>
      </c>
      <c r="BY5" s="23">
        <v>4.1021201916749701E+18</v>
      </c>
      <c r="BZ5" s="23" t="s">
        <v>1855</v>
      </c>
      <c r="CA5" s="23" t="s">
        <v>1577</v>
      </c>
    </row>
    <row r="6" spans="1:79" x14ac:dyDescent="0.2">
      <c r="A6" s="23" t="s">
        <v>895</v>
      </c>
      <c r="B6" s="23" t="s">
        <v>190</v>
      </c>
      <c r="C6" s="23">
        <v>2019</v>
      </c>
      <c r="D6" s="23" t="s">
        <v>1696</v>
      </c>
      <c r="E6" s="23">
        <v>2.0200128916742E+17</v>
      </c>
      <c r="F6" s="23" t="s">
        <v>1598</v>
      </c>
      <c r="G6" s="23" t="s">
        <v>1854</v>
      </c>
      <c r="H6" s="23">
        <v>1374056</v>
      </c>
      <c r="J6" s="23" t="s">
        <v>1596</v>
      </c>
      <c r="K6" s="23" t="s">
        <v>1595</v>
      </c>
      <c r="N6" s="23" t="s">
        <v>1824</v>
      </c>
      <c r="O6" s="23" t="s">
        <v>64</v>
      </c>
      <c r="P6" s="23" t="s">
        <v>1676</v>
      </c>
      <c r="Q6" s="23" t="s">
        <v>32</v>
      </c>
      <c r="R6" s="23" t="s">
        <v>1814</v>
      </c>
      <c r="T6" s="23" t="s">
        <v>1823</v>
      </c>
      <c r="V6" s="23" t="s">
        <v>1822</v>
      </c>
      <c r="X6" s="23" t="s">
        <v>1821</v>
      </c>
      <c r="Y6" s="23" t="s">
        <v>15</v>
      </c>
      <c r="Z6" s="23">
        <v>480091334</v>
      </c>
      <c r="AA6" s="23" t="s">
        <v>1810</v>
      </c>
      <c r="AB6" s="23" t="s">
        <v>1843</v>
      </c>
      <c r="AD6" s="23">
        <v>15</v>
      </c>
      <c r="AE6" s="23" t="s">
        <v>1819</v>
      </c>
      <c r="AI6" s="25">
        <v>43830</v>
      </c>
      <c r="AJ6" s="23">
        <v>30</v>
      </c>
      <c r="AK6" s="23">
        <v>360</v>
      </c>
      <c r="BG6" s="23" t="s">
        <v>26</v>
      </c>
      <c r="BI6" s="23" t="s">
        <v>1648</v>
      </c>
      <c r="BK6" s="23" t="s">
        <v>48</v>
      </c>
      <c r="BL6" s="23" t="s">
        <v>1584</v>
      </c>
      <c r="BM6" s="23" t="s">
        <v>1583</v>
      </c>
      <c r="BN6" s="24">
        <v>43859.073122291666</v>
      </c>
      <c r="BR6" s="23" t="s">
        <v>1582</v>
      </c>
      <c r="BS6" s="23">
        <v>4.01282020168591E+18</v>
      </c>
      <c r="BT6" s="23" t="s">
        <v>1581</v>
      </c>
      <c r="BU6" s="23" t="s">
        <v>1818</v>
      </c>
      <c r="BV6" s="23">
        <v>2020</v>
      </c>
      <c r="BW6" s="23" t="s">
        <v>1579</v>
      </c>
      <c r="BY6" s="23">
        <v>4.0128202016860001E+18</v>
      </c>
      <c r="BZ6" s="23" t="s">
        <v>1853</v>
      </c>
      <c r="CA6" s="23" t="s">
        <v>1577</v>
      </c>
    </row>
    <row r="7" spans="1:79" x14ac:dyDescent="0.2">
      <c r="A7" s="23" t="s">
        <v>1218</v>
      </c>
      <c r="B7" s="23" t="s">
        <v>513</v>
      </c>
      <c r="C7" s="23">
        <v>2019</v>
      </c>
      <c r="D7" s="23" t="s">
        <v>1659</v>
      </c>
      <c r="E7" s="23">
        <v>2.0191101916532E+17</v>
      </c>
      <c r="F7" s="23" t="s">
        <v>1598</v>
      </c>
      <c r="G7" s="23" t="s">
        <v>1852</v>
      </c>
      <c r="H7" s="23">
        <v>1361434</v>
      </c>
      <c r="J7" s="23" t="s">
        <v>1596</v>
      </c>
      <c r="K7" s="23" t="s">
        <v>1595</v>
      </c>
      <c r="L7" s="23" t="s">
        <v>1013</v>
      </c>
      <c r="N7" s="23" t="s">
        <v>1815</v>
      </c>
      <c r="O7" s="23" t="s">
        <v>73</v>
      </c>
      <c r="Q7" s="23" t="s">
        <v>26</v>
      </c>
      <c r="R7" s="23" t="s">
        <v>1814</v>
      </c>
      <c r="T7" s="23" t="s">
        <v>79</v>
      </c>
      <c r="U7" s="23" t="s">
        <v>1813</v>
      </c>
      <c r="V7" s="23" t="s">
        <v>1840</v>
      </c>
      <c r="X7" s="23" t="s">
        <v>1839</v>
      </c>
      <c r="Y7" s="23" t="s">
        <v>15</v>
      </c>
      <c r="Z7" s="23">
        <v>482363758</v>
      </c>
      <c r="AA7" s="23" t="s">
        <v>1810</v>
      </c>
      <c r="AB7" s="23" t="s">
        <v>1838</v>
      </c>
      <c r="AC7" s="23" t="s">
        <v>1013</v>
      </c>
      <c r="AD7" s="23" t="s">
        <v>1608</v>
      </c>
      <c r="AE7" s="23" t="s">
        <v>1607</v>
      </c>
      <c r="AI7" s="25">
        <v>43700</v>
      </c>
      <c r="AJ7" s="23">
        <v>2800</v>
      </c>
      <c r="AK7" s="23">
        <v>5600</v>
      </c>
      <c r="BG7" s="23" t="s">
        <v>1606</v>
      </c>
      <c r="BI7" s="23" t="s">
        <v>1605</v>
      </c>
      <c r="BJ7" s="23">
        <v>2020</v>
      </c>
      <c r="BK7" s="23" t="s">
        <v>0</v>
      </c>
      <c r="BL7" s="23" t="s">
        <v>1848</v>
      </c>
      <c r="BM7" s="23" t="s">
        <v>1583</v>
      </c>
      <c r="BN7" s="24">
        <v>43773.066226296294</v>
      </c>
      <c r="BP7" s="23" t="s">
        <v>1851</v>
      </c>
      <c r="BQ7" s="23" t="s">
        <v>1603</v>
      </c>
      <c r="BR7" s="23" t="s">
        <v>1602</v>
      </c>
      <c r="BS7" s="23">
        <v>4.1101201916770499E+18</v>
      </c>
      <c r="BT7" s="23" t="s">
        <v>1581</v>
      </c>
      <c r="BU7" s="23" t="s">
        <v>1601</v>
      </c>
      <c r="BV7" s="23">
        <v>2020</v>
      </c>
      <c r="BW7" s="23" t="s">
        <v>1579</v>
      </c>
      <c r="BY7" s="23">
        <v>4.1103201916775301E+18</v>
      </c>
      <c r="BZ7" s="23" t="s">
        <v>1850</v>
      </c>
      <c r="CA7" s="23" t="s">
        <v>1577</v>
      </c>
    </row>
    <row r="8" spans="1:79" x14ac:dyDescent="0.2">
      <c r="A8" s="23" t="s">
        <v>1218</v>
      </c>
      <c r="B8" s="23" t="s">
        <v>513</v>
      </c>
      <c r="C8" s="23">
        <v>2019</v>
      </c>
      <c r="D8" s="23" t="s">
        <v>1659</v>
      </c>
      <c r="E8" s="23">
        <v>2.0191101916532099E+17</v>
      </c>
      <c r="F8" s="23" t="s">
        <v>1598</v>
      </c>
      <c r="G8" s="23" t="s">
        <v>1849</v>
      </c>
      <c r="H8" s="23">
        <v>1361434</v>
      </c>
      <c r="J8" s="23" t="s">
        <v>1596</v>
      </c>
      <c r="K8" s="23" t="s">
        <v>1595</v>
      </c>
      <c r="L8" s="23" t="s">
        <v>1013</v>
      </c>
      <c r="N8" s="23" t="s">
        <v>1815</v>
      </c>
      <c r="O8" s="23" t="s">
        <v>73</v>
      </c>
      <c r="Q8" s="23" t="s">
        <v>26</v>
      </c>
      <c r="R8" s="23" t="s">
        <v>1814</v>
      </c>
      <c r="T8" s="23" t="s">
        <v>79</v>
      </c>
      <c r="U8" s="23" t="s">
        <v>1813</v>
      </c>
      <c r="V8" s="23" t="s">
        <v>1840</v>
      </c>
      <c r="X8" s="23" t="s">
        <v>1839</v>
      </c>
      <c r="Y8" s="23" t="s">
        <v>15</v>
      </c>
      <c r="Z8" s="23">
        <v>482363758</v>
      </c>
      <c r="AA8" s="23" t="s">
        <v>1810</v>
      </c>
      <c r="AB8" s="23" t="s">
        <v>1838</v>
      </c>
      <c r="AC8" s="23" t="s">
        <v>1013</v>
      </c>
      <c r="AD8" s="23" t="s">
        <v>1608</v>
      </c>
      <c r="AE8" s="23" t="s">
        <v>1607</v>
      </c>
      <c r="AI8" s="25">
        <v>43700</v>
      </c>
      <c r="AJ8" s="23">
        <v>100</v>
      </c>
      <c r="AK8" s="23">
        <v>5600</v>
      </c>
      <c r="BG8" s="23" t="s">
        <v>1651</v>
      </c>
      <c r="BI8" s="23" t="s">
        <v>1648</v>
      </c>
      <c r="BJ8" s="23">
        <v>2020</v>
      </c>
      <c r="BK8" s="23" t="s">
        <v>0</v>
      </c>
      <c r="BL8" s="23" t="s">
        <v>1848</v>
      </c>
      <c r="BM8" s="23" t="s">
        <v>1583</v>
      </c>
      <c r="BN8" s="24">
        <v>43773.066258819446</v>
      </c>
      <c r="BP8" s="23" t="s">
        <v>1847</v>
      </c>
      <c r="BQ8" s="23" t="s">
        <v>1603</v>
      </c>
      <c r="BR8" s="23" t="s">
        <v>1602</v>
      </c>
      <c r="BS8" s="23">
        <v>4.1101201916770499E+18</v>
      </c>
      <c r="BT8" s="23" t="s">
        <v>1581</v>
      </c>
      <c r="BU8" s="23" t="s">
        <v>1601</v>
      </c>
      <c r="BV8" s="23">
        <v>2020</v>
      </c>
      <c r="BW8" s="23" t="s">
        <v>1579</v>
      </c>
      <c r="BY8" s="23">
        <v>4.1103201916775398E+18</v>
      </c>
      <c r="BZ8" s="23" t="s">
        <v>1846</v>
      </c>
      <c r="CA8" s="23" t="s">
        <v>1577</v>
      </c>
    </row>
    <row r="9" spans="1:79" x14ac:dyDescent="0.2">
      <c r="A9" s="23" t="s">
        <v>895</v>
      </c>
      <c r="B9" s="23" t="s">
        <v>190</v>
      </c>
      <c r="C9" s="23">
        <v>2019</v>
      </c>
      <c r="D9" s="23" t="s">
        <v>1845</v>
      </c>
      <c r="E9" s="23">
        <v>2.0191218916635901E+17</v>
      </c>
      <c r="F9" s="23" t="s">
        <v>1598</v>
      </c>
      <c r="G9" s="23" t="s">
        <v>1844</v>
      </c>
      <c r="H9" s="23">
        <v>1366669</v>
      </c>
      <c r="J9" s="23" t="s">
        <v>1596</v>
      </c>
      <c r="K9" s="23" t="s">
        <v>1595</v>
      </c>
      <c r="N9" s="23" t="s">
        <v>1824</v>
      </c>
      <c r="O9" s="23" t="s">
        <v>64</v>
      </c>
      <c r="P9" s="23" t="s">
        <v>1676</v>
      </c>
      <c r="Q9" s="23" t="s">
        <v>32</v>
      </c>
      <c r="R9" s="23" t="s">
        <v>1814</v>
      </c>
      <c r="T9" s="23" t="s">
        <v>1823</v>
      </c>
      <c r="V9" s="23" t="s">
        <v>1822</v>
      </c>
      <c r="X9" s="23" t="s">
        <v>1821</v>
      </c>
      <c r="Y9" s="23" t="s">
        <v>15</v>
      </c>
      <c r="Z9" s="23">
        <v>480091334</v>
      </c>
      <c r="AA9" s="23" t="s">
        <v>1810</v>
      </c>
      <c r="AB9" s="23" t="s">
        <v>1843</v>
      </c>
      <c r="AD9" s="23">
        <v>15</v>
      </c>
      <c r="AE9" s="23" t="s">
        <v>1819</v>
      </c>
      <c r="AI9" s="25">
        <v>43799</v>
      </c>
      <c r="AJ9" s="23">
        <v>30</v>
      </c>
      <c r="AK9" s="23">
        <v>330</v>
      </c>
      <c r="BG9" s="23" t="s">
        <v>26</v>
      </c>
      <c r="BI9" s="23" t="s">
        <v>1648</v>
      </c>
      <c r="BK9" s="23" t="s">
        <v>48</v>
      </c>
      <c r="BL9" s="23" t="s">
        <v>1584</v>
      </c>
      <c r="BM9" s="23" t="s">
        <v>1583</v>
      </c>
      <c r="BN9" s="24">
        <v>43818.071888055558</v>
      </c>
      <c r="BR9" s="23" t="s">
        <v>1582</v>
      </c>
      <c r="BS9" s="23">
        <v>4.1218201916816502E+18</v>
      </c>
      <c r="BT9" s="23" t="s">
        <v>1581</v>
      </c>
      <c r="BU9" s="23" t="s">
        <v>1818</v>
      </c>
      <c r="BV9" s="23">
        <v>2020</v>
      </c>
      <c r="BW9" s="23" t="s">
        <v>1579</v>
      </c>
      <c r="BY9" s="23">
        <v>4.1218201916816799E+18</v>
      </c>
      <c r="BZ9" s="23" t="s">
        <v>1842</v>
      </c>
      <c r="CA9" s="23" t="s">
        <v>1577</v>
      </c>
    </row>
    <row r="10" spans="1:79" x14ac:dyDescent="0.2">
      <c r="A10" s="23" t="s">
        <v>1218</v>
      </c>
      <c r="B10" s="23" t="s">
        <v>513</v>
      </c>
      <c r="C10" s="23">
        <v>2019</v>
      </c>
      <c r="D10" s="23" t="s">
        <v>1678</v>
      </c>
      <c r="E10" s="23">
        <v>2.0200715924463901E+17</v>
      </c>
      <c r="F10" s="23" t="s">
        <v>1598</v>
      </c>
      <c r="G10" s="23" t="s">
        <v>1841</v>
      </c>
      <c r="H10" s="23">
        <v>1422134</v>
      </c>
      <c r="J10" s="23" t="s">
        <v>1596</v>
      </c>
      <c r="K10" s="23" t="s">
        <v>1595</v>
      </c>
      <c r="L10" s="23" t="s">
        <v>1013</v>
      </c>
      <c r="N10" s="23" t="s">
        <v>1815</v>
      </c>
      <c r="O10" s="23" t="s">
        <v>73</v>
      </c>
      <c r="Q10" s="23" t="s">
        <v>26</v>
      </c>
      <c r="R10" s="23" t="s">
        <v>1814</v>
      </c>
      <c r="T10" s="23" t="s">
        <v>79</v>
      </c>
      <c r="U10" s="23" t="s">
        <v>1813</v>
      </c>
      <c r="V10" s="23" t="s">
        <v>1840</v>
      </c>
      <c r="X10" s="23" t="s">
        <v>1839</v>
      </c>
      <c r="Y10" s="23" t="s">
        <v>15</v>
      </c>
      <c r="Z10" s="23">
        <v>482363758</v>
      </c>
      <c r="AA10" s="23" t="s">
        <v>1810</v>
      </c>
      <c r="AB10" s="23" t="s">
        <v>1838</v>
      </c>
      <c r="AC10" s="23" t="s">
        <v>1013</v>
      </c>
      <c r="AD10" s="23" t="s">
        <v>1608</v>
      </c>
      <c r="AE10" s="23" t="s">
        <v>1607</v>
      </c>
      <c r="AI10" s="25">
        <v>43474</v>
      </c>
      <c r="AJ10" s="23">
        <v>2700</v>
      </c>
      <c r="AK10" s="23">
        <v>2700</v>
      </c>
      <c r="BG10" s="23" t="s">
        <v>1651</v>
      </c>
      <c r="BI10" s="23" t="s">
        <v>1648</v>
      </c>
      <c r="BJ10" s="23">
        <v>2020</v>
      </c>
      <c r="BK10" s="23" t="s">
        <v>1676</v>
      </c>
      <c r="BL10" s="23" t="s">
        <v>1675</v>
      </c>
      <c r="BM10" s="23" t="s">
        <v>1583</v>
      </c>
      <c r="BN10" s="24">
        <v>44051.151813298609</v>
      </c>
      <c r="BP10" s="23" t="s">
        <v>1837</v>
      </c>
      <c r="BQ10" s="23" t="s">
        <v>1603</v>
      </c>
      <c r="BR10" s="23" t="s">
        <v>1602</v>
      </c>
      <c r="BS10" s="23">
        <v>4.0715202017906002E+18</v>
      </c>
      <c r="BT10" s="23" t="s">
        <v>1581</v>
      </c>
      <c r="BU10" s="23" t="s">
        <v>1601</v>
      </c>
      <c r="BV10" s="23">
        <v>2020</v>
      </c>
      <c r="BW10" s="23" t="s">
        <v>1579</v>
      </c>
      <c r="BY10" s="23">
        <v>4.08082020181342E+18</v>
      </c>
      <c r="BZ10" s="23" t="s">
        <v>1836</v>
      </c>
      <c r="CA10" s="23" t="s">
        <v>1577</v>
      </c>
    </row>
    <row r="11" spans="1:79" x14ac:dyDescent="0.2">
      <c r="A11" s="23" t="s">
        <v>1109</v>
      </c>
      <c r="B11" s="23" t="s">
        <v>404</v>
      </c>
      <c r="C11" s="23">
        <v>2020</v>
      </c>
      <c r="D11" s="23" t="s">
        <v>1835</v>
      </c>
      <c r="E11" s="23">
        <v>2.02007159250112E+17</v>
      </c>
      <c r="F11" s="23" t="s">
        <v>1598</v>
      </c>
      <c r="G11" s="23" t="s">
        <v>1834</v>
      </c>
      <c r="H11" s="23">
        <v>1424896</v>
      </c>
      <c r="J11" s="23" t="s">
        <v>1596</v>
      </c>
      <c r="K11" s="23" t="s">
        <v>1595</v>
      </c>
      <c r="L11" s="23" t="s">
        <v>1013</v>
      </c>
      <c r="N11" s="23" t="s">
        <v>1824</v>
      </c>
      <c r="O11" s="23" t="s">
        <v>37</v>
      </c>
      <c r="Q11" s="23" t="s">
        <v>26</v>
      </c>
      <c r="R11" s="23" t="s">
        <v>1814</v>
      </c>
      <c r="T11" s="23" t="s">
        <v>1823</v>
      </c>
      <c r="V11" s="23" t="s">
        <v>1812</v>
      </c>
      <c r="W11" s="23" t="s">
        <v>1831</v>
      </c>
      <c r="X11" s="23" t="s">
        <v>1811</v>
      </c>
      <c r="Y11" s="23" t="s">
        <v>15</v>
      </c>
      <c r="Z11" s="23">
        <v>482262251</v>
      </c>
      <c r="AA11" s="23" t="s">
        <v>79</v>
      </c>
      <c r="AB11" s="23" t="s">
        <v>1809</v>
      </c>
      <c r="AC11" s="23" t="s">
        <v>1013</v>
      </c>
      <c r="AD11" s="23" t="s">
        <v>1608</v>
      </c>
      <c r="AE11" s="23" t="s">
        <v>1607</v>
      </c>
      <c r="AI11" s="25">
        <v>44012</v>
      </c>
      <c r="AJ11" s="23">
        <v>1000</v>
      </c>
      <c r="AK11" s="23">
        <v>1000</v>
      </c>
      <c r="BG11" s="23" t="s">
        <v>1651</v>
      </c>
      <c r="BI11" s="23" t="s">
        <v>1648</v>
      </c>
      <c r="BJ11" s="23">
        <v>2020</v>
      </c>
      <c r="BK11" s="23" t="s">
        <v>48</v>
      </c>
      <c r="BL11" s="23" t="s">
        <v>1584</v>
      </c>
      <c r="BM11" s="23" t="s">
        <v>1583</v>
      </c>
      <c r="BN11" s="24">
        <v>44057.152888530094</v>
      </c>
      <c r="BP11" s="23" t="s">
        <v>1833</v>
      </c>
      <c r="BQ11" s="23" t="s">
        <v>1603</v>
      </c>
      <c r="BR11" s="23" t="s">
        <v>1602</v>
      </c>
      <c r="BS11" s="23">
        <v>4.07162020179085E+18</v>
      </c>
      <c r="BT11" s="23" t="s">
        <v>1581</v>
      </c>
      <c r="BU11" s="23" t="s">
        <v>1601</v>
      </c>
      <c r="BV11" s="23">
        <v>2020</v>
      </c>
      <c r="BW11" s="23" t="s">
        <v>1579</v>
      </c>
      <c r="BY11" s="23">
        <v>4.0814202018283802E+18</v>
      </c>
      <c r="BZ11" s="23" t="s">
        <v>1832</v>
      </c>
      <c r="CA11" s="23" t="s">
        <v>1577</v>
      </c>
    </row>
    <row r="12" spans="1:79" x14ac:dyDescent="0.2">
      <c r="A12" s="23" t="s">
        <v>1127</v>
      </c>
      <c r="B12" s="23" t="s">
        <v>422</v>
      </c>
      <c r="C12" s="23">
        <v>2020</v>
      </c>
      <c r="D12" s="23" t="s">
        <v>1696</v>
      </c>
      <c r="E12" s="23">
        <v>2.02101319418624E+17</v>
      </c>
      <c r="F12" s="23" t="s">
        <v>1598</v>
      </c>
      <c r="G12" s="23">
        <v>1956274</v>
      </c>
      <c r="H12" s="23">
        <v>1496290</v>
      </c>
      <c r="J12" s="23" t="s">
        <v>1596</v>
      </c>
      <c r="K12" s="23" t="s">
        <v>1595</v>
      </c>
      <c r="L12" s="23" t="s">
        <v>1013</v>
      </c>
      <c r="N12" s="23" t="s">
        <v>1815</v>
      </c>
      <c r="O12" s="23" t="s">
        <v>64</v>
      </c>
      <c r="Q12" s="23" t="s">
        <v>1557</v>
      </c>
      <c r="R12" s="23" t="s">
        <v>1814</v>
      </c>
      <c r="T12" s="23" t="s">
        <v>79</v>
      </c>
      <c r="U12" s="23" t="s">
        <v>1813</v>
      </c>
      <c r="V12" s="23" t="s">
        <v>1812</v>
      </c>
      <c r="W12" s="23" t="s">
        <v>1831</v>
      </c>
      <c r="X12" s="23" t="s">
        <v>1811</v>
      </c>
      <c r="Y12" s="23" t="s">
        <v>15</v>
      </c>
      <c r="Z12" s="23">
        <v>482262251</v>
      </c>
      <c r="AA12" s="23" t="s">
        <v>79</v>
      </c>
      <c r="AB12" s="23" t="s">
        <v>1830</v>
      </c>
      <c r="AC12" s="23" t="s">
        <v>1013</v>
      </c>
      <c r="AD12" s="23" t="s">
        <v>1608</v>
      </c>
      <c r="AE12" s="23" t="s">
        <v>1607</v>
      </c>
      <c r="AI12" s="25">
        <v>44196</v>
      </c>
      <c r="AJ12" s="23">
        <v>500</v>
      </c>
      <c r="AK12" s="23">
        <v>500</v>
      </c>
      <c r="BG12" s="23" t="s">
        <v>26</v>
      </c>
      <c r="BI12" s="23" t="s">
        <v>1648</v>
      </c>
      <c r="BK12" s="23" t="s">
        <v>48</v>
      </c>
      <c r="BL12" s="23" t="s">
        <v>1584</v>
      </c>
      <c r="BM12" s="23" t="s">
        <v>1583</v>
      </c>
      <c r="BN12" s="24">
        <v>44237.531744756947</v>
      </c>
      <c r="BP12" s="23" t="s">
        <v>1829</v>
      </c>
      <c r="BQ12" s="23" t="s">
        <v>1603</v>
      </c>
      <c r="BR12" s="23" t="s">
        <v>1582</v>
      </c>
      <c r="BS12" s="23">
        <v>4.0201202121400402E+18</v>
      </c>
      <c r="BT12" s="23" t="s">
        <v>1581</v>
      </c>
      <c r="BU12" s="23" t="s">
        <v>1601</v>
      </c>
      <c r="BV12" s="23">
        <v>2020</v>
      </c>
      <c r="BW12" s="23" t="s">
        <v>1579</v>
      </c>
      <c r="BY12" s="23">
        <v>4.0209202111235302E+18</v>
      </c>
      <c r="BZ12" s="23" t="s">
        <v>1828</v>
      </c>
      <c r="CA12" s="23" t="s">
        <v>1577</v>
      </c>
    </row>
    <row r="13" spans="1:79" x14ac:dyDescent="0.2">
      <c r="A13" s="23" t="s">
        <v>895</v>
      </c>
      <c r="B13" s="23" t="s">
        <v>190</v>
      </c>
      <c r="C13" s="23">
        <v>2020</v>
      </c>
      <c r="D13" s="23" t="s">
        <v>1667</v>
      </c>
      <c r="E13" s="23">
        <v>2.0201021932675501E+17</v>
      </c>
      <c r="F13" s="23" t="s">
        <v>1598</v>
      </c>
      <c r="G13" s="23" t="s">
        <v>1827</v>
      </c>
      <c r="H13" s="23">
        <v>1459687</v>
      </c>
      <c r="J13" s="23" t="s">
        <v>1596</v>
      </c>
      <c r="K13" s="23" t="s">
        <v>1595</v>
      </c>
      <c r="N13" s="23" t="s">
        <v>1824</v>
      </c>
      <c r="O13" s="23" t="s">
        <v>64</v>
      </c>
      <c r="P13" s="23" t="s">
        <v>1676</v>
      </c>
      <c r="Q13" s="23" t="s">
        <v>32</v>
      </c>
      <c r="R13" s="23" t="s">
        <v>1814</v>
      </c>
      <c r="T13" s="23" t="s">
        <v>1823</v>
      </c>
      <c r="V13" s="23" t="s">
        <v>1822</v>
      </c>
      <c r="X13" s="23" t="s">
        <v>1821</v>
      </c>
      <c r="Y13" s="23" t="s">
        <v>15</v>
      </c>
      <c r="Z13" s="23">
        <v>480091334</v>
      </c>
      <c r="AA13" s="23" t="s">
        <v>1810</v>
      </c>
      <c r="AB13" s="23" t="s">
        <v>1820</v>
      </c>
      <c r="AD13" s="23">
        <v>15</v>
      </c>
      <c r="AE13" s="23" t="s">
        <v>1819</v>
      </c>
      <c r="AI13" s="25">
        <v>44118</v>
      </c>
      <c r="AJ13" s="23">
        <v>30</v>
      </c>
      <c r="AK13" s="23">
        <v>300</v>
      </c>
      <c r="BG13" s="23" t="s">
        <v>26</v>
      </c>
      <c r="BI13" s="23" t="s">
        <v>1648</v>
      </c>
      <c r="BK13" s="23" t="s">
        <v>48</v>
      </c>
      <c r="BL13" s="23" t="s">
        <v>1584</v>
      </c>
      <c r="BM13" s="23" t="s">
        <v>1583</v>
      </c>
      <c r="BN13" s="24">
        <v>44168.152349745367</v>
      </c>
      <c r="BR13" s="23" t="s">
        <v>1582</v>
      </c>
      <c r="BS13" s="23">
        <v>4.1022202018826598E+18</v>
      </c>
      <c r="BT13" s="23" t="s">
        <v>1581</v>
      </c>
      <c r="BU13" s="23" t="s">
        <v>1818</v>
      </c>
      <c r="BV13" s="23">
        <v>2020</v>
      </c>
      <c r="BW13" s="23" t="s">
        <v>1579</v>
      </c>
      <c r="BY13" s="23">
        <v>4.1203202019631698E+18</v>
      </c>
      <c r="BZ13" s="23" t="s">
        <v>1826</v>
      </c>
      <c r="CA13" s="23" t="s">
        <v>1577</v>
      </c>
    </row>
    <row r="14" spans="1:79" x14ac:dyDescent="0.2">
      <c r="A14" s="23" t="s">
        <v>895</v>
      </c>
      <c r="B14" s="23" t="s">
        <v>190</v>
      </c>
      <c r="C14" s="23">
        <v>2020</v>
      </c>
      <c r="D14" s="23" t="s">
        <v>1612</v>
      </c>
      <c r="E14" s="23">
        <v>2.0201201933723501E+17</v>
      </c>
      <c r="F14" s="23" t="s">
        <v>1598</v>
      </c>
      <c r="G14" s="23" t="s">
        <v>1825</v>
      </c>
      <c r="H14" s="23">
        <v>1475097</v>
      </c>
      <c r="J14" s="23" t="s">
        <v>1596</v>
      </c>
      <c r="K14" s="23" t="s">
        <v>1595</v>
      </c>
      <c r="N14" s="23" t="s">
        <v>1824</v>
      </c>
      <c r="O14" s="23" t="s">
        <v>64</v>
      </c>
      <c r="P14" s="23" t="s">
        <v>1676</v>
      </c>
      <c r="Q14" s="23" t="s">
        <v>32</v>
      </c>
      <c r="R14" s="23" t="s">
        <v>1814</v>
      </c>
      <c r="T14" s="23" t="s">
        <v>1823</v>
      </c>
      <c r="V14" s="23" t="s">
        <v>1822</v>
      </c>
      <c r="X14" s="23" t="s">
        <v>1821</v>
      </c>
      <c r="Y14" s="23" t="s">
        <v>15</v>
      </c>
      <c r="Z14" s="23">
        <v>480091334</v>
      </c>
      <c r="AA14" s="23" t="s">
        <v>1810</v>
      </c>
      <c r="AB14" s="23" t="s">
        <v>1820</v>
      </c>
      <c r="AD14" s="23">
        <v>15</v>
      </c>
      <c r="AE14" s="23" t="s">
        <v>1819</v>
      </c>
      <c r="AI14" s="25">
        <v>44158</v>
      </c>
      <c r="AJ14" s="23">
        <v>30</v>
      </c>
      <c r="AK14" s="23">
        <v>330</v>
      </c>
      <c r="BG14" s="23" t="s">
        <v>26</v>
      </c>
      <c r="BI14" s="23" t="s">
        <v>1648</v>
      </c>
      <c r="BK14" s="23" t="s">
        <v>48</v>
      </c>
      <c r="BL14" s="23" t="s">
        <v>1584</v>
      </c>
      <c r="BM14" s="23" t="s">
        <v>1583</v>
      </c>
      <c r="BN14" s="24">
        <v>44177.155403009259</v>
      </c>
      <c r="BR14" s="23" t="s">
        <v>1582</v>
      </c>
      <c r="BS14" s="23">
        <v>4.1202202019628902E+18</v>
      </c>
      <c r="BT14" s="23" t="s">
        <v>1581</v>
      </c>
      <c r="BU14" s="23" t="s">
        <v>1818</v>
      </c>
      <c r="BV14" s="23">
        <v>2020</v>
      </c>
      <c r="BW14" s="23" t="s">
        <v>1579</v>
      </c>
      <c r="BY14" s="23">
        <v>4.1212202019737201E+18</v>
      </c>
      <c r="BZ14" s="23" t="s">
        <v>1817</v>
      </c>
      <c r="CA14" s="23" t="s">
        <v>1577</v>
      </c>
    </row>
    <row r="15" spans="1:79" x14ac:dyDescent="0.2">
      <c r="A15" s="23" t="s">
        <v>1031</v>
      </c>
      <c r="B15" s="23" t="s">
        <v>326</v>
      </c>
      <c r="C15" s="23">
        <v>2019</v>
      </c>
      <c r="D15" s="23" t="s">
        <v>1659</v>
      </c>
      <c r="E15" s="23">
        <v>2.0210209942719398E+17</v>
      </c>
      <c r="F15" s="23" t="s">
        <v>1598</v>
      </c>
      <c r="G15" s="23" t="s">
        <v>1816</v>
      </c>
      <c r="H15" s="23">
        <v>1499253</v>
      </c>
      <c r="J15" s="23" t="s">
        <v>1596</v>
      </c>
      <c r="K15" s="23" t="s">
        <v>1595</v>
      </c>
      <c r="L15" s="23" t="s">
        <v>1013</v>
      </c>
      <c r="N15" s="23" t="s">
        <v>1815</v>
      </c>
      <c r="O15" s="23" t="s">
        <v>37</v>
      </c>
      <c r="Q15" s="23" t="s">
        <v>26</v>
      </c>
      <c r="R15" s="23" t="s">
        <v>1814</v>
      </c>
      <c r="T15" s="23" t="s">
        <v>79</v>
      </c>
      <c r="U15" s="23" t="s">
        <v>1813</v>
      </c>
      <c r="V15" s="23" t="s">
        <v>1812</v>
      </c>
      <c r="X15" s="23" t="s">
        <v>1811</v>
      </c>
      <c r="Y15" s="23" t="s">
        <v>15</v>
      </c>
      <c r="Z15" s="23">
        <v>482262251</v>
      </c>
      <c r="AA15" s="23" t="s">
        <v>1810</v>
      </c>
      <c r="AB15" s="23" t="s">
        <v>1809</v>
      </c>
      <c r="AC15" s="23" t="s">
        <v>1013</v>
      </c>
      <c r="AD15" s="23" t="s">
        <v>1608</v>
      </c>
      <c r="AE15" s="23" t="s">
        <v>1607</v>
      </c>
      <c r="AI15" s="25">
        <v>43737</v>
      </c>
      <c r="AJ15" s="23">
        <v>2800</v>
      </c>
      <c r="AK15" s="23">
        <v>2800</v>
      </c>
      <c r="BG15" s="23" t="s">
        <v>1651</v>
      </c>
      <c r="BI15" s="23" t="s">
        <v>1648</v>
      </c>
      <c r="BJ15" s="23">
        <v>2020</v>
      </c>
      <c r="BK15" s="23" t="s">
        <v>1676</v>
      </c>
      <c r="BL15" s="23" t="s">
        <v>1675</v>
      </c>
      <c r="BM15" s="23" t="s">
        <v>1583</v>
      </c>
      <c r="BN15" s="24">
        <v>44253.156379525462</v>
      </c>
      <c r="BP15" s="23" t="s">
        <v>1808</v>
      </c>
      <c r="BQ15" s="23" t="s">
        <v>1603</v>
      </c>
      <c r="BR15" s="23" t="s">
        <v>1602</v>
      </c>
      <c r="BS15" s="23">
        <v>4.0209202111234601E+18</v>
      </c>
      <c r="BT15" s="23" t="s">
        <v>1581</v>
      </c>
      <c r="BU15" s="23" t="s">
        <v>1601</v>
      </c>
      <c r="BV15" s="23">
        <v>2020</v>
      </c>
      <c r="BW15" s="23" t="s">
        <v>1579</v>
      </c>
      <c r="BY15" s="23">
        <v>4.0226202111891E+18</v>
      </c>
      <c r="BZ15" s="23" t="s">
        <v>1807</v>
      </c>
      <c r="CA15" s="23" t="s">
        <v>1577</v>
      </c>
    </row>
    <row r="17" spans="1:22" x14ac:dyDescent="0.2">
      <c r="V17" s="23" t="str">
        <f>+V15&amp;X15&amp;Y15&amp;Z15</f>
        <v>2000 BRUSH STDETROITMI482262251</v>
      </c>
    </row>
    <row r="19" spans="1:22" ht="15" x14ac:dyDescent="0.25">
      <c r="A19" s="35" t="s">
        <v>1803</v>
      </c>
      <c r="B19" t="s">
        <v>1805</v>
      </c>
      <c r="C19"/>
    </row>
    <row r="20" spans="1:22" ht="15" x14ac:dyDescent="0.25">
      <c r="A20" s="36" t="s">
        <v>422</v>
      </c>
      <c r="B20" s="2">
        <v>500</v>
      </c>
      <c r="C20" s="23" t="s">
        <v>1557</v>
      </c>
    </row>
    <row r="21" spans="1:22" ht="15" x14ac:dyDescent="0.25">
      <c r="A21" s="36" t="s">
        <v>522</v>
      </c>
      <c r="B21" s="2">
        <v>2800</v>
      </c>
      <c r="C21" s="23" t="s">
        <v>1557</v>
      </c>
    </row>
    <row r="22" spans="1:22" ht="15" x14ac:dyDescent="0.25">
      <c r="A22" s="36" t="s">
        <v>190</v>
      </c>
      <c r="B22" s="2">
        <v>210</v>
      </c>
      <c r="C22" s="23" t="s">
        <v>0</v>
      </c>
    </row>
    <row r="23" spans="1:22" ht="15" x14ac:dyDescent="0.25">
      <c r="A23" s="36" t="s">
        <v>513</v>
      </c>
      <c r="B23" s="2">
        <v>5600</v>
      </c>
      <c r="C23" s="23" t="s">
        <v>1557</v>
      </c>
    </row>
    <row r="24" spans="1:22" ht="15" x14ac:dyDescent="0.25">
      <c r="A24" s="36" t="s">
        <v>404</v>
      </c>
      <c r="B24" s="2">
        <v>1000</v>
      </c>
      <c r="C24" s="23" t="s">
        <v>1557</v>
      </c>
    </row>
    <row r="25" spans="1:22" ht="15" x14ac:dyDescent="0.25">
      <c r="A25" s="36" t="s">
        <v>326</v>
      </c>
      <c r="B25" s="2">
        <v>2800</v>
      </c>
      <c r="C25" s="23" t="s">
        <v>1557</v>
      </c>
    </row>
    <row r="26" spans="1:22" ht="15" x14ac:dyDescent="0.25">
      <c r="A26" s="36" t="s">
        <v>1804</v>
      </c>
      <c r="B26" s="2">
        <v>12910</v>
      </c>
      <c r="C26"/>
    </row>
    <row r="27" spans="1:22" ht="15" x14ac:dyDescent="0.25">
      <c r="A27"/>
      <c r="B27"/>
      <c r="C27"/>
    </row>
    <row r="28" spans="1:22" ht="15" x14ac:dyDescent="0.25">
      <c r="A28" s="36" t="s">
        <v>1557</v>
      </c>
      <c r="B28">
        <f>+GETPIVOTDATA("contribution_receipt_amount",$A$19)-GETPIVOTDATA("contribution_receipt_amount",$A$19,"committee_name","FORD MOTOR COMPANY CIVIC ACTION FUND")</f>
        <v>12700</v>
      </c>
      <c r="C28"/>
    </row>
    <row r="29" spans="1:22" ht="15" x14ac:dyDescent="0.25">
      <c r="A29" s="36" t="s">
        <v>0</v>
      </c>
      <c r="B29">
        <f>+GETPIVOTDATA("contribution_receipt_amount",$A$19,"committee_name","FORD MOTOR COMPANY CIVIC ACTION FUND")</f>
        <v>210</v>
      </c>
      <c r="C29"/>
    </row>
    <row r="30" spans="1:22" ht="15" x14ac:dyDescent="0.25">
      <c r="A30"/>
      <c r="B30">
        <f>SUM(B28:B29)</f>
        <v>12910</v>
      </c>
      <c r="C30"/>
    </row>
    <row r="31" spans="1:22" ht="15" x14ac:dyDescent="0.25">
      <c r="A31"/>
      <c r="B31"/>
      <c r="C31"/>
    </row>
    <row r="32" spans="1:22" ht="15" x14ac:dyDescent="0.25">
      <c r="A32"/>
      <c r="B32"/>
      <c r="C32"/>
    </row>
    <row r="33" spans="1:3" ht="15" x14ac:dyDescent="0.25">
      <c r="A33"/>
      <c r="B33"/>
      <c r="C33"/>
    </row>
    <row r="34" spans="1:3" ht="15" x14ac:dyDescent="0.25">
      <c r="A34"/>
      <c r="B34"/>
      <c r="C34"/>
    </row>
    <row r="35" spans="1:3" ht="15" x14ac:dyDescent="0.25">
      <c r="A35"/>
      <c r="B35"/>
      <c r="C35"/>
    </row>
    <row r="36" spans="1:3" ht="15" x14ac:dyDescent="0.25">
      <c r="A36"/>
      <c r="B36"/>
      <c r="C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52"/>
  <sheetViews>
    <sheetView topLeftCell="M19" workbookViewId="0">
      <selection activeCell="V34" sqref="V34"/>
    </sheetView>
  </sheetViews>
  <sheetFormatPr defaultRowHeight="12.75" x14ac:dyDescent="0.2"/>
  <cols>
    <col min="1" max="1" width="9.140625" style="23"/>
    <col min="2" max="2" width="33.140625" style="23" bestFit="1" customWidth="1"/>
    <col min="3" max="3" width="34.5703125" style="23" bestFit="1" customWidth="1"/>
    <col min="4" max="13" width="9.140625" style="23"/>
    <col min="14" max="14" width="22.7109375" style="23" bestFit="1" customWidth="1"/>
    <col min="15" max="21" width="9.140625" style="23"/>
    <col min="22" max="22" width="19.85546875" style="23" bestFit="1" customWidth="1"/>
    <col min="23" max="23" width="9.140625" style="23"/>
    <col min="24" max="24" width="17.85546875" style="23" bestFit="1" customWidth="1"/>
    <col min="25" max="16384" width="9.140625" style="23"/>
  </cols>
  <sheetData>
    <row r="1" spans="1:79" x14ac:dyDescent="0.2">
      <c r="A1" s="23" t="s">
        <v>852</v>
      </c>
      <c r="B1" s="23" t="s">
        <v>147</v>
      </c>
      <c r="C1" s="23" t="s">
        <v>1802</v>
      </c>
      <c r="D1" s="23" t="s">
        <v>1801</v>
      </c>
      <c r="E1" s="23" t="s">
        <v>1800</v>
      </c>
      <c r="F1" s="23" t="s">
        <v>1799</v>
      </c>
      <c r="G1" s="23" t="s">
        <v>1798</v>
      </c>
      <c r="H1" s="23" t="s">
        <v>1797</v>
      </c>
      <c r="I1" s="23" t="s">
        <v>147</v>
      </c>
      <c r="J1" s="23" t="s">
        <v>1796</v>
      </c>
      <c r="K1" s="23" t="s">
        <v>1795</v>
      </c>
      <c r="L1" s="23" t="s">
        <v>1794</v>
      </c>
      <c r="M1" s="23" t="s">
        <v>1793</v>
      </c>
      <c r="N1" s="23" t="s">
        <v>1792</v>
      </c>
      <c r="O1" s="23" t="s">
        <v>1791</v>
      </c>
      <c r="P1" s="23" t="s">
        <v>1790</v>
      </c>
      <c r="Q1" s="23" t="s">
        <v>1789</v>
      </c>
      <c r="R1" s="23" t="s">
        <v>1788</v>
      </c>
      <c r="S1" s="23" t="s">
        <v>1787</v>
      </c>
      <c r="T1" s="23" t="s">
        <v>1786</v>
      </c>
      <c r="U1" s="23" t="s">
        <v>1785</v>
      </c>
      <c r="V1" s="23" t="s">
        <v>1784</v>
      </c>
      <c r="W1" s="23" t="s">
        <v>1783</v>
      </c>
      <c r="X1" s="23" t="s">
        <v>1782</v>
      </c>
      <c r="Y1" s="23" t="s">
        <v>1781</v>
      </c>
      <c r="Z1" s="23" t="s">
        <v>1780</v>
      </c>
      <c r="AA1" s="23" t="s">
        <v>1779</v>
      </c>
      <c r="AB1" s="23" t="s">
        <v>1778</v>
      </c>
      <c r="AC1" s="23" t="s">
        <v>1777</v>
      </c>
      <c r="AD1" s="23" t="s">
        <v>1776</v>
      </c>
      <c r="AE1" s="23" t="s">
        <v>1775</v>
      </c>
      <c r="AF1" s="23" t="s">
        <v>1774</v>
      </c>
      <c r="AG1" s="23" t="s">
        <v>1773</v>
      </c>
      <c r="AH1" s="23" t="s">
        <v>1772</v>
      </c>
      <c r="AI1" s="23" t="s">
        <v>1771</v>
      </c>
      <c r="AJ1" s="23" t="s">
        <v>1770</v>
      </c>
      <c r="AK1" s="23" t="s">
        <v>1769</v>
      </c>
      <c r="AL1" s="23" t="s">
        <v>1768</v>
      </c>
      <c r="AM1" s="23" t="s">
        <v>1767</v>
      </c>
      <c r="AN1" s="23" t="s">
        <v>1766</v>
      </c>
      <c r="AO1" s="23" t="s">
        <v>1765</v>
      </c>
      <c r="AP1" s="23" t="s">
        <v>1764</v>
      </c>
      <c r="AQ1" s="23" t="s">
        <v>1763</v>
      </c>
      <c r="AR1" s="23" t="s">
        <v>1762</v>
      </c>
      <c r="AS1" s="23" t="s">
        <v>1761</v>
      </c>
      <c r="AT1" s="23" t="s">
        <v>1760</v>
      </c>
      <c r="AU1" s="23" t="s">
        <v>1759</v>
      </c>
      <c r="AV1" s="23" t="s">
        <v>1758</v>
      </c>
      <c r="AW1" s="23" t="s">
        <v>1757</v>
      </c>
      <c r="AX1" s="23" t="s">
        <v>1756</v>
      </c>
      <c r="AY1" s="23" t="s">
        <v>1755</v>
      </c>
      <c r="AZ1" s="23" t="s">
        <v>1754</v>
      </c>
      <c r="BA1" s="23" t="s">
        <v>1753</v>
      </c>
      <c r="BB1" s="23" t="s">
        <v>1752</v>
      </c>
      <c r="BC1" s="23" t="s">
        <v>1751</v>
      </c>
      <c r="BD1" s="23" t="s">
        <v>1750</v>
      </c>
      <c r="BE1" s="23" t="s">
        <v>1749</v>
      </c>
      <c r="BF1" s="23" t="s">
        <v>1748</v>
      </c>
      <c r="BG1" s="23" t="s">
        <v>1747</v>
      </c>
      <c r="BH1" s="23" t="s">
        <v>1746</v>
      </c>
      <c r="BI1" s="23" t="s">
        <v>1745</v>
      </c>
      <c r="BJ1" s="23" t="s">
        <v>1744</v>
      </c>
      <c r="BK1" s="23" t="s">
        <v>1743</v>
      </c>
      <c r="BL1" s="23" t="s">
        <v>1742</v>
      </c>
      <c r="BM1" s="23" t="s">
        <v>1741</v>
      </c>
      <c r="BN1" s="23" t="s">
        <v>1740</v>
      </c>
      <c r="BO1" s="23" t="s">
        <v>1739</v>
      </c>
      <c r="BP1" s="23" t="s">
        <v>1738</v>
      </c>
      <c r="BQ1" s="23" t="s">
        <v>1737</v>
      </c>
      <c r="BR1" s="23" t="s">
        <v>1736</v>
      </c>
      <c r="BS1" s="23" t="s">
        <v>1735</v>
      </c>
      <c r="BT1" s="23" t="s">
        <v>1734</v>
      </c>
      <c r="BU1" s="23" t="s">
        <v>1733</v>
      </c>
      <c r="BV1" s="23" t="s">
        <v>1732</v>
      </c>
      <c r="BW1" s="23" t="s">
        <v>1731</v>
      </c>
      <c r="BX1" s="23" t="s">
        <v>1730</v>
      </c>
      <c r="BY1" s="23" t="s">
        <v>1729</v>
      </c>
      <c r="BZ1" s="23" t="s">
        <v>1728</v>
      </c>
      <c r="CA1" s="23" t="s">
        <v>1727</v>
      </c>
    </row>
    <row r="2" spans="1:79" x14ac:dyDescent="0.2">
      <c r="A2" s="23" t="s">
        <v>1726</v>
      </c>
      <c r="B2" s="23" t="s">
        <v>1725</v>
      </c>
      <c r="C2" s="23">
        <v>2020</v>
      </c>
      <c r="D2" s="23" t="s">
        <v>1659</v>
      </c>
      <c r="E2" s="23">
        <v>2.0201015929500602E+17</v>
      </c>
      <c r="F2" s="23" t="s">
        <v>1598</v>
      </c>
      <c r="G2" s="23" t="s">
        <v>1724</v>
      </c>
      <c r="H2" s="23">
        <v>1451656</v>
      </c>
      <c r="J2" s="23" t="s">
        <v>1596</v>
      </c>
      <c r="K2" s="23" t="s">
        <v>1595</v>
      </c>
      <c r="L2" s="23" t="s">
        <v>1013</v>
      </c>
      <c r="N2" s="23" t="s">
        <v>1594</v>
      </c>
      <c r="O2" s="23" t="s">
        <v>0</v>
      </c>
      <c r="Q2" s="23" t="s">
        <v>58</v>
      </c>
      <c r="R2" s="23" t="s">
        <v>1591</v>
      </c>
      <c r="T2" s="23" t="s">
        <v>1590</v>
      </c>
      <c r="V2" s="23" t="s">
        <v>1610</v>
      </c>
      <c r="X2" s="23" t="s">
        <v>1588</v>
      </c>
      <c r="Y2" s="23" t="s">
        <v>15</v>
      </c>
      <c r="Z2" s="23">
        <v>483013253</v>
      </c>
      <c r="AA2" s="23" t="s">
        <v>1609</v>
      </c>
      <c r="AB2" s="23" t="s">
        <v>1587</v>
      </c>
      <c r="AC2" s="23" t="s">
        <v>1013</v>
      </c>
      <c r="AD2" s="23" t="s">
        <v>1608</v>
      </c>
      <c r="AE2" s="23" t="s">
        <v>1607</v>
      </c>
      <c r="AI2" s="25">
        <v>44096</v>
      </c>
      <c r="AJ2" s="23">
        <v>500</v>
      </c>
      <c r="AK2" s="23">
        <v>500</v>
      </c>
      <c r="BG2" s="23" t="s">
        <v>26</v>
      </c>
      <c r="BI2" s="23" t="s">
        <v>1648</v>
      </c>
      <c r="BK2" s="23" t="s">
        <v>48</v>
      </c>
      <c r="BL2" s="23" t="s">
        <v>1584</v>
      </c>
      <c r="BM2" s="23" t="s">
        <v>1583</v>
      </c>
      <c r="BN2" s="24">
        <v>44143.152464085651</v>
      </c>
      <c r="BP2" s="23" t="s">
        <v>1723</v>
      </c>
      <c r="BQ2" s="23" t="s">
        <v>1603</v>
      </c>
      <c r="BR2" s="23" t="s">
        <v>1582</v>
      </c>
      <c r="BS2" s="23">
        <v>4.1016202018576599E+18</v>
      </c>
      <c r="BT2" s="23" t="s">
        <v>1581</v>
      </c>
      <c r="BU2" s="23" t="s">
        <v>1601</v>
      </c>
      <c r="BV2" s="23">
        <v>2020</v>
      </c>
      <c r="BW2" s="23" t="s">
        <v>1579</v>
      </c>
      <c r="BY2" s="23">
        <v>4.1108202018930299E+18</v>
      </c>
      <c r="BZ2" s="23" t="s">
        <v>1722</v>
      </c>
      <c r="CA2" s="23" t="s">
        <v>1577</v>
      </c>
    </row>
    <row r="3" spans="1:79" x14ac:dyDescent="0.2">
      <c r="A3" s="23" t="s">
        <v>1481</v>
      </c>
      <c r="B3" s="23" t="s">
        <v>776</v>
      </c>
      <c r="C3" s="23">
        <v>2019</v>
      </c>
      <c r="D3" s="23" t="s">
        <v>1696</v>
      </c>
      <c r="E3" s="23">
        <v>2.0200115916718301E+17</v>
      </c>
      <c r="F3" s="23" t="s">
        <v>1598</v>
      </c>
      <c r="G3" s="23" t="s">
        <v>1721</v>
      </c>
      <c r="H3" s="23">
        <v>1370394</v>
      </c>
      <c r="J3" s="23" t="s">
        <v>1596</v>
      </c>
      <c r="K3" s="23" t="s">
        <v>1595</v>
      </c>
      <c r="L3" s="23" t="s">
        <v>1013</v>
      </c>
      <c r="N3" s="23" t="s">
        <v>1720</v>
      </c>
      <c r="O3" s="23" t="s">
        <v>73</v>
      </c>
      <c r="Q3" s="23" t="s">
        <v>26</v>
      </c>
      <c r="R3" s="23" t="s">
        <v>1591</v>
      </c>
      <c r="S3" s="23" t="s">
        <v>39</v>
      </c>
      <c r="T3" s="23" t="s">
        <v>1590</v>
      </c>
      <c r="U3" s="23" t="s">
        <v>1642</v>
      </c>
      <c r="V3" s="23" t="s">
        <v>1610</v>
      </c>
      <c r="X3" s="23" t="s">
        <v>1641</v>
      </c>
      <c r="Y3" s="23" t="s">
        <v>15</v>
      </c>
      <c r="Z3" s="23">
        <v>483013253</v>
      </c>
      <c r="AA3" s="23" t="s">
        <v>1609</v>
      </c>
      <c r="AB3" s="23" t="s">
        <v>1587</v>
      </c>
      <c r="AC3" s="23" t="s">
        <v>1013</v>
      </c>
      <c r="AD3" s="23" t="s">
        <v>1608</v>
      </c>
      <c r="AE3" s="23" t="s">
        <v>1607</v>
      </c>
      <c r="AI3" s="25">
        <v>43803</v>
      </c>
      <c r="AJ3" s="23">
        <v>250</v>
      </c>
      <c r="AK3" s="23">
        <v>250</v>
      </c>
      <c r="BG3" s="23" t="s">
        <v>1651</v>
      </c>
      <c r="BI3" s="23" t="s">
        <v>1648</v>
      </c>
      <c r="BJ3" s="23">
        <v>2020</v>
      </c>
      <c r="BK3" s="23" t="s">
        <v>48</v>
      </c>
      <c r="BL3" s="23" t="s">
        <v>1584</v>
      </c>
      <c r="BM3" s="23" t="s">
        <v>1583</v>
      </c>
      <c r="BN3" s="24">
        <v>43846.063295057873</v>
      </c>
      <c r="BP3" s="23" t="s">
        <v>1719</v>
      </c>
      <c r="BQ3" s="23" t="s">
        <v>1603</v>
      </c>
      <c r="BR3" s="23" t="s">
        <v>1602</v>
      </c>
      <c r="BS3" s="23">
        <v>4.0115202016843699E+18</v>
      </c>
      <c r="BT3" s="23" t="s">
        <v>1581</v>
      </c>
      <c r="BU3" s="23" t="s">
        <v>1601</v>
      </c>
      <c r="BV3" s="23">
        <v>2020</v>
      </c>
      <c r="BW3" s="23" t="s">
        <v>1579</v>
      </c>
      <c r="BY3" s="23">
        <v>4.0115202016844099E+18</v>
      </c>
      <c r="BZ3" s="23" t="s">
        <v>1718</v>
      </c>
      <c r="CA3" s="23" t="s">
        <v>1577</v>
      </c>
    </row>
    <row r="4" spans="1:79" x14ac:dyDescent="0.2">
      <c r="A4" s="23" t="s">
        <v>1393</v>
      </c>
      <c r="B4" s="23" t="s">
        <v>688</v>
      </c>
      <c r="C4" s="23">
        <v>2020</v>
      </c>
      <c r="D4" s="23" t="s">
        <v>1659</v>
      </c>
      <c r="E4" s="23">
        <v>2.0210701945091101E+17</v>
      </c>
      <c r="F4" s="23" t="s">
        <v>1598</v>
      </c>
      <c r="G4" s="23" t="s">
        <v>1717</v>
      </c>
      <c r="H4" s="23">
        <v>1522129</v>
      </c>
      <c r="J4" s="23" t="s">
        <v>1596</v>
      </c>
      <c r="K4" s="23" t="s">
        <v>1595</v>
      </c>
      <c r="N4" s="23" t="s">
        <v>1594</v>
      </c>
      <c r="O4" s="23" t="s">
        <v>37</v>
      </c>
      <c r="Q4" s="23" t="s">
        <v>26</v>
      </c>
      <c r="R4" s="23" t="s">
        <v>1591</v>
      </c>
      <c r="T4" s="23" t="s">
        <v>1590</v>
      </c>
      <c r="V4" s="23" t="s">
        <v>1714</v>
      </c>
      <c r="X4" s="23" t="s">
        <v>1588</v>
      </c>
      <c r="Y4" s="23" t="s">
        <v>15</v>
      </c>
      <c r="Z4" s="23">
        <v>48301</v>
      </c>
      <c r="AA4" s="23" t="s">
        <v>1587</v>
      </c>
      <c r="AB4" s="23" t="s">
        <v>1587</v>
      </c>
      <c r="AG4" s="23" t="s">
        <v>1619</v>
      </c>
      <c r="AI4" s="25">
        <v>44043</v>
      </c>
      <c r="AJ4" s="23">
        <v>100</v>
      </c>
      <c r="AK4" s="23">
        <v>100</v>
      </c>
      <c r="BG4" s="23" t="s">
        <v>1606</v>
      </c>
      <c r="BI4" s="23" t="s">
        <v>1605</v>
      </c>
      <c r="BJ4" s="23">
        <v>2020</v>
      </c>
      <c r="BK4" s="23" t="s">
        <v>48</v>
      </c>
      <c r="BL4" s="23" t="s">
        <v>1584</v>
      </c>
      <c r="BM4" s="23" t="s">
        <v>1583</v>
      </c>
      <c r="BN4" s="24">
        <v>44384.155213726852</v>
      </c>
      <c r="BR4" s="23" t="s">
        <v>1602</v>
      </c>
      <c r="BS4" s="23">
        <v>4.0702202113196498E+18</v>
      </c>
      <c r="BT4" s="23" t="s">
        <v>1581</v>
      </c>
      <c r="BU4" s="23" t="s">
        <v>1681</v>
      </c>
      <c r="BV4" s="23">
        <v>2020</v>
      </c>
      <c r="BW4" s="23" t="s">
        <v>1579</v>
      </c>
      <c r="BY4" s="23">
        <v>4.0707202113200102E+18</v>
      </c>
      <c r="BZ4" s="23" t="s">
        <v>1716</v>
      </c>
      <c r="CA4" s="23" t="s">
        <v>1577</v>
      </c>
    </row>
    <row r="5" spans="1:79" x14ac:dyDescent="0.2">
      <c r="A5" s="23" t="s">
        <v>1393</v>
      </c>
      <c r="B5" s="23" t="s">
        <v>688</v>
      </c>
      <c r="C5" s="23">
        <v>2020</v>
      </c>
      <c r="D5" s="23" t="s">
        <v>1659</v>
      </c>
      <c r="E5" s="23">
        <v>2.0210701945091101E+17</v>
      </c>
      <c r="F5" s="23" t="s">
        <v>1598</v>
      </c>
      <c r="G5" s="23" t="s">
        <v>1715</v>
      </c>
      <c r="H5" s="23">
        <v>1522129</v>
      </c>
      <c r="J5" s="23" t="s">
        <v>1596</v>
      </c>
      <c r="K5" s="23" t="s">
        <v>1595</v>
      </c>
      <c r="N5" s="23" t="s">
        <v>1594</v>
      </c>
      <c r="O5" s="23" t="s">
        <v>37</v>
      </c>
      <c r="Q5" s="23" t="s">
        <v>26</v>
      </c>
      <c r="R5" s="23" t="s">
        <v>1591</v>
      </c>
      <c r="T5" s="23" t="s">
        <v>1590</v>
      </c>
      <c r="V5" s="23" t="s">
        <v>1714</v>
      </c>
      <c r="X5" s="23" t="s">
        <v>1588</v>
      </c>
      <c r="Y5" s="23" t="s">
        <v>15</v>
      </c>
      <c r="Z5" s="23">
        <v>48301</v>
      </c>
      <c r="AA5" s="23" t="s">
        <v>1587</v>
      </c>
      <c r="AB5" s="23" t="s">
        <v>1587</v>
      </c>
      <c r="AG5" s="23" t="s">
        <v>1619</v>
      </c>
      <c r="AI5" s="25">
        <v>44060</v>
      </c>
      <c r="AJ5" s="23">
        <v>50</v>
      </c>
      <c r="AK5" s="23">
        <v>150</v>
      </c>
      <c r="BG5" s="23" t="s">
        <v>1606</v>
      </c>
      <c r="BI5" s="23" t="s">
        <v>1605</v>
      </c>
      <c r="BJ5" s="23">
        <v>2020</v>
      </c>
      <c r="BK5" s="23" t="s">
        <v>48</v>
      </c>
      <c r="BL5" s="23" t="s">
        <v>1584</v>
      </c>
      <c r="BM5" s="23" t="s">
        <v>1583</v>
      </c>
      <c r="BN5" s="24">
        <v>44384.155213726852</v>
      </c>
      <c r="BR5" s="23" t="s">
        <v>1602</v>
      </c>
      <c r="BS5" s="23">
        <v>4.0702202113196498E+18</v>
      </c>
      <c r="BT5" s="23" t="s">
        <v>1581</v>
      </c>
      <c r="BU5" s="23" t="s">
        <v>1681</v>
      </c>
      <c r="BV5" s="23">
        <v>2020</v>
      </c>
      <c r="BW5" s="23" t="s">
        <v>1579</v>
      </c>
      <c r="BY5" s="23">
        <v>4.0707202113200102E+18</v>
      </c>
      <c r="BZ5" s="23" t="s">
        <v>1713</v>
      </c>
      <c r="CA5" s="23" t="s">
        <v>1577</v>
      </c>
    </row>
    <row r="6" spans="1:79" x14ac:dyDescent="0.2">
      <c r="A6" s="23" t="s">
        <v>1013</v>
      </c>
      <c r="B6" s="23" t="s">
        <v>308</v>
      </c>
      <c r="C6" s="23">
        <v>2019</v>
      </c>
      <c r="D6" s="23" t="s">
        <v>1696</v>
      </c>
      <c r="E6" s="23">
        <v>2.0200129916945402E+17</v>
      </c>
      <c r="F6" s="23" t="s">
        <v>1598</v>
      </c>
      <c r="G6" s="23" t="s">
        <v>1712</v>
      </c>
      <c r="H6" s="23">
        <v>1378435</v>
      </c>
      <c r="J6" s="23" t="s">
        <v>1596</v>
      </c>
      <c r="K6" s="23" t="s">
        <v>1595</v>
      </c>
      <c r="N6" s="23" t="s">
        <v>1594</v>
      </c>
      <c r="O6" s="23" t="s">
        <v>1593</v>
      </c>
      <c r="Q6" s="23" t="s">
        <v>1592</v>
      </c>
      <c r="R6" s="23" t="s">
        <v>1591</v>
      </c>
      <c r="T6" s="23" t="s">
        <v>1590</v>
      </c>
      <c r="V6" s="23" t="s">
        <v>1610</v>
      </c>
      <c r="X6" s="23" t="s">
        <v>1588</v>
      </c>
      <c r="Y6" s="23" t="s">
        <v>15</v>
      </c>
      <c r="Z6" s="23">
        <v>48301</v>
      </c>
      <c r="AA6" s="23" t="s">
        <v>1609</v>
      </c>
      <c r="AB6" s="23" t="s">
        <v>1609</v>
      </c>
      <c r="AF6" s="23" t="s">
        <v>1586</v>
      </c>
      <c r="AI6" s="25">
        <v>43717</v>
      </c>
      <c r="AJ6" s="23">
        <v>100</v>
      </c>
      <c r="AK6" s="23">
        <v>100</v>
      </c>
      <c r="BF6" s="23" t="s">
        <v>1585</v>
      </c>
      <c r="BK6" s="23" t="s">
        <v>48</v>
      </c>
      <c r="BL6" s="23" t="s">
        <v>1584</v>
      </c>
      <c r="BM6" s="23" t="s">
        <v>1583</v>
      </c>
      <c r="BN6" s="24">
        <v>43894.521450011576</v>
      </c>
      <c r="BR6" s="23" t="s">
        <v>1582</v>
      </c>
      <c r="BS6" s="23">
        <v>4.02012020168638E+18</v>
      </c>
      <c r="BT6" s="23" t="s">
        <v>1581</v>
      </c>
      <c r="BU6" s="23" t="s">
        <v>1711</v>
      </c>
      <c r="BV6" s="23">
        <v>2020</v>
      </c>
      <c r="BW6" s="23" t="s">
        <v>1579</v>
      </c>
      <c r="BY6" s="23">
        <v>4.0302202012154998E+18</v>
      </c>
      <c r="BZ6" s="23" t="s">
        <v>1708</v>
      </c>
      <c r="CA6" s="23" t="s">
        <v>1577</v>
      </c>
    </row>
    <row r="7" spans="1:79" x14ac:dyDescent="0.2">
      <c r="A7" s="23" t="s">
        <v>1013</v>
      </c>
      <c r="B7" s="23" t="s">
        <v>308</v>
      </c>
      <c r="C7" s="23">
        <v>2019</v>
      </c>
      <c r="D7" s="23" t="s">
        <v>1696</v>
      </c>
      <c r="E7" s="23">
        <v>2.0200129916945402E+17</v>
      </c>
      <c r="F7" s="23" t="s">
        <v>1598</v>
      </c>
      <c r="G7" s="23" t="s">
        <v>1710</v>
      </c>
      <c r="H7" s="23">
        <v>1378435</v>
      </c>
      <c r="J7" s="23" t="s">
        <v>1596</v>
      </c>
      <c r="K7" s="23" t="s">
        <v>1595</v>
      </c>
      <c r="N7" s="23" t="s">
        <v>1594</v>
      </c>
      <c r="O7" s="23" t="s">
        <v>1593</v>
      </c>
      <c r="Q7" s="23" t="s">
        <v>1592</v>
      </c>
      <c r="R7" s="23" t="s">
        <v>1591</v>
      </c>
      <c r="T7" s="23" t="s">
        <v>1590</v>
      </c>
      <c r="V7" s="23" t="s">
        <v>1610</v>
      </c>
      <c r="X7" s="23" t="s">
        <v>1588</v>
      </c>
      <c r="Y7" s="23" t="s">
        <v>15</v>
      </c>
      <c r="Z7" s="23">
        <v>48301</v>
      </c>
      <c r="AA7" s="23" t="s">
        <v>1609</v>
      </c>
      <c r="AB7" s="23" t="s">
        <v>1609</v>
      </c>
      <c r="AF7" s="23" t="s">
        <v>1586</v>
      </c>
      <c r="AI7" s="25">
        <v>43689</v>
      </c>
      <c r="AJ7" s="23">
        <v>100</v>
      </c>
      <c r="AK7" s="23">
        <v>100</v>
      </c>
      <c r="BF7" s="23" t="s">
        <v>1585</v>
      </c>
      <c r="BK7" s="23" t="s">
        <v>48</v>
      </c>
      <c r="BL7" s="23" t="s">
        <v>1584</v>
      </c>
      <c r="BM7" s="23" t="s">
        <v>1583</v>
      </c>
      <c r="BN7" s="24">
        <v>43894.588868113424</v>
      </c>
      <c r="BR7" s="23" t="s">
        <v>1582</v>
      </c>
      <c r="BS7" s="23">
        <v>4.02012020168638E+18</v>
      </c>
      <c r="BT7" s="23" t="s">
        <v>1581</v>
      </c>
      <c r="BU7" s="23" t="s">
        <v>1709</v>
      </c>
      <c r="BV7" s="23">
        <v>2020</v>
      </c>
      <c r="BW7" s="23" t="s">
        <v>1579</v>
      </c>
      <c r="BY7" s="23">
        <v>4.0302202012307E+18</v>
      </c>
      <c r="BZ7" s="23" t="s">
        <v>1708</v>
      </c>
      <c r="CA7" s="23" t="s">
        <v>1577</v>
      </c>
    </row>
    <row r="8" spans="1:79" x14ac:dyDescent="0.2">
      <c r="A8" s="23" t="s">
        <v>1031</v>
      </c>
      <c r="B8" s="23" t="s">
        <v>326</v>
      </c>
      <c r="C8" s="23">
        <v>2020</v>
      </c>
      <c r="D8" s="23" t="s">
        <v>1678</v>
      </c>
      <c r="E8" s="23">
        <v>2.0210305944017699E+17</v>
      </c>
      <c r="F8" s="23" t="s">
        <v>1598</v>
      </c>
      <c r="G8" s="23" t="s">
        <v>1707</v>
      </c>
      <c r="H8" s="23">
        <v>1502942</v>
      </c>
      <c r="J8" s="23" t="s">
        <v>1596</v>
      </c>
      <c r="K8" s="23" t="s">
        <v>1595</v>
      </c>
      <c r="N8" s="23" t="s">
        <v>1594</v>
      </c>
      <c r="O8" s="23" t="s">
        <v>37</v>
      </c>
      <c r="Q8" s="23" t="s">
        <v>26</v>
      </c>
      <c r="R8" s="23" t="s">
        <v>1591</v>
      </c>
      <c r="T8" s="23" t="s">
        <v>1590</v>
      </c>
      <c r="V8" s="23" t="s">
        <v>1610</v>
      </c>
      <c r="X8" s="23" t="s">
        <v>1588</v>
      </c>
      <c r="Y8" s="23" t="s">
        <v>15</v>
      </c>
      <c r="Z8" s="23">
        <v>483013253</v>
      </c>
      <c r="AA8" s="23" t="s">
        <v>1609</v>
      </c>
      <c r="AB8" s="23" t="s">
        <v>1587</v>
      </c>
      <c r="AD8" s="23" t="s">
        <v>1608</v>
      </c>
      <c r="AE8" s="23" t="s">
        <v>1607</v>
      </c>
      <c r="AI8" s="25">
        <v>43860</v>
      </c>
      <c r="AJ8" s="23">
        <v>900</v>
      </c>
      <c r="AK8" s="23">
        <v>3700</v>
      </c>
      <c r="BG8" s="23" t="s">
        <v>1606</v>
      </c>
      <c r="BI8" s="23" t="s">
        <v>1605</v>
      </c>
      <c r="BJ8" s="23">
        <v>2020</v>
      </c>
      <c r="BK8" s="23" t="s">
        <v>48</v>
      </c>
      <c r="BL8" s="23" t="s">
        <v>1584</v>
      </c>
      <c r="BM8" s="23" t="s">
        <v>1583</v>
      </c>
      <c r="BN8" s="24">
        <v>44264.161359386577</v>
      </c>
      <c r="BP8" s="23" t="s">
        <v>1706</v>
      </c>
      <c r="BQ8" s="23" t="s">
        <v>1603</v>
      </c>
      <c r="BR8" s="23" t="s">
        <v>1602</v>
      </c>
      <c r="BS8" s="23">
        <v>4.0306202112263398E+18</v>
      </c>
      <c r="BT8" s="23" t="s">
        <v>1581</v>
      </c>
      <c r="BU8" s="23" t="s">
        <v>1601</v>
      </c>
      <c r="BV8" s="23">
        <v>2020</v>
      </c>
      <c r="BW8" s="23" t="s">
        <v>1579</v>
      </c>
      <c r="BY8" s="23">
        <v>4.0309202112280202E+18</v>
      </c>
      <c r="BZ8" s="23" t="s">
        <v>1705</v>
      </c>
      <c r="CA8" s="23" t="s">
        <v>1577</v>
      </c>
    </row>
    <row r="9" spans="1:79" x14ac:dyDescent="0.2">
      <c r="A9" s="23" t="s">
        <v>1031</v>
      </c>
      <c r="B9" s="23" t="s">
        <v>326</v>
      </c>
      <c r="C9" s="23">
        <v>2020</v>
      </c>
      <c r="D9" s="23" t="s">
        <v>1678</v>
      </c>
      <c r="E9" s="23">
        <v>2.0210305944017798E+17</v>
      </c>
      <c r="F9" s="23" t="s">
        <v>1598</v>
      </c>
      <c r="G9" s="23" t="s">
        <v>1704</v>
      </c>
      <c r="H9" s="23">
        <v>1502942</v>
      </c>
      <c r="J9" s="23" t="s">
        <v>1596</v>
      </c>
      <c r="K9" s="23" t="s">
        <v>1595</v>
      </c>
      <c r="N9" s="23" t="s">
        <v>1594</v>
      </c>
      <c r="O9" s="23" t="s">
        <v>37</v>
      </c>
      <c r="Q9" s="23" t="s">
        <v>26</v>
      </c>
      <c r="R9" s="23" t="s">
        <v>1591</v>
      </c>
      <c r="T9" s="23" t="s">
        <v>1590</v>
      </c>
      <c r="V9" s="23" t="s">
        <v>1610</v>
      </c>
      <c r="X9" s="23" t="s">
        <v>1588</v>
      </c>
      <c r="Y9" s="23" t="s">
        <v>15</v>
      </c>
      <c r="Z9" s="23">
        <v>483013253</v>
      </c>
      <c r="AA9" s="23" t="s">
        <v>1609</v>
      </c>
      <c r="AB9" s="23" t="s">
        <v>1587</v>
      </c>
      <c r="AD9" s="23" t="s">
        <v>1608</v>
      </c>
      <c r="AE9" s="23" t="s">
        <v>1607</v>
      </c>
      <c r="AI9" s="25">
        <v>43860</v>
      </c>
      <c r="AJ9" s="23">
        <v>1600</v>
      </c>
      <c r="AK9" s="23">
        <v>3700</v>
      </c>
      <c r="BG9" s="23" t="s">
        <v>1651</v>
      </c>
      <c r="BI9" s="23" t="s">
        <v>1648</v>
      </c>
      <c r="BJ9" s="23">
        <v>2020</v>
      </c>
      <c r="BK9" s="23" t="s">
        <v>48</v>
      </c>
      <c r="BL9" s="23" t="s">
        <v>1584</v>
      </c>
      <c r="BM9" s="23" t="s">
        <v>1583</v>
      </c>
      <c r="BN9" s="24">
        <v>44264.161566932868</v>
      </c>
      <c r="BP9" s="23" t="s">
        <v>1703</v>
      </c>
      <c r="BQ9" s="23" t="s">
        <v>1603</v>
      </c>
      <c r="BR9" s="23" t="s">
        <v>1602</v>
      </c>
      <c r="BS9" s="23">
        <v>4.0306202112263398E+18</v>
      </c>
      <c r="BT9" s="23" t="s">
        <v>1581</v>
      </c>
      <c r="BU9" s="23" t="s">
        <v>1601</v>
      </c>
      <c r="BV9" s="23">
        <v>2020</v>
      </c>
      <c r="BW9" s="23" t="s">
        <v>1579</v>
      </c>
      <c r="BY9" s="23">
        <v>4.03092021122803E+18</v>
      </c>
      <c r="BZ9" s="23" t="s">
        <v>1702</v>
      </c>
      <c r="CA9" s="23" t="s">
        <v>1577</v>
      </c>
    </row>
    <row r="10" spans="1:79" x14ac:dyDescent="0.2">
      <c r="A10" s="23" t="s">
        <v>1325</v>
      </c>
      <c r="B10" s="23" t="s">
        <v>620</v>
      </c>
      <c r="C10" s="23">
        <v>2019</v>
      </c>
      <c r="D10" s="23" t="s">
        <v>1696</v>
      </c>
      <c r="E10" s="23">
        <v>2.0200323921565299E+17</v>
      </c>
      <c r="F10" s="23" t="s">
        <v>1672</v>
      </c>
      <c r="G10" s="23">
        <v>2256395</v>
      </c>
      <c r="H10" s="23">
        <v>1391818</v>
      </c>
      <c r="J10" s="23" t="s">
        <v>1596</v>
      </c>
      <c r="K10" s="23" t="s">
        <v>1595</v>
      </c>
      <c r="L10" s="23" t="s">
        <v>1013</v>
      </c>
      <c r="N10" s="23" t="s">
        <v>1594</v>
      </c>
      <c r="O10" s="23" t="s">
        <v>0</v>
      </c>
      <c r="Q10" s="23" t="s">
        <v>1592</v>
      </c>
      <c r="R10" s="23" t="s">
        <v>1591</v>
      </c>
      <c r="T10" s="23" t="s">
        <v>1590</v>
      </c>
      <c r="V10" s="23" t="s">
        <v>1610</v>
      </c>
      <c r="X10" s="23" t="s">
        <v>1588</v>
      </c>
      <c r="Y10" s="23" t="s">
        <v>15</v>
      </c>
      <c r="Z10" s="23">
        <v>483013253</v>
      </c>
      <c r="AA10" s="23" t="s">
        <v>1587</v>
      </c>
      <c r="AB10" s="23" t="s">
        <v>1587</v>
      </c>
      <c r="AC10" s="23" t="s">
        <v>1013</v>
      </c>
      <c r="AD10" s="23" t="s">
        <v>1608</v>
      </c>
      <c r="AE10" s="23" t="s">
        <v>1607</v>
      </c>
      <c r="AI10" s="25">
        <v>43807</v>
      </c>
      <c r="AJ10" s="23">
        <v>250</v>
      </c>
      <c r="AK10" s="23">
        <v>250</v>
      </c>
      <c r="BG10" s="23" t="s">
        <v>1651</v>
      </c>
      <c r="BH10" s="23" t="s">
        <v>1648</v>
      </c>
      <c r="BI10" s="23" t="s">
        <v>1648</v>
      </c>
      <c r="BJ10" s="23">
        <v>2020</v>
      </c>
      <c r="BK10" s="23" t="s">
        <v>48</v>
      </c>
      <c r="BL10" s="23" t="s">
        <v>1584</v>
      </c>
      <c r="BM10" s="23" t="s">
        <v>1583</v>
      </c>
      <c r="BN10" s="24">
        <v>44079.157349780093</v>
      </c>
      <c r="BP10" s="23" t="s">
        <v>1701</v>
      </c>
      <c r="BQ10" s="23" t="s">
        <v>1670</v>
      </c>
      <c r="BR10" s="23" t="s">
        <v>1669</v>
      </c>
      <c r="BS10" s="23">
        <v>4.0324202017045002E+18</v>
      </c>
      <c r="BT10" s="23" t="s">
        <v>1581</v>
      </c>
      <c r="BU10" s="23" t="s">
        <v>1601</v>
      </c>
      <c r="BV10" s="23">
        <v>2020</v>
      </c>
      <c r="BW10" s="23" t="s">
        <v>1579</v>
      </c>
      <c r="BY10" s="23">
        <v>4.0325202017148698E+18</v>
      </c>
      <c r="BZ10" s="23" t="s">
        <v>1700</v>
      </c>
      <c r="CA10" s="23" t="s">
        <v>1577</v>
      </c>
    </row>
    <row r="11" spans="1:79" x14ac:dyDescent="0.2">
      <c r="A11" s="23" t="s">
        <v>1317</v>
      </c>
      <c r="B11" s="23" t="s">
        <v>612</v>
      </c>
      <c r="C11" s="23">
        <v>2020</v>
      </c>
      <c r="D11" s="23" t="s">
        <v>1699</v>
      </c>
      <c r="E11" s="23">
        <v>2.0200715924989402E+17</v>
      </c>
      <c r="F11" s="23" t="s">
        <v>1672</v>
      </c>
      <c r="G11" s="23">
        <v>1238647</v>
      </c>
      <c r="H11" s="23">
        <v>1424437</v>
      </c>
      <c r="J11" s="23" t="s">
        <v>1596</v>
      </c>
      <c r="K11" s="23" t="s">
        <v>1595</v>
      </c>
      <c r="N11" s="23" t="s">
        <v>1594</v>
      </c>
      <c r="O11" s="23" t="s">
        <v>26</v>
      </c>
      <c r="Q11" s="23" t="s">
        <v>26</v>
      </c>
      <c r="R11" s="23" t="s">
        <v>1591</v>
      </c>
      <c r="T11" s="23" t="s">
        <v>1590</v>
      </c>
      <c r="V11" s="23" t="s">
        <v>1610</v>
      </c>
      <c r="X11" s="23" t="s">
        <v>1588</v>
      </c>
      <c r="Y11" s="23" t="s">
        <v>15</v>
      </c>
      <c r="Z11" s="23">
        <v>483013253</v>
      </c>
      <c r="AA11" s="23" t="s">
        <v>1609</v>
      </c>
      <c r="AB11" s="23" t="s">
        <v>1587</v>
      </c>
      <c r="AD11" s="23" t="s">
        <v>1608</v>
      </c>
      <c r="AE11" s="23" t="s">
        <v>1607</v>
      </c>
      <c r="AI11" s="25">
        <v>43860</v>
      </c>
      <c r="AJ11" s="23">
        <v>1000</v>
      </c>
      <c r="AK11" s="23">
        <v>1500</v>
      </c>
      <c r="BG11" s="23" t="s">
        <v>1651</v>
      </c>
      <c r="BI11" s="23" t="s">
        <v>1648</v>
      </c>
      <c r="BJ11" s="23">
        <v>2020</v>
      </c>
      <c r="BK11" s="23" t="s">
        <v>48</v>
      </c>
      <c r="BL11" s="23" t="s">
        <v>1584</v>
      </c>
      <c r="BM11" s="23" t="s">
        <v>1583</v>
      </c>
      <c r="BN11" s="24">
        <v>44033.129804050928</v>
      </c>
      <c r="BP11" s="23" t="s">
        <v>1698</v>
      </c>
      <c r="BQ11" s="23" t="s">
        <v>1670</v>
      </c>
      <c r="BR11" s="23" t="s">
        <v>1669</v>
      </c>
      <c r="BS11" s="23">
        <v>4.0716202017908598E+18</v>
      </c>
      <c r="BT11" s="23" t="s">
        <v>1581</v>
      </c>
      <c r="BU11" s="23" t="s">
        <v>1601</v>
      </c>
      <c r="BV11" s="23">
        <v>2020</v>
      </c>
      <c r="BW11" s="23" t="s">
        <v>1579</v>
      </c>
      <c r="BY11" s="23">
        <v>4.0720202017914598E+18</v>
      </c>
      <c r="BZ11" s="23" t="s">
        <v>1697</v>
      </c>
      <c r="CA11" s="23" t="s">
        <v>1577</v>
      </c>
    </row>
    <row r="12" spans="1:79" x14ac:dyDescent="0.2">
      <c r="A12" s="23" t="s">
        <v>1317</v>
      </c>
      <c r="B12" s="23" t="s">
        <v>612</v>
      </c>
      <c r="C12" s="23">
        <v>2019</v>
      </c>
      <c r="D12" s="23" t="s">
        <v>1696</v>
      </c>
      <c r="E12" s="23">
        <v>2.0200715924981501E+17</v>
      </c>
      <c r="F12" s="23" t="s">
        <v>1672</v>
      </c>
      <c r="G12" s="23">
        <v>1040113</v>
      </c>
      <c r="H12" s="23">
        <v>1424315</v>
      </c>
      <c r="J12" s="23" t="s">
        <v>1596</v>
      </c>
      <c r="K12" s="23" t="s">
        <v>1595</v>
      </c>
      <c r="N12" s="23" t="s">
        <v>1594</v>
      </c>
      <c r="O12" s="23" t="s">
        <v>26</v>
      </c>
      <c r="Q12" s="23" t="s">
        <v>26</v>
      </c>
      <c r="R12" s="23" t="s">
        <v>1591</v>
      </c>
      <c r="T12" s="23" t="s">
        <v>1590</v>
      </c>
      <c r="V12" s="23" t="s">
        <v>1610</v>
      </c>
      <c r="X12" s="23" t="s">
        <v>1588</v>
      </c>
      <c r="Y12" s="23" t="s">
        <v>15</v>
      </c>
      <c r="Z12" s="23">
        <v>483013253</v>
      </c>
      <c r="AA12" s="23" t="s">
        <v>1609</v>
      </c>
      <c r="AB12" s="23" t="s">
        <v>1587</v>
      </c>
      <c r="AD12" s="23" t="s">
        <v>1608</v>
      </c>
      <c r="AE12" s="23" t="s">
        <v>1607</v>
      </c>
      <c r="AI12" s="25">
        <v>43807</v>
      </c>
      <c r="AJ12" s="23">
        <v>500</v>
      </c>
      <c r="AK12" s="23">
        <v>500</v>
      </c>
      <c r="BG12" s="23" t="s">
        <v>1651</v>
      </c>
      <c r="BI12" s="23" t="s">
        <v>1648</v>
      </c>
      <c r="BJ12" s="23">
        <v>2020</v>
      </c>
      <c r="BK12" s="23" t="s">
        <v>48</v>
      </c>
      <c r="BL12" s="23" t="s">
        <v>1584</v>
      </c>
      <c r="BM12" s="23" t="s">
        <v>1583</v>
      </c>
      <c r="BN12" s="24">
        <v>44033.132341076387</v>
      </c>
      <c r="BP12" s="23" t="s">
        <v>1695</v>
      </c>
      <c r="BQ12" s="23" t="s">
        <v>1670</v>
      </c>
      <c r="BR12" s="23" t="s">
        <v>1669</v>
      </c>
      <c r="BS12" s="23">
        <v>4.0715202017906099E+18</v>
      </c>
      <c r="BT12" s="23" t="s">
        <v>1581</v>
      </c>
      <c r="BU12" s="23" t="s">
        <v>1601</v>
      </c>
      <c r="BV12" s="23">
        <v>2020</v>
      </c>
      <c r="BW12" s="23" t="s">
        <v>1579</v>
      </c>
      <c r="BY12" s="23">
        <v>4.0720202017916498E+18</v>
      </c>
      <c r="BZ12" s="23" t="s">
        <v>1694</v>
      </c>
      <c r="CA12" s="23" t="s">
        <v>1577</v>
      </c>
    </row>
    <row r="13" spans="1:79" x14ac:dyDescent="0.2">
      <c r="A13" s="23" t="s">
        <v>1682</v>
      </c>
      <c r="B13" s="23" t="s">
        <v>1681</v>
      </c>
      <c r="C13" s="23">
        <v>2020</v>
      </c>
      <c r="D13" s="23" t="s">
        <v>1659</v>
      </c>
      <c r="E13" s="23">
        <v>2.02010149285912E+17</v>
      </c>
      <c r="F13" s="23" t="s">
        <v>1598</v>
      </c>
      <c r="G13" s="23">
        <v>7588829</v>
      </c>
      <c r="H13" s="23">
        <v>1448695</v>
      </c>
      <c r="J13" s="23" t="s">
        <v>1596</v>
      </c>
      <c r="K13" s="23" t="s">
        <v>1595</v>
      </c>
      <c r="L13" s="23" t="s">
        <v>1013</v>
      </c>
      <c r="N13" s="23" t="s">
        <v>1594</v>
      </c>
      <c r="O13" s="23" t="s">
        <v>37</v>
      </c>
      <c r="Q13" s="23" t="s">
        <v>58</v>
      </c>
      <c r="R13" s="23" t="s">
        <v>1591</v>
      </c>
      <c r="T13" s="23" t="s">
        <v>1590</v>
      </c>
      <c r="V13" s="23" t="s">
        <v>1610</v>
      </c>
      <c r="X13" s="23" t="s">
        <v>1588</v>
      </c>
      <c r="Y13" s="23" t="s">
        <v>15</v>
      </c>
      <c r="Z13" s="23">
        <v>483013253</v>
      </c>
      <c r="AA13" s="23" t="s">
        <v>1609</v>
      </c>
      <c r="AB13" s="23" t="s">
        <v>1587</v>
      </c>
      <c r="AC13" s="23" t="s">
        <v>1013</v>
      </c>
      <c r="AD13" s="23" t="s">
        <v>1608</v>
      </c>
      <c r="AE13" s="23" t="s">
        <v>1607</v>
      </c>
      <c r="AI13" s="25">
        <v>44054</v>
      </c>
      <c r="AJ13" s="23">
        <v>500</v>
      </c>
      <c r="AK13" s="23">
        <v>1500</v>
      </c>
      <c r="BG13" s="23" t="s">
        <v>26</v>
      </c>
      <c r="BI13" s="23" t="s">
        <v>1648</v>
      </c>
      <c r="BK13" s="23" t="s">
        <v>48</v>
      </c>
      <c r="BL13" s="23" t="s">
        <v>1584</v>
      </c>
      <c r="BM13" s="23" t="s">
        <v>1583</v>
      </c>
      <c r="BN13" s="24">
        <v>44128.174575127312</v>
      </c>
      <c r="BP13" s="23" t="s">
        <v>1693</v>
      </c>
      <c r="BQ13" s="23" t="s">
        <v>1603</v>
      </c>
      <c r="BR13" s="23" t="s">
        <v>1602</v>
      </c>
      <c r="BS13" s="23">
        <v>4.1015202018575498E+18</v>
      </c>
      <c r="BT13" s="23" t="s">
        <v>1581</v>
      </c>
      <c r="BU13" s="23" t="s">
        <v>1601</v>
      </c>
      <c r="BV13" s="23">
        <v>2020</v>
      </c>
      <c r="BW13" s="23" t="s">
        <v>1579</v>
      </c>
      <c r="BY13" s="23">
        <v>4.1024202018864102E+18</v>
      </c>
      <c r="BZ13" s="23" t="s">
        <v>1692</v>
      </c>
      <c r="CA13" s="23" t="s">
        <v>1577</v>
      </c>
    </row>
    <row r="14" spans="1:79" x14ac:dyDescent="0.2">
      <c r="A14" s="23" t="s">
        <v>1013</v>
      </c>
      <c r="B14" s="23" t="s">
        <v>308</v>
      </c>
      <c r="C14" s="23">
        <v>2020</v>
      </c>
      <c r="D14" s="23" t="s">
        <v>1690</v>
      </c>
      <c r="E14" s="23">
        <v>2.0200720925586202E+17</v>
      </c>
      <c r="F14" s="23" t="s">
        <v>1598</v>
      </c>
      <c r="G14" s="23" t="s">
        <v>1691</v>
      </c>
      <c r="H14" s="23">
        <v>1427110</v>
      </c>
      <c r="J14" s="23" t="s">
        <v>1596</v>
      </c>
      <c r="K14" s="23" t="s">
        <v>1595</v>
      </c>
      <c r="N14" s="23" t="s">
        <v>1594</v>
      </c>
      <c r="O14" s="23" t="s">
        <v>1593</v>
      </c>
      <c r="Q14" s="23" t="s">
        <v>1592</v>
      </c>
      <c r="R14" s="23" t="s">
        <v>1591</v>
      </c>
      <c r="T14" s="23" t="s">
        <v>1590</v>
      </c>
      <c r="V14" s="23" t="s">
        <v>1610</v>
      </c>
      <c r="X14" s="23" t="s">
        <v>1588</v>
      </c>
      <c r="Y14" s="23" t="s">
        <v>15</v>
      </c>
      <c r="Z14" s="23">
        <v>48301</v>
      </c>
      <c r="AA14" s="23" t="s">
        <v>1587</v>
      </c>
      <c r="AB14" s="23" t="s">
        <v>1587</v>
      </c>
      <c r="AF14" s="23" t="s">
        <v>1586</v>
      </c>
      <c r="AI14" s="25">
        <v>43995</v>
      </c>
      <c r="AJ14" s="23">
        <v>50</v>
      </c>
      <c r="AK14" s="23">
        <v>100</v>
      </c>
      <c r="BK14" s="23" t="s">
        <v>48</v>
      </c>
      <c r="BL14" s="23" t="s">
        <v>1584</v>
      </c>
      <c r="BM14" s="23" t="s">
        <v>1583</v>
      </c>
      <c r="BN14" s="24">
        <v>44054.308645613426</v>
      </c>
      <c r="BR14" s="23" t="s">
        <v>1582</v>
      </c>
      <c r="BS14" s="23">
        <v>4.0721202017922499E+18</v>
      </c>
      <c r="BT14" s="23" t="s">
        <v>1581</v>
      </c>
      <c r="BU14" s="23" t="s">
        <v>1688</v>
      </c>
      <c r="BV14" s="23">
        <v>2020</v>
      </c>
      <c r="BW14" s="23" t="s">
        <v>1579</v>
      </c>
      <c r="BY14" s="23">
        <v>4.0810202018162499E+18</v>
      </c>
      <c r="BZ14" s="23" t="s">
        <v>1687</v>
      </c>
      <c r="CA14" s="23" t="s">
        <v>1577</v>
      </c>
    </row>
    <row r="15" spans="1:79" x14ac:dyDescent="0.2">
      <c r="A15" s="23" t="s">
        <v>1013</v>
      </c>
      <c r="B15" s="23" t="s">
        <v>308</v>
      </c>
      <c r="C15" s="23">
        <v>2020</v>
      </c>
      <c r="D15" s="23" t="s">
        <v>1690</v>
      </c>
      <c r="E15" s="23">
        <v>2.0200720925586202E+17</v>
      </c>
      <c r="F15" s="23" t="s">
        <v>1598</v>
      </c>
      <c r="G15" s="23" t="s">
        <v>1689</v>
      </c>
      <c r="H15" s="23">
        <v>1427110</v>
      </c>
      <c r="J15" s="23" t="s">
        <v>1596</v>
      </c>
      <c r="K15" s="23" t="s">
        <v>1595</v>
      </c>
      <c r="N15" s="23" t="s">
        <v>1594</v>
      </c>
      <c r="O15" s="23" t="s">
        <v>1593</v>
      </c>
      <c r="Q15" s="23" t="s">
        <v>1592</v>
      </c>
      <c r="R15" s="23" t="s">
        <v>1591</v>
      </c>
      <c r="T15" s="23" t="s">
        <v>1590</v>
      </c>
      <c r="V15" s="23" t="s">
        <v>1610</v>
      </c>
      <c r="X15" s="23" t="s">
        <v>1588</v>
      </c>
      <c r="Y15" s="23" t="s">
        <v>15</v>
      </c>
      <c r="Z15" s="23">
        <v>48301</v>
      </c>
      <c r="AA15" s="23" t="s">
        <v>1587</v>
      </c>
      <c r="AB15" s="23" t="s">
        <v>1587</v>
      </c>
      <c r="AF15" s="23" t="s">
        <v>1586</v>
      </c>
      <c r="AI15" s="25">
        <v>44012</v>
      </c>
      <c r="AJ15" s="23">
        <v>50</v>
      </c>
      <c r="AK15" s="23">
        <v>100</v>
      </c>
      <c r="BK15" s="23" t="s">
        <v>48</v>
      </c>
      <c r="BL15" s="23" t="s">
        <v>1584</v>
      </c>
      <c r="BM15" s="23" t="s">
        <v>1583</v>
      </c>
      <c r="BN15" s="24">
        <v>44054.325805069442</v>
      </c>
      <c r="BR15" s="23" t="s">
        <v>1582</v>
      </c>
      <c r="BS15" s="23">
        <v>4.0721202017922499E+18</v>
      </c>
      <c r="BT15" s="23" t="s">
        <v>1581</v>
      </c>
      <c r="BU15" s="23" t="s">
        <v>1688</v>
      </c>
      <c r="BV15" s="23">
        <v>2020</v>
      </c>
      <c r="BW15" s="23" t="s">
        <v>1579</v>
      </c>
      <c r="BY15" s="23">
        <v>4.0810202018162499E+18</v>
      </c>
      <c r="BZ15" s="23" t="s">
        <v>1687</v>
      </c>
      <c r="CA15" s="23" t="s">
        <v>1577</v>
      </c>
    </row>
    <row r="16" spans="1:79" x14ac:dyDescent="0.2">
      <c r="A16" s="23" t="s">
        <v>1320</v>
      </c>
      <c r="B16" s="23" t="s">
        <v>615</v>
      </c>
      <c r="C16" s="23">
        <v>2020</v>
      </c>
      <c r="D16" s="23" t="s">
        <v>1686</v>
      </c>
      <c r="E16" s="23">
        <v>2.0200723926080602E+17</v>
      </c>
      <c r="F16" s="23" t="s">
        <v>1598</v>
      </c>
      <c r="G16" s="23" t="s">
        <v>1685</v>
      </c>
      <c r="H16" s="23">
        <v>1428209</v>
      </c>
      <c r="J16" s="23" t="s">
        <v>1596</v>
      </c>
      <c r="K16" s="23" t="s">
        <v>1595</v>
      </c>
      <c r="L16" s="23" t="s">
        <v>1013</v>
      </c>
      <c r="N16" s="23" t="s">
        <v>1594</v>
      </c>
      <c r="O16" s="23" t="s">
        <v>37</v>
      </c>
      <c r="Q16" s="23" t="s">
        <v>26</v>
      </c>
      <c r="R16" s="23" t="s">
        <v>1591</v>
      </c>
      <c r="T16" s="23" t="s">
        <v>1590</v>
      </c>
      <c r="V16" s="23" t="s">
        <v>1610</v>
      </c>
      <c r="X16" s="23" t="s">
        <v>1588</v>
      </c>
      <c r="Y16" s="23" t="s">
        <v>15</v>
      </c>
      <c r="Z16" s="23">
        <v>483013253</v>
      </c>
      <c r="AA16" s="23" t="s">
        <v>1609</v>
      </c>
      <c r="AB16" s="23" t="s">
        <v>1587</v>
      </c>
      <c r="AC16" s="23" t="s">
        <v>1013</v>
      </c>
      <c r="AD16" s="23" t="s">
        <v>1608</v>
      </c>
      <c r="AE16" s="23" t="s">
        <v>1607</v>
      </c>
      <c r="AI16" s="25">
        <v>44022</v>
      </c>
      <c r="AJ16" s="23">
        <v>500</v>
      </c>
      <c r="AK16" s="23">
        <v>600</v>
      </c>
      <c r="BG16" s="23" t="s">
        <v>1651</v>
      </c>
      <c r="BI16" s="23" t="s">
        <v>1648</v>
      </c>
      <c r="BJ16" s="23">
        <v>2020</v>
      </c>
      <c r="BK16" s="23" t="s">
        <v>48</v>
      </c>
      <c r="BL16" s="23" t="s">
        <v>1584</v>
      </c>
      <c r="BM16" s="23" t="s">
        <v>1583</v>
      </c>
      <c r="BN16" s="24">
        <v>44056.151275833334</v>
      </c>
      <c r="BP16" s="23" t="s">
        <v>1684</v>
      </c>
      <c r="BQ16" s="23" t="s">
        <v>1603</v>
      </c>
      <c r="BR16" s="23" t="s">
        <v>1602</v>
      </c>
      <c r="BS16" s="23">
        <v>4.0724202017944003E+18</v>
      </c>
      <c r="BT16" s="23" t="s">
        <v>1581</v>
      </c>
      <c r="BU16" s="23" t="s">
        <v>1601</v>
      </c>
      <c r="BV16" s="23">
        <v>2020</v>
      </c>
      <c r="BW16" s="23" t="s">
        <v>1579</v>
      </c>
      <c r="BY16" s="23">
        <v>4.0813202018281999E+18</v>
      </c>
      <c r="BZ16" s="23" t="s">
        <v>1683</v>
      </c>
      <c r="CA16" s="23" t="s">
        <v>1577</v>
      </c>
    </row>
    <row r="17" spans="1:79" x14ac:dyDescent="0.2">
      <c r="A17" s="23" t="s">
        <v>1682</v>
      </c>
      <c r="B17" s="23" t="s">
        <v>1681</v>
      </c>
      <c r="C17" s="23">
        <v>2020</v>
      </c>
      <c r="D17" s="23" t="s">
        <v>1659</v>
      </c>
      <c r="E17" s="23">
        <v>2.0201014928591101E+17</v>
      </c>
      <c r="F17" s="23" t="s">
        <v>1598</v>
      </c>
      <c r="G17" s="23">
        <v>7343040</v>
      </c>
      <c r="H17" s="23">
        <v>1448695</v>
      </c>
      <c r="J17" s="23" t="s">
        <v>1596</v>
      </c>
      <c r="K17" s="23" t="s">
        <v>1595</v>
      </c>
      <c r="L17" s="23" t="s">
        <v>1013</v>
      </c>
      <c r="N17" s="23" t="s">
        <v>1594</v>
      </c>
      <c r="O17" s="23" t="s">
        <v>37</v>
      </c>
      <c r="Q17" s="23" t="s">
        <v>58</v>
      </c>
      <c r="R17" s="23" t="s">
        <v>1591</v>
      </c>
      <c r="T17" s="23" t="s">
        <v>1590</v>
      </c>
      <c r="V17" s="23" t="s">
        <v>1610</v>
      </c>
      <c r="X17" s="23" t="s">
        <v>1588</v>
      </c>
      <c r="Y17" s="23" t="s">
        <v>15</v>
      </c>
      <c r="Z17" s="23">
        <v>483013253</v>
      </c>
      <c r="AA17" s="23" t="s">
        <v>1609</v>
      </c>
      <c r="AB17" s="23" t="s">
        <v>1587</v>
      </c>
      <c r="AC17" s="23" t="s">
        <v>1013</v>
      </c>
      <c r="AD17" s="23" t="s">
        <v>1608</v>
      </c>
      <c r="AE17" s="23" t="s">
        <v>1607</v>
      </c>
      <c r="AI17" s="25">
        <v>44040</v>
      </c>
      <c r="AJ17" s="23">
        <v>1000</v>
      </c>
      <c r="AK17" s="23">
        <v>1500</v>
      </c>
      <c r="BG17" s="23" t="s">
        <v>26</v>
      </c>
      <c r="BI17" s="23" t="s">
        <v>1648</v>
      </c>
      <c r="BK17" s="23" t="s">
        <v>48</v>
      </c>
      <c r="BL17" s="23" t="s">
        <v>1584</v>
      </c>
      <c r="BM17" s="23" t="s">
        <v>1583</v>
      </c>
      <c r="BN17" s="24">
        <v>44128.180464976853</v>
      </c>
      <c r="BP17" s="23" t="s">
        <v>1680</v>
      </c>
      <c r="BQ17" s="23" t="s">
        <v>1603</v>
      </c>
      <c r="BR17" s="23" t="s">
        <v>1602</v>
      </c>
      <c r="BS17" s="23">
        <v>4.1015202018575498E+18</v>
      </c>
      <c r="BT17" s="23" t="s">
        <v>1581</v>
      </c>
      <c r="BU17" s="23" t="s">
        <v>1601</v>
      </c>
      <c r="BV17" s="23">
        <v>2020</v>
      </c>
      <c r="BW17" s="23" t="s">
        <v>1579</v>
      </c>
      <c r="BY17" s="23">
        <v>4.1024202018864102E+18</v>
      </c>
      <c r="BZ17" s="23" t="s">
        <v>1679</v>
      </c>
      <c r="CA17" s="23" t="s">
        <v>1577</v>
      </c>
    </row>
    <row r="18" spans="1:79" x14ac:dyDescent="0.2">
      <c r="A18" s="23" t="s">
        <v>1481</v>
      </c>
      <c r="B18" s="23" t="s">
        <v>776</v>
      </c>
      <c r="C18" s="23">
        <v>2020</v>
      </c>
      <c r="D18" s="23" t="s">
        <v>1678</v>
      </c>
      <c r="E18" s="23">
        <v>2.0200917926722202E+17</v>
      </c>
      <c r="F18" s="23" t="s">
        <v>1598</v>
      </c>
      <c r="G18" s="23" t="s">
        <v>1677</v>
      </c>
      <c r="H18" s="23">
        <v>1438571</v>
      </c>
      <c r="J18" s="23" t="s">
        <v>1596</v>
      </c>
      <c r="K18" s="23" t="s">
        <v>1595</v>
      </c>
      <c r="L18" s="23" t="s">
        <v>1013</v>
      </c>
      <c r="N18" s="23" t="s">
        <v>1644</v>
      </c>
      <c r="O18" s="23" t="s">
        <v>73</v>
      </c>
      <c r="Q18" s="23" t="s">
        <v>26</v>
      </c>
      <c r="R18" s="23" t="s">
        <v>1591</v>
      </c>
      <c r="S18" s="23" t="s">
        <v>1643</v>
      </c>
      <c r="T18" s="23" t="s">
        <v>1590</v>
      </c>
      <c r="U18" s="23" t="s">
        <v>1642</v>
      </c>
      <c r="V18" s="23" t="s">
        <v>1610</v>
      </c>
      <c r="X18" s="23" t="s">
        <v>1641</v>
      </c>
      <c r="Y18" s="23" t="s">
        <v>15</v>
      </c>
      <c r="Z18" s="23">
        <v>483013253</v>
      </c>
      <c r="AA18" s="23" t="s">
        <v>1640</v>
      </c>
      <c r="AB18" s="23" t="s">
        <v>1587</v>
      </c>
      <c r="AC18" s="23" t="s">
        <v>1013</v>
      </c>
      <c r="AD18" s="23" t="s">
        <v>1608</v>
      </c>
      <c r="AE18" s="23" t="s">
        <v>1607</v>
      </c>
      <c r="AI18" s="25">
        <v>43917</v>
      </c>
      <c r="AJ18" s="23">
        <v>500</v>
      </c>
      <c r="AK18" s="23">
        <v>750</v>
      </c>
      <c r="BG18" s="23" t="s">
        <v>1651</v>
      </c>
      <c r="BI18" s="23" t="s">
        <v>1648</v>
      </c>
      <c r="BJ18" s="23">
        <v>2020</v>
      </c>
      <c r="BK18" s="23" t="s">
        <v>1676</v>
      </c>
      <c r="BL18" s="23" t="s">
        <v>1675</v>
      </c>
      <c r="BM18" s="23" t="s">
        <v>1583</v>
      </c>
      <c r="BN18" s="24">
        <v>44093.150525682868</v>
      </c>
      <c r="BP18" s="23" t="s">
        <v>1674</v>
      </c>
      <c r="BQ18" s="23" t="s">
        <v>1603</v>
      </c>
      <c r="BR18" s="23" t="s">
        <v>1602</v>
      </c>
      <c r="BS18" s="23">
        <v>4.0918202018489098E+18</v>
      </c>
      <c r="BT18" s="23" t="s">
        <v>1581</v>
      </c>
      <c r="BU18" s="23" t="s">
        <v>1601</v>
      </c>
      <c r="BV18" s="23">
        <v>2020</v>
      </c>
      <c r="BW18" s="23" t="s">
        <v>1579</v>
      </c>
      <c r="BY18" s="23">
        <v>4.0919202018490598E+18</v>
      </c>
      <c r="BZ18" s="23" t="s">
        <v>1673</v>
      </c>
      <c r="CA18" s="23" t="s">
        <v>1577</v>
      </c>
    </row>
    <row r="19" spans="1:79" x14ac:dyDescent="0.2">
      <c r="A19" s="23" t="s">
        <v>1354</v>
      </c>
      <c r="B19" s="23" t="s">
        <v>649</v>
      </c>
      <c r="C19" s="23">
        <v>2020</v>
      </c>
      <c r="D19" s="23" t="s">
        <v>1599</v>
      </c>
      <c r="E19" s="23">
        <v>2.0200920927617501E+17</v>
      </c>
      <c r="F19" s="23" t="s">
        <v>1672</v>
      </c>
      <c r="G19" s="23">
        <v>9253106</v>
      </c>
      <c r="H19" s="23">
        <v>1440320</v>
      </c>
      <c r="J19" s="23" t="s">
        <v>1596</v>
      </c>
      <c r="K19" s="23" t="s">
        <v>1595</v>
      </c>
      <c r="L19" s="23" t="s">
        <v>1013</v>
      </c>
      <c r="N19" s="23" t="s">
        <v>1594</v>
      </c>
      <c r="O19" s="23" t="s">
        <v>26</v>
      </c>
      <c r="Q19" s="23" t="s">
        <v>26</v>
      </c>
      <c r="R19" s="23" t="s">
        <v>1591</v>
      </c>
      <c r="T19" s="23" t="s">
        <v>1590</v>
      </c>
      <c r="V19" s="23" t="s">
        <v>1610</v>
      </c>
      <c r="X19" s="23" t="s">
        <v>1588</v>
      </c>
      <c r="Y19" s="23" t="s">
        <v>15</v>
      </c>
      <c r="Z19" s="23">
        <v>483013253</v>
      </c>
      <c r="AA19" s="23" t="s">
        <v>1587</v>
      </c>
      <c r="AB19" s="23" t="s">
        <v>1587</v>
      </c>
      <c r="AC19" s="23" t="s">
        <v>1013</v>
      </c>
      <c r="AD19" s="23" t="s">
        <v>1608</v>
      </c>
      <c r="AE19" s="23" t="s">
        <v>1607</v>
      </c>
      <c r="AI19" s="25">
        <v>44053</v>
      </c>
      <c r="AJ19" s="23">
        <v>2500</v>
      </c>
      <c r="AK19" s="23">
        <v>2500</v>
      </c>
      <c r="BG19" s="23" t="s">
        <v>1651</v>
      </c>
      <c r="BI19" s="23" t="s">
        <v>1648</v>
      </c>
      <c r="BJ19" s="23">
        <v>2020</v>
      </c>
      <c r="BK19" s="23" t="s">
        <v>48</v>
      </c>
      <c r="BL19" s="23" t="s">
        <v>1584</v>
      </c>
      <c r="BM19" s="23" t="s">
        <v>1583</v>
      </c>
      <c r="BN19" s="24">
        <v>44104.178333460652</v>
      </c>
      <c r="BP19" s="23" t="s">
        <v>1671</v>
      </c>
      <c r="BQ19" s="23" t="s">
        <v>1670</v>
      </c>
      <c r="BR19" s="23" t="s">
        <v>1669</v>
      </c>
      <c r="BS19" s="23">
        <v>4.0922202018492001E+18</v>
      </c>
      <c r="BT19" s="23" t="s">
        <v>1581</v>
      </c>
      <c r="BU19" s="23" t="s">
        <v>1601</v>
      </c>
      <c r="BV19" s="23">
        <v>2020</v>
      </c>
      <c r="BW19" s="23" t="s">
        <v>1579</v>
      </c>
      <c r="BY19" s="23">
        <v>4.0930202018523699E+18</v>
      </c>
      <c r="BZ19" s="23" t="s">
        <v>1668</v>
      </c>
      <c r="CA19" s="23" t="s">
        <v>1577</v>
      </c>
    </row>
    <row r="20" spans="1:79" x14ac:dyDescent="0.2">
      <c r="A20" s="23" t="s">
        <v>1481</v>
      </c>
      <c r="B20" s="23" t="s">
        <v>776</v>
      </c>
      <c r="C20" s="23">
        <v>2020</v>
      </c>
      <c r="D20" s="23" t="s">
        <v>1667</v>
      </c>
      <c r="E20" s="23">
        <v>2.0201022933323101E+17</v>
      </c>
      <c r="F20" s="23" t="s">
        <v>1598</v>
      </c>
      <c r="G20" s="23" t="s">
        <v>1666</v>
      </c>
      <c r="H20" s="23">
        <v>1463069</v>
      </c>
      <c r="J20" s="23" t="s">
        <v>1596</v>
      </c>
      <c r="K20" s="23" t="s">
        <v>1595</v>
      </c>
      <c r="L20" s="23" t="s">
        <v>1013</v>
      </c>
      <c r="N20" s="23" t="s">
        <v>1644</v>
      </c>
      <c r="O20" s="23" t="s">
        <v>73</v>
      </c>
      <c r="Q20" s="23" t="s">
        <v>26</v>
      </c>
      <c r="R20" s="23" t="s">
        <v>1591</v>
      </c>
      <c r="S20" s="23" t="s">
        <v>1643</v>
      </c>
      <c r="T20" s="23" t="s">
        <v>1590</v>
      </c>
      <c r="U20" s="23" t="s">
        <v>1642</v>
      </c>
      <c r="V20" s="23" t="s">
        <v>1610</v>
      </c>
      <c r="X20" s="23" t="s">
        <v>1641</v>
      </c>
      <c r="Y20" s="23" t="s">
        <v>15</v>
      </c>
      <c r="Z20" s="23">
        <v>483013253</v>
      </c>
      <c r="AA20" s="23" t="s">
        <v>1640</v>
      </c>
      <c r="AB20" s="23" t="s">
        <v>1587</v>
      </c>
      <c r="AC20" s="23" t="s">
        <v>1013</v>
      </c>
      <c r="AD20" s="23" t="s">
        <v>1608</v>
      </c>
      <c r="AE20" s="23" t="s">
        <v>1607</v>
      </c>
      <c r="AI20" s="25">
        <v>44117</v>
      </c>
      <c r="AJ20" s="23">
        <v>250</v>
      </c>
      <c r="AK20" s="23">
        <v>1000</v>
      </c>
      <c r="BG20" s="23" t="s">
        <v>1606</v>
      </c>
      <c r="BI20" s="23" t="s">
        <v>1605</v>
      </c>
      <c r="BJ20" s="23">
        <v>2020</v>
      </c>
      <c r="BK20" s="23" t="s">
        <v>48</v>
      </c>
      <c r="BL20" s="23" t="s">
        <v>1584</v>
      </c>
      <c r="BM20" s="23" t="s">
        <v>1583</v>
      </c>
      <c r="BN20" s="24">
        <v>44167.160521597223</v>
      </c>
      <c r="BP20" s="23" t="s">
        <v>1665</v>
      </c>
      <c r="BQ20" s="23" t="s">
        <v>1603</v>
      </c>
      <c r="BR20" s="23" t="s">
        <v>1602</v>
      </c>
      <c r="BS20" s="23">
        <v>4.1023202018827402E+18</v>
      </c>
      <c r="BT20" s="23" t="s">
        <v>1581</v>
      </c>
      <c r="BU20" s="23" t="s">
        <v>1601</v>
      </c>
      <c r="BV20" s="23">
        <v>2020</v>
      </c>
      <c r="BW20" s="23" t="s">
        <v>1579</v>
      </c>
      <c r="BY20" s="23">
        <v>4.1202202019629701E+18</v>
      </c>
      <c r="BZ20" s="23" t="s">
        <v>1664</v>
      </c>
      <c r="CA20" s="23" t="s">
        <v>1577</v>
      </c>
    </row>
    <row r="21" spans="1:79" x14ac:dyDescent="0.2">
      <c r="A21" s="23" t="s">
        <v>1320</v>
      </c>
      <c r="B21" s="23" t="s">
        <v>615</v>
      </c>
      <c r="C21" s="23">
        <v>2020</v>
      </c>
      <c r="D21" s="23" t="s">
        <v>1659</v>
      </c>
      <c r="E21" s="23">
        <v>2.02010159294744E+17</v>
      </c>
      <c r="F21" s="23">
        <v>12</v>
      </c>
      <c r="G21" s="23" t="s">
        <v>1663</v>
      </c>
      <c r="H21" s="23">
        <v>1451160</v>
      </c>
      <c r="J21" s="23" t="s">
        <v>1596</v>
      </c>
      <c r="K21" s="23" t="s">
        <v>1595</v>
      </c>
      <c r="N21" s="23" t="s">
        <v>1594</v>
      </c>
      <c r="O21" s="23" t="s">
        <v>37</v>
      </c>
      <c r="Q21" s="23" t="s">
        <v>26</v>
      </c>
      <c r="R21" s="23" t="s">
        <v>1591</v>
      </c>
      <c r="T21" s="23" t="s">
        <v>1590</v>
      </c>
      <c r="V21" s="23" t="s">
        <v>1610</v>
      </c>
      <c r="X21" s="23" t="s">
        <v>1588</v>
      </c>
      <c r="Y21" s="23" t="s">
        <v>15</v>
      </c>
      <c r="Z21" s="23">
        <v>483013253</v>
      </c>
      <c r="AA21" s="23" t="s">
        <v>1609</v>
      </c>
      <c r="AB21" s="23" t="s">
        <v>1587</v>
      </c>
      <c r="AD21" s="23" t="s">
        <v>1621</v>
      </c>
      <c r="AE21" s="23" t="s">
        <v>1620</v>
      </c>
      <c r="AG21" s="23" t="s">
        <v>1619</v>
      </c>
      <c r="AI21" s="25">
        <v>44101</v>
      </c>
      <c r="AJ21" s="23">
        <v>500</v>
      </c>
      <c r="AK21" s="23">
        <v>1200</v>
      </c>
      <c r="BG21" s="23" t="s">
        <v>1606</v>
      </c>
      <c r="BI21" s="23" t="s">
        <v>1605</v>
      </c>
      <c r="BJ21" s="23">
        <v>2020</v>
      </c>
      <c r="BK21" s="23" t="s">
        <v>48</v>
      </c>
      <c r="BL21" s="23" t="s">
        <v>1584</v>
      </c>
      <c r="BM21" s="23" t="s">
        <v>1583</v>
      </c>
      <c r="BN21" s="24">
        <v>44160.167361423613</v>
      </c>
      <c r="BP21" s="23" t="s">
        <v>1662</v>
      </c>
      <c r="BQ21" s="23" t="s">
        <v>1615</v>
      </c>
      <c r="BR21" s="23" t="s">
        <v>1602</v>
      </c>
      <c r="BS21" s="23">
        <v>4.1016202018576502E+18</v>
      </c>
      <c r="BT21" s="23" t="s">
        <v>1581</v>
      </c>
      <c r="BU21" s="23" t="s">
        <v>1661</v>
      </c>
      <c r="BV21" s="23">
        <v>2020</v>
      </c>
      <c r="BW21" s="23" t="s">
        <v>1579</v>
      </c>
      <c r="BY21" s="23">
        <v>4.1125202019605898E+18</v>
      </c>
      <c r="BZ21" s="23" t="s">
        <v>1660</v>
      </c>
      <c r="CA21" s="23" t="s">
        <v>1613</v>
      </c>
    </row>
    <row r="22" spans="1:79" x14ac:dyDescent="0.2">
      <c r="A22" s="23" t="s">
        <v>1320</v>
      </c>
      <c r="B22" s="23" t="s">
        <v>615</v>
      </c>
      <c r="C22" s="23">
        <v>2020</v>
      </c>
      <c r="D22" s="23" t="s">
        <v>1659</v>
      </c>
      <c r="E22" s="23">
        <v>2.02010159294744E+17</v>
      </c>
      <c r="F22" s="23">
        <v>12</v>
      </c>
      <c r="G22" s="23" t="s">
        <v>1658</v>
      </c>
      <c r="H22" s="23">
        <v>1451160</v>
      </c>
      <c r="J22" s="23" t="s">
        <v>1596</v>
      </c>
      <c r="K22" s="23" t="s">
        <v>1595</v>
      </c>
      <c r="N22" s="23" t="s">
        <v>1594</v>
      </c>
      <c r="O22" s="23" t="s">
        <v>37</v>
      </c>
      <c r="Q22" s="23" t="s">
        <v>26</v>
      </c>
      <c r="R22" s="23" t="s">
        <v>1591</v>
      </c>
      <c r="T22" s="23" t="s">
        <v>1590</v>
      </c>
      <c r="V22" s="23" t="s">
        <v>1610</v>
      </c>
      <c r="X22" s="23" t="s">
        <v>1588</v>
      </c>
      <c r="Y22" s="23" t="s">
        <v>15</v>
      </c>
      <c r="Z22" s="23">
        <v>483013253</v>
      </c>
      <c r="AA22" s="23" t="s">
        <v>1609</v>
      </c>
      <c r="AB22" s="23" t="s">
        <v>1587</v>
      </c>
      <c r="AD22" s="23" t="s">
        <v>1621</v>
      </c>
      <c r="AE22" s="23" t="s">
        <v>1620</v>
      </c>
      <c r="AG22" s="23" t="s">
        <v>1619</v>
      </c>
      <c r="AI22" s="25">
        <v>44047</v>
      </c>
      <c r="AJ22" s="23">
        <v>100</v>
      </c>
      <c r="AK22" s="23">
        <v>700</v>
      </c>
      <c r="BG22" s="23" t="s">
        <v>1651</v>
      </c>
      <c r="BI22" s="23" t="s">
        <v>1648</v>
      </c>
      <c r="BJ22" s="23">
        <v>2020</v>
      </c>
      <c r="BK22" s="23" t="s">
        <v>48</v>
      </c>
      <c r="BL22" s="23" t="s">
        <v>1584</v>
      </c>
      <c r="BM22" s="23" t="s">
        <v>1583</v>
      </c>
      <c r="BN22" s="24">
        <v>44160.167361712964</v>
      </c>
      <c r="BP22" s="23" t="s">
        <v>1657</v>
      </c>
      <c r="BQ22" s="23" t="s">
        <v>1615</v>
      </c>
      <c r="BR22" s="23" t="s">
        <v>1602</v>
      </c>
      <c r="BS22" s="23">
        <v>4.1016202018576502E+18</v>
      </c>
      <c r="BT22" s="23" t="s">
        <v>1581</v>
      </c>
      <c r="BU22" s="23" t="s">
        <v>1656</v>
      </c>
      <c r="BV22" s="23">
        <v>2020</v>
      </c>
      <c r="BW22" s="23" t="s">
        <v>1579</v>
      </c>
      <c r="BY22" s="23">
        <v>4.1125202019605898E+18</v>
      </c>
      <c r="BZ22" s="23" t="s">
        <v>1655</v>
      </c>
      <c r="CA22" s="23" t="s">
        <v>1613</v>
      </c>
    </row>
    <row r="23" spans="1:79" x14ac:dyDescent="0.2">
      <c r="A23" s="23" t="s">
        <v>1438</v>
      </c>
      <c r="B23" s="23" t="s">
        <v>733</v>
      </c>
      <c r="C23" s="23">
        <v>2020</v>
      </c>
      <c r="D23" s="23" t="s">
        <v>1652</v>
      </c>
      <c r="E23" s="23">
        <v>2.0210602944854899E+17</v>
      </c>
      <c r="F23" s="23" t="s">
        <v>1598</v>
      </c>
      <c r="G23" s="23">
        <v>5439643</v>
      </c>
      <c r="H23" s="23">
        <v>1518550</v>
      </c>
      <c r="J23" s="23" t="s">
        <v>1596</v>
      </c>
      <c r="K23" s="23" t="s">
        <v>1595</v>
      </c>
      <c r="N23" s="23" t="s">
        <v>1594</v>
      </c>
      <c r="O23" s="23" t="s">
        <v>37</v>
      </c>
      <c r="Q23" s="23" t="s">
        <v>26</v>
      </c>
      <c r="R23" s="23" t="s">
        <v>1591</v>
      </c>
      <c r="T23" s="23" t="s">
        <v>1590</v>
      </c>
      <c r="V23" s="23" t="s">
        <v>1610</v>
      </c>
      <c r="X23" s="23" t="s">
        <v>1588</v>
      </c>
      <c r="Y23" s="23" t="s">
        <v>15</v>
      </c>
      <c r="Z23" s="23">
        <v>483013253</v>
      </c>
      <c r="AA23" s="23" t="s">
        <v>1609</v>
      </c>
      <c r="AB23" s="23" t="s">
        <v>1587</v>
      </c>
      <c r="AD23" s="23" t="s">
        <v>1608</v>
      </c>
      <c r="AE23" s="23" t="s">
        <v>1607</v>
      </c>
      <c r="AI23" s="25">
        <v>44178</v>
      </c>
      <c r="AJ23" s="23">
        <v>500</v>
      </c>
      <c r="AK23" s="23">
        <v>1150</v>
      </c>
      <c r="BG23" s="23" t="s">
        <v>1651</v>
      </c>
      <c r="BH23" s="23" t="s">
        <v>1650</v>
      </c>
      <c r="BI23" s="23" t="s">
        <v>1648</v>
      </c>
      <c r="BJ23" s="23">
        <v>2020</v>
      </c>
      <c r="BK23" s="23" t="s">
        <v>48</v>
      </c>
      <c r="BL23" s="23" t="s">
        <v>1584</v>
      </c>
      <c r="BM23" s="23" t="s">
        <v>1583</v>
      </c>
      <c r="BN23" s="24">
        <v>44358.162304548612</v>
      </c>
      <c r="BP23" s="23" t="s">
        <v>1654</v>
      </c>
      <c r="BQ23" s="23" t="s">
        <v>1603</v>
      </c>
      <c r="BR23" s="23" t="s">
        <v>1602</v>
      </c>
      <c r="BS23" s="23">
        <v>4.0604202112998001E+18</v>
      </c>
      <c r="BT23" s="23" t="s">
        <v>1581</v>
      </c>
      <c r="BU23" s="23" t="s">
        <v>1601</v>
      </c>
      <c r="BV23" s="23">
        <v>2020</v>
      </c>
      <c r="BW23" s="23" t="s">
        <v>1579</v>
      </c>
      <c r="BY23" s="23">
        <v>4.0611202113064699E+18</v>
      </c>
      <c r="BZ23" s="23" t="s">
        <v>1653</v>
      </c>
      <c r="CA23" s="23" t="s">
        <v>1577</v>
      </c>
    </row>
    <row r="24" spans="1:79" x14ac:dyDescent="0.2">
      <c r="A24" s="23" t="s">
        <v>1438</v>
      </c>
      <c r="B24" s="23" t="s">
        <v>733</v>
      </c>
      <c r="C24" s="23">
        <v>2020</v>
      </c>
      <c r="D24" s="23" t="s">
        <v>1652</v>
      </c>
      <c r="E24" s="23">
        <v>2.0210602944871398E+17</v>
      </c>
      <c r="F24" s="23">
        <v>12</v>
      </c>
      <c r="G24" s="23">
        <v>4631655</v>
      </c>
      <c r="H24" s="23">
        <v>1518550</v>
      </c>
      <c r="J24" s="23" t="s">
        <v>1596</v>
      </c>
      <c r="K24" s="23" t="s">
        <v>1595</v>
      </c>
      <c r="N24" s="23" t="s">
        <v>1594</v>
      </c>
      <c r="O24" s="23" t="s">
        <v>37</v>
      </c>
      <c r="Q24" s="23" t="s">
        <v>26</v>
      </c>
      <c r="R24" s="23" t="s">
        <v>1591</v>
      </c>
      <c r="T24" s="23" t="s">
        <v>1590</v>
      </c>
      <c r="V24" s="23" t="s">
        <v>1610</v>
      </c>
      <c r="X24" s="23" t="s">
        <v>1588</v>
      </c>
      <c r="Y24" s="23" t="s">
        <v>15</v>
      </c>
      <c r="Z24" s="23">
        <v>483013253</v>
      </c>
      <c r="AA24" s="23" t="s">
        <v>1609</v>
      </c>
      <c r="AB24" s="23" t="s">
        <v>1587</v>
      </c>
      <c r="AD24" s="23" t="s">
        <v>1621</v>
      </c>
      <c r="AE24" s="23" t="s">
        <v>1620</v>
      </c>
      <c r="AG24" s="23" t="s">
        <v>1619</v>
      </c>
      <c r="AI24" s="25">
        <v>44144</v>
      </c>
      <c r="AJ24" s="23">
        <v>500</v>
      </c>
      <c r="AK24" s="23">
        <v>1150</v>
      </c>
      <c r="BG24" s="23" t="s">
        <v>1651</v>
      </c>
      <c r="BH24" s="23" t="s">
        <v>1650</v>
      </c>
      <c r="BI24" s="23" t="s">
        <v>1648</v>
      </c>
      <c r="BJ24" s="23">
        <v>2020</v>
      </c>
      <c r="BK24" s="23" t="s">
        <v>48</v>
      </c>
      <c r="BL24" s="23" t="s">
        <v>1584</v>
      </c>
      <c r="BM24" s="23" t="s">
        <v>1583</v>
      </c>
      <c r="BN24" s="24">
        <v>44358.165470243053</v>
      </c>
      <c r="BP24" s="23">
        <v>4630923</v>
      </c>
      <c r="BQ24" s="23" t="s">
        <v>1615</v>
      </c>
      <c r="BR24" s="23" t="s">
        <v>1602</v>
      </c>
      <c r="BS24" s="23">
        <v>4.0604202112998001E+18</v>
      </c>
      <c r="BT24" s="23" t="s">
        <v>1581</v>
      </c>
      <c r="BV24" s="23">
        <v>2020</v>
      </c>
      <c r="BW24" s="23" t="s">
        <v>1579</v>
      </c>
      <c r="BY24" s="23">
        <v>4.0611202113069701E+18</v>
      </c>
      <c r="BZ24" s="23" t="s">
        <v>1649</v>
      </c>
      <c r="CA24" s="23" t="s">
        <v>1613</v>
      </c>
    </row>
    <row r="25" spans="1:79" x14ac:dyDescent="0.2">
      <c r="A25" s="23" t="s">
        <v>1542</v>
      </c>
      <c r="B25" s="23" t="s">
        <v>837</v>
      </c>
      <c r="C25" s="23">
        <v>2020</v>
      </c>
      <c r="D25" s="23" t="s">
        <v>1612</v>
      </c>
      <c r="E25" s="23">
        <v>2.02012039337572E+17</v>
      </c>
      <c r="F25" s="23" t="s">
        <v>1598</v>
      </c>
      <c r="G25" s="23">
        <v>3343401</v>
      </c>
      <c r="H25" s="23">
        <v>1477532</v>
      </c>
      <c r="J25" s="23" t="s">
        <v>1596</v>
      </c>
      <c r="K25" s="23" t="s">
        <v>1595</v>
      </c>
      <c r="L25" s="23" t="s">
        <v>1013</v>
      </c>
      <c r="N25" s="23" t="s">
        <v>1594</v>
      </c>
      <c r="O25" s="23" t="s">
        <v>0</v>
      </c>
      <c r="Q25" s="23" t="s">
        <v>58</v>
      </c>
      <c r="R25" s="23" t="s">
        <v>1591</v>
      </c>
      <c r="T25" s="23" t="s">
        <v>1590</v>
      </c>
      <c r="V25" s="23" t="s">
        <v>1610</v>
      </c>
      <c r="X25" s="23" t="s">
        <v>1588</v>
      </c>
      <c r="Y25" s="23" t="s">
        <v>15</v>
      </c>
      <c r="Z25" s="23">
        <v>483013253</v>
      </c>
      <c r="AA25" s="23" t="s">
        <v>1609</v>
      </c>
      <c r="AB25" s="23" t="s">
        <v>1587</v>
      </c>
      <c r="AC25" s="23" t="s">
        <v>1013</v>
      </c>
      <c r="AD25" s="23" t="s">
        <v>1608</v>
      </c>
      <c r="AE25" s="23" t="s">
        <v>1607</v>
      </c>
      <c r="AI25" s="25">
        <v>44144</v>
      </c>
      <c r="AJ25" s="23">
        <v>1000</v>
      </c>
      <c r="AK25" s="23">
        <v>1000</v>
      </c>
      <c r="BG25" s="23" t="s">
        <v>26</v>
      </c>
      <c r="BI25" s="23" t="s">
        <v>1648</v>
      </c>
      <c r="BK25" s="23" t="s">
        <v>48</v>
      </c>
      <c r="BL25" s="23" t="s">
        <v>1584</v>
      </c>
      <c r="BM25" s="23" t="s">
        <v>1583</v>
      </c>
      <c r="BN25" s="24">
        <v>44184.324938182872</v>
      </c>
      <c r="BP25" s="23" t="s">
        <v>1647</v>
      </c>
      <c r="BQ25" s="23" t="s">
        <v>1603</v>
      </c>
      <c r="BR25" s="23" t="s">
        <v>1582</v>
      </c>
      <c r="BS25" s="23">
        <v>4.1204202019634299E+18</v>
      </c>
      <c r="BT25" s="23" t="s">
        <v>1581</v>
      </c>
      <c r="BU25" s="23" t="s">
        <v>1601</v>
      </c>
      <c r="BV25" s="23">
        <v>2020</v>
      </c>
      <c r="BW25" s="23" t="s">
        <v>1579</v>
      </c>
      <c r="BY25" s="23">
        <v>4.1219202019784402E+18</v>
      </c>
      <c r="BZ25" s="23" t="s">
        <v>1646</v>
      </c>
      <c r="CA25" s="23" t="s">
        <v>1577</v>
      </c>
    </row>
    <row r="26" spans="1:79" x14ac:dyDescent="0.2">
      <c r="A26" s="23" t="s">
        <v>1481</v>
      </c>
      <c r="B26" s="23" t="s">
        <v>776</v>
      </c>
      <c r="C26" s="23">
        <v>2020</v>
      </c>
      <c r="D26" s="23" t="s">
        <v>1612</v>
      </c>
      <c r="E26" s="23">
        <v>2.0201203933829699E+17</v>
      </c>
      <c r="F26" s="23" t="s">
        <v>1598</v>
      </c>
      <c r="G26" s="23" t="s">
        <v>1645</v>
      </c>
      <c r="H26" s="23">
        <v>1478911</v>
      </c>
      <c r="J26" s="23" t="s">
        <v>1596</v>
      </c>
      <c r="K26" s="23" t="s">
        <v>1595</v>
      </c>
      <c r="L26" s="23" t="s">
        <v>1013</v>
      </c>
      <c r="N26" s="23" t="s">
        <v>1644</v>
      </c>
      <c r="O26" s="23" t="s">
        <v>73</v>
      </c>
      <c r="Q26" s="23" t="s">
        <v>26</v>
      </c>
      <c r="R26" s="23" t="s">
        <v>1591</v>
      </c>
      <c r="S26" s="23" t="s">
        <v>1643</v>
      </c>
      <c r="T26" s="23" t="s">
        <v>1590</v>
      </c>
      <c r="U26" s="23" t="s">
        <v>1642</v>
      </c>
      <c r="V26" s="23" t="s">
        <v>1610</v>
      </c>
      <c r="X26" s="23" t="s">
        <v>1641</v>
      </c>
      <c r="Y26" s="23" t="s">
        <v>15</v>
      </c>
      <c r="Z26" s="23">
        <v>483013253</v>
      </c>
      <c r="AA26" s="23" t="s">
        <v>1640</v>
      </c>
      <c r="AB26" s="23" t="s">
        <v>1587</v>
      </c>
      <c r="AC26" s="23" t="s">
        <v>1013</v>
      </c>
      <c r="AD26" s="23" t="s">
        <v>1608</v>
      </c>
      <c r="AE26" s="23" t="s">
        <v>1607</v>
      </c>
      <c r="AI26" s="25">
        <v>44125</v>
      </c>
      <c r="AJ26" s="23">
        <v>250</v>
      </c>
      <c r="AK26" s="23">
        <v>1250</v>
      </c>
      <c r="BG26" s="23" t="s">
        <v>1606</v>
      </c>
      <c r="BI26" s="23" t="s">
        <v>1605</v>
      </c>
      <c r="BJ26" s="23">
        <v>2020</v>
      </c>
      <c r="BK26" s="23" t="s">
        <v>48</v>
      </c>
      <c r="BL26" s="23" t="s">
        <v>1584</v>
      </c>
      <c r="BM26" s="23" t="s">
        <v>1583</v>
      </c>
      <c r="BN26" s="24">
        <v>44189.17313476852</v>
      </c>
      <c r="BP26" s="23" t="s">
        <v>1639</v>
      </c>
      <c r="BQ26" s="23" t="s">
        <v>1603</v>
      </c>
      <c r="BR26" s="23" t="s">
        <v>1602</v>
      </c>
      <c r="BS26" s="23">
        <v>4.1204202019634202E+18</v>
      </c>
      <c r="BT26" s="23" t="s">
        <v>1581</v>
      </c>
      <c r="BU26" s="23" t="s">
        <v>1601</v>
      </c>
      <c r="BV26" s="23">
        <v>2020</v>
      </c>
      <c r="BW26" s="23" t="s">
        <v>1579</v>
      </c>
      <c r="BY26" s="23">
        <v>4.1224202019863199E+18</v>
      </c>
      <c r="BZ26" s="23" t="s">
        <v>1638</v>
      </c>
      <c r="CA26" s="23" t="s">
        <v>1577</v>
      </c>
    </row>
    <row r="27" spans="1:79" hidden="1" x14ac:dyDescent="0.2">
      <c r="A27" s="23" t="s">
        <v>1013</v>
      </c>
      <c r="B27" s="23" t="s">
        <v>308</v>
      </c>
      <c r="C27" s="23">
        <v>2020</v>
      </c>
      <c r="D27" s="23" t="s">
        <v>1612</v>
      </c>
      <c r="E27" s="23">
        <v>2.0201204935391901E+17</v>
      </c>
      <c r="F27" s="23" t="s">
        <v>1598</v>
      </c>
      <c r="G27" s="23" t="s">
        <v>1637</v>
      </c>
      <c r="H27" s="23">
        <v>1481637</v>
      </c>
      <c r="J27" s="23" t="s">
        <v>1596</v>
      </c>
      <c r="K27" s="23" t="s">
        <v>1595</v>
      </c>
      <c r="N27" s="23" t="s">
        <v>1636</v>
      </c>
      <c r="O27" s="23" t="s">
        <v>1593</v>
      </c>
      <c r="Q27" s="23" t="s">
        <v>1592</v>
      </c>
      <c r="R27" s="23" t="s">
        <v>1591</v>
      </c>
      <c r="T27" s="23" t="s">
        <v>1635</v>
      </c>
      <c r="V27" s="23" t="s">
        <v>1634</v>
      </c>
      <c r="X27" s="23" t="s">
        <v>1633</v>
      </c>
      <c r="Y27" s="23" t="s">
        <v>1632</v>
      </c>
      <c r="Z27" s="23">
        <v>55303</v>
      </c>
      <c r="AA27" s="23" t="s">
        <v>1631</v>
      </c>
      <c r="AB27" s="23" t="s">
        <v>1630</v>
      </c>
      <c r="AF27" s="23" t="s">
        <v>1586</v>
      </c>
      <c r="AI27" s="25">
        <v>44125</v>
      </c>
      <c r="AJ27" s="23">
        <v>50</v>
      </c>
      <c r="AK27" s="23">
        <v>50</v>
      </c>
      <c r="BF27" s="23" t="s">
        <v>1585</v>
      </c>
      <c r="BK27" s="23" t="s">
        <v>48</v>
      </c>
      <c r="BL27" s="23" t="s">
        <v>1584</v>
      </c>
      <c r="BM27" s="23" t="s">
        <v>1583</v>
      </c>
      <c r="BN27" s="24">
        <v>44201.579932002314</v>
      </c>
      <c r="BR27" s="23" t="s">
        <v>1582</v>
      </c>
      <c r="BS27" s="23">
        <v>4.1205202019644498E+18</v>
      </c>
      <c r="BT27" s="23" t="s">
        <v>1581</v>
      </c>
      <c r="BU27" s="23" t="s">
        <v>1629</v>
      </c>
      <c r="BV27" s="23">
        <v>2020</v>
      </c>
      <c r="BW27" s="23" t="s">
        <v>1579</v>
      </c>
      <c r="BY27" s="23">
        <v>4.01042021199392E+18</v>
      </c>
      <c r="BZ27" s="23" t="s">
        <v>1628</v>
      </c>
      <c r="CA27" s="23" t="s">
        <v>1577</v>
      </c>
    </row>
    <row r="28" spans="1:79" x14ac:dyDescent="0.2">
      <c r="A28" s="23" t="s">
        <v>1013</v>
      </c>
      <c r="B28" s="23" t="s">
        <v>308</v>
      </c>
      <c r="C28" s="23">
        <v>2020</v>
      </c>
      <c r="D28" s="23" t="s">
        <v>1612</v>
      </c>
      <c r="E28" s="23">
        <v>2.0201204935391901E+17</v>
      </c>
      <c r="F28" s="23" t="s">
        <v>1598</v>
      </c>
      <c r="G28" s="23" t="s">
        <v>1627</v>
      </c>
      <c r="H28" s="23">
        <v>1481637</v>
      </c>
      <c r="J28" s="23" t="s">
        <v>1596</v>
      </c>
      <c r="K28" s="23" t="s">
        <v>1595</v>
      </c>
      <c r="N28" s="23" t="s">
        <v>1594</v>
      </c>
      <c r="O28" s="23" t="s">
        <v>1593</v>
      </c>
      <c r="Q28" s="23" t="s">
        <v>1592</v>
      </c>
      <c r="R28" s="23" t="s">
        <v>1591</v>
      </c>
      <c r="T28" s="23" t="s">
        <v>1590</v>
      </c>
      <c r="V28" s="23" t="s">
        <v>1589</v>
      </c>
      <c r="X28" s="23" t="s">
        <v>1588</v>
      </c>
      <c r="Y28" s="23" t="s">
        <v>15</v>
      </c>
      <c r="Z28" s="23">
        <v>48301</v>
      </c>
      <c r="AA28" s="23" t="s">
        <v>1587</v>
      </c>
      <c r="AB28" s="23" t="s">
        <v>1587</v>
      </c>
      <c r="AF28" s="23" t="s">
        <v>1586</v>
      </c>
      <c r="AI28" s="25">
        <v>44136</v>
      </c>
      <c r="AJ28" s="23">
        <v>150</v>
      </c>
      <c r="AK28" s="23">
        <v>150</v>
      </c>
      <c r="BF28" s="23" t="s">
        <v>1585</v>
      </c>
      <c r="BK28" s="23" t="s">
        <v>48</v>
      </c>
      <c r="BL28" s="23" t="s">
        <v>1584</v>
      </c>
      <c r="BM28" s="23" t="s">
        <v>1583</v>
      </c>
      <c r="BN28" s="24">
        <v>44201.584090775461</v>
      </c>
      <c r="BR28" s="23" t="s">
        <v>1582</v>
      </c>
      <c r="BS28" s="23">
        <v>4.1205202019644498E+18</v>
      </c>
      <c r="BT28" s="23" t="s">
        <v>1581</v>
      </c>
      <c r="BU28" s="23" t="s">
        <v>1626</v>
      </c>
      <c r="BV28" s="23">
        <v>2020</v>
      </c>
      <c r="BW28" s="23" t="s">
        <v>1579</v>
      </c>
      <c r="BY28" s="23">
        <v>4.0104202120035999E+18</v>
      </c>
      <c r="BZ28" s="23" t="s">
        <v>1625</v>
      </c>
      <c r="CA28" s="23" t="s">
        <v>1577</v>
      </c>
    </row>
    <row r="29" spans="1:79" x14ac:dyDescent="0.2">
      <c r="A29" s="23" t="s">
        <v>1504</v>
      </c>
      <c r="B29" s="23" t="s">
        <v>799</v>
      </c>
      <c r="C29" s="23">
        <v>2020</v>
      </c>
      <c r="D29" s="23" t="s">
        <v>1622</v>
      </c>
      <c r="E29" s="23">
        <v>2.0201224939420099E+17</v>
      </c>
      <c r="F29" s="23" t="s">
        <v>1598</v>
      </c>
      <c r="G29" s="23">
        <v>11438046</v>
      </c>
      <c r="H29" s="23">
        <v>1484293</v>
      </c>
      <c r="J29" s="23" t="s">
        <v>1596</v>
      </c>
      <c r="K29" s="23" t="s">
        <v>1595</v>
      </c>
      <c r="L29" s="23" t="s">
        <v>1013</v>
      </c>
      <c r="N29" s="23" t="s">
        <v>1594</v>
      </c>
      <c r="O29" s="23" t="s">
        <v>37</v>
      </c>
      <c r="Q29" s="23" t="s">
        <v>26</v>
      </c>
      <c r="R29" s="23" t="s">
        <v>1591</v>
      </c>
      <c r="T29" s="23" t="s">
        <v>1590</v>
      </c>
      <c r="V29" s="23" t="s">
        <v>1610</v>
      </c>
      <c r="X29" s="23" t="s">
        <v>1588</v>
      </c>
      <c r="Y29" s="23" t="s">
        <v>15</v>
      </c>
      <c r="Z29" s="23">
        <v>483013253</v>
      </c>
      <c r="AA29" s="23" t="s">
        <v>1609</v>
      </c>
      <c r="AB29" s="23" t="s">
        <v>1587</v>
      </c>
      <c r="AC29" s="23" t="s">
        <v>1013</v>
      </c>
      <c r="AD29" s="23" t="s">
        <v>1608</v>
      </c>
      <c r="AE29" s="23" t="s">
        <v>1607</v>
      </c>
      <c r="AI29" s="25">
        <v>44178</v>
      </c>
      <c r="AJ29" s="23">
        <v>500</v>
      </c>
      <c r="AK29" s="23">
        <v>1000</v>
      </c>
      <c r="BG29" s="23" t="s">
        <v>1618</v>
      </c>
      <c r="BH29" s="23" t="s">
        <v>1617</v>
      </c>
      <c r="BI29" s="23" t="s">
        <v>1616</v>
      </c>
      <c r="BJ29" s="23">
        <v>2020</v>
      </c>
      <c r="BK29" s="23" t="s">
        <v>48</v>
      </c>
      <c r="BL29" s="23" t="s">
        <v>1584</v>
      </c>
      <c r="BM29" s="23" t="s">
        <v>1583</v>
      </c>
      <c r="BN29" s="24">
        <v>44219.476266481484</v>
      </c>
      <c r="BP29" s="23" t="s">
        <v>1624</v>
      </c>
      <c r="BQ29" s="23" t="s">
        <v>1603</v>
      </c>
      <c r="BR29" s="23" t="s">
        <v>1602</v>
      </c>
      <c r="BS29" s="23">
        <v>4.12262020198637E+18</v>
      </c>
      <c r="BT29" s="23" t="s">
        <v>1581</v>
      </c>
      <c r="BU29" s="23" t="s">
        <v>1601</v>
      </c>
      <c r="BV29" s="23">
        <v>2020</v>
      </c>
      <c r="BW29" s="23" t="s">
        <v>1579</v>
      </c>
      <c r="BY29" s="23">
        <v>4.0123202121363799E+18</v>
      </c>
      <c r="BZ29" s="23" t="s">
        <v>1623</v>
      </c>
      <c r="CA29" s="23" t="s">
        <v>1577</v>
      </c>
    </row>
    <row r="30" spans="1:79" x14ac:dyDescent="0.2">
      <c r="A30" s="23" t="s">
        <v>1504</v>
      </c>
      <c r="B30" s="23" t="s">
        <v>799</v>
      </c>
      <c r="C30" s="23">
        <v>2020</v>
      </c>
      <c r="D30" s="23" t="s">
        <v>1622</v>
      </c>
      <c r="E30" s="23">
        <v>2.0201224939426899E+17</v>
      </c>
      <c r="F30" s="23">
        <v>12</v>
      </c>
      <c r="G30" s="23">
        <v>10090003</v>
      </c>
      <c r="H30" s="23">
        <v>1484293</v>
      </c>
      <c r="J30" s="23" t="s">
        <v>1596</v>
      </c>
      <c r="K30" s="23" t="s">
        <v>1595</v>
      </c>
      <c r="N30" s="23" t="s">
        <v>1594</v>
      </c>
      <c r="O30" s="23" t="s">
        <v>37</v>
      </c>
      <c r="Q30" s="23" t="s">
        <v>26</v>
      </c>
      <c r="R30" s="23" t="s">
        <v>1591</v>
      </c>
      <c r="T30" s="23" t="s">
        <v>1590</v>
      </c>
      <c r="V30" s="23" t="s">
        <v>1610</v>
      </c>
      <c r="X30" s="23" t="s">
        <v>1588</v>
      </c>
      <c r="Y30" s="23" t="s">
        <v>15</v>
      </c>
      <c r="Z30" s="23">
        <v>483013253</v>
      </c>
      <c r="AA30" s="23" t="s">
        <v>1609</v>
      </c>
      <c r="AB30" s="23" t="s">
        <v>1587</v>
      </c>
      <c r="AD30" s="23" t="s">
        <v>1621</v>
      </c>
      <c r="AE30" s="23" t="s">
        <v>1620</v>
      </c>
      <c r="AG30" s="23" t="s">
        <v>1619</v>
      </c>
      <c r="AI30" s="25">
        <v>44144</v>
      </c>
      <c r="AJ30" s="23">
        <v>500</v>
      </c>
      <c r="AK30" s="23">
        <v>1000</v>
      </c>
      <c r="BG30" s="23" t="s">
        <v>1618</v>
      </c>
      <c r="BH30" s="23" t="s">
        <v>1617</v>
      </c>
      <c r="BI30" s="23" t="s">
        <v>1616</v>
      </c>
      <c r="BJ30" s="23">
        <v>2020</v>
      </c>
      <c r="BK30" s="23" t="s">
        <v>48</v>
      </c>
      <c r="BL30" s="23" t="s">
        <v>1584</v>
      </c>
      <c r="BM30" s="23" t="s">
        <v>1583</v>
      </c>
      <c r="BN30" s="24">
        <v>44219.477428726852</v>
      </c>
      <c r="BP30" s="23">
        <v>10074227</v>
      </c>
      <c r="BQ30" s="23" t="s">
        <v>1615</v>
      </c>
      <c r="BR30" s="23" t="s">
        <v>1602</v>
      </c>
      <c r="BS30" s="23">
        <v>4.12262020198637E+18</v>
      </c>
      <c r="BT30" s="23" t="s">
        <v>1581</v>
      </c>
      <c r="BV30" s="23">
        <v>2020</v>
      </c>
      <c r="BW30" s="23" t="s">
        <v>1579</v>
      </c>
      <c r="BY30" s="23">
        <v>4.0123202121365898E+18</v>
      </c>
      <c r="BZ30" s="23" t="s">
        <v>1614</v>
      </c>
      <c r="CA30" s="23" t="s">
        <v>1613</v>
      </c>
    </row>
    <row r="31" spans="1:79" x14ac:dyDescent="0.2">
      <c r="A31" s="23" t="s">
        <v>1225</v>
      </c>
      <c r="B31" s="23" t="s">
        <v>520</v>
      </c>
      <c r="C31" s="23">
        <v>2020</v>
      </c>
      <c r="D31" s="23" t="s">
        <v>1612</v>
      </c>
      <c r="E31" s="23">
        <v>2.0201203934095002E+17</v>
      </c>
      <c r="F31" s="23" t="s">
        <v>1598</v>
      </c>
      <c r="G31" s="23" t="s">
        <v>1611</v>
      </c>
      <c r="H31" s="23">
        <v>1480536</v>
      </c>
      <c r="J31" s="23" t="s">
        <v>1596</v>
      </c>
      <c r="K31" s="23" t="s">
        <v>1595</v>
      </c>
      <c r="L31" s="23" t="s">
        <v>1013</v>
      </c>
      <c r="N31" s="23" t="s">
        <v>1594</v>
      </c>
      <c r="O31" s="23" t="s">
        <v>37</v>
      </c>
      <c r="Q31" s="23" t="s">
        <v>26</v>
      </c>
      <c r="R31" s="23" t="s">
        <v>1591</v>
      </c>
      <c r="T31" s="23" t="s">
        <v>1590</v>
      </c>
      <c r="V31" s="23" t="s">
        <v>1610</v>
      </c>
      <c r="X31" s="23" t="s">
        <v>1588</v>
      </c>
      <c r="Y31" s="23" t="s">
        <v>15</v>
      </c>
      <c r="Z31" s="23">
        <v>483013253</v>
      </c>
      <c r="AA31" s="23" t="s">
        <v>1609</v>
      </c>
      <c r="AB31" s="23" t="s">
        <v>1587</v>
      </c>
      <c r="AC31" s="23" t="s">
        <v>1013</v>
      </c>
      <c r="AD31" s="23" t="s">
        <v>1608</v>
      </c>
      <c r="AE31" s="23" t="s">
        <v>1607</v>
      </c>
      <c r="AI31" s="25">
        <v>44125</v>
      </c>
      <c r="AJ31" s="23">
        <v>250</v>
      </c>
      <c r="AK31" s="23">
        <v>250</v>
      </c>
      <c r="BG31" s="23" t="s">
        <v>1606</v>
      </c>
      <c r="BI31" s="23" t="s">
        <v>1605</v>
      </c>
      <c r="BJ31" s="23">
        <v>2020</v>
      </c>
      <c r="BK31" s="23" t="s">
        <v>48</v>
      </c>
      <c r="BL31" s="23" t="s">
        <v>1584</v>
      </c>
      <c r="BM31" s="23" t="s">
        <v>1583</v>
      </c>
      <c r="BN31" s="24">
        <v>44204.15426275463</v>
      </c>
      <c r="BP31" s="23" t="s">
        <v>1604</v>
      </c>
      <c r="BQ31" s="23" t="s">
        <v>1603</v>
      </c>
      <c r="BR31" s="23" t="s">
        <v>1602</v>
      </c>
      <c r="BS31" s="23">
        <v>4.1204202019634202E+18</v>
      </c>
      <c r="BT31" s="23" t="s">
        <v>1581</v>
      </c>
      <c r="BU31" s="23" t="s">
        <v>1601</v>
      </c>
      <c r="BV31" s="23">
        <v>2020</v>
      </c>
      <c r="BW31" s="23" t="s">
        <v>1579</v>
      </c>
      <c r="BY31" s="23">
        <v>4.0108202120640998E+18</v>
      </c>
      <c r="BZ31" s="23" t="s">
        <v>1600</v>
      </c>
      <c r="CA31" s="23" t="s">
        <v>1577</v>
      </c>
    </row>
    <row r="32" spans="1:79" x14ac:dyDescent="0.2">
      <c r="A32" s="23" t="s">
        <v>1013</v>
      </c>
      <c r="B32" s="23" t="s">
        <v>308</v>
      </c>
      <c r="C32" s="23">
        <v>2020</v>
      </c>
      <c r="D32" s="23" t="s">
        <v>1599</v>
      </c>
      <c r="E32" s="23">
        <v>2.02012119367572E+17</v>
      </c>
      <c r="F32" s="23" t="s">
        <v>1598</v>
      </c>
      <c r="G32" s="23" t="s">
        <v>1597</v>
      </c>
      <c r="H32" s="23">
        <v>1482644</v>
      </c>
      <c r="J32" s="23" t="s">
        <v>1596</v>
      </c>
      <c r="K32" s="23" t="s">
        <v>1595</v>
      </c>
      <c r="N32" s="23" t="s">
        <v>1594</v>
      </c>
      <c r="O32" s="23" t="s">
        <v>1593</v>
      </c>
      <c r="Q32" s="23" t="s">
        <v>1592</v>
      </c>
      <c r="R32" s="23" t="s">
        <v>1591</v>
      </c>
      <c r="T32" s="23" t="s">
        <v>1590</v>
      </c>
      <c r="V32" s="23" t="s">
        <v>1589</v>
      </c>
      <c r="X32" s="23" t="s">
        <v>1588</v>
      </c>
      <c r="Y32" s="23" t="s">
        <v>15</v>
      </c>
      <c r="Z32" s="23">
        <v>48301</v>
      </c>
      <c r="AA32" s="23" t="s">
        <v>1587</v>
      </c>
      <c r="AB32" s="23" t="s">
        <v>1587</v>
      </c>
      <c r="AF32" s="23" t="s">
        <v>1586</v>
      </c>
      <c r="AI32" s="25">
        <v>44048</v>
      </c>
      <c r="AJ32" s="23">
        <v>100</v>
      </c>
      <c r="AK32" s="23">
        <v>100</v>
      </c>
      <c r="BF32" s="23" t="s">
        <v>1585</v>
      </c>
      <c r="BK32" s="23" t="s">
        <v>48</v>
      </c>
      <c r="BL32" s="23" t="s">
        <v>1584</v>
      </c>
      <c r="BM32" s="23" t="s">
        <v>1583</v>
      </c>
      <c r="BN32" s="24">
        <v>44209.440277546295</v>
      </c>
      <c r="BR32" s="23" t="s">
        <v>1582</v>
      </c>
      <c r="BS32" s="23">
        <v>4.1215202019740099E+18</v>
      </c>
      <c r="BT32" s="23" t="s">
        <v>1581</v>
      </c>
      <c r="BU32" s="23" t="s">
        <v>1580</v>
      </c>
      <c r="BV32" s="23">
        <v>2020</v>
      </c>
      <c r="BW32" s="23" t="s">
        <v>1579</v>
      </c>
      <c r="BY32" s="23">
        <v>4.0112202120694298E+18</v>
      </c>
      <c r="BZ32" s="23" t="s">
        <v>1578</v>
      </c>
      <c r="CA32" s="23" t="s">
        <v>1577</v>
      </c>
    </row>
    <row r="34" spans="2:22" x14ac:dyDescent="0.2">
      <c r="V34" s="23" t="str">
        <f>+V32&amp;X32&amp;Y32&amp;Z32</f>
        <v>3926 OAKLAND DR BLOOMFIELD HILLSMI48301</v>
      </c>
    </row>
    <row r="35" spans="2:22" ht="15" x14ac:dyDescent="0.25">
      <c r="B35" s="35" t="s">
        <v>1803</v>
      </c>
      <c r="C35" t="s">
        <v>1805</v>
      </c>
      <c r="D35"/>
    </row>
    <row r="36" spans="2:22" ht="15" x14ac:dyDescent="0.25">
      <c r="B36" s="36" t="s">
        <v>308</v>
      </c>
      <c r="C36" s="2">
        <v>600</v>
      </c>
      <c r="D36"/>
      <c r="E36" s="23" t="s">
        <v>1557</v>
      </c>
    </row>
    <row r="37" spans="2:22" ht="15" x14ac:dyDescent="0.25">
      <c r="B37" s="36" t="s">
        <v>612</v>
      </c>
      <c r="C37" s="2">
        <v>1500</v>
      </c>
      <c r="D37"/>
      <c r="E37" s="23" t="s">
        <v>1557</v>
      </c>
    </row>
    <row r="38" spans="2:22" ht="15" x14ac:dyDescent="0.25">
      <c r="B38" s="36" t="s">
        <v>688</v>
      </c>
      <c r="C38" s="2">
        <v>150</v>
      </c>
      <c r="D38"/>
      <c r="E38" s="23" t="s">
        <v>1557</v>
      </c>
    </row>
    <row r="39" spans="2:22" ht="15" x14ac:dyDescent="0.25">
      <c r="B39" s="36" t="s">
        <v>649</v>
      </c>
      <c r="C39" s="2">
        <v>2500</v>
      </c>
      <c r="D39"/>
      <c r="E39" s="23" t="s">
        <v>1557</v>
      </c>
    </row>
    <row r="40" spans="2:22" ht="15" x14ac:dyDescent="0.25">
      <c r="B40" s="36" t="s">
        <v>837</v>
      </c>
      <c r="C40" s="2">
        <v>1000</v>
      </c>
      <c r="D40"/>
      <c r="E40" s="23" t="s">
        <v>1557</v>
      </c>
    </row>
    <row r="41" spans="2:22" ht="15" x14ac:dyDescent="0.25">
      <c r="B41" s="36" t="s">
        <v>776</v>
      </c>
      <c r="C41" s="2">
        <v>1250</v>
      </c>
      <c r="D41"/>
      <c r="E41" s="23" t="s">
        <v>1557</v>
      </c>
    </row>
    <row r="42" spans="2:22" ht="15" x14ac:dyDescent="0.25">
      <c r="B42" s="36" t="s">
        <v>733</v>
      </c>
      <c r="C42" s="2">
        <v>1000</v>
      </c>
      <c r="D42"/>
      <c r="E42" s="23" t="s">
        <v>1557</v>
      </c>
    </row>
    <row r="43" spans="2:22" ht="15" x14ac:dyDescent="0.25">
      <c r="B43" s="36" t="s">
        <v>615</v>
      </c>
      <c r="C43" s="2">
        <v>1100</v>
      </c>
      <c r="D43"/>
      <c r="E43" s="23" t="s">
        <v>1557</v>
      </c>
    </row>
    <row r="44" spans="2:22" ht="15" x14ac:dyDescent="0.25">
      <c r="B44" s="36" t="s">
        <v>1725</v>
      </c>
      <c r="C44" s="2">
        <v>500</v>
      </c>
      <c r="D44"/>
      <c r="E44" s="23" t="s">
        <v>1557</v>
      </c>
    </row>
    <row r="45" spans="2:22" ht="15" x14ac:dyDescent="0.25">
      <c r="B45" s="36" t="s">
        <v>520</v>
      </c>
      <c r="C45" s="2">
        <v>250</v>
      </c>
      <c r="D45"/>
      <c r="E45" s="23" t="s">
        <v>1557</v>
      </c>
    </row>
    <row r="46" spans="2:22" ht="15" x14ac:dyDescent="0.25">
      <c r="B46" s="36" t="s">
        <v>326</v>
      </c>
      <c r="C46" s="2">
        <v>2500</v>
      </c>
      <c r="D46"/>
      <c r="E46" s="23" t="s">
        <v>1557</v>
      </c>
    </row>
    <row r="47" spans="2:22" ht="15" x14ac:dyDescent="0.25">
      <c r="B47" s="36" t="s">
        <v>799</v>
      </c>
      <c r="C47" s="2">
        <v>1000</v>
      </c>
      <c r="D47"/>
      <c r="E47" s="23" t="s">
        <v>1557</v>
      </c>
    </row>
    <row r="48" spans="2:22" ht="15" x14ac:dyDescent="0.25">
      <c r="B48" s="36" t="s">
        <v>620</v>
      </c>
      <c r="C48" s="2">
        <v>250</v>
      </c>
      <c r="D48"/>
      <c r="E48" s="23" t="s">
        <v>1557</v>
      </c>
    </row>
    <row r="49" spans="2:5" ht="15" x14ac:dyDescent="0.25">
      <c r="B49" s="36" t="s">
        <v>1681</v>
      </c>
      <c r="C49" s="2">
        <v>1500</v>
      </c>
      <c r="D49"/>
      <c r="E49" s="23" t="s">
        <v>1557</v>
      </c>
    </row>
    <row r="50" spans="2:5" ht="15" x14ac:dyDescent="0.25">
      <c r="B50" s="36" t="s">
        <v>1804</v>
      </c>
      <c r="C50" s="2">
        <v>15100</v>
      </c>
      <c r="D50"/>
    </row>
    <row r="51" spans="2:5" ht="15" x14ac:dyDescent="0.25">
      <c r="B51"/>
      <c r="C51"/>
      <c r="D51"/>
    </row>
    <row r="52" spans="2:5" ht="15" x14ac:dyDescent="0.25">
      <c r="B52"/>
      <c r="C52"/>
      <c r="D52"/>
    </row>
  </sheetData>
  <autoFilter ref="A1:CA32">
    <filterColumn colId="19">
      <filters>
        <filter val="EARLEY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sqref="A1:O1"/>
    </sheetView>
  </sheetViews>
  <sheetFormatPr defaultRowHeight="15" x14ac:dyDescent="0.25"/>
  <cols>
    <col min="11" max="11" width="10.7109375" bestFit="1" customWidth="1"/>
  </cols>
  <sheetData>
    <row r="1" spans="1:16" ht="15.75" x14ac:dyDescent="0.25">
      <c r="A1" s="14" t="s">
        <v>11</v>
      </c>
      <c r="B1" s="14" t="s">
        <v>12</v>
      </c>
      <c r="C1" s="14" t="s">
        <v>13</v>
      </c>
      <c r="D1" s="14" t="s">
        <v>10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7</v>
      </c>
      <c r="J1" s="14" t="s">
        <v>5</v>
      </c>
      <c r="K1" s="14" t="s">
        <v>18</v>
      </c>
      <c r="L1" s="14" t="s">
        <v>19</v>
      </c>
      <c r="M1" s="14" t="s">
        <v>20</v>
      </c>
      <c r="N1" s="14" t="s">
        <v>21</v>
      </c>
      <c r="O1" s="14" t="s">
        <v>22</v>
      </c>
      <c r="P1" s="15"/>
    </row>
    <row r="2" spans="1:16" ht="15.75" x14ac:dyDescent="0.25">
      <c r="A2" s="14" t="s">
        <v>23</v>
      </c>
      <c r="B2" s="14" t="s">
        <v>24</v>
      </c>
      <c r="C2" s="14" t="s">
        <v>24</v>
      </c>
      <c r="D2" s="14" t="s">
        <v>23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s="16">
        <v>57</v>
      </c>
      <c r="K2" s="17">
        <v>23388</v>
      </c>
      <c r="L2" s="16">
        <v>20000</v>
      </c>
      <c r="M2" s="15"/>
      <c r="N2" s="15"/>
      <c r="O2" s="18" t="s">
        <v>30</v>
      </c>
      <c r="P2" s="15"/>
    </row>
    <row r="3" spans="1:16" ht="30" x14ac:dyDescent="0.25">
      <c r="A3" s="18" t="s">
        <v>23</v>
      </c>
      <c r="B3" s="18" t="s">
        <v>24</v>
      </c>
      <c r="C3" s="18" t="s">
        <v>24</v>
      </c>
      <c r="D3" s="18" t="s">
        <v>23</v>
      </c>
      <c r="E3" s="18" t="s">
        <v>31</v>
      </c>
      <c r="F3" s="18" t="s">
        <v>32</v>
      </c>
      <c r="G3" s="18" t="s">
        <v>33</v>
      </c>
      <c r="H3" s="18" t="s">
        <v>28</v>
      </c>
      <c r="I3" s="18" t="s">
        <v>29</v>
      </c>
      <c r="J3" s="19">
        <v>69</v>
      </c>
      <c r="K3" s="20">
        <v>18964</v>
      </c>
      <c r="L3" s="19">
        <v>5000</v>
      </c>
      <c r="M3" s="15"/>
      <c r="N3" s="15"/>
      <c r="O3" s="52" t="s">
        <v>34</v>
      </c>
      <c r="P3" s="52"/>
    </row>
    <row r="4" spans="1:16" ht="45" x14ac:dyDescent="0.25">
      <c r="A4" s="18" t="s">
        <v>23</v>
      </c>
      <c r="B4" s="18" t="s">
        <v>24</v>
      </c>
      <c r="C4" s="18" t="s">
        <v>0</v>
      </c>
      <c r="D4" s="18" t="s">
        <v>35</v>
      </c>
      <c r="E4" s="18" t="s">
        <v>36</v>
      </c>
      <c r="F4" s="18" t="s">
        <v>37</v>
      </c>
      <c r="G4" s="18" t="s">
        <v>38</v>
      </c>
      <c r="H4" s="18" t="s">
        <v>39</v>
      </c>
      <c r="I4" s="18" t="s">
        <v>40</v>
      </c>
      <c r="J4" s="19">
        <v>70</v>
      </c>
      <c r="K4" s="20">
        <v>18389</v>
      </c>
      <c r="L4" s="19">
        <v>34180</v>
      </c>
      <c r="M4" s="15"/>
      <c r="N4" s="15"/>
      <c r="O4" s="52" t="s">
        <v>41</v>
      </c>
      <c r="P4" s="52"/>
    </row>
    <row r="5" spans="1:16" ht="30" x14ac:dyDescent="0.25">
      <c r="A5" s="18" t="s">
        <v>23</v>
      </c>
      <c r="B5" s="18" t="s">
        <v>24</v>
      </c>
      <c r="C5" s="18" t="s">
        <v>0</v>
      </c>
      <c r="D5" s="18" t="s">
        <v>42</v>
      </c>
      <c r="E5" s="18" t="s">
        <v>43</v>
      </c>
      <c r="F5" s="18" t="s">
        <v>26</v>
      </c>
      <c r="G5" s="18" t="s">
        <v>44</v>
      </c>
      <c r="H5" s="18" t="s">
        <v>28</v>
      </c>
      <c r="I5" s="18" t="s">
        <v>45</v>
      </c>
      <c r="J5" s="19">
        <v>62</v>
      </c>
      <c r="K5" s="20">
        <v>21731</v>
      </c>
      <c r="L5" s="19">
        <v>1800</v>
      </c>
      <c r="M5" s="15"/>
      <c r="N5" s="15"/>
      <c r="O5" s="15"/>
      <c r="P5" s="15"/>
    </row>
    <row r="6" spans="1:16" ht="15.75" x14ac:dyDescent="0.25">
      <c r="A6" s="18" t="s">
        <v>23</v>
      </c>
      <c r="B6" s="18" t="s">
        <v>24</v>
      </c>
      <c r="C6" s="18" t="s">
        <v>0</v>
      </c>
      <c r="D6" s="18" t="s">
        <v>46</v>
      </c>
      <c r="E6" s="18" t="s">
        <v>47</v>
      </c>
      <c r="F6" s="18" t="s">
        <v>48</v>
      </c>
      <c r="G6" s="18" t="s">
        <v>49</v>
      </c>
      <c r="H6" s="18" t="s">
        <v>39</v>
      </c>
      <c r="I6" s="18" t="s">
        <v>50</v>
      </c>
      <c r="J6" s="19">
        <v>68</v>
      </c>
      <c r="K6" s="20">
        <v>19177</v>
      </c>
      <c r="L6" s="19">
        <v>7509</v>
      </c>
      <c r="M6" s="15"/>
      <c r="N6" s="15"/>
      <c r="O6" s="19">
        <v>10024</v>
      </c>
      <c r="P6" s="15"/>
    </row>
    <row r="7" spans="1:16" ht="15.75" x14ac:dyDescent="0.25">
      <c r="A7" s="18" t="s">
        <v>23</v>
      </c>
      <c r="B7" s="18" t="s">
        <v>24</v>
      </c>
      <c r="C7" s="18" t="s">
        <v>0</v>
      </c>
      <c r="D7" s="18" t="s">
        <v>51</v>
      </c>
      <c r="E7" s="18" t="s">
        <v>52</v>
      </c>
      <c r="F7" s="18" t="s">
        <v>53</v>
      </c>
      <c r="G7" s="18" t="s">
        <v>54</v>
      </c>
      <c r="H7" s="18" t="s">
        <v>39</v>
      </c>
      <c r="I7" s="18" t="s">
        <v>55</v>
      </c>
      <c r="J7" s="19">
        <v>65</v>
      </c>
      <c r="K7" s="20">
        <v>20390</v>
      </c>
      <c r="L7" s="15"/>
      <c r="M7" s="15"/>
      <c r="N7" s="15"/>
      <c r="O7" s="15"/>
      <c r="P7" s="15"/>
    </row>
    <row r="8" spans="1:16" ht="30" x14ac:dyDescent="0.25">
      <c r="A8" s="18" t="s">
        <v>23</v>
      </c>
      <c r="B8" s="18" t="s">
        <v>24</v>
      </c>
      <c r="C8" s="18" t="s">
        <v>0</v>
      </c>
      <c r="D8" s="18" t="s">
        <v>56</v>
      </c>
      <c r="E8" s="18" t="s">
        <v>57</v>
      </c>
      <c r="F8" s="18" t="s">
        <v>58</v>
      </c>
      <c r="G8" s="18" t="s">
        <v>59</v>
      </c>
      <c r="H8" s="18" t="s">
        <v>28</v>
      </c>
      <c r="I8" s="18"/>
      <c r="J8" s="19">
        <v>64</v>
      </c>
      <c r="K8" s="20">
        <v>20743</v>
      </c>
      <c r="L8" s="15"/>
      <c r="M8" s="15"/>
      <c r="N8" s="15"/>
      <c r="O8" s="15"/>
      <c r="P8" s="15"/>
    </row>
    <row r="9" spans="1:16" ht="15.75" x14ac:dyDescent="0.25">
      <c r="A9" s="18" t="s">
        <v>23</v>
      </c>
      <c r="B9" s="18" t="s">
        <v>24</v>
      </c>
      <c r="C9" s="18" t="s">
        <v>0</v>
      </c>
      <c r="D9" s="18" t="s">
        <v>56</v>
      </c>
      <c r="E9" s="18" t="s">
        <v>60</v>
      </c>
      <c r="F9" s="18" t="s">
        <v>61</v>
      </c>
      <c r="G9" s="18" t="s">
        <v>62</v>
      </c>
      <c r="H9" s="18" t="s">
        <v>28</v>
      </c>
      <c r="I9" s="15"/>
      <c r="J9" s="19">
        <v>76</v>
      </c>
      <c r="K9" s="20">
        <v>16253</v>
      </c>
      <c r="L9" s="15"/>
      <c r="M9" s="15"/>
      <c r="N9" s="15"/>
      <c r="O9" s="15"/>
      <c r="P9" s="15"/>
    </row>
    <row r="10" spans="1:16" ht="30" x14ac:dyDescent="0.25">
      <c r="A10" s="18" t="s">
        <v>23</v>
      </c>
      <c r="B10" s="18" t="s">
        <v>24</v>
      </c>
      <c r="C10" s="18" t="s">
        <v>0</v>
      </c>
      <c r="D10" s="18" t="s">
        <v>56</v>
      </c>
      <c r="E10" s="18" t="s">
        <v>63</v>
      </c>
      <c r="F10" s="18" t="s">
        <v>64</v>
      </c>
      <c r="G10" s="18" t="s">
        <v>65</v>
      </c>
      <c r="H10" s="18" t="s">
        <v>39</v>
      </c>
      <c r="I10" s="18" t="s">
        <v>29</v>
      </c>
      <c r="J10" s="19">
        <v>64</v>
      </c>
      <c r="K10" s="20">
        <v>19905</v>
      </c>
      <c r="L10" s="15"/>
      <c r="M10" s="15"/>
      <c r="N10" s="15"/>
      <c r="O10" s="15"/>
      <c r="P10" s="15"/>
    </row>
    <row r="11" spans="1:16" ht="15.75" x14ac:dyDescent="0.25">
      <c r="A11" s="18" t="s">
        <v>23</v>
      </c>
      <c r="B11" s="18" t="s">
        <v>24</v>
      </c>
      <c r="C11" s="18" t="s">
        <v>0</v>
      </c>
      <c r="D11" s="15"/>
      <c r="E11" s="18" t="s">
        <v>66</v>
      </c>
      <c r="F11" s="18" t="s">
        <v>26</v>
      </c>
      <c r="G11" s="18" t="s">
        <v>67</v>
      </c>
      <c r="H11" s="18" t="s">
        <v>28</v>
      </c>
      <c r="I11" s="18" t="s">
        <v>50</v>
      </c>
      <c r="J11" s="19">
        <v>61</v>
      </c>
      <c r="K11" s="20">
        <v>21731</v>
      </c>
      <c r="L11" s="15"/>
      <c r="M11" s="15"/>
      <c r="N11" s="15"/>
      <c r="O11" s="15"/>
      <c r="P11" s="15"/>
    </row>
    <row r="12" spans="1:16" ht="15.75" x14ac:dyDescent="0.25">
      <c r="A12" s="18" t="s">
        <v>23</v>
      </c>
      <c r="B12" s="18" t="s">
        <v>0</v>
      </c>
      <c r="C12" s="18" t="s">
        <v>24</v>
      </c>
      <c r="D12" s="18" t="s">
        <v>23</v>
      </c>
      <c r="E12" s="18" t="s">
        <v>68</v>
      </c>
      <c r="F12" s="18" t="s">
        <v>69</v>
      </c>
      <c r="G12" s="18" t="s">
        <v>70</v>
      </c>
      <c r="H12" s="18" t="s">
        <v>28</v>
      </c>
      <c r="I12" s="18" t="s">
        <v>29</v>
      </c>
      <c r="J12" s="18" t="s">
        <v>56</v>
      </c>
      <c r="K12" s="18" t="s">
        <v>56</v>
      </c>
      <c r="L12" s="15"/>
      <c r="M12" s="15"/>
      <c r="N12" s="15"/>
      <c r="O12" s="52" t="s">
        <v>71</v>
      </c>
      <c r="P12" s="52"/>
    </row>
    <row r="13" spans="1:16" ht="15.75" x14ac:dyDescent="0.25">
      <c r="A13" s="18" t="s">
        <v>23</v>
      </c>
      <c r="B13" s="18" t="s">
        <v>24</v>
      </c>
      <c r="C13" s="18" t="s">
        <v>24</v>
      </c>
      <c r="D13" s="18" t="s">
        <v>23</v>
      </c>
      <c r="E13" s="18" t="s">
        <v>72</v>
      </c>
      <c r="F13" s="18" t="s">
        <v>73</v>
      </c>
      <c r="G13" s="18" t="s">
        <v>74</v>
      </c>
      <c r="H13" s="18" t="s">
        <v>28</v>
      </c>
      <c r="I13" s="18" t="s">
        <v>29</v>
      </c>
      <c r="J13" s="19">
        <v>48</v>
      </c>
      <c r="K13" s="20">
        <v>26845</v>
      </c>
      <c r="L13" s="15"/>
      <c r="M13" s="15"/>
      <c r="N13" s="15"/>
      <c r="O13" s="15"/>
      <c r="P13" s="15"/>
    </row>
    <row r="14" spans="1:16" ht="15.75" x14ac:dyDescent="0.25">
      <c r="A14" s="18" t="s">
        <v>23</v>
      </c>
      <c r="B14" s="18" t="s">
        <v>24</v>
      </c>
      <c r="C14" s="18" t="s">
        <v>24</v>
      </c>
      <c r="D14" s="18" t="s">
        <v>23</v>
      </c>
      <c r="E14" s="18" t="s">
        <v>75</v>
      </c>
      <c r="F14" s="18" t="s">
        <v>1</v>
      </c>
      <c r="G14" s="18" t="s">
        <v>76</v>
      </c>
      <c r="H14" s="18" t="s">
        <v>28</v>
      </c>
      <c r="I14" s="18" t="s">
        <v>29</v>
      </c>
      <c r="J14" s="19">
        <v>53</v>
      </c>
      <c r="K14" s="20">
        <v>24850</v>
      </c>
      <c r="L14" s="15"/>
      <c r="M14" s="15"/>
      <c r="N14" s="15"/>
      <c r="O14" s="15"/>
      <c r="P14" s="15"/>
    </row>
    <row r="15" spans="1:16" x14ac:dyDescent="0.25">
      <c r="A15" s="18" t="s">
        <v>23</v>
      </c>
      <c r="B15" s="18" t="s">
        <v>24</v>
      </c>
      <c r="C15" s="18" t="s">
        <v>24</v>
      </c>
      <c r="D15" s="18" t="s">
        <v>23</v>
      </c>
      <c r="E15" s="18" t="s">
        <v>72</v>
      </c>
      <c r="F15" s="18" t="s">
        <v>48</v>
      </c>
      <c r="G15" s="18" t="s">
        <v>77</v>
      </c>
      <c r="H15" s="18" t="s">
        <v>28</v>
      </c>
      <c r="I15" s="18" t="s">
        <v>29</v>
      </c>
      <c r="J15" s="18" t="s">
        <v>56</v>
      </c>
      <c r="K15" s="20">
        <v>23192</v>
      </c>
      <c r="L15" s="13"/>
      <c r="M15" s="13"/>
      <c r="N15" s="13"/>
      <c r="O15" s="13"/>
      <c r="P15" s="13"/>
    </row>
  </sheetData>
  <mergeCells count="3">
    <mergeCell ref="O3:P3"/>
    <mergeCell ref="O4:P4"/>
    <mergeCell ref="O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Board &amp; Executives</vt:lpstr>
      <vt:lpstr>Company PAC</vt:lpstr>
      <vt:lpstr>Tim Stone</vt:lpstr>
      <vt:lpstr>James P. Hackett</vt:lpstr>
      <vt:lpstr>Hau Thai-Tang</vt:lpstr>
      <vt:lpstr>John Thornton</vt:lpstr>
      <vt:lpstr>Beth Mooney</vt:lpstr>
      <vt:lpstr>William Kennard</vt:lpstr>
      <vt:lpstr>Jon Huntsman</vt:lpstr>
      <vt:lpstr>William Helman</vt:lpstr>
      <vt:lpstr>William Clay Ford</vt:lpstr>
      <vt:lpstr>Henry Ford III</vt:lpstr>
      <vt:lpstr>Anthony Earley</vt:lpstr>
      <vt:lpstr>Amazon Example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Matt Marnell</cp:lastModifiedBy>
  <dcterms:created xsi:type="dcterms:W3CDTF">2021-06-27T17:25:36Z</dcterms:created>
  <dcterms:modified xsi:type="dcterms:W3CDTF">2021-08-02T21:32:20Z</dcterms:modified>
</cp:coreProperties>
</file>