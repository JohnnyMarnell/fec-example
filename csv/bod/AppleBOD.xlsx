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rne\Documents\Special Analysis\"/>
    </mc:Choice>
  </mc:AlternateContent>
  <bookViews>
    <workbookView xWindow="0" yWindow="0" windowWidth="24000" windowHeight="10110"/>
  </bookViews>
  <sheets>
    <sheet name="Board &amp; Executives Summary" sheetId="1" r:id="rId1"/>
    <sheet name="Ron Sugar" sheetId="5" r:id="rId2"/>
    <sheet name="Andrea Jung" sheetId="3" r:id="rId3"/>
    <sheet name="Albert Gore" sheetId="2" r:id="rId4"/>
    <sheet name="Monica Lozano" sheetId="4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3" i="1" l="1"/>
  <c r="M4" i="5"/>
  <c r="L12" i="1"/>
  <c r="AJ35" i="4"/>
  <c r="V35" i="4"/>
  <c r="Y7" i="3"/>
  <c r="L10" i="1"/>
  <c r="AJ6" i="3"/>
  <c r="R3" i="1" l="1"/>
  <c r="R5" i="1"/>
  <c r="R6" i="1"/>
  <c r="R7" i="1"/>
  <c r="R8" i="1"/>
  <c r="R9" i="1"/>
  <c r="R10" i="1"/>
  <c r="R11" i="1"/>
  <c r="R12" i="1"/>
  <c r="R13" i="1"/>
  <c r="R14" i="1"/>
  <c r="R15" i="1"/>
  <c r="R4" i="1"/>
</calcChain>
</file>

<file path=xl/sharedStrings.xml><?xml version="1.0" encoding="utf-8"?>
<sst xmlns="http://schemas.openxmlformats.org/spreadsheetml/2006/main" count="3992" uniqueCount="544">
  <si>
    <t>Company</t>
  </si>
  <si>
    <t>Board</t>
  </si>
  <si>
    <t>Exec</t>
  </si>
  <si>
    <t>Employer</t>
  </si>
  <si>
    <t>Fname</t>
  </si>
  <si>
    <t>MI</t>
  </si>
  <si>
    <t>Lname</t>
  </si>
  <si>
    <t>Gender</t>
  </si>
  <si>
    <t>State</t>
  </si>
  <si>
    <t>Age</t>
  </si>
  <si>
    <t>DOB</t>
  </si>
  <si>
    <t>Dem </t>
  </si>
  <si>
    <t>Rep </t>
  </si>
  <si>
    <t>Neutral</t>
  </si>
  <si>
    <t>Address</t>
  </si>
  <si>
    <t>Political Affiliation Source</t>
  </si>
  <si>
    <t>Y</t>
  </si>
  <si>
    <t>W</t>
  </si>
  <si>
    <t>M</t>
  </si>
  <si>
    <t>N</t>
  </si>
  <si>
    <t>P</t>
  </si>
  <si>
    <t>Williams</t>
  </si>
  <si>
    <t>F</t>
  </si>
  <si>
    <t>Apple</t>
  </si>
  <si>
    <t>Cook</t>
  </si>
  <si>
    <t>Luca</t>
  </si>
  <si>
    <t>Kate</t>
  </si>
  <si>
    <t>Jeff</t>
  </si>
  <si>
    <t>Maestri</t>
  </si>
  <si>
    <t>Adams</t>
  </si>
  <si>
    <t>Deidre</t>
  </si>
  <si>
    <t>O'brien</t>
  </si>
  <si>
    <t>CA</t>
  </si>
  <si>
    <t>James</t>
  </si>
  <si>
    <t>Bell</t>
  </si>
  <si>
    <t>Gore</t>
  </si>
  <si>
    <t>Andrea</t>
  </si>
  <si>
    <t>Jung</t>
  </si>
  <si>
    <t>Art</t>
  </si>
  <si>
    <t>Levinson</t>
  </si>
  <si>
    <t>Monica</t>
  </si>
  <si>
    <t>Lozano</t>
  </si>
  <si>
    <t>Ron</t>
  </si>
  <si>
    <t>Sugar</t>
  </si>
  <si>
    <t>Sue</t>
  </si>
  <si>
    <t>Wagner</t>
  </si>
  <si>
    <t>Calico</t>
  </si>
  <si>
    <t>Retired Boeing</t>
  </si>
  <si>
    <t>Climate Reality Project</t>
  </si>
  <si>
    <t>Grameen America LLC</t>
  </si>
  <si>
    <t>The College Futures Foundation</t>
  </si>
  <si>
    <t>Retired Blackrock</t>
  </si>
  <si>
    <t>Retired Northrop Grumman</t>
  </si>
  <si>
    <t>Reg</t>
  </si>
  <si>
    <t>Timothy</t>
  </si>
  <si>
    <t xml:space="preserve">D </t>
  </si>
  <si>
    <t xml:space="preserve">L </t>
  </si>
  <si>
    <t xml:space="preserve">A. </t>
  </si>
  <si>
    <t>Albert</t>
  </si>
  <si>
    <t>Contributions From Individuals/Persons Other Than Political Committees</t>
  </si>
  <si>
    <t>https://docquery.fec.gov/cgi-bin/fecimg/?202103299442566794</t>
  </si>
  <si>
    <t>SA</t>
  </si>
  <si>
    <t>* EARMARKED CONTRIBUTION: SEE BELOW EARMARKED THROUGH ACTBLUE</t>
  </si>
  <si>
    <t>t</t>
  </si>
  <si>
    <t>F3X</t>
  </si>
  <si>
    <t>SA11AI</t>
  </si>
  <si>
    <t>31045570E</t>
  </si>
  <si>
    <t>ITEMIZED RECEIPTS</t>
  </si>
  <si>
    <t>ADD</t>
  </si>
  <si>
    <t>A</t>
  </si>
  <si>
    <t>PRIMARY</t>
  </si>
  <si>
    <t>EARMARKED CONTRIBUTION</t>
  </si>
  <si>
    <t>15E</t>
  </si>
  <si>
    <t>NOT EMPLOYED</t>
  </si>
  <si>
    <t>N/A</t>
  </si>
  <si>
    <t>MS</t>
  </si>
  <si>
    <t>STARKVILLE</t>
  </si>
  <si>
    <t>492 CAMBRIDGE DR</t>
  </si>
  <si>
    <t>GORE</t>
  </si>
  <si>
    <t>ALBERT</t>
  </si>
  <si>
    <t>U</t>
  </si>
  <si>
    <t>GORE, ALBERT</t>
  </si>
  <si>
    <t>INDIVIDUAL</t>
  </si>
  <si>
    <t>IND</t>
  </si>
  <si>
    <t>11AI</t>
  </si>
  <si>
    <t>M9</t>
  </si>
  <si>
    <t>DCCC</t>
  </si>
  <si>
    <t>C00000935</t>
  </si>
  <si>
    <t>https://docquery.fec.gov/cgi-bin/fecimg/?202103299442566793</t>
  </si>
  <si>
    <t>30768253E</t>
  </si>
  <si>
    <t>https://docquery.fec.gov/cgi-bin/fecimg/?202103309442792498</t>
  </si>
  <si>
    <t>* EARMARKED CONTRIBUTION THROUGH ACTBLUE PAC ON 11/12/2020</t>
  </si>
  <si>
    <t>30G</t>
  </si>
  <si>
    <t>https://docquery.fec.gov/cgi-bin/fecimg/?202103309442792497</t>
  </si>
  <si>
    <t>* EARMARKED CONTRIBUTION THROUGH ACTBLUE PAC ON 10/30/2020</t>
  </si>
  <si>
    <t>https://docquery.fec.gov/cgi-bin/fecimg/?202103309442881656</t>
  </si>
  <si>
    <t>33235664E</t>
  </si>
  <si>
    <t>YE</t>
  </si>
  <si>
    <t>https://docquery.fec.gov/cgi-bin/fecimg/?202103309442881655</t>
  </si>
  <si>
    <t>33090379E</t>
  </si>
  <si>
    <t>33009392E</t>
  </si>
  <si>
    <t>https://docquery.fec.gov/cgi-bin/fecimg/?202012119367955544</t>
  </si>
  <si>
    <t>EARMARKED FOR DCCC (C00000935)</t>
  </si>
  <si>
    <t>_x000D_</t>
  </si>
  <si>
    <t>EARMARK</t>
  </si>
  <si>
    <t>EARMARKED INTERMEDIARY TREASURY OUT</t>
  </si>
  <si>
    <t>24T</t>
  </si>
  <si>
    <t>492 CAMBRIDGE DRIVE</t>
  </si>
  <si>
    <t>V</t>
  </si>
  <si>
    <t>SA11AI_286508196</t>
  </si>
  <si>
    <t>ACTBLUE</t>
  </si>
  <si>
    <t>C00401224</t>
  </si>
  <si>
    <t>CONTRIBUTION TO ACTBLUE</t>
  </si>
  <si>
    <t>CONTRIBUTION TO ACT BLUE</t>
  </si>
  <si>
    <t>SA11AI_286508194</t>
  </si>
  <si>
    <t>SA11AI_276294836</t>
  </si>
  <si>
    <t>https://docquery.fec.gov/cgi-bin/fecimg/?202101319419607497</t>
  </si>
  <si>
    <t>SA11AI_365699326</t>
  </si>
  <si>
    <t>https://docquery.fec.gov/cgi-bin/fecimg/?202101319419607496</t>
  </si>
  <si>
    <t>SA11AI_365699324</t>
  </si>
  <si>
    <t>https://docquery.fec.gov/cgi-bin/fecimg/?202101319419607495</t>
  </si>
  <si>
    <t>SA11AI_356727548</t>
  </si>
  <si>
    <t>SA11AI_356727546</t>
  </si>
  <si>
    <t>SA11AI_360613679</t>
  </si>
  <si>
    <t>https://docquery.fec.gov/cgi-bin/fecimg/?202012249394169605</t>
  </si>
  <si>
    <t>* EARMARKED CONTRIBUTION: SEE BELOW</t>
  </si>
  <si>
    <t>F3</t>
  </si>
  <si>
    <t>11240974E</t>
  </si>
  <si>
    <t>RUN-OFF SPECIAL</t>
  </si>
  <si>
    <t>O2020</t>
  </si>
  <si>
    <t>CEO</t>
  </si>
  <si>
    <t>IMPOSSIBLE AEROSPACE CORPORATION</t>
  </si>
  <si>
    <t>PALO ALTO</t>
  </si>
  <si>
    <t>919 CLARK WAY</t>
  </si>
  <si>
    <t>S</t>
  </si>
  <si>
    <t>12S</t>
  </si>
  <si>
    <t>WARNOCK FOR GEORGIA</t>
  </si>
  <si>
    <t>C00736876</t>
  </si>
  <si>
    <t>https://docquery.fec.gov/cgi-bin/fecimg/?202012149376701368</t>
  </si>
  <si>
    <t>SA11AI_312305319</t>
  </si>
  <si>
    <t>M10</t>
  </si>
  <si>
    <t>SA11AI_312305318</t>
  </si>
  <si>
    <t>https://docquery.fec.gov/cgi-bin/fecimg/?202012149376701367</t>
  </si>
  <si>
    <t>EARMARKED FOR JAIME HARRISON FOR US SENATE (C00696153)</t>
  </si>
  <si>
    <t>SA11AI_307848553</t>
  </si>
  <si>
    <t>https://docquery.fec.gov/cgi-bin/fecimg/?202012049354630968</t>
  </si>
  <si>
    <t>SA11AI_340741882</t>
  </si>
  <si>
    <t>https://docquery.fec.gov/cgi-bin/fecimg/?202012049354630969</t>
  </si>
  <si>
    <t>SA11AI_340741881</t>
  </si>
  <si>
    <t>https://docquery.fec.gov/cgi-bin/fecimg/?202012049354630970</t>
  </si>
  <si>
    <t>SA11AI_350308572</t>
  </si>
  <si>
    <t>https://docquery.fec.gov/cgi-bin/fecimg/?202106029448615561</t>
  </si>
  <si>
    <t>5334416E</t>
  </si>
  <si>
    <t>RUN-OFF GENERAL</t>
  </si>
  <si>
    <t>CHIEF EXECUTIVE OFFICER</t>
  </si>
  <si>
    <t>12R</t>
  </si>
  <si>
    <t>JON OSSOFF FOR SENATE</t>
  </si>
  <si>
    <t>C00718866</t>
  </si>
  <si>
    <t>https://docquery.fec.gov/cgi-bin/fecimg/?202012179388417356</t>
  </si>
  <si>
    <t>SA11AI_322528430</t>
  </si>
  <si>
    <t>12G</t>
  </si>
  <si>
    <t>http://docquery.fec.gov/cgi-bin/fecimg/?202010219326265089</t>
  </si>
  <si>
    <t>F3P</t>
  </si>
  <si>
    <t>SA17A</t>
  </si>
  <si>
    <t>16398988E</t>
  </si>
  <si>
    <t>GENERAL</t>
  </si>
  <si>
    <t>G2020</t>
  </si>
  <si>
    <t>FOUNDER</t>
  </si>
  <si>
    <t>CLIMATE REALITY PROJECT</t>
  </si>
  <si>
    <t>TN</t>
  </si>
  <si>
    <t>CARTHAGE</t>
  </si>
  <si>
    <t>PO BOX 318</t>
  </si>
  <si>
    <t>AL</t>
  </si>
  <si>
    <t>GORE, AL</t>
  </si>
  <si>
    <t>17A</t>
  </si>
  <si>
    <t>BIDEN FOR PRESIDENT</t>
  </si>
  <si>
    <t>C00703975</t>
  </si>
  <si>
    <t>http://docquery.fec.gov/cgi-bin/fecimg/?202010219325937939</t>
  </si>
  <si>
    <t>13250787E</t>
  </si>
  <si>
    <t>IMPOSSIBLE AEROSPACE</t>
  </si>
  <si>
    <t>SANTA CLARA</t>
  </si>
  <si>
    <t>APT 336</t>
  </si>
  <si>
    <t>3500 GRANADA AVE</t>
  </si>
  <si>
    <t>http://docquery.fec.gov/cgi-bin/fecimg/?202008209262498535</t>
  </si>
  <si>
    <t>SA11AI_270992164</t>
  </si>
  <si>
    <t>M8</t>
  </si>
  <si>
    <t>http://docquery.fec.gov/cgi-bin/fecimg/?202008209262498534</t>
  </si>
  <si>
    <t>SA11AI_270992165</t>
  </si>
  <si>
    <t>SA11AI_265338345</t>
  </si>
  <si>
    <t>http://docquery.fec.gov/cgi-bin/fecimg/?202007209256091723</t>
  </si>
  <si>
    <t>SA11AI_261608511</t>
  </si>
  <si>
    <t>M7</t>
  </si>
  <si>
    <t>http://docquery.fec.gov/cgi-bin/fecimg/?202007209256091721</t>
  </si>
  <si>
    <t>SA11AI_254567840</t>
  </si>
  <si>
    <t>SA11AI_261608514</t>
  </si>
  <si>
    <t>http://docquery.fec.gov/cgi-bin/fecimg/?202007209256091722</t>
  </si>
  <si>
    <t>SA11AI_255025367</t>
  </si>
  <si>
    <t>EARMARKED FOR DEMOCRATIC NATIONAL COMMITTEE (C00010603)</t>
  </si>
  <si>
    <t>SA11AI_254567280</t>
  </si>
  <si>
    <t>https://docquery.fec.gov/cgi-bin/fecimg/?202104079443123722</t>
  </si>
  <si>
    <t>CONTRIBUTION</t>
  </si>
  <si>
    <t>492 CAMBRIDGE DR 492 CAMBRIDGE DR</t>
  </si>
  <si>
    <t>MOVEON.ORG POLITICAL ACTION</t>
  </si>
  <si>
    <t>C00341396</t>
  </si>
  <si>
    <t>https://docquery.fec.gov/cgi-bin/fecimg/?202104079443110365</t>
  </si>
  <si>
    <t>http://docquery.fec.gov/cgi-bin/fecimg/?202006209240838970</t>
  </si>
  <si>
    <t>SA11AI_238390420</t>
  </si>
  <si>
    <t>M6</t>
  </si>
  <si>
    <t>SA11AI_238390422</t>
  </si>
  <si>
    <t>http://docquery.fec.gov/cgi-bin/fecimg/?202006209240838969</t>
  </si>
  <si>
    <t>SA11AI_233866872</t>
  </si>
  <si>
    <t>http://docquery.fec.gov/cgi-bin/fecimg/?202005209236545698</t>
  </si>
  <si>
    <t>SA11AI_226420169</t>
  </si>
  <si>
    <t>M5</t>
  </si>
  <si>
    <t>http://docquery.fec.gov/cgi-bin/fecimg/?202005209236545699</t>
  </si>
  <si>
    <t>SA11AI_230897633</t>
  </si>
  <si>
    <t>SA11AI_230897632</t>
  </si>
  <si>
    <t>https://docquery.fec.gov/cgi-bin/fecimg/?202102019424912400</t>
  </si>
  <si>
    <t>2963394E</t>
  </si>
  <si>
    <t>NO CHANGE</t>
  </si>
  <si>
    <t>SPEAKER/AUTHOR</t>
  </si>
  <si>
    <t>SELF-EMPLOYED</t>
  </si>
  <si>
    <t>MARQUITA BRADSHAW FOR US SENATE</t>
  </si>
  <si>
    <t>C00720805</t>
  </si>
  <si>
    <t>http://docquery.fec.gov/cgi-bin/fecimg/?202004219229035508</t>
  </si>
  <si>
    <t>SA11AI_223435651</t>
  </si>
  <si>
    <t>M4</t>
  </si>
  <si>
    <t>http://docquery.fec.gov/cgi-bin/fecimg/?202004219229035507</t>
  </si>
  <si>
    <t>SA11AI_218806351</t>
  </si>
  <si>
    <t>SA11AI_223435650</t>
  </si>
  <si>
    <t>https://docquery.fec.gov/cgi-bin/fecimg/?202103309442725894</t>
  </si>
  <si>
    <t>32042633E</t>
  </si>
  <si>
    <t>UNEMPLOYED</t>
  </si>
  <si>
    <t>http://docquery.fec.gov/cgi-bin/fecimg/?202003209211206696</t>
  </si>
  <si>
    <t>SA11AI_208553600</t>
  </si>
  <si>
    <t>M3</t>
  </si>
  <si>
    <t>http://docquery.fec.gov/cgi-bin/fecimg/?202003209211206698</t>
  </si>
  <si>
    <t>SA11AI_214370694</t>
  </si>
  <si>
    <t>SA11AI_214370695</t>
  </si>
  <si>
    <t>http://docquery.fec.gov/cgi-bin/fecimg/?202002219200621026</t>
  </si>
  <si>
    <t>SA11AI_203615028</t>
  </si>
  <si>
    <t>M2</t>
  </si>
  <si>
    <t>SA11AI_203615030</t>
  </si>
  <si>
    <t>http://docquery.fec.gov/cgi-bin/fecimg/?202001299170191382</t>
  </si>
  <si>
    <t>SA11AI_168674752</t>
  </si>
  <si>
    <t>http://docquery.fec.gov/cgi-bin/fecimg/?202001299170191388</t>
  </si>
  <si>
    <t>SA11AI_190768757</t>
  </si>
  <si>
    <t>SA11AI_168674751</t>
  </si>
  <si>
    <t>http://docquery.fec.gov/cgi-bin/fecimg/?202001299170191384</t>
  </si>
  <si>
    <t>SA11AI_174515406</t>
  </si>
  <si>
    <t>http://docquery.fec.gov/cgi-bin/fecimg/?202001299170191386</t>
  </si>
  <si>
    <t>SA11AI_185353370</t>
  </si>
  <si>
    <t>http://docquery.fec.gov/cgi-bin/fecimg/?202001299170191383</t>
  </si>
  <si>
    <t>SA11AI_174515404</t>
  </si>
  <si>
    <t>SA11AI_185353369</t>
  </si>
  <si>
    <t>http://docquery.fec.gov/cgi-bin/fecimg/?202001299170191385</t>
  </si>
  <si>
    <t>SA11AI_179967280</t>
  </si>
  <si>
    <t>http://docquery.fec.gov/cgi-bin/fecimg/?202001299170191390</t>
  </si>
  <si>
    <t>SA11AI_196484427</t>
  </si>
  <si>
    <t>SA11AI_179967279</t>
  </si>
  <si>
    <t>SA11AI_190768759</t>
  </si>
  <si>
    <t>http://docquery.fec.gov/cgi-bin/fecimg/?202001299170191389</t>
  </si>
  <si>
    <t>SA11AI_196484428</t>
  </si>
  <si>
    <t>https://docquery.fec.gov/cgi-bin/fecimg/?202012149376701365</t>
  </si>
  <si>
    <t>SA11AI_293348639</t>
  </si>
  <si>
    <t>https://docquery.fec.gov/cgi-bin/fecimg/?202103309442645626</t>
  </si>
  <si>
    <t>31696377E</t>
  </si>
  <si>
    <t>https://docquery.fec.gov/cgi-bin/fecimg/?202103309442645625</t>
  </si>
  <si>
    <t>31259082E</t>
  </si>
  <si>
    <t>http://docquery.fec.gov/cgi-bin/fecimg/?202001319185792606</t>
  </si>
  <si>
    <t>http://docquery.fec.gov/cgi-bin/fecimg/?202001319185792605</t>
  </si>
  <si>
    <t>http://docquery.fec.gov/cgi-bin/fecimg/?201907299154240898</t>
  </si>
  <si>
    <t>SA11AI_149874143</t>
  </si>
  <si>
    <t>MY</t>
  </si>
  <si>
    <t>http://docquery.fec.gov/cgi-bin/fecimg/?201907299154240904</t>
  </si>
  <si>
    <t>SA11AI_164004504</t>
  </si>
  <si>
    <t>http://docquery.fec.gov/cgi-bin/fecimg/?201907299154240901</t>
  </si>
  <si>
    <t>SA11AI_156107341</t>
  </si>
  <si>
    <t>http://docquery.fec.gov/cgi-bin/fecimg/?201907299154240903</t>
  </si>
  <si>
    <t>SA11AI_164004505</t>
  </si>
  <si>
    <t>http://docquery.fec.gov/cgi-bin/fecimg/?201907299154240902</t>
  </si>
  <si>
    <t>SA11AI_159345610</t>
  </si>
  <si>
    <t>http://docquery.fec.gov/cgi-bin/fecimg/?201907299154240900</t>
  </si>
  <si>
    <t>SA11AI_156107340</t>
  </si>
  <si>
    <t>http://docquery.fec.gov/cgi-bin/fecimg/?201907299154240897</t>
  </si>
  <si>
    <t>SA11AI_148973219</t>
  </si>
  <si>
    <t>SA11AI_149874087</t>
  </si>
  <si>
    <t>http://docquery.fec.gov/cgi-bin/fecimg/?201907299154240899</t>
  </si>
  <si>
    <t>SA11AI_152282674</t>
  </si>
  <si>
    <t>SA11AI_159345614</t>
  </si>
  <si>
    <t>SA11AI_152282667</t>
  </si>
  <si>
    <t>SA11AI_148973221</t>
  </si>
  <si>
    <t>http://docquery.fec.gov/cgi-bin/fecimg/?201907299154240896</t>
  </si>
  <si>
    <t>SA11AI_146237423</t>
  </si>
  <si>
    <t>SA11AI_146237422</t>
  </si>
  <si>
    <t>line_number_label</t>
  </si>
  <si>
    <t>pdf_url</t>
  </si>
  <si>
    <t>sub_id</t>
  </si>
  <si>
    <t>increased_limit</t>
  </si>
  <si>
    <t>schedule_type</t>
  </si>
  <si>
    <t>two_year_transaction_period</t>
  </si>
  <si>
    <t>memo_text</t>
  </si>
  <si>
    <t>is_individual</t>
  </si>
  <si>
    <t>link_id</t>
  </si>
  <si>
    <t>filing_form</t>
  </si>
  <si>
    <t>back_reference_schedule_name</t>
  </si>
  <si>
    <t>back_reference_transaction_id</t>
  </si>
  <si>
    <t>original_sub_id</t>
  </si>
  <si>
    <t>load_date</t>
  </si>
  <si>
    <t>schedule_type_full</t>
  </si>
  <si>
    <t>amendment_indicator_desc</t>
  </si>
  <si>
    <t>amendment_indicator</t>
  </si>
  <si>
    <t>fec_election_year</t>
  </si>
  <si>
    <t>fec_election_type_desc</t>
  </si>
  <si>
    <t>election_type_full</t>
  </si>
  <si>
    <t>election_type</t>
  </si>
  <si>
    <t>national_committee_nonfederal_account</t>
  </si>
  <si>
    <t>donor_committee_name</t>
  </si>
  <si>
    <t>conduit_committee_zip</t>
  </si>
  <si>
    <t>conduit_committee_state</t>
  </si>
  <si>
    <t>conduit_committee_city</t>
  </si>
  <si>
    <t>conduit_committee_street2</t>
  </si>
  <si>
    <t>conduit_committee_street1</t>
  </si>
  <si>
    <t>conduit_committee_name</t>
  </si>
  <si>
    <t>conduit_committee_id</t>
  </si>
  <si>
    <t>candidate_office_district</t>
  </si>
  <si>
    <t>candidate_office_state_full</t>
  </si>
  <si>
    <t>candidate_office_state</t>
  </si>
  <si>
    <t>candidate_office_full</t>
  </si>
  <si>
    <t>candidate_office</t>
  </si>
  <si>
    <t>candidate_suffix</t>
  </si>
  <si>
    <t>candidate_prefix</t>
  </si>
  <si>
    <t>candidate_middle_name</t>
  </si>
  <si>
    <t>candidate_last_name</t>
  </si>
  <si>
    <t>candidate_first_name</t>
  </si>
  <si>
    <t>candidate_name</t>
  </si>
  <si>
    <t>candidate_id</t>
  </si>
  <si>
    <t>contributor_aggregate_ytd</t>
  </si>
  <si>
    <t>contribution_receipt_amount</t>
  </si>
  <si>
    <t>contribution_receipt_date</t>
  </si>
  <si>
    <t>memo_code_full</t>
  </si>
  <si>
    <t>memo_code</t>
  </si>
  <si>
    <t>receipt_type_full</t>
  </si>
  <si>
    <t>receipt_type_desc</t>
  </si>
  <si>
    <t>receipt_type</t>
  </si>
  <si>
    <t>contributor_id</t>
  </si>
  <si>
    <t>contributor_occupation</t>
  </si>
  <si>
    <t>contributor_employer</t>
  </si>
  <si>
    <t>contributor_zip</t>
  </si>
  <si>
    <t>contributor_state</t>
  </si>
  <si>
    <t>contributor_city</t>
  </si>
  <si>
    <t>contributor_street_2</t>
  </si>
  <si>
    <t>contributor_street_1</t>
  </si>
  <si>
    <t>contributor_suffix</t>
  </si>
  <si>
    <t>contributor_last_name</t>
  </si>
  <si>
    <t>contributor_middle_name</t>
  </si>
  <si>
    <t>contributor_first_name</t>
  </si>
  <si>
    <t>recipient_committee_designation</t>
  </si>
  <si>
    <t>recipient_committee_org_type</t>
  </si>
  <si>
    <t>recipient_committee_type</t>
  </si>
  <si>
    <t>contributor_name</t>
  </si>
  <si>
    <t>contributor_prefix</t>
  </si>
  <si>
    <t>unused_contbr_id</t>
  </si>
  <si>
    <t>entity_type_desc</t>
  </si>
  <si>
    <t>entity_type</t>
  </si>
  <si>
    <t>committee_name</t>
  </si>
  <si>
    <t>file_number</t>
  </si>
  <si>
    <t>transaction_id</t>
  </si>
  <si>
    <t>line_number</t>
  </si>
  <si>
    <t>image_number</t>
  </si>
  <si>
    <t>report_type</t>
  </si>
  <si>
    <t>report_year</t>
  </si>
  <si>
    <t>committee_id</t>
  </si>
  <si>
    <t>C</t>
  </si>
  <si>
    <t>H</t>
  </si>
  <si>
    <t>C00746651</t>
  </si>
  <si>
    <t>BIDEN ACTION FUND</t>
  </si>
  <si>
    <t>Q3</t>
  </si>
  <si>
    <t>JUNG, ANDREA</t>
  </si>
  <si>
    <t>J</t>
  </si>
  <si>
    <t>ANDREA</t>
  </si>
  <si>
    <t>JUNG</t>
  </si>
  <si>
    <t>47 BLOSSOM COVE RD</t>
  </si>
  <si>
    <t>RED BANK</t>
  </si>
  <si>
    <t>NJ</t>
  </si>
  <si>
    <t>GRAMEEN AMERICA INC.</t>
  </si>
  <si>
    <t>http://docquery.fec.gov/cgi-bin/fecimg/?202010159295539179</t>
  </si>
  <si>
    <t>C00010603</t>
  </si>
  <si>
    <t>DNC SERVICES CORP / DEMOCRATIC NATIONAL COMMITTEE</t>
  </si>
  <si>
    <t>32J</t>
  </si>
  <si>
    <t>MEMO RECEIPT FROM INDIVIDUAL -  JF RECOUNT ACCOUNT</t>
  </si>
  <si>
    <t>X</t>
  </si>
  <si>
    <t>P2020</t>
  </si>
  <si>
    <t>LEGAL</t>
  </si>
  <si>
    <t>SA17</t>
  </si>
  <si>
    <t>* BIDEN ACTION FUND</t>
  </si>
  <si>
    <t>https://docquery.fec.gov/cgi-bin/fecimg/?202101319424649407</t>
  </si>
  <si>
    <t>Other Federal Receipts (Dividends, Interest, etc.).</t>
  </si>
  <si>
    <t>15J</t>
  </si>
  <si>
    <t>MEMO (FILER'S % OF CONTRIBUTION GIVEN TO JOIN</t>
  </si>
  <si>
    <t>SA18</t>
  </si>
  <si>
    <t>http://docquery.fec.gov/cgi-bin/fecimg/?202010229336136629</t>
  </si>
  <si>
    <t>Transfers From Other Authorized Committees</t>
  </si>
  <si>
    <t>SA12</t>
  </si>
  <si>
    <t>http://docquery.fec.gov/cgi-bin/fecimg/?202010229336241673</t>
  </si>
  <si>
    <t>Transfers from Authorized Committees</t>
  </si>
  <si>
    <t>Total</t>
  </si>
  <si>
    <t>47 BLOSSOM COVE RDRED BANKNJ77016302</t>
  </si>
  <si>
    <t>Seattle Washington</t>
  </si>
  <si>
    <t>https://docquery.fec.gov/cgi-bin/fecimg/?202103319442966697</t>
  </si>
  <si>
    <t>BIDEN VICTORY FUND</t>
  </si>
  <si>
    <t>EXECUTIVE</t>
  </si>
  <si>
    <t>COLLEGE FUTURES FOUNDATION</t>
  </si>
  <si>
    <t>OAKLAND</t>
  </si>
  <si>
    <t>5610 GOLDEN GATE AVENUE</t>
  </si>
  <si>
    <t>LOZANO</t>
  </si>
  <si>
    <t>MONICA</t>
  </si>
  <si>
    <t>LOZANO, MONICA</t>
  </si>
  <si>
    <t>11AI-000118199</t>
  </si>
  <si>
    <t>PENNSYLVANIA DEMOCRATIC PARTY</t>
  </si>
  <si>
    <t>C00167130</t>
  </si>
  <si>
    <t>https://docquery.fec.gov/cgi-bin/fecimg/?202103239441845195</t>
  </si>
  <si>
    <t>28575715E</t>
  </si>
  <si>
    <t>5610 GOLDEN GATE AVE</t>
  </si>
  <si>
    <t>https://docquery.fec.gov/cgi-bin/fecimg/?202103049440168791</t>
  </si>
  <si>
    <t>11AI-000458119</t>
  </si>
  <si>
    <t>ARIZONA DEMOCRATIC PARTY</t>
  </si>
  <si>
    <t>C00166710</t>
  </si>
  <si>
    <t>https://docquery.fec.gov/cgi-bin/fecimg/?202102249428873436</t>
  </si>
  <si>
    <t>* BIDEN VICTORY FUND</t>
  </si>
  <si>
    <t>https://docquery.fec.gov/cgi-bin/fecimg/?202102249428870928</t>
  </si>
  <si>
    <t>https://docquery.fec.gov/cgi-bin/fecimg/?202105319447491129</t>
  </si>
  <si>
    <t>11AI-000090538</t>
  </si>
  <si>
    <t>NEVADA STATE DEMOCRATIC PARTY</t>
  </si>
  <si>
    <t>C00208991</t>
  </si>
  <si>
    <t>https://docquery.fec.gov/cgi-bin/fecimg/?202105179446843583</t>
  </si>
  <si>
    <t>DEMOCRATIC EXECUTIVE COMMITTEE OF FLORIDA</t>
  </si>
  <si>
    <t>C00005561</t>
  </si>
  <si>
    <t>https://docquery.fec.gov/cgi-bin/fecimg/?202105179446836053</t>
  </si>
  <si>
    <t>* BIDEN VICTORY FUND JOINT FUNDRAISING PROCEEDS</t>
  </si>
  <si>
    <t>MICHIGAN DEMOCRATIC STATE CENTRAL COMMITTEE</t>
  </si>
  <si>
    <t>C00031054</t>
  </si>
  <si>
    <t>http://docquery.fec.gov/cgi-bin/fecimg/?202012039340789580</t>
  </si>
  <si>
    <t>GEORGIA FEDERAL ELECTIONS COMMITTEE</t>
  </si>
  <si>
    <t>C00041269</t>
  </si>
  <si>
    <t>https://docquery.fec.gov/cgi-bin/fecimg/?202101149404598724</t>
  </si>
  <si>
    <t>C00744946</t>
  </si>
  <si>
    <t>https://docquery.fec.gov/cgi-bin/fecimg/?202101149404627361</t>
  </si>
  <si>
    <t>https://docquery.fec.gov/cgi-bin/fecimg/?202101149404578135</t>
  </si>
  <si>
    <t>https://docquery.fec.gov/cgi-bin/fecimg/?202105209447030233</t>
  </si>
  <si>
    <t>11AI-000792313</t>
  </si>
  <si>
    <t>TEXAS DEMOCRATIC PARTY</t>
  </si>
  <si>
    <t>C00099267</t>
  </si>
  <si>
    <t>https://docquery.fec.gov/cgi-bin/fecimg/?202105209447029705</t>
  </si>
  <si>
    <t>11AI-000790088</t>
  </si>
  <si>
    <t>https://docquery.fec.gov/cgi-bin/fecimg/?202105189446939171</t>
  </si>
  <si>
    <t>11AI-001044851</t>
  </si>
  <si>
    <t>DEMOCRATIC PARTY OF WISCONSIN</t>
  </si>
  <si>
    <t>C00019331</t>
  </si>
  <si>
    <t>http://docquery.fec.gov/cgi-bin/fecimg/?202010129285124833</t>
  </si>
  <si>
    <t>Q2</t>
  </si>
  <si>
    <t>https://docquery.fec.gov/cgi-bin/fecimg/?202105059446293282</t>
  </si>
  <si>
    <t>MINNESOTA DEMOCRATIC-FARMER-LABOR PARTY</t>
  </si>
  <si>
    <t>C00025254</t>
  </si>
  <si>
    <t>http://docquery.fec.gov/cgi-bin/fecimg/?202010159294319294</t>
  </si>
  <si>
    <t>VTE63YA8GG5</t>
  </si>
  <si>
    <t>KAREN BASS FOR CONGRESS</t>
  </si>
  <si>
    <t>C00476523</t>
  </si>
  <si>
    <t>https://docquery.fec.gov/cgi-bin/fecimg/?202102229428801573</t>
  </si>
  <si>
    <t>* BIDEN VICTORY FUND 2020</t>
  </si>
  <si>
    <t>NEW HAMPSHIRE DEMOCRATIC PARTY</t>
  </si>
  <si>
    <t>C00178038</t>
  </si>
  <si>
    <t>https://docquery.fec.gov/cgi-bin/fecimg/?202105129446683762</t>
  </si>
  <si>
    <t>11AI-000268859</t>
  </si>
  <si>
    <t>NEBRASKA DEMOCRATIC PARTY</t>
  </si>
  <si>
    <t>C00003988</t>
  </si>
  <si>
    <t>http://docquery.fec.gov/cgi-bin/fecimg/?202009209276532811</t>
  </si>
  <si>
    <t>https://docquery.fec.gov/cgi-bin/fecimg/?202104059443068389</t>
  </si>
  <si>
    <t>11AI-000297494</t>
  </si>
  <si>
    <t>COLORADO DEMOCRATIC PARTY</t>
  </si>
  <si>
    <t>C00161786</t>
  </si>
  <si>
    <t>http://docquery.fec.gov/cgi-bin/fecimg/?202007159249941502</t>
  </si>
  <si>
    <t>1358716E</t>
  </si>
  <si>
    <t>PRESIDENT</t>
  </si>
  <si>
    <t>AMY FOR AMERICA</t>
  </si>
  <si>
    <t>C00696419</t>
  </si>
  <si>
    <t>https://docquery.fec.gov/cgi-bin/fecimg/?202012149387340909</t>
  </si>
  <si>
    <t>http://docquery.fec.gov/cgi-bin/fecimg/?202003249215924405</t>
  </si>
  <si>
    <t>KAMALA HARRIS FOR THE PEOPLE</t>
  </si>
  <si>
    <t>C00694455</t>
  </si>
  <si>
    <t>http://docquery.fec.gov/cgi-bin/fecimg/?202007099244397711</t>
  </si>
  <si>
    <t>2734868E</t>
  </si>
  <si>
    <t>12P</t>
  </si>
  <si>
    <t>CISNEROS FOR CONGRESS</t>
  </si>
  <si>
    <t>C00650648</t>
  </si>
  <si>
    <t>https://docquery.fec.gov/cgi-bin/fecimg/?202103049440175440</t>
  </si>
  <si>
    <t>11AI-000226869</t>
  </si>
  <si>
    <t>NORTH CAROLINA DEMOCRATIC PARTY - FEDERAL</t>
  </si>
  <si>
    <t>C00165688</t>
  </si>
  <si>
    <t>https://docquery.fec.gov/cgi-bin/fecimg/?202105119446445367</t>
  </si>
  <si>
    <t>11AI-000586421</t>
  </si>
  <si>
    <t>OHIO DEMOCRATIC PARTY</t>
  </si>
  <si>
    <t>C00016899</t>
  </si>
  <si>
    <t>https://docquery.fec.gov/cgi-bin/fecimg/?202104269445489336</t>
  </si>
  <si>
    <t>DEMOCRATIC PARTY OF VIRGINIA</t>
  </si>
  <si>
    <t>C00155952</t>
  </si>
  <si>
    <t>http://docquery.fec.gov/cgi-bin/fecimg/?201910219165257480</t>
  </si>
  <si>
    <t>516084E</t>
  </si>
  <si>
    <t>http://docquery.fec.gov/cgi-bin/fecimg/?201910159164206248</t>
  </si>
  <si>
    <t>2292811E</t>
  </si>
  <si>
    <t>PHILANTHROPIST</t>
  </si>
  <si>
    <t>http://docquery.fec.gov/cgi-bin/fecimg/?201907299155217123</t>
  </si>
  <si>
    <t>EARMARKED FOR JULIAN FOR THE FUTURE (C00693044)</t>
  </si>
  <si>
    <t>COLELGE FUTURES FOUNDATION</t>
  </si>
  <si>
    <t>SA11AI_153688256</t>
  </si>
  <si>
    <t>http://docquery.fec.gov/cgi-bin/fecimg/?201907159150759713</t>
  </si>
  <si>
    <t>VVBGKK5TBW9E</t>
  </si>
  <si>
    <t>VVBGKK5TBW9</t>
  </si>
  <si>
    <t>XOCHITL FOR NEW MEXICO</t>
  </si>
  <si>
    <t>C00666149</t>
  </si>
  <si>
    <t>SUGAR, RONALD D</t>
  </si>
  <si>
    <t>Q</t>
  </si>
  <si>
    <t>B</t>
  </si>
  <si>
    <t>RONALD</t>
  </si>
  <si>
    <t>D</t>
  </si>
  <si>
    <t>SUGAR</t>
  </si>
  <si>
    <t>6001 BOLLINGER CANYON RD</t>
  </si>
  <si>
    <t>SAN RAMON</t>
  </si>
  <si>
    <t>CHEVRON</t>
  </si>
  <si>
    <t>BOARD MEMBER</t>
  </si>
  <si>
    <t>http://docquery.fec.gov/cgi-bin/fecimg/?201909189163371394</t>
  </si>
  <si>
    <t>BOARD OF DIRECTORS</t>
  </si>
  <si>
    <t>http://docquery.fec.gov/cgi-bin/fecimg/?202009189267242765</t>
  </si>
  <si>
    <t>6001 BOLLINGER CANYON RDSAN RAMONCA945832324</t>
  </si>
  <si>
    <t>C00035006</t>
  </si>
  <si>
    <t>CHEVRON EMPLOYEES POLITICAL ACTION COMMITTEE - CHEVRON CORPORATION</t>
  </si>
  <si>
    <t>482E1D6A3DC2406A9734</t>
  </si>
  <si>
    <t>F7716FB68C0E4D54BF5D</t>
  </si>
  <si>
    <t>New York</t>
  </si>
  <si>
    <t>No FEC data</t>
  </si>
  <si>
    <t>Palo Alto CA</t>
  </si>
  <si>
    <t>Pebble Beach</t>
  </si>
  <si>
    <t>Pacific Grove</t>
  </si>
  <si>
    <t>5610 GOLDEN GATE AVENUE OAKLAND CA94618, Playa Del 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</si>
</sst>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2"/>
    </font>
    <font>
      <sz val="10"/>
      <color theme="1"/>
      <name val="Times New Roman"/>
      <family val="2"/>
    </font>
    <font>
      <b/>
      <sz val="10"/>
      <color rgb="FF000000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u/>
      <sz val="11"/>
      <color theme="10"/>
      <name val="Calibri"/>
      <family val="2"/>
    </font>
    <font>
      <u/>
      <sz val="10"/>
      <name val="Times New Roman"/>
      <family val="1"/>
    </font>
    <font>
      <u/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rgb="FF202122"/>
      <name val="Times New Roman"/>
      <family val="1"/>
    </font>
    <font>
      <sz val="11"/>
      <color theme="1"/>
      <name val="Calibri"/>
      <family val="2"/>
      <scheme val="minor"/>
    </font>
    <font>
      <sz val="10"/>
      <color rgb="FF22222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/>
    <xf numFmtId="0" fontId="2" fillId="0" borderId="0"/>
    <xf numFmtId="0" fontId="2" fillId="0" borderId="0"/>
    <xf numFmtId="0" fontId="7" fillId="0" borderId="0" applyNumberFormat="0" applyFill="0" applyBorder="0" applyAlignment="0" applyProtection="0">
      <alignment vertical="top"/>
      <protection locked="0"/>
    </xf>
    <xf numFmtId="43" fontId="12" fillId="0" borderId="0" applyFont="0" applyFill="0" applyBorder="0" applyAlignment="0" applyProtection="0"/>
    <xf numFmtId="0" fontId="1" fillId="0" borderId="0"/>
  </cellStyleXfs>
  <cellXfs count="20">
    <xf numFmtId="0" fontId="0" fillId="0" borderId="0" xfId="0"/>
    <xf numFmtId="0" fontId="3" fillId="2" borderId="0" xfId="0" applyFont="1" applyFill="1" applyAlignment="1">
      <alignment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4" applyFont="1" applyAlignment="1" applyProtection="1"/>
    <xf numFmtId="0" fontId="9" fillId="0" borderId="0" xfId="4" applyFont="1" applyAlignment="1" applyProtection="1"/>
    <xf numFmtId="0" fontId="10" fillId="0" borderId="0" xfId="0" applyFont="1"/>
    <xf numFmtId="15" fontId="11" fillId="0" borderId="0" xfId="0" applyNumberFormat="1" applyFont="1"/>
    <xf numFmtId="0" fontId="2" fillId="0" borderId="0" xfId="1"/>
    <xf numFmtId="22" fontId="0" fillId="0" borderId="0" xfId="0" applyNumberFormat="1"/>
    <xf numFmtId="47" fontId="0" fillId="0" borderId="0" xfId="0" applyNumberFormat="1"/>
    <xf numFmtId="43" fontId="3" fillId="2" borderId="0" xfId="5" applyFont="1" applyFill="1" applyAlignment="1">
      <alignment wrapText="1"/>
    </xf>
    <xf numFmtId="43" fontId="6" fillId="0" borderId="0" xfId="5" applyFont="1"/>
    <xf numFmtId="15" fontId="13" fillId="0" borderId="0" xfId="0" applyNumberFormat="1" applyFont="1"/>
    <xf numFmtId="0" fontId="10" fillId="2" borderId="0" xfId="0" applyFont="1" applyFill="1" applyAlignment="1">
      <alignment wrapText="1"/>
    </xf>
    <xf numFmtId="0" fontId="1" fillId="0" borderId="0" xfId="6"/>
    <xf numFmtId="47" fontId="1" fillId="0" borderId="0" xfId="6" applyNumberFormat="1"/>
    <xf numFmtId="22" fontId="1" fillId="0" borderId="0" xfId="6" applyNumberFormat="1"/>
    <xf numFmtId="15" fontId="6" fillId="0" borderId="0" xfId="0" applyNumberFormat="1" applyFont="1"/>
  </cellXfs>
  <cellStyles count="7">
    <cellStyle name="Comma" xfId="5" builtinId="3"/>
    <cellStyle name="Hyperlink" xfId="4" builtinId="8"/>
    <cellStyle name="Normal" xfId="0" builtinId="0"/>
    <cellStyle name="Normal 2" xfId="1"/>
    <cellStyle name="Normal 3" xfId="2"/>
    <cellStyle name="Normal 4" xfId="3"/>
    <cellStyle name="Normal 5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8"/>
  <sheetViews>
    <sheetView tabSelected="1" zoomScale="115" zoomScaleNormal="11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10" sqref="I10"/>
    </sheetView>
  </sheetViews>
  <sheetFormatPr defaultColWidth="8.85546875" defaultRowHeight="12.75" x14ac:dyDescent="0.2"/>
  <cols>
    <col min="1" max="1" width="8.140625" style="4" bestFit="1" customWidth="1"/>
    <col min="2" max="2" width="5.7109375" style="4" bestFit="1" customWidth="1"/>
    <col min="3" max="3" width="4.5703125" style="4" bestFit="1" customWidth="1"/>
    <col min="4" max="4" width="27.85546875" style="4" bestFit="1" customWidth="1"/>
    <col min="5" max="5" width="6.85546875" style="4" bestFit="1" customWidth="1"/>
    <col min="6" max="6" width="3.140625" style="4" bestFit="1" customWidth="1"/>
    <col min="7" max="7" width="8.140625" style="4" bestFit="1" customWidth="1"/>
    <col min="8" max="8" width="6.7109375" style="4" bestFit="1" customWidth="1"/>
    <col min="9" max="9" width="5" style="4" bestFit="1" customWidth="1"/>
    <col min="10" max="10" width="4.140625" style="4" bestFit="1" customWidth="1"/>
    <col min="11" max="11" width="11.140625" style="4" bestFit="1" customWidth="1"/>
    <col min="12" max="14" width="13.28515625" style="13" customWidth="1"/>
    <col min="15" max="15" width="4.140625" style="4" bestFit="1" customWidth="1"/>
    <col min="16" max="16" width="18.5703125" style="4" customWidth="1"/>
    <col min="17" max="18" width="22.42578125" style="4" bestFit="1" customWidth="1"/>
    <col min="19" max="16384" width="8.85546875" style="4"/>
  </cols>
  <sheetData>
    <row r="1" spans="1:19" s="3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5" t="s">
        <v>10</v>
      </c>
      <c r="L1" s="12" t="s">
        <v>11</v>
      </c>
      <c r="M1" s="12" t="s">
        <v>12</v>
      </c>
      <c r="N1" s="12" t="s">
        <v>13</v>
      </c>
      <c r="O1" s="1" t="s">
        <v>53</v>
      </c>
      <c r="P1" s="1" t="s">
        <v>14</v>
      </c>
      <c r="Q1" s="2" t="s">
        <v>15</v>
      </c>
    </row>
    <row r="2" spans="1:19" ht="11.25" customHeight="1" x14ac:dyDescent="0.2"/>
    <row r="3" spans="1:19" x14ac:dyDescent="0.2">
      <c r="A3" s="7" t="s">
        <v>23</v>
      </c>
      <c r="B3" s="4" t="s">
        <v>16</v>
      </c>
      <c r="C3" s="4" t="s">
        <v>16</v>
      </c>
      <c r="D3" s="4" t="s">
        <v>23</v>
      </c>
      <c r="E3" s="4" t="s">
        <v>54</v>
      </c>
      <c r="F3" s="4" t="s">
        <v>55</v>
      </c>
      <c r="G3" s="4" t="s">
        <v>24</v>
      </c>
      <c r="H3" s="4" t="s">
        <v>18</v>
      </c>
      <c r="I3" s="4" t="s">
        <v>32</v>
      </c>
      <c r="J3" s="4">
        <v>60</v>
      </c>
      <c r="O3" s="4" t="s">
        <v>19</v>
      </c>
      <c r="P3" s="4" t="s">
        <v>540</v>
      </c>
      <c r="R3" s="4" t="str">
        <f>+E3&amp;" "&amp;F3&amp;G3</f>
        <v>Timothy D Cook</v>
      </c>
      <c r="S3" s="13" t="s">
        <v>539</v>
      </c>
    </row>
    <row r="4" spans="1:19" x14ac:dyDescent="0.2">
      <c r="A4" s="7" t="s">
        <v>23</v>
      </c>
      <c r="B4" s="4" t="s">
        <v>16</v>
      </c>
      <c r="C4" s="4" t="s">
        <v>16</v>
      </c>
      <c r="D4" s="4" t="s">
        <v>23</v>
      </c>
      <c r="E4" s="4" t="s">
        <v>25</v>
      </c>
      <c r="G4" s="4" t="s">
        <v>28</v>
      </c>
      <c r="H4" s="4" t="s">
        <v>18</v>
      </c>
      <c r="I4" s="4" t="s">
        <v>32</v>
      </c>
      <c r="J4" s="4">
        <v>57</v>
      </c>
      <c r="O4" s="4" t="s">
        <v>19</v>
      </c>
      <c r="P4" s="4" t="s">
        <v>541</v>
      </c>
      <c r="R4" s="4" t="str">
        <f>+E4&amp;" "&amp;F4&amp;G4</f>
        <v>Luca Maestri</v>
      </c>
      <c r="S4" s="13" t="s">
        <v>539</v>
      </c>
    </row>
    <row r="5" spans="1:19" x14ac:dyDescent="0.2">
      <c r="A5" s="7" t="s">
        <v>23</v>
      </c>
      <c r="B5" s="4" t="s">
        <v>19</v>
      </c>
      <c r="C5" s="4" t="s">
        <v>16</v>
      </c>
      <c r="D5" s="4" t="s">
        <v>23</v>
      </c>
      <c r="E5" s="4" t="s">
        <v>26</v>
      </c>
      <c r="F5" s="4" t="s">
        <v>56</v>
      </c>
      <c r="G5" s="4" t="s">
        <v>29</v>
      </c>
      <c r="H5" s="4" t="s">
        <v>22</v>
      </c>
      <c r="I5" s="4" t="s">
        <v>32</v>
      </c>
      <c r="J5" s="4">
        <v>56</v>
      </c>
      <c r="O5" s="4" t="s">
        <v>524</v>
      </c>
      <c r="R5" s="4" t="str">
        <f t="shared" ref="R5:R15" si="0">+E5&amp;" "&amp;F5&amp;G5</f>
        <v>Kate L Adams</v>
      </c>
      <c r="S5" s="13" t="s">
        <v>539</v>
      </c>
    </row>
    <row r="6" spans="1:19" x14ac:dyDescent="0.2">
      <c r="A6" s="7" t="s">
        <v>23</v>
      </c>
      <c r="B6" s="4" t="s">
        <v>19</v>
      </c>
      <c r="C6" s="4" t="s">
        <v>16</v>
      </c>
      <c r="D6" s="4" t="s">
        <v>23</v>
      </c>
      <c r="E6" s="4" t="s">
        <v>30</v>
      </c>
      <c r="G6" s="4" t="s">
        <v>31</v>
      </c>
      <c r="H6" s="4" t="s">
        <v>22</v>
      </c>
      <c r="I6" s="4" t="s">
        <v>32</v>
      </c>
      <c r="J6" s="4">
        <v>54</v>
      </c>
      <c r="K6" s="8">
        <v>24826</v>
      </c>
      <c r="O6" s="4" t="s">
        <v>524</v>
      </c>
      <c r="P6" s="4" t="s">
        <v>542</v>
      </c>
      <c r="R6" s="4" t="str">
        <f t="shared" si="0"/>
        <v>Deidre O'brien</v>
      </c>
      <c r="S6" s="13" t="s">
        <v>539</v>
      </c>
    </row>
    <row r="7" spans="1:19" x14ac:dyDescent="0.2">
      <c r="A7" s="7" t="s">
        <v>23</v>
      </c>
      <c r="B7" s="4" t="s">
        <v>19</v>
      </c>
      <c r="C7" s="4" t="s">
        <v>16</v>
      </c>
      <c r="D7" s="4" t="s">
        <v>23</v>
      </c>
      <c r="E7" s="4" t="s">
        <v>27</v>
      </c>
      <c r="G7" s="4" t="s">
        <v>21</v>
      </c>
      <c r="H7" s="4" t="s">
        <v>18</v>
      </c>
      <c r="I7" s="4" t="s">
        <v>32</v>
      </c>
      <c r="J7" s="4">
        <v>58</v>
      </c>
      <c r="K7" s="4">
        <v>1963</v>
      </c>
      <c r="R7" s="4" t="str">
        <f t="shared" si="0"/>
        <v>Jeff Williams</v>
      </c>
      <c r="S7" s="13" t="s">
        <v>539</v>
      </c>
    </row>
    <row r="8" spans="1:19" x14ac:dyDescent="0.2">
      <c r="A8" s="7" t="s">
        <v>23</v>
      </c>
      <c r="B8" s="4" t="s">
        <v>16</v>
      </c>
      <c r="C8" s="4" t="s">
        <v>19</v>
      </c>
      <c r="D8" s="4" t="s">
        <v>47</v>
      </c>
      <c r="E8" s="5" t="s">
        <v>33</v>
      </c>
      <c r="F8" s="4" t="s">
        <v>57</v>
      </c>
      <c r="G8" s="4" t="s">
        <v>34</v>
      </c>
      <c r="H8" s="4" t="s">
        <v>18</v>
      </c>
      <c r="I8" s="4" t="s">
        <v>32</v>
      </c>
      <c r="J8" s="4">
        <v>72</v>
      </c>
      <c r="K8" s="8">
        <v>17688</v>
      </c>
      <c r="O8" s="4" t="s">
        <v>524</v>
      </c>
      <c r="R8" s="4" t="str">
        <f t="shared" si="0"/>
        <v>James A. Bell</v>
      </c>
      <c r="S8" s="13" t="s">
        <v>539</v>
      </c>
    </row>
    <row r="9" spans="1:19" x14ac:dyDescent="0.2">
      <c r="A9" s="7" t="s">
        <v>23</v>
      </c>
      <c r="B9" s="4" t="s">
        <v>16</v>
      </c>
      <c r="C9" s="4" t="s">
        <v>19</v>
      </c>
      <c r="D9" s="4" t="s">
        <v>48</v>
      </c>
      <c r="E9" s="4" t="s">
        <v>58</v>
      </c>
      <c r="F9" s="4" t="s">
        <v>57</v>
      </c>
      <c r="G9" s="4" t="s">
        <v>35</v>
      </c>
      <c r="H9" s="4" t="s">
        <v>18</v>
      </c>
      <c r="J9" s="4">
        <v>73</v>
      </c>
      <c r="K9" s="8">
        <v>17623</v>
      </c>
      <c r="L9" s="13">
        <v>14810.300000000003</v>
      </c>
      <c r="R9" s="4" t="str">
        <f t="shared" si="0"/>
        <v>Albert A. Gore</v>
      </c>
    </row>
    <row r="10" spans="1:19" x14ac:dyDescent="0.2">
      <c r="A10" s="7" t="s">
        <v>23</v>
      </c>
      <c r="B10" s="4" t="s">
        <v>16</v>
      </c>
      <c r="C10" s="4" t="s">
        <v>19</v>
      </c>
      <c r="D10" s="4" t="s">
        <v>49</v>
      </c>
      <c r="E10" s="4" t="s">
        <v>36</v>
      </c>
      <c r="G10" s="4" t="s">
        <v>37</v>
      </c>
      <c r="H10" s="4" t="s">
        <v>22</v>
      </c>
      <c r="J10" s="4">
        <v>62</v>
      </c>
      <c r="K10" s="14">
        <v>21790</v>
      </c>
      <c r="L10" s="13">
        <f>+'Andrea Jung'!AJ6</f>
        <v>100000</v>
      </c>
      <c r="P10" s="4" t="s">
        <v>407</v>
      </c>
      <c r="R10" s="4" t="str">
        <f t="shared" si="0"/>
        <v>Andrea Jung</v>
      </c>
    </row>
    <row r="11" spans="1:19" x14ac:dyDescent="0.2">
      <c r="A11" s="7" t="s">
        <v>23</v>
      </c>
      <c r="B11" s="4" t="s">
        <v>16</v>
      </c>
      <c r="C11" s="4" t="s">
        <v>19</v>
      </c>
      <c r="D11" s="4" t="s">
        <v>46</v>
      </c>
      <c r="E11" s="4" t="s">
        <v>38</v>
      </c>
      <c r="G11" s="4" t="s">
        <v>39</v>
      </c>
      <c r="H11" s="4" t="s">
        <v>18</v>
      </c>
      <c r="J11" s="4">
        <v>70</v>
      </c>
      <c r="K11" s="14">
        <v>18353</v>
      </c>
      <c r="P11" s="4" t="s">
        <v>408</v>
      </c>
      <c r="R11" s="4" t="str">
        <f t="shared" si="0"/>
        <v>Art Levinson</v>
      </c>
      <c r="S11" s="13" t="s">
        <v>539</v>
      </c>
    </row>
    <row r="12" spans="1:19" x14ac:dyDescent="0.2">
      <c r="A12" s="7" t="s">
        <v>23</v>
      </c>
      <c r="B12" s="4" t="s">
        <v>16</v>
      </c>
      <c r="C12" s="4" t="s">
        <v>19</v>
      </c>
      <c r="D12" s="4" t="s">
        <v>50</v>
      </c>
      <c r="E12" s="4" t="s">
        <v>40</v>
      </c>
      <c r="G12" s="4" t="s">
        <v>41</v>
      </c>
      <c r="H12" s="4" t="s">
        <v>22</v>
      </c>
      <c r="J12" s="4">
        <v>64</v>
      </c>
      <c r="K12" s="14">
        <v>20657</v>
      </c>
      <c r="L12" s="13">
        <f>+'Monica Lozano'!AJ35</f>
        <v>105036.65999999999</v>
      </c>
      <c r="O12" s="4" t="s">
        <v>524</v>
      </c>
      <c r="P12" s="4" t="s">
        <v>543</v>
      </c>
      <c r="R12" s="4" t="str">
        <f t="shared" si="0"/>
        <v>Monica Lozano</v>
      </c>
    </row>
    <row r="13" spans="1:19" x14ac:dyDescent="0.2">
      <c r="A13" s="7" t="s">
        <v>23</v>
      </c>
      <c r="B13" s="4" t="s">
        <v>16</v>
      </c>
      <c r="C13" s="4" t="s">
        <v>19</v>
      </c>
      <c r="D13" s="4" t="s">
        <v>52</v>
      </c>
      <c r="E13" s="4" t="s">
        <v>42</v>
      </c>
      <c r="G13" s="4" t="s">
        <v>43</v>
      </c>
      <c r="H13" s="4" t="s">
        <v>18</v>
      </c>
      <c r="J13" s="4">
        <v>72</v>
      </c>
      <c r="K13" s="19">
        <v>17744</v>
      </c>
      <c r="M13" s="13">
        <f>+'Ron Sugar'!AJ2+'Ron Sugar'!AJ3</f>
        <v>2000</v>
      </c>
      <c r="P13" s="4" t="s">
        <v>533</v>
      </c>
      <c r="R13" s="4" t="str">
        <f t="shared" si="0"/>
        <v>Ron Sugar</v>
      </c>
    </row>
    <row r="14" spans="1:19" x14ac:dyDescent="0.2">
      <c r="A14" s="7" t="s">
        <v>23</v>
      </c>
      <c r="B14" s="4" t="s">
        <v>16</v>
      </c>
      <c r="C14" s="4" t="s">
        <v>19</v>
      </c>
      <c r="D14" s="4" t="s">
        <v>51</v>
      </c>
      <c r="E14" s="5" t="s">
        <v>44</v>
      </c>
      <c r="F14" s="4" t="s">
        <v>56</v>
      </c>
      <c r="G14" s="4" t="s">
        <v>45</v>
      </c>
      <c r="H14" s="4" t="s">
        <v>22</v>
      </c>
      <c r="J14" s="4">
        <v>59</v>
      </c>
      <c r="K14" s="19">
        <v>22427</v>
      </c>
      <c r="P14" s="4" t="s">
        <v>538</v>
      </c>
      <c r="R14" s="4" t="str">
        <f t="shared" si="0"/>
        <v>Sue L Wagner</v>
      </c>
      <c r="S14" s="13" t="s">
        <v>539</v>
      </c>
    </row>
    <row r="15" spans="1:19" x14ac:dyDescent="0.2">
      <c r="D15" s="6"/>
      <c r="R15" s="4" t="str">
        <f t="shared" si="0"/>
        <v xml:space="preserve"> </v>
      </c>
    </row>
    <row r="16" spans="1:19" x14ac:dyDescent="0.2">
      <c r="D16" s="6"/>
      <c r="E16" s="5"/>
    </row>
    <row r="17" spans="1:18" s="3" customForma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5"/>
      <c r="L17" s="12"/>
      <c r="M17" s="12"/>
      <c r="N17" s="12"/>
      <c r="O17" s="1"/>
      <c r="P17" s="1"/>
      <c r="Q17" s="1"/>
      <c r="R17" s="2"/>
    </row>
    <row r="18" spans="1:18" x14ac:dyDescent="0.2">
      <c r="E18" s="5"/>
    </row>
    <row r="19" spans="1:18" x14ac:dyDescent="0.2">
      <c r="D19" s="6"/>
      <c r="E19" s="5"/>
    </row>
    <row r="20" spans="1:18" x14ac:dyDescent="0.2">
      <c r="D20" s="5"/>
      <c r="E20" s="5"/>
    </row>
    <row r="22" spans="1:18" x14ac:dyDescent="0.2">
      <c r="D22" s="5"/>
      <c r="E22" s="5"/>
    </row>
    <row r="24" spans="1:18" x14ac:dyDescent="0.2">
      <c r="D24" s="5"/>
      <c r="E24" s="5"/>
    </row>
    <row r="25" spans="1:18" x14ac:dyDescent="0.2">
      <c r="D25" s="5"/>
      <c r="E25" s="5"/>
    </row>
    <row r="26" spans="1:18" x14ac:dyDescent="0.2">
      <c r="D26" s="5"/>
      <c r="E26" s="5"/>
    </row>
    <row r="28" spans="1:18" x14ac:dyDescent="0.2">
      <c r="D28" s="5"/>
      <c r="E28" s="5"/>
    </row>
    <row r="29" spans="1:18" x14ac:dyDescent="0.2">
      <c r="D29" s="5"/>
      <c r="E29" s="5"/>
    </row>
    <row r="30" spans="1:18" x14ac:dyDescent="0.2">
      <c r="D30" s="5"/>
      <c r="E30" s="5"/>
    </row>
    <row r="31" spans="1:18" x14ac:dyDescent="0.2">
      <c r="D31" s="5"/>
      <c r="E31" s="5"/>
    </row>
    <row r="32" spans="1:18" x14ac:dyDescent="0.2">
      <c r="D32" s="5"/>
      <c r="E32" s="5"/>
    </row>
    <row r="33" spans="4:5" x14ac:dyDescent="0.2">
      <c r="D33" s="5"/>
      <c r="E33" s="5"/>
    </row>
    <row r="34" spans="4:5" x14ac:dyDescent="0.2">
      <c r="D34" s="5"/>
      <c r="E34" s="5"/>
    </row>
    <row r="35" spans="4:5" x14ac:dyDescent="0.2">
      <c r="D35" s="5"/>
      <c r="E35" s="5"/>
    </row>
    <row r="36" spans="4:5" x14ac:dyDescent="0.2">
      <c r="D36" s="5"/>
      <c r="E36" s="5"/>
    </row>
    <row r="37" spans="4:5" x14ac:dyDescent="0.2">
      <c r="D37" s="5"/>
      <c r="E37" s="5"/>
    </row>
    <row r="38" spans="4:5" x14ac:dyDescent="0.2">
      <c r="D38" s="5"/>
      <c r="E38" s="5"/>
    </row>
    <row r="39" spans="4:5" x14ac:dyDescent="0.2">
      <c r="D39" s="5"/>
      <c r="E39" s="5"/>
    </row>
    <row r="40" spans="4:5" x14ac:dyDescent="0.2">
      <c r="D40" s="5"/>
      <c r="E40" s="5"/>
    </row>
    <row r="41" spans="4:5" x14ac:dyDescent="0.2">
      <c r="D41" s="5"/>
      <c r="E41" s="5"/>
    </row>
    <row r="42" spans="4:5" x14ac:dyDescent="0.2">
      <c r="D42" s="5"/>
      <c r="E42" s="5"/>
    </row>
    <row r="44" spans="4:5" x14ac:dyDescent="0.2">
      <c r="D44" s="5"/>
      <c r="E44" s="5"/>
    </row>
    <row r="45" spans="4:5" x14ac:dyDescent="0.2">
      <c r="D45" s="5"/>
      <c r="E45" s="5"/>
    </row>
    <row r="46" spans="4:5" x14ac:dyDescent="0.2">
      <c r="D46" s="5"/>
      <c r="E46" s="5"/>
    </row>
    <row r="47" spans="4:5" x14ac:dyDescent="0.2">
      <c r="D47" s="5"/>
      <c r="E47" s="5"/>
    </row>
    <row r="49" spans="4:5" x14ac:dyDescent="0.2">
      <c r="D49" s="5"/>
      <c r="E49" s="5"/>
    </row>
    <row r="50" spans="4:5" x14ac:dyDescent="0.2">
      <c r="D50" s="5"/>
      <c r="E50" s="5"/>
    </row>
    <row r="51" spans="4:5" x14ac:dyDescent="0.2">
      <c r="D51" s="5"/>
      <c r="E51" s="5"/>
    </row>
    <row r="52" spans="4:5" x14ac:dyDescent="0.2">
      <c r="D52" s="5"/>
      <c r="E52" s="5"/>
    </row>
    <row r="53" spans="4:5" x14ac:dyDescent="0.2">
      <c r="D53" s="5"/>
      <c r="E53" s="5"/>
    </row>
    <row r="54" spans="4:5" x14ac:dyDescent="0.2">
      <c r="D54" s="5"/>
      <c r="E54" s="5"/>
    </row>
    <row r="55" spans="4:5" x14ac:dyDescent="0.2">
      <c r="D55" s="5"/>
      <c r="E55" s="5"/>
    </row>
    <row r="56" spans="4:5" x14ac:dyDescent="0.2">
      <c r="D56" s="5"/>
      <c r="E56" s="5"/>
    </row>
    <row r="57" spans="4:5" x14ac:dyDescent="0.2">
      <c r="D57" s="5"/>
      <c r="E57" s="5"/>
    </row>
    <row r="58" spans="4:5" x14ac:dyDescent="0.2">
      <c r="D58" s="5"/>
      <c r="E58" s="5"/>
    </row>
  </sheetData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4"/>
  <sheetViews>
    <sheetView topLeftCell="AA1" workbookViewId="0">
      <selection activeCell="B2" sqref="B2"/>
    </sheetView>
  </sheetViews>
  <sheetFormatPr defaultRowHeight="15" x14ac:dyDescent="0.25"/>
  <cols>
    <col min="1" max="1" width="17.42578125" bestFit="1" customWidth="1"/>
    <col min="2" max="2" width="73.85546875" bestFit="1" customWidth="1"/>
    <col min="9" max="9" width="26.7109375" bestFit="1" customWidth="1"/>
    <col min="10" max="10" width="19.5703125" bestFit="1" customWidth="1"/>
    <col min="11" max="11" width="15.28515625" bestFit="1" customWidth="1"/>
    <col min="12" max="12" width="16.5703125" bestFit="1" customWidth="1"/>
    <col min="13" max="13" width="14.7109375" bestFit="1" customWidth="1"/>
  </cols>
  <sheetData>
    <row r="1" spans="1:79" x14ac:dyDescent="0.25">
      <c r="A1" t="s">
        <v>372</v>
      </c>
      <c r="B1" t="s">
        <v>365</v>
      </c>
      <c r="C1" t="s">
        <v>371</v>
      </c>
      <c r="D1" t="s">
        <v>370</v>
      </c>
      <c r="E1" t="s">
        <v>369</v>
      </c>
      <c r="F1" t="s">
        <v>368</v>
      </c>
      <c r="G1" t="s">
        <v>367</v>
      </c>
      <c r="H1" t="s">
        <v>366</v>
      </c>
      <c r="I1" t="s">
        <v>365</v>
      </c>
      <c r="J1" t="s">
        <v>364</v>
      </c>
      <c r="K1" t="s">
        <v>363</v>
      </c>
      <c r="L1" t="s">
        <v>362</v>
      </c>
      <c r="M1" t="s">
        <v>361</v>
      </c>
      <c r="N1" t="s">
        <v>360</v>
      </c>
      <c r="O1" t="s">
        <v>359</v>
      </c>
      <c r="P1" t="s">
        <v>358</v>
      </c>
      <c r="Q1" t="s">
        <v>357</v>
      </c>
      <c r="R1" t="s">
        <v>356</v>
      </c>
      <c r="S1" t="s">
        <v>355</v>
      </c>
      <c r="T1" t="s">
        <v>354</v>
      </c>
      <c r="U1" t="s">
        <v>353</v>
      </c>
      <c r="V1" t="s">
        <v>352</v>
      </c>
      <c r="W1" t="s">
        <v>351</v>
      </c>
      <c r="X1" t="s">
        <v>350</v>
      </c>
      <c r="Y1" t="s">
        <v>349</v>
      </c>
      <c r="Z1" t="s">
        <v>348</v>
      </c>
      <c r="AA1" t="s">
        <v>347</v>
      </c>
      <c r="AB1" t="s">
        <v>346</v>
      </c>
      <c r="AC1" t="s">
        <v>345</v>
      </c>
      <c r="AD1" t="s">
        <v>344</v>
      </c>
      <c r="AE1" t="s">
        <v>343</v>
      </c>
      <c r="AF1" t="s">
        <v>342</v>
      </c>
      <c r="AG1" t="s">
        <v>341</v>
      </c>
      <c r="AH1" t="s">
        <v>340</v>
      </c>
      <c r="AI1" t="s">
        <v>339</v>
      </c>
      <c r="AJ1" t="s">
        <v>338</v>
      </c>
      <c r="AK1" t="s">
        <v>337</v>
      </c>
      <c r="AL1" t="s">
        <v>336</v>
      </c>
      <c r="AM1" t="s">
        <v>335</v>
      </c>
      <c r="AN1" t="s">
        <v>334</v>
      </c>
      <c r="AO1" t="s">
        <v>333</v>
      </c>
      <c r="AP1" t="s">
        <v>332</v>
      </c>
      <c r="AQ1" t="s">
        <v>331</v>
      </c>
      <c r="AR1" t="s">
        <v>330</v>
      </c>
      <c r="AS1" t="s">
        <v>329</v>
      </c>
      <c r="AT1" t="s">
        <v>328</v>
      </c>
      <c r="AU1" t="s">
        <v>327</v>
      </c>
      <c r="AV1" t="s">
        <v>326</v>
      </c>
      <c r="AW1" t="s">
        <v>325</v>
      </c>
      <c r="AX1" t="s">
        <v>324</v>
      </c>
      <c r="AY1" t="s">
        <v>323</v>
      </c>
      <c r="AZ1" t="s">
        <v>322</v>
      </c>
      <c r="BA1" t="s">
        <v>321</v>
      </c>
      <c r="BB1" t="s">
        <v>320</v>
      </c>
      <c r="BC1" t="s">
        <v>319</v>
      </c>
      <c r="BD1" t="s">
        <v>318</v>
      </c>
      <c r="BE1" t="s">
        <v>317</v>
      </c>
      <c r="BF1" t="s">
        <v>316</v>
      </c>
      <c r="BG1" t="s">
        <v>315</v>
      </c>
      <c r="BH1" t="s">
        <v>314</v>
      </c>
      <c r="BI1" t="s">
        <v>313</v>
      </c>
      <c r="BJ1" t="s">
        <v>312</v>
      </c>
      <c r="BK1" t="s">
        <v>311</v>
      </c>
      <c r="BL1" t="s">
        <v>310</v>
      </c>
      <c r="BM1" t="s">
        <v>309</v>
      </c>
      <c r="BN1" t="s">
        <v>308</v>
      </c>
      <c r="BO1" t="s">
        <v>307</v>
      </c>
      <c r="BP1" t="s">
        <v>306</v>
      </c>
      <c r="BQ1" t="s">
        <v>305</v>
      </c>
      <c r="BR1" t="s">
        <v>304</v>
      </c>
      <c r="BS1" t="s">
        <v>303</v>
      </c>
      <c r="BT1" t="s">
        <v>302</v>
      </c>
      <c r="BU1" t="s">
        <v>301</v>
      </c>
      <c r="BV1" t="s">
        <v>300</v>
      </c>
      <c r="BW1" t="s">
        <v>299</v>
      </c>
      <c r="BX1" t="s">
        <v>298</v>
      </c>
      <c r="BY1" t="s">
        <v>297</v>
      </c>
      <c r="BZ1" t="s">
        <v>296</v>
      </c>
      <c r="CA1" t="s">
        <v>295</v>
      </c>
    </row>
    <row r="2" spans="1:79" x14ac:dyDescent="0.25">
      <c r="A2" t="s">
        <v>534</v>
      </c>
      <c r="B2" t="s">
        <v>535</v>
      </c>
      <c r="C2">
        <v>2019</v>
      </c>
      <c r="D2" t="s">
        <v>85</v>
      </c>
      <c r="E2">
        <v>2.0190918916337101E+17</v>
      </c>
      <c r="F2" t="s">
        <v>84</v>
      </c>
      <c r="G2" t="s">
        <v>536</v>
      </c>
      <c r="H2">
        <v>1352554</v>
      </c>
      <c r="J2" t="s">
        <v>83</v>
      </c>
      <c r="K2" t="s">
        <v>82</v>
      </c>
      <c r="N2" t="s">
        <v>520</v>
      </c>
      <c r="O2" t="s">
        <v>521</v>
      </c>
      <c r="P2" t="s">
        <v>373</v>
      </c>
      <c r="Q2" t="s">
        <v>522</v>
      </c>
      <c r="R2" t="s">
        <v>523</v>
      </c>
      <c r="S2" t="s">
        <v>524</v>
      </c>
      <c r="T2" t="s">
        <v>525</v>
      </c>
      <c r="V2" t="s">
        <v>526</v>
      </c>
      <c r="X2" t="s">
        <v>527</v>
      </c>
      <c r="Y2" t="s">
        <v>32</v>
      </c>
      <c r="Z2">
        <v>945832324</v>
      </c>
      <c r="AA2" t="s">
        <v>528</v>
      </c>
      <c r="AB2" t="s">
        <v>529</v>
      </c>
      <c r="AD2">
        <v>15</v>
      </c>
      <c r="AE2" t="s">
        <v>200</v>
      </c>
      <c r="AI2" s="10">
        <v>43691</v>
      </c>
      <c r="AJ2">
        <v>1000</v>
      </c>
      <c r="AK2">
        <v>1000</v>
      </c>
      <c r="BG2" t="s">
        <v>20</v>
      </c>
      <c r="BI2" t="s">
        <v>70</v>
      </c>
      <c r="BK2" t="s">
        <v>69</v>
      </c>
      <c r="BL2" t="s">
        <v>68</v>
      </c>
      <c r="BM2" t="s">
        <v>67</v>
      </c>
      <c r="BN2" s="11">
        <v>43728.111269236113</v>
      </c>
      <c r="BR2" t="s">
        <v>64</v>
      </c>
      <c r="BS2">
        <v>4.0918201916730798E+18</v>
      </c>
      <c r="BT2" t="s">
        <v>63</v>
      </c>
      <c r="BV2">
        <v>2020</v>
      </c>
      <c r="BW2" t="s">
        <v>61</v>
      </c>
      <c r="BY2">
        <v>4.0919201916732001E+18</v>
      </c>
      <c r="BZ2" t="s">
        <v>530</v>
      </c>
      <c r="CA2" t="s">
        <v>59</v>
      </c>
    </row>
    <row r="3" spans="1:79" x14ac:dyDescent="0.25">
      <c r="A3" t="s">
        <v>534</v>
      </c>
      <c r="B3" t="s">
        <v>535</v>
      </c>
      <c r="C3">
        <v>2020</v>
      </c>
      <c r="D3" t="s">
        <v>85</v>
      </c>
      <c r="E3">
        <v>2.0200918926724198E+17</v>
      </c>
      <c r="F3" t="s">
        <v>84</v>
      </c>
      <c r="G3" t="s">
        <v>537</v>
      </c>
      <c r="H3">
        <v>1439051</v>
      </c>
      <c r="J3" t="s">
        <v>83</v>
      </c>
      <c r="K3" t="s">
        <v>82</v>
      </c>
      <c r="N3" t="s">
        <v>520</v>
      </c>
      <c r="O3" t="s">
        <v>521</v>
      </c>
      <c r="P3" t="s">
        <v>373</v>
      </c>
      <c r="Q3" t="s">
        <v>522</v>
      </c>
      <c r="R3" t="s">
        <v>523</v>
      </c>
      <c r="S3" t="s">
        <v>524</v>
      </c>
      <c r="T3" t="s">
        <v>525</v>
      </c>
      <c r="V3" t="s">
        <v>526</v>
      </c>
      <c r="X3" t="s">
        <v>527</v>
      </c>
      <c r="Y3" t="s">
        <v>32</v>
      </c>
      <c r="Z3">
        <v>945832324</v>
      </c>
      <c r="AA3" t="s">
        <v>528</v>
      </c>
      <c r="AB3" t="s">
        <v>531</v>
      </c>
      <c r="AD3">
        <v>15</v>
      </c>
      <c r="AE3" t="s">
        <v>200</v>
      </c>
      <c r="AI3" s="10">
        <v>44074</v>
      </c>
      <c r="AJ3">
        <v>1000</v>
      </c>
      <c r="AK3">
        <v>1000</v>
      </c>
      <c r="BG3" t="s">
        <v>20</v>
      </c>
      <c r="BI3" t="s">
        <v>70</v>
      </c>
      <c r="BK3" t="s">
        <v>69</v>
      </c>
      <c r="BL3" t="s">
        <v>68</v>
      </c>
      <c r="BM3" t="s">
        <v>67</v>
      </c>
      <c r="BN3" s="11">
        <v>44093.15200840278</v>
      </c>
      <c r="BR3" t="s">
        <v>64</v>
      </c>
      <c r="BS3">
        <v>4.0919202018490399E+18</v>
      </c>
      <c r="BT3" t="s">
        <v>63</v>
      </c>
      <c r="BV3">
        <v>2020</v>
      </c>
      <c r="BW3" t="s">
        <v>61</v>
      </c>
      <c r="BY3">
        <v>4.09192020184911E+18</v>
      </c>
      <c r="BZ3" t="s">
        <v>532</v>
      </c>
      <c r="CA3" t="s">
        <v>59</v>
      </c>
    </row>
    <row r="4" spans="1:79" x14ac:dyDescent="0.25">
      <c r="M4" t="str">
        <f>+I3&amp;K3&amp;L3&amp;M3</f>
        <v>INDIVIDUAL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7"/>
  <sheetViews>
    <sheetView topLeftCell="Q1" workbookViewId="0">
      <selection activeCell="Y7" sqref="Y7"/>
    </sheetView>
  </sheetViews>
  <sheetFormatPr defaultRowHeight="15" x14ac:dyDescent="0.25"/>
  <cols>
    <col min="1" max="1" width="13.5703125" bestFit="1" customWidth="1"/>
    <col min="2" max="2" width="54.28515625" bestFit="1" customWidth="1"/>
    <col min="26" max="26" width="20" customWidth="1"/>
  </cols>
  <sheetData>
    <row r="1" spans="1:79" x14ac:dyDescent="0.25">
      <c r="A1" t="s">
        <v>372</v>
      </c>
      <c r="B1" t="s">
        <v>365</v>
      </c>
      <c r="C1" t="s">
        <v>371</v>
      </c>
      <c r="D1" t="s">
        <v>370</v>
      </c>
      <c r="E1" t="s">
        <v>369</v>
      </c>
      <c r="F1" t="s">
        <v>368</v>
      </c>
      <c r="G1" t="s">
        <v>367</v>
      </c>
      <c r="H1" t="s">
        <v>366</v>
      </c>
      <c r="I1" t="s">
        <v>365</v>
      </c>
      <c r="J1" t="s">
        <v>364</v>
      </c>
      <c r="K1" t="s">
        <v>363</v>
      </c>
      <c r="L1" t="s">
        <v>362</v>
      </c>
      <c r="M1" t="s">
        <v>361</v>
      </c>
      <c r="N1" t="s">
        <v>360</v>
      </c>
      <c r="O1" t="s">
        <v>359</v>
      </c>
      <c r="P1" t="s">
        <v>358</v>
      </c>
      <c r="Q1" t="s">
        <v>357</v>
      </c>
      <c r="R1" t="s">
        <v>356</v>
      </c>
      <c r="S1" t="s">
        <v>355</v>
      </c>
      <c r="T1" t="s">
        <v>354</v>
      </c>
      <c r="U1" t="s">
        <v>353</v>
      </c>
      <c r="V1" t="s">
        <v>352</v>
      </c>
      <c r="W1" t="s">
        <v>351</v>
      </c>
      <c r="X1" t="s">
        <v>350</v>
      </c>
      <c r="Y1" t="s">
        <v>349</v>
      </c>
      <c r="Z1" t="s">
        <v>348</v>
      </c>
      <c r="AA1" t="s">
        <v>347</v>
      </c>
      <c r="AB1" t="s">
        <v>346</v>
      </c>
      <c r="AC1" t="s">
        <v>345</v>
      </c>
      <c r="AD1" t="s">
        <v>344</v>
      </c>
      <c r="AE1" t="s">
        <v>343</v>
      </c>
      <c r="AF1" t="s">
        <v>342</v>
      </c>
      <c r="AG1" t="s">
        <v>341</v>
      </c>
      <c r="AH1" t="s">
        <v>340</v>
      </c>
      <c r="AI1" t="s">
        <v>339</v>
      </c>
      <c r="AJ1" t="s">
        <v>338</v>
      </c>
      <c r="AK1" t="s">
        <v>337</v>
      </c>
      <c r="AL1" t="s">
        <v>336</v>
      </c>
      <c r="AM1" t="s">
        <v>335</v>
      </c>
      <c r="AN1" t="s">
        <v>334</v>
      </c>
      <c r="AO1" t="s">
        <v>333</v>
      </c>
      <c r="AP1" t="s">
        <v>332</v>
      </c>
      <c r="AQ1" t="s">
        <v>331</v>
      </c>
      <c r="AR1" t="s">
        <v>330</v>
      </c>
      <c r="AS1" t="s">
        <v>329</v>
      </c>
      <c r="AT1" t="s">
        <v>328</v>
      </c>
      <c r="AU1" t="s">
        <v>327</v>
      </c>
      <c r="AV1" t="s">
        <v>326</v>
      </c>
      <c r="AW1" t="s">
        <v>325</v>
      </c>
      <c r="AX1" t="s">
        <v>324</v>
      </c>
      <c r="AY1" t="s">
        <v>323</v>
      </c>
      <c r="AZ1" t="s">
        <v>322</v>
      </c>
      <c r="BA1" t="s">
        <v>321</v>
      </c>
      <c r="BB1" t="s">
        <v>320</v>
      </c>
      <c r="BC1" t="s">
        <v>319</v>
      </c>
      <c r="BD1" t="s">
        <v>318</v>
      </c>
      <c r="BE1" t="s">
        <v>317</v>
      </c>
      <c r="BF1" t="s">
        <v>316</v>
      </c>
      <c r="BG1" t="s">
        <v>315</v>
      </c>
      <c r="BH1" t="s">
        <v>314</v>
      </c>
      <c r="BI1" t="s">
        <v>313</v>
      </c>
      <c r="BJ1" t="s">
        <v>312</v>
      </c>
      <c r="BK1" t="s">
        <v>311</v>
      </c>
      <c r="BL1" t="s">
        <v>310</v>
      </c>
      <c r="BM1" t="s">
        <v>309</v>
      </c>
      <c r="BN1" t="s">
        <v>308</v>
      </c>
      <c r="BO1" t="s">
        <v>307</v>
      </c>
      <c r="BP1" t="s">
        <v>306</v>
      </c>
      <c r="BQ1" t="s">
        <v>305</v>
      </c>
      <c r="BR1" t="s">
        <v>304</v>
      </c>
      <c r="BS1" t="s">
        <v>303</v>
      </c>
      <c r="BT1" t="s">
        <v>302</v>
      </c>
      <c r="BU1" t="s">
        <v>301</v>
      </c>
      <c r="BV1" t="s">
        <v>300</v>
      </c>
      <c r="BW1" t="s">
        <v>299</v>
      </c>
      <c r="BX1" t="s">
        <v>298</v>
      </c>
      <c r="BY1" t="s">
        <v>297</v>
      </c>
      <c r="BZ1" t="s">
        <v>296</v>
      </c>
      <c r="CA1" t="s">
        <v>295</v>
      </c>
    </row>
    <row r="2" spans="1:79" x14ac:dyDescent="0.25">
      <c r="A2" t="s">
        <v>375</v>
      </c>
      <c r="B2" t="s">
        <v>376</v>
      </c>
      <c r="C2">
        <v>2020</v>
      </c>
      <c r="D2" t="s">
        <v>377</v>
      </c>
      <c r="E2">
        <v>2.0201015929553901E+17</v>
      </c>
      <c r="F2" t="s">
        <v>84</v>
      </c>
      <c r="G2">
        <v>19297270</v>
      </c>
      <c r="H2">
        <v>1452403</v>
      </c>
      <c r="J2" t="s">
        <v>83</v>
      </c>
      <c r="K2" t="s">
        <v>82</v>
      </c>
      <c r="N2" t="s">
        <v>378</v>
      </c>
      <c r="O2" t="s">
        <v>19</v>
      </c>
      <c r="Q2" t="s">
        <v>379</v>
      </c>
      <c r="R2" t="s">
        <v>380</v>
      </c>
      <c r="T2" t="s">
        <v>381</v>
      </c>
      <c r="V2" t="s">
        <v>382</v>
      </c>
      <c r="X2" t="s">
        <v>383</v>
      </c>
      <c r="Y2" t="s">
        <v>384</v>
      </c>
      <c r="Z2">
        <v>77016302</v>
      </c>
      <c r="AA2" t="s">
        <v>385</v>
      </c>
      <c r="AB2" t="s">
        <v>130</v>
      </c>
      <c r="AD2">
        <v>15</v>
      </c>
      <c r="AE2" t="s">
        <v>200</v>
      </c>
      <c r="AI2" s="10">
        <v>44104</v>
      </c>
      <c r="AJ2">
        <v>50000</v>
      </c>
      <c r="AK2">
        <v>50000</v>
      </c>
      <c r="BG2" t="s">
        <v>20</v>
      </c>
      <c r="BI2" t="s">
        <v>70</v>
      </c>
      <c r="BK2" t="s">
        <v>69</v>
      </c>
      <c r="BL2" t="s">
        <v>68</v>
      </c>
      <c r="BM2" t="s">
        <v>67</v>
      </c>
      <c r="BN2" s="11">
        <v>44152.152422569445</v>
      </c>
      <c r="BR2" t="s">
        <v>64</v>
      </c>
      <c r="BS2">
        <v>4.10162020185858E+18</v>
      </c>
      <c r="BT2" t="s">
        <v>63</v>
      </c>
      <c r="BV2">
        <v>2020</v>
      </c>
      <c r="BW2" t="s">
        <v>61</v>
      </c>
      <c r="BY2">
        <v>4.11172020190061E+18</v>
      </c>
      <c r="BZ2" t="s">
        <v>386</v>
      </c>
      <c r="CA2" t="s">
        <v>59</v>
      </c>
    </row>
    <row r="3" spans="1:79" x14ac:dyDescent="0.25">
      <c r="A3" t="s">
        <v>387</v>
      </c>
      <c r="B3" t="s">
        <v>388</v>
      </c>
      <c r="C3">
        <v>2020</v>
      </c>
      <c r="D3" t="s">
        <v>97</v>
      </c>
      <c r="E3">
        <v>2.0210131942464899E+17</v>
      </c>
      <c r="F3">
        <v>17</v>
      </c>
      <c r="G3">
        <v>38421732</v>
      </c>
      <c r="H3">
        <v>1497317</v>
      </c>
      <c r="J3" t="s">
        <v>83</v>
      </c>
      <c r="K3" t="s">
        <v>82</v>
      </c>
      <c r="N3" t="s">
        <v>378</v>
      </c>
      <c r="O3" t="s">
        <v>16</v>
      </c>
      <c r="Q3" t="s">
        <v>80</v>
      </c>
      <c r="R3" t="s">
        <v>380</v>
      </c>
      <c r="T3" t="s">
        <v>381</v>
      </c>
      <c r="V3" t="s">
        <v>382</v>
      </c>
      <c r="X3" t="s">
        <v>383</v>
      </c>
      <c r="Y3" t="s">
        <v>384</v>
      </c>
      <c r="Z3">
        <v>77016302</v>
      </c>
      <c r="AA3" t="s">
        <v>385</v>
      </c>
      <c r="AB3" t="s">
        <v>130</v>
      </c>
      <c r="AD3" t="s">
        <v>389</v>
      </c>
      <c r="AE3" t="s">
        <v>390</v>
      </c>
      <c r="AG3" t="s">
        <v>391</v>
      </c>
      <c r="AI3" s="10">
        <v>44104</v>
      </c>
      <c r="AJ3">
        <v>11700</v>
      </c>
      <c r="AK3">
        <v>11700</v>
      </c>
      <c r="BG3" t="s">
        <v>392</v>
      </c>
      <c r="BH3" t="s">
        <v>393</v>
      </c>
      <c r="BI3" t="s">
        <v>70</v>
      </c>
      <c r="BJ3">
        <v>2020</v>
      </c>
      <c r="BK3" t="s">
        <v>69</v>
      </c>
      <c r="BL3" t="s">
        <v>68</v>
      </c>
      <c r="BM3" t="s">
        <v>67</v>
      </c>
      <c r="BN3" s="11">
        <v>44335.159828425923</v>
      </c>
      <c r="BP3">
        <v>38421474</v>
      </c>
      <c r="BQ3" t="s">
        <v>394</v>
      </c>
      <c r="BR3" t="s">
        <v>64</v>
      </c>
      <c r="BS3">
        <v>4.0202202121400602E+18</v>
      </c>
      <c r="BT3" t="s">
        <v>63</v>
      </c>
      <c r="BU3" t="s">
        <v>395</v>
      </c>
      <c r="BV3">
        <v>2020</v>
      </c>
      <c r="BW3" t="s">
        <v>61</v>
      </c>
      <c r="BY3">
        <v>4.0203202120179E+18</v>
      </c>
      <c r="BZ3" t="s">
        <v>396</v>
      </c>
      <c r="CA3" t="s">
        <v>397</v>
      </c>
    </row>
    <row r="4" spans="1:79" x14ac:dyDescent="0.25">
      <c r="A4" t="s">
        <v>176</v>
      </c>
      <c r="B4" t="s">
        <v>175</v>
      </c>
      <c r="C4">
        <v>2020</v>
      </c>
      <c r="D4" t="s">
        <v>160</v>
      </c>
      <c r="E4">
        <v>2.02010229336136E+17</v>
      </c>
      <c r="F4">
        <v>18</v>
      </c>
      <c r="G4">
        <v>19915565</v>
      </c>
      <c r="H4">
        <v>1463690</v>
      </c>
      <c r="J4" t="s">
        <v>83</v>
      </c>
      <c r="K4" t="s">
        <v>82</v>
      </c>
      <c r="N4" t="s">
        <v>378</v>
      </c>
      <c r="O4" t="s">
        <v>20</v>
      </c>
      <c r="Q4" t="s">
        <v>20</v>
      </c>
      <c r="R4" t="s">
        <v>380</v>
      </c>
      <c r="T4" t="s">
        <v>381</v>
      </c>
      <c r="V4" t="s">
        <v>382</v>
      </c>
      <c r="X4" t="s">
        <v>383</v>
      </c>
      <c r="Y4" t="s">
        <v>384</v>
      </c>
      <c r="Z4">
        <v>77016302</v>
      </c>
      <c r="AA4" t="s">
        <v>385</v>
      </c>
      <c r="AB4" t="s">
        <v>130</v>
      </c>
      <c r="AD4" t="s">
        <v>398</v>
      </c>
      <c r="AE4" t="s">
        <v>399</v>
      </c>
      <c r="AG4" t="s">
        <v>391</v>
      </c>
      <c r="AI4" s="10">
        <v>44104</v>
      </c>
      <c r="AJ4">
        <v>2800</v>
      </c>
      <c r="AK4">
        <v>2800</v>
      </c>
      <c r="BG4" t="s">
        <v>166</v>
      </c>
      <c r="BI4" t="s">
        <v>165</v>
      </c>
      <c r="BJ4">
        <v>2020</v>
      </c>
      <c r="BK4" t="s">
        <v>69</v>
      </c>
      <c r="BL4" t="s">
        <v>68</v>
      </c>
      <c r="BM4" t="s">
        <v>67</v>
      </c>
      <c r="BN4" s="11">
        <v>44132.199088113426</v>
      </c>
      <c r="BP4">
        <v>19898151</v>
      </c>
      <c r="BQ4" t="s">
        <v>400</v>
      </c>
      <c r="BR4" t="s">
        <v>162</v>
      </c>
      <c r="BS4">
        <v>4.10242020188542E+18</v>
      </c>
      <c r="BT4" t="s">
        <v>63</v>
      </c>
      <c r="BU4" t="s">
        <v>395</v>
      </c>
      <c r="BV4">
        <v>2020</v>
      </c>
      <c r="BW4" t="s">
        <v>61</v>
      </c>
      <c r="BY4">
        <v>4.1028202018885402E+18</v>
      </c>
      <c r="BZ4" t="s">
        <v>401</v>
      </c>
      <c r="CA4" t="s">
        <v>402</v>
      </c>
    </row>
    <row r="5" spans="1:79" x14ac:dyDescent="0.25">
      <c r="A5" t="s">
        <v>387</v>
      </c>
      <c r="B5" t="s">
        <v>388</v>
      </c>
      <c r="C5">
        <v>2020</v>
      </c>
      <c r="D5" t="s">
        <v>160</v>
      </c>
      <c r="E5">
        <v>2.0201022933624099E+17</v>
      </c>
      <c r="F5">
        <v>12</v>
      </c>
      <c r="G5">
        <v>37437740</v>
      </c>
      <c r="H5">
        <v>1463691</v>
      </c>
      <c r="J5" t="s">
        <v>83</v>
      </c>
      <c r="K5" t="s">
        <v>82</v>
      </c>
      <c r="N5" t="s">
        <v>378</v>
      </c>
      <c r="O5" t="s">
        <v>16</v>
      </c>
      <c r="Q5" t="s">
        <v>80</v>
      </c>
      <c r="R5" t="s">
        <v>380</v>
      </c>
      <c r="T5" t="s">
        <v>381</v>
      </c>
      <c r="V5" t="s">
        <v>382</v>
      </c>
      <c r="X5" t="s">
        <v>383</v>
      </c>
      <c r="Y5" t="s">
        <v>384</v>
      </c>
      <c r="Z5">
        <v>77016302</v>
      </c>
      <c r="AA5" t="s">
        <v>385</v>
      </c>
      <c r="AB5" t="s">
        <v>130</v>
      </c>
      <c r="AD5" t="s">
        <v>398</v>
      </c>
      <c r="AE5" t="s">
        <v>399</v>
      </c>
      <c r="AG5" t="s">
        <v>391</v>
      </c>
      <c r="AI5" s="10">
        <v>44104</v>
      </c>
      <c r="AJ5">
        <v>35500</v>
      </c>
      <c r="AK5">
        <v>35500</v>
      </c>
      <c r="BG5" t="s">
        <v>166</v>
      </c>
      <c r="BI5" t="s">
        <v>165</v>
      </c>
      <c r="BJ5">
        <v>2020</v>
      </c>
      <c r="BK5" t="s">
        <v>69</v>
      </c>
      <c r="BL5" t="s">
        <v>68</v>
      </c>
      <c r="BM5" t="s">
        <v>67</v>
      </c>
      <c r="BN5" s="11">
        <v>44155.29859997685</v>
      </c>
      <c r="BP5">
        <v>37430502</v>
      </c>
      <c r="BQ5" t="s">
        <v>403</v>
      </c>
      <c r="BR5" t="s">
        <v>64</v>
      </c>
      <c r="BS5">
        <v>4.10242020188542E+18</v>
      </c>
      <c r="BT5" t="s">
        <v>63</v>
      </c>
      <c r="BU5" t="s">
        <v>395</v>
      </c>
      <c r="BV5">
        <v>2020</v>
      </c>
      <c r="BW5" t="s">
        <v>61</v>
      </c>
      <c r="BY5">
        <v>4.11192020195906E+18</v>
      </c>
      <c r="BZ5" t="s">
        <v>404</v>
      </c>
      <c r="CA5" t="s">
        <v>405</v>
      </c>
    </row>
    <row r="6" spans="1:79" x14ac:dyDescent="0.25">
      <c r="A6" t="s">
        <v>406</v>
      </c>
      <c r="AJ6">
        <f>SUM(AJ2:AJ5)</f>
        <v>100000</v>
      </c>
    </row>
    <row r="7" spans="1:79" x14ac:dyDescent="0.25">
      <c r="Y7" t="str">
        <f>+V5&amp;W5&amp;X5&amp;Y5&amp;Z5</f>
        <v>47 BLOSSOM COVE RDRED BANKNJ77016302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86"/>
  <sheetViews>
    <sheetView workbookViewId="0">
      <selection sqref="A1:XFD1047857"/>
    </sheetView>
  </sheetViews>
  <sheetFormatPr defaultRowHeight="12.75" x14ac:dyDescent="0.2"/>
  <cols>
    <col min="1" max="16384" width="9.140625" style="9"/>
  </cols>
  <sheetData>
    <row r="1" spans="1:79" x14ac:dyDescent="0.2">
      <c r="A1" s="9" t="s">
        <v>372</v>
      </c>
      <c r="B1" s="9" t="s">
        <v>365</v>
      </c>
      <c r="C1" s="9" t="s">
        <v>371</v>
      </c>
      <c r="D1" s="9" t="s">
        <v>370</v>
      </c>
      <c r="E1" s="9" t="s">
        <v>369</v>
      </c>
      <c r="F1" s="9" t="s">
        <v>368</v>
      </c>
      <c r="G1" s="9" t="s">
        <v>367</v>
      </c>
      <c r="H1" s="9" t="s">
        <v>366</v>
      </c>
      <c r="I1" s="9" t="s">
        <v>365</v>
      </c>
      <c r="J1" s="9" t="s">
        <v>364</v>
      </c>
      <c r="K1" s="9" t="s">
        <v>363</v>
      </c>
      <c r="L1" s="9" t="s">
        <v>362</v>
      </c>
      <c r="M1" s="9" t="s">
        <v>361</v>
      </c>
      <c r="N1" s="9" t="s">
        <v>360</v>
      </c>
      <c r="O1" s="9" t="s">
        <v>359</v>
      </c>
      <c r="P1" s="9" t="s">
        <v>358</v>
      </c>
      <c r="Q1" s="9" t="s">
        <v>357</v>
      </c>
      <c r="R1" s="9" t="s">
        <v>356</v>
      </c>
      <c r="S1" s="9" t="s">
        <v>355</v>
      </c>
      <c r="T1" s="9" t="s">
        <v>354</v>
      </c>
      <c r="U1" s="9" t="s">
        <v>353</v>
      </c>
      <c r="V1" s="9" t="s">
        <v>352</v>
      </c>
      <c r="W1" s="9" t="s">
        <v>351</v>
      </c>
      <c r="X1" s="9" t="s">
        <v>350</v>
      </c>
      <c r="Y1" s="9" t="s">
        <v>349</v>
      </c>
      <c r="Z1" s="9" t="s">
        <v>348</v>
      </c>
      <c r="AA1" s="9" t="s">
        <v>347</v>
      </c>
      <c r="AB1" s="9" t="s">
        <v>346</v>
      </c>
      <c r="AC1" s="9" t="s">
        <v>345</v>
      </c>
      <c r="AD1" s="9" t="s">
        <v>344</v>
      </c>
      <c r="AE1" s="9" t="s">
        <v>343</v>
      </c>
      <c r="AF1" s="9" t="s">
        <v>342</v>
      </c>
      <c r="AG1" s="9" t="s">
        <v>341</v>
      </c>
      <c r="AH1" s="9" t="s">
        <v>340</v>
      </c>
      <c r="AI1" s="9" t="s">
        <v>339</v>
      </c>
      <c r="AJ1" s="9" t="s">
        <v>338</v>
      </c>
      <c r="AK1" s="9" t="s">
        <v>337</v>
      </c>
      <c r="AL1" s="9" t="s">
        <v>336</v>
      </c>
      <c r="AM1" s="9" t="s">
        <v>335</v>
      </c>
      <c r="AN1" s="9" t="s">
        <v>334</v>
      </c>
      <c r="AO1" s="9" t="s">
        <v>333</v>
      </c>
      <c r="AP1" s="9" t="s">
        <v>332</v>
      </c>
      <c r="AQ1" s="9" t="s">
        <v>331</v>
      </c>
      <c r="AR1" s="9" t="s">
        <v>330</v>
      </c>
      <c r="AS1" s="9" t="s">
        <v>329</v>
      </c>
      <c r="AT1" s="9" t="s">
        <v>328</v>
      </c>
      <c r="AU1" s="9" t="s">
        <v>327</v>
      </c>
      <c r="AV1" s="9" t="s">
        <v>326</v>
      </c>
      <c r="AW1" s="9" t="s">
        <v>325</v>
      </c>
      <c r="AX1" s="9" t="s">
        <v>324</v>
      </c>
      <c r="AY1" s="9" t="s">
        <v>323</v>
      </c>
      <c r="AZ1" s="9" t="s">
        <v>322</v>
      </c>
      <c r="BA1" s="9" t="s">
        <v>321</v>
      </c>
      <c r="BB1" s="9" t="s">
        <v>320</v>
      </c>
      <c r="BC1" s="9" t="s">
        <v>319</v>
      </c>
      <c r="BD1" s="9" t="s">
        <v>318</v>
      </c>
      <c r="BE1" s="9" t="s">
        <v>317</v>
      </c>
      <c r="BF1" s="9" t="s">
        <v>316</v>
      </c>
      <c r="BG1" s="9" t="s">
        <v>315</v>
      </c>
      <c r="BH1" s="9" t="s">
        <v>314</v>
      </c>
      <c r="BI1" s="9" t="s">
        <v>313</v>
      </c>
      <c r="BJ1" s="9" t="s">
        <v>312</v>
      </c>
      <c r="BK1" s="9" t="s">
        <v>311</v>
      </c>
      <c r="BL1" s="9" t="s">
        <v>310</v>
      </c>
      <c r="BM1" s="9" t="s">
        <v>309</v>
      </c>
      <c r="BN1" s="9" t="s">
        <v>308</v>
      </c>
      <c r="BO1" s="9" t="s">
        <v>307</v>
      </c>
      <c r="BP1" s="9" t="s">
        <v>306</v>
      </c>
      <c r="BQ1" s="9" t="s">
        <v>305</v>
      </c>
      <c r="BR1" s="9" t="s">
        <v>304</v>
      </c>
      <c r="BS1" s="9" t="s">
        <v>303</v>
      </c>
      <c r="BT1" s="9" t="s">
        <v>302</v>
      </c>
      <c r="BU1" s="9" t="s">
        <v>301</v>
      </c>
      <c r="BV1" s="9" t="s">
        <v>300</v>
      </c>
      <c r="BW1" s="9" t="s">
        <v>299</v>
      </c>
      <c r="BX1" s="9" t="s">
        <v>298</v>
      </c>
      <c r="BY1" s="9" t="s">
        <v>297</v>
      </c>
      <c r="BZ1" s="9" t="s">
        <v>296</v>
      </c>
      <c r="CA1" s="9" t="s">
        <v>295</v>
      </c>
    </row>
    <row r="2" spans="1:79" x14ac:dyDescent="0.2">
      <c r="A2" s="9" t="s">
        <v>111</v>
      </c>
      <c r="B2" s="9" t="s">
        <v>110</v>
      </c>
      <c r="C2" s="9">
        <v>2019</v>
      </c>
      <c r="D2" s="9" t="s">
        <v>273</v>
      </c>
      <c r="E2" s="9">
        <v>2.0190729915424E+17</v>
      </c>
      <c r="F2" s="9" t="s">
        <v>84</v>
      </c>
      <c r="G2" s="9" t="s">
        <v>294</v>
      </c>
      <c r="H2" s="9">
        <v>1344765</v>
      </c>
      <c r="J2" s="9" t="s">
        <v>83</v>
      </c>
      <c r="K2" s="9" t="s">
        <v>82</v>
      </c>
      <c r="N2" s="9" t="s">
        <v>81</v>
      </c>
      <c r="O2" s="9" t="s">
        <v>17</v>
      </c>
      <c r="Q2" s="9" t="s">
        <v>80</v>
      </c>
      <c r="R2" s="9" t="s">
        <v>79</v>
      </c>
      <c r="T2" s="9" t="s">
        <v>78</v>
      </c>
      <c r="V2" s="9" t="s">
        <v>107</v>
      </c>
      <c r="X2" s="9" t="s">
        <v>76</v>
      </c>
      <c r="Y2" s="9" t="s">
        <v>75</v>
      </c>
      <c r="Z2" s="9">
        <v>39759</v>
      </c>
      <c r="AA2" s="9" t="s">
        <v>73</v>
      </c>
      <c r="AB2" s="9" t="s">
        <v>73</v>
      </c>
      <c r="AF2" s="9" t="s">
        <v>104</v>
      </c>
      <c r="AI2" s="9">
        <v>43495</v>
      </c>
      <c r="AJ2" s="9">
        <v>6</v>
      </c>
      <c r="AK2" s="9">
        <v>51</v>
      </c>
      <c r="BK2" s="9" t="s">
        <v>69</v>
      </c>
      <c r="BL2" s="9" t="s">
        <v>68</v>
      </c>
      <c r="BM2" s="9" t="s">
        <v>67</v>
      </c>
      <c r="BN2" s="9">
        <v>43706.636315937503</v>
      </c>
      <c r="BR2" s="9" t="s">
        <v>64</v>
      </c>
      <c r="BS2" s="9">
        <v>4.0801201916624399E+18</v>
      </c>
      <c r="BT2" s="9" t="s">
        <v>63</v>
      </c>
      <c r="BU2" s="9" t="s">
        <v>102</v>
      </c>
      <c r="BV2" s="9">
        <v>2020</v>
      </c>
      <c r="BW2" s="9" t="s">
        <v>61</v>
      </c>
      <c r="BY2" s="9">
        <v>4.082820191128E+18</v>
      </c>
      <c r="BZ2" s="9" t="s">
        <v>292</v>
      </c>
      <c r="CA2" s="9" t="s">
        <v>59</v>
      </c>
    </row>
    <row r="3" spans="1:79" x14ac:dyDescent="0.2">
      <c r="A3" s="9" t="s">
        <v>111</v>
      </c>
      <c r="B3" s="9" t="s">
        <v>110</v>
      </c>
      <c r="C3" s="9">
        <v>2019</v>
      </c>
      <c r="D3" s="9" t="s">
        <v>273</v>
      </c>
      <c r="E3" s="9">
        <v>2.0190729915424E+17</v>
      </c>
      <c r="F3" s="9" t="s">
        <v>84</v>
      </c>
      <c r="G3" s="9" t="s">
        <v>293</v>
      </c>
      <c r="H3" s="9">
        <v>1344765</v>
      </c>
      <c r="J3" s="9" t="s">
        <v>83</v>
      </c>
      <c r="K3" s="9" t="s">
        <v>82</v>
      </c>
      <c r="N3" s="9" t="s">
        <v>81</v>
      </c>
      <c r="O3" s="9" t="s">
        <v>17</v>
      </c>
      <c r="Q3" s="9" t="s">
        <v>80</v>
      </c>
      <c r="R3" s="9" t="s">
        <v>79</v>
      </c>
      <c r="T3" s="9" t="s">
        <v>78</v>
      </c>
      <c r="V3" s="9" t="s">
        <v>107</v>
      </c>
      <c r="X3" s="9" t="s">
        <v>76</v>
      </c>
      <c r="Y3" s="9" t="s">
        <v>75</v>
      </c>
      <c r="Z3" s="9">
        <v>39759</v>
      </c>
      <c r="AA3" s="9" t="s">
        <v>73</v>
      </c>
      <c r="AB3" s="9" t="s">
        <v>73</v>
      </c>
      <c r="AF3" s="9" t="s">
        <v>113</v>
      </c>
      <c r="AI3" s="9">
        <v>43495</v>
      </c>
      <c r="AJ3" s="9">
        <v>1.2</v>
      </c>
      <c r="AK3" s="9">
        <v>8.6999999999999993</v>
      </c>
      <c r="BK3" s="9" t="s">
        <v>69</v>
      </c>
      <c r="BL3" s="9" t="s">
        <v>68</v>
      </c>
      <c r="BM3" s="9" t="s">
        <v>67</v>
      </c>
      <c r="BN3" s="9">
        <v>43706.637564803241</v>
      </c>
      <c r="BR3" s="9" t="s">
        <v>64</v>
      </c>
      <c r="BS3" s="9">
        <v>4.0801201916624399E+18</v>
      </c>
      <c r="BT3" s="9" t="s">
        <v>63</v>
      </c>
      <c r="BU3" s="9" t="s">
        <v>112</v>
      </c>
      <c r="BV3" s="9">
        <v>2020</v>
      </c>
      <c r="BW3" s="9" t="s">
        <v>61</v>
      </c>
      <c r="BY3" s="9">
        <v>4.0828201911281198E+18</v>
      </c>
      <c r="BZ3" s="9" t="s">
        <v>292</v>
      </c>
      <c r="CA3" s="9" t="s">
        <v>59</v>
      </c>
    </row>
    <row r="4" spans="1:79" x14ac:dyDescent="0.2">
      <c r="A4" s="9" t="s">
        <v>111</v>
      </c>
      <c r="B4" s="9" t="s">
        <v>110</v>
      </c>
      <c r="C4" s="9">
        <v>2019</v>
      </c>
      <c r="D4" s="9" t="s">
        <v>273</v>
      </c>
      <c r="E4" s="9">
        <v>2.0190729915424E+17</v>
      </c>
      <c r="F4" s="9" t="s">
        <v>84</v>
      </c>
      <c r="G4" s="9" t="s">
        <v>291</v>
      </c>
      <c r="H4" s="9">
        <v>1344765</v>
      </c>
      <c r="J4" s="9" t="s">
        <v>83</v>
      </c>
      <c r="K4" s="9" t="s">
        <v>82</v>
      </c>
      <c r="N4" s="9" t="s">
        <v>81</v>
      </c>
      <c r="O4" s="9" t="s">
        <v>17</v>
      </c>
      <c r="Q4" s="9" t="s">
        <v>80</v>
      </c>
      <c r="R4" s="9" t="s">
        <v>79</v>
      </c>
      <c r="T4" s="9" t="s">
        <v>78</v>
      </c>
      <c r="V4" s="9" t="s">
        <v>107</v>
      </c>
      <c r="X4" s="9" t="s">
        <v>76</v>
      </c>
      <c r="Y4" s="9" t="s">
        <v>75</v>
      </c>
      <c r="Z4" s="9">
        <v>39759</v>
      </c>
      <c r="AA4" s="9" t="s">
        <v>73</v>
      </c>
      <c r="AB4" s="9" t="s">
        <v>73</v>
      </c>
      <c r="AF4" s="9" t="s">
        <v>113</v>
      </c>
      <c r="AI4" s="9">
        <v>43524</v>
      </c>
      <c r="AJ4" s="9">
        <v>1.2</v>
      </c>
      <c r="AK4" s="9">
        <v>8.6999999999999993</v>
      </c>
      <c r="BK4" s="9" t="s">
        <v>69</v>
      </c>
      <c r="BL4" s="9" t="s">
        <v>68</v>
      </c>
      <c r="BM4" s="9" t="s">
        <v>67</v>
      </c>
      <c r="BN4" s="9">
        <v>43706.638174814812</v>
      </c>
      <c r="BR4" s="9" t="s">
        <v>64</v>
      </c>
      <c r="BS4" s="9">
        <v>4.0801201916624399E+18</v>
      </c>
      <c r="BT4" s="9" t="s">
        <v>63</v>
      </c>
      <c r="BU4" s="9" t="s">
        <v>112</v>
      </c>
      <c r="BV4" s="9">
        <v>2020</v>
      </c>
      <c r="BW4" s="9" t="s">
        <v>61</v>
      </c>
      <c r="BY4" s="9">
        <v>4.0828201911281603E+18</v>
      </c>
      <c r="BZ4" s="9" t="s">
        <v>284</v>
      </c>
      <c r="CA4" s="9" t="s">
        <v>59</v>
      </c>
    </row>
    <row r="5" spans="1:79" x14ac:dyDescent="0.2">
      <c r="A5" s="9" t="s">
        <v>111</v>
      </c>
      <c r="B5" s="9" t="s">
        <v>110</v>
      </c>
      <c r="C5" s="9">
        <v>2019</v>
      </c>
      <c r="D5" s="9" t="s">
        <v>273</v>
      </c>
      <c r="E5" s="9">
        <v>2.0190729915424E+17</v>
      </c>
      <c r="F5" s="9" t="s">
        <v>84</v>
      </c>
      <c r="G5" s="9" t="s">
        <v>290</v>
      </c>
      <c r="H5" s="9">
        <v>1344765</v>
      </c>
      <c r="J5" s="9" t="s">
        <v>83</v>
      </c>
      <c r="K5" s="9" t="s">
        <v>82</v>
      </c>
      <c r="N5" s="9" t="s">
        <v>81</v>
      </c>
      <c r="O5" s="9" t="s">
        <v>17</v>
      </c>
      <c r="Q5" s="9" t="s">
        <v>80</v>
      </c>
      <c r="R5" s="9" t="s">
        <v>79</v>
      </c>
      <c r="T5" s="9" t="s">
        <v>78</v>
      </c>
      <c r="V5" s="9" t="s">
        <v>107</v>
      </c>
      <c r="X5" s="9" t="s">
        <v>76</v>
      </c>
      <c r="Y5" s="9" t="s">
        <v>75</v>
      </c>
      <c r="Z5" s="9">
        <v>39759</v>
      </c>
      <c r="AA5" s="9" t="s">
        <v>73</v>
      </c>
      <c r="AB5" s="9" t="s">
        <v>73</v>
      </c>
      <c r="AF5" s="9" t="s">
        <v>104</v>
      </c>
      <c r="AI5" s="9">
        <v>43554</v>
      </c>
      <c r="AJ5" s="9">
        <v>6</v>
      </c>
      <c r="AK5" s="9">
        <v>51</v>
      </c>
      <c r="BK5" s="9" t="s">
        <v>69</v>
      </c>
      <c r="BL5" s="9" t="s">
        <v>68</v>
      </c>
      <c r="BM5" s="9" t="s">
        <v>67</v>
      </c>
      <c r="BN5" s="9">
        <v>43706.638329930553</v>
      </c>
      <c r="BR5" s="9" t="s">
        <v>64</v>
      </c>
      <c r="BS5" s="9">
        <v>4.0801201916624399E+18</v>
      </c>
      <c r="BT5" s="9" t="s">
        <v>63</v>
      </c>
      <c r="BU5" s="9" t="s">
        <v>102</v>
      </c>
      <c r="BV5" s="9">
        <v>2020</v>
      </c>
      <c r="BW5" s="9" t="s">
        <v>61</v>
      </c>
      <c r="BY5" s="9">
        <v>4.08282019112817E+18</v>
      </c>
      <c r="BZ5" s="9" t="s">
        <v>287</v>
      </c>
      <c r="CA5" s="9" t="s">
        <v>59</v>
      </c>
    </row>
    <row r="6" spans="1:79" x14ac:dyDescent="0.2">
      <c r="A6" s="9" t="s">
        <v>111</v>
      </c>
      <c r="B6" s="9" t="s">
        <v>110</v>
      </c>
      <c r="C6" s="9">
        <v>2019</v>
      </c>
      <c r="D6" s="9" t="s">
        <v>273</v>
      </c>
      <c r="E6" s="9">
        <v>2.0190729915424E+17</v>
      </c>
      <c r="F6" s="9" t="s">
        <v>84</v>
      </c>
      <c r="G6" s="9" t="s">
        <v>289</v>
      </c>
      <c r="H6" s="9">
        <v>1344765</v>
      </c>
      <c r="J6" s="9" t="s">
        <v>83</v>
      </c>
      <c r="K6" s="9" t="s">
        <v>82</v>
      </c>
      <c r="N6" s="9" t="s">
        <v>81</v>
      </c>
      <c r="O6" s="9" t="s">
        <v>17</v>
      </c>
      <c r="Q6" s="9" t="s">
        <v>80</v>
      </c>
      <c r="R6" s="9" t="s">
        <v>79</v>
      </c>
      <c r="T6" s="9" t="s">
        <v>78</v>
      </c>
      <c r="V6" s="9" t="s">
        <v>107</v>
      </c>
      <c r="X6" s="9" t="s">
        <v>76</v>
      </c>
      <c r="Y6" s="9" t="s">
        <v>75</v>
      </c>
      <c r="Z6" s="9">
        <v>39759</v>
      </c>
      <c r="AA6" s="9" t="s">
        <v>73</v>
      </c>
      <c r="AB6" s="9" t="s">
        <v>73</v>
      </c>
      <c r="AF6" s="9" t="s">
        <v>113</v>
      </c>
      <c r="AI6" s="9">
        <v>43615</v>
      </c>
      <c r="AJ6" s="9">
        <v>1.2</v>
      </c>
      <c r="AK6" s="9">
        <v>8.6999999999999993</v>
      </c>
      <c r="BK6" s="9" t="s">
        <v>69</v>
      </c>
      <c r="BL6" s="9" t="s">
        <v>68</v>
      </c>
      <c r="BM6" s="9" t="s">
        <v>67</v>
      </c>
      <c r="BN6" s="9">
        <v>43706.639567395832</v>
      </c>
      <c r="BR6" s="9" t="s">
        <v>64</v>
      </c>
      <c r="BS6" s="9">
        <v>4.0801201916624399E+18</v>
      </c>
      <c r="BT6" s="9" t="s">
        <v>63</v>
      </c>
      <c r="BU6" s="9" t="s">
        <v>112</v>
      </c>
      <c r="BV6" s="9">
        <v>2020</v>
      </c>
      <c r="BW6" s="9" t="s">
        <v>61</v>
      </c>
      <c r="BY6" s="9">
        <v>4.0828201911277399E+18</v>
      </c>
      <c r="BZ6" s="9" t="s">
        <v>280</v>
      </c>
      <c r="CA6" s="9" t="s">
        <v>59</v>
      </c>
    </row>
    <row r="7" spans="1:79" x14ac:dyDescent="0.2">
      <c r="A7" s="9" t="s">
        <v>111</v>
      </c>
      <c r="B7" s="9" t="s">
        <v>110</v>
      </c>
      <c r="C7" s="9">
        <v>2019</v>
      </c>
      <c r="D7" s="9" t="s">
        <v>273</v>
      </c>
      <c r="E7" s="9">
        <v>2.0190729915424E+17</v>
      </c>
      <c r="F7" s="9" t="s">
        <v>84</v>
      </c>
      <c r="G7" s="9" t="s">
        <v>288</v>
      </c>
      <c r="H7" s="9">
        <v>1344765</v>
      </c>
      <c r="J7" s="9" t="s">
        <v>83</v>
      </c>
      <c r="K7" s="9" t="s">
        <v>82</v>
      </c>
      <c r="N7" s="9" t="s">
        <v>81</v>
      </c>
      <c r="O7" s="9" t="s">
        <v>17</v>
      </c>
      <c r="Q7" s="9" t="s">
        <v>80</v>
      </c>
      <c r="R7" s="9" t="s">
        <v>79</v>
      </c>
      <c r="T7" s="9" t="s">
        <v>78</v>
      </c>
      <c r="V7" s="9" t="s">
        <v>107</v>
      </c>
      <c r="X7" s="9" t="s">
        <v>76</v>
      </c>
      <c r="Y7" s="9" t="s">
        <v>75</v>
      </c>
      <c r="Z7" s="9">
        <v>39759</v>
      </c>
      <c r="AA7" s="9" t="s">
        <v>73</v>
      </c>
      <c r="AB7" s="9" t="s">
        <v>73</v>
      </c>
      <c r="AF7" s="9" t="s">
        <v>113</v>
      </c>
      <c r="AI7" s="9">
        <v>43554</v>
      </c>
      <c r="AJ7" s="9">
        <v>1.2</v>
      </c>
      <c r="AK7" s="9">
        <v>8.6999999999999993</v>
      </c>
      <c r="BK7" s="9" t="s">
        <v>69</v>
      </c>
      <c r="BL7" s="9" t="s">
        <v>68</v>
      </c>
      <c r="BM7" s="9" t="s">
        <v>67</v>
      </c>
      <c r="BN7" s="9">
        <v>43706.642093449074</v>
      </c>
      <c r="BR7" s="9" t="s">
        <v>64</v>
      </c>
      <c r="BS7" s="9">
        <v>4.0801201916624399E+18</v>
      </c>
      <c r="BT7" s="9" t="s">
        <v>63</v>
      </c>
      <c r="BU7" s="9" t="s">
        <v>112</v>
      </c>
      <c r="BV7" s="9">
        <v>2020</v>
      </c>
      <c r="BW7" s="9" t="s">
        <v>61</v>
      </c>
      <c r="BY7" s="9">
        <v>4.08282019112849E+18</v>
      </c>
      <c r="BZ7" s="9" t="s">
        <v>287</v>
      </c>
      <c r="CA7" s="9" t="s">
        <v>59</v>
      </c>
    </row>
    <row r="8" spans="1:79" x14ac:dyDescent="0.2">
      <c r="A8" s="9" t="s">
        <v>111</v>
      </c>
      <c r="B8" s="9" t="s">
        <v>110</v>
      </c>
      <c r="C8" s="9">
        <v>2019</v>
      </c>
      <c r="D8" s="9" t="s">
        <v>273</v>
      </c>
      <c r="E8" s="9">
        <v>2.0190729915424E+17</v>
      </c>
      <c r="F8" s="9" t="s">
        <v>84</v>
      </c>
      <c r="G8" s="9" t="s">
        <v>286</v>
      </c>
      <c r="H8" s="9">
        <v>1344765</v>
      </c>
      <c r="J8" s="9" t="s">
        <v>83</v>
      </c>
      <c r="K8" s="9" t="s">
        <v>82</v>
      </c>
      <c r="N8" s="9" t="s">
        <v>81</v>
      </c>
      <c r="O8" s="9" t="s">
        <v>17</v>
      </c>
      <c r="Q8" s="9" t="s">
        <v>80</v>
      </c>
      <c r="R8" s="9" t="s">
        <v>79</v>
      </c>
      <c r="T8" s="9" t="s">
        <v>78</v>
      </c>
      <c r="V8" s="9" t="s">
        <v>107</v>
      </c>
      <c r="X8" s="9" t="s">
        <v>76</v>
      </c>
      <c r="Y8" s="9" t="s">
        <v>75</v>
      </c>
      <c r="Z8" s="9">
        <v>39759</v>
      </c>
      <c r="AA8" s="9" t="s">
        <v>73</v>
      </c>
      <c r="AB8" s="9" t="s">
        <v>73</v>
      </c>
      <c r="AF8" s="9" t="s">
        <v>104</v>
      </c>
      <c r="AI8" s="9">
        <v>43534</v>
      </c>
      <c r="AJ8" s="9">
        <v>15</v>
      </c>
      <c r="AK8" s="9">
        <v>51</v>
      </c>
      <c r="BK8" s="9" t="s">
        <v>69</v>
      </c>
      <c r="BL8" s="9" t="s">
        <v>68</v>
      </c>
      <c r="BM8" s="9" t="s">
        <v>67</v>
      </c>
      <c r="BN8" s="9">
        <v>43706.781208993052</v>
      </c>
      <c r="BR8" s="9" t="s">
        <v>64</v>
      </c>
      <c r="BS8" s="9">
        <v>4.0801201916624399E+18</v>
      </c>
      <c r="BT8" s="9" t="s">
        <v>63</v>
      </c>
      <c r="BU8" s="9" t="s">
        <v>102</v>
      </c>
      <c r="BV8" s="9">
        <v>2020</v>
      </c>
      <c r="BW8" s="9" t="s">
        <v>61</v>
      </c>
      <c r="BY8" s="9">
        <v>4.0828201911322798E+18</v>
      </c>
      <c r="BZ8" s="9" t="s">
        <v>271</v>
      </c>
      <c r="CA8" s="9" t="s">
        <v>59</v>
      </c>
    </row>
    <row r="9" spans="1:79" x14ac:dyDescent="0.2">
      <c r="A9" s="9" t="s">
        <v>111</v>
      </c>
      <c r="B9" s="9" t="s">
        <v>110</v>
      </c>
      <c r="C9" s="9">
        <v>2019</v>
      </c>
      <c r="D9" s="9" t="s">
        <v>273</v>
      </c>
      <c r="E9" s="9">
        <v>2.0190729915424E+17</v>
      </c>
      <c r="F9" s="9" t="s">
        <v>84</v>
      </c>
      <c r="G9" s="9" t="s">
        <v>285</v>
      </c>
      <c r="H9" s="9">
        <v>1344765</v>
      </c>
      <c r="J9" s="9" t="s">
        <v>83</v>
      </c>
      <c r="K9" s="9" t="s">
        <v>82</v>
      </c>
      <c r="N9" s="9" t="s">
        <v>81</v>
      </c>
      <c r="O9" s="9" t="s">
        <v>17</v>
      </c>
      <c r="Q9" s="9" t="s">
        <v>80</v>
      </c>
      <c r="R9" s="9" t="s">
        <v>79</v>
      </c>
      <c r="T9" s="9" t="s">
        <v>78</v>
      </c>
      <c r="V9" s="9" t="s">
        <v>107</v>
      </c>
      <c r="X9" s="9" t="s">
        <v>76</v>
      </c>
      <c r="Y9" s="9" t="s">
        <v>75</v>
      </c>
      <c r="Z9" s="9">
        <v>39759</v>
      </c>
      <c r="AA9" s="9" t="s">
        <v>73</v>
      </c>
      <c r="AB9" s="9" t="s">
        <v>73</v>
      </c>
      <c r="AF9" s="9" t="s">
        <v>104</v>
      </c>
      <c r="AI9" s="9">
        <v>43524</v>
      </c>
      <c r="AJ9" s="9">
        <v>6</v>
      </c>
      <c r="AK9" s="9">
        <v>51</v>
      </c>
      <c r="BK9" s="9" t="s">
        <v>69</v>
      </c>
      <c r="BL9" s="9" t="s">
        <v>68</v>
      </c>
      <c r="BM9" s="9" t="s">
        <v>67</v>
      </c>
      <c r="BN9" s="9">
        <v>43706.794798680552</v>
      </c>
      <c r="BR9" s="9" t="s">
        <v>64</v>
      </c>
      <c r="BS9" s="9">
        <v>4.0801201916624399E+18</v>
      </c>
      <c r="BT9" s="9" t="s">
        <v>63</v>
      </c>
      <c r="BU9" s="9" t="s">
        <v>102</v>
      </c>
      <c r="BV9" s="9">
        <v>2020</v>
      </c>
      <c r="BW9" s="9" t="s">
        <v>61</v>
      </c>
      <c r="BY9" s="9">
        <v>4.08282019112851E+18</v>
      </c>
      <c r="BZ9" s="9" t="s">
        <v>284</v>
      </c>
      <c r="CA9" s="9" t="s">
        <v>59</v>
      </c>
    </row>
    <row r="10" spans="1:79" x14ac:dyDescent="0.2">
      <c r="A10" s="9" t="s">
        <v>111</v>
      </c>
      <c r="B10" s="9" t="s">
        <v>110</v>
      </c>
      <c r="C10" s="9">
        <v>2019</v>
      </c>
      <c r="D10" s="9" t="s">
        <v>273</v>
      </c>
      <c r="E10" s="9">
        <v>2.0190729915424E+17</v>
      </c>
      <c r="F10" s="9" t="s">
        <v>84</v>
      </c>
      <c r="G10" s="9" t="s">
        <v>283</v>
      </c>
      <c r="H10" s="9">
        <v>1344765</v>
      </c>
      <c r="J10" s="9" t="s">
        <v>83</v>
      </c>
      <c r="K10" s="9" t="s">
        <v>82</v>
      </c>
      <c r="N10" s="9" t="s">
        <v>81</v>
      </c>
      <c r="O10" s="9" t="s">
        <v>17</v>
      </c>
      <c r="Q10" s="9" t="s">
        <v>80</v>
      </c>
      <c r="R10" s="9" t="s">
        <v>79</v>
      </c>
      <c r="T10" s="9" t="s">
        <v>78</v>
      </c>
      <c r="V10" s="9" t="s">
        <v>107</v>
      </c>
      <c r="X10" s="9" t="s">
        <v>76</v>
      </c>
      <c r="Y10" s="9" t="s">
        <v>75</v>
      </c>
      <c r="Z10" s="9">
        <v>39759</v>
      </c>
      <c r="AA10" s="9" t="s">
        <v>73</v>
      </c>
      <c r="AB10" s="9" t="s">
        <v>73</v>
      </c>
      <c r="AF10" s="9" t="s">
        <v>104</v>
      </c>
      <c r="AI10" s="9">
        <v>43585</v>
      </c>
      <c r="AJ10" s="9">
        <v>6</v>
      </c>
      <c r="AK10" s="9">
        <v>51</v>
      </c>
      <c r="BK10" s="9" t="s">
        <v>69</v>
      </c>
      <c r="BL10" s="9" t="s">
        <v>68</v>
      </c>
      <c r="BM10" s="9" t="s">
        <v>67</v>
      </c>
      <c r="BN10" s="9">
        <v>43706.826043668982</v>
      </c>
      <c r="BR10" s="9" t="s">
        <v>64</v>
      </c>
      <c r="BS10" s="9">
        <v>4.0801201916624399E+18</v>
      </c>
      <c r="BT10" s="9" t="s">
        <v>63</v>
      </c>
      <c r="BU10" s="9" t="s">
        <v>102</v>
      </c>
      <c r="BV10" s="9">
        <v>2020</v>
      </c>
      <c r="BW10" s="9" t="s">
        <v>61</v>
      </c>
      <c r="BY10" s="9">
        <v>4.08282019112802E+18</v>
      </c>
      <c r="BZ10" s="9" t="s">
        <v>282</v>
      </c>
      <c r="CA10" s="9" t="s">
        <v>59</v>
      </c>
    </row>
    <row r="11" spans="1:79" x14ac:dyDescent="0.2">
      <c r="A11" s="9" t="s">
        <v>111</v>
      </c>
      <c r="B11" s="9" t="s">
        <v>110</v>
      </c>
      <c r="C11" s="9">
        <v>2019</v>
      </c>
      <c r="D11" s="9" t="s">
        <v>273</v>
      </c>
      <c r="E11" s="9">
        <v>2.0190729915424E+17</v>
      </c>
      <c r="F11" s="9" t="s">
        <v>84</v>
      </c>
      <c r="G11" s="9" t="s">
        <v>281</v>
      </c>
      <c r="H11" s="9">
        <v>1344765</v>
      </c>
      <c r="J11" s="9" t="s">
        <v>83</v>
      </c>
      <c r="K11" s="9" t="s">
        <v>82</v>
      </c>
      <c r="N11" s="9" t="s">
        <v>81</v>
      </c>
      <c r="O11" s="9" t="s">
        <v>17</v>
      </c>
      <c r="Q11" s="9" t="s">
        <v>80</v>
      </c>
      <c r="R11" s="9" t="s">
        <v>79</v>
      </c>
      <c r="T11" s="9" t="s">
        <v>78</v>
      </c>
      <c r="V11" s="9" t="s">
        <v>107</v>
      </c>
      <c r="X11" s="9" t="s">
        <v>76</v>
      </c>
      <c r="Y11" s="9" t="s">
        <v>75</v>
      </c>
      <c r="Z11" s="9">
        <v>39759</v>
      </c>
      <c r="AA11" s="9" t="s">
        <v>73</v>
      </c>
      <c r="AB11" s="9" t="s">
        <v>73</v>
      </c>
      <c r="AF11" s="9" t="s">
        <v>104</v>
      </c>
      <c r="AI11" s="9">
        <v>43615</v>
      </c>
      <c r="AJ11" s="9">
        <v>6</v>
      </c>
      <c r="AK11" s="9">
        <v>51</v>
      </c>
      <c r="BK11" s="9" t="s">
        <v>69</v>
      </c>
      <c r="BL11" s="9" t="s">
        <v>68</v>
      </c>
      <c r="BM11" s="9" t="s">
        <v>67</v>
      </c>
      <c r="BN11" s="9">
        <v>43706.826485092592</v>
      </c>
      <c r="BR11" s="9" t="s">
        <v>64</v>
      </c>
      <c r="BS11" s="9">
        <v>4.0801201916624399E+18</v>
      </c>
      <c r="BT11" s="9" t="s">
        <v>63</v>
      </c>
      <c r="BU11" s="9" t="s">
        <v>102</v>
      </c>
      <c r="BV11" s="9">
        <v>2020</v>
      </c>
      <c r="BW11" s="9" t="s">
        <v>61</v>
      </c>
      <c r="BY11" s="9">
        <v>4.0828201911277399E+18</v>
      </c>
      <c r="BZ11" s="9" t="s">
        <v>280</v>
      </c>
      <c r="CA11" s="9" t="s">
        <v>59</v>
      </c>
    </row>
    <row r="12" spans="1:79" x14ac:dyDescent="0.2">
      <c r="A12" s="9" t="s">
        <v>111</v>
      </c>
      <c r="B12" s="9" t="s">
        <v>110</v>
      </c>
      <c r="C12" s="9">
        <v>2019</v>
      </c>
      <c r="D12" s="9" t="s">
        <v>273</v>
      </c>
      <c r="E12" s="9">
        <v>2.0190729915424E+17</v>
      </c>
      <c r="F12" s="9" t="s">
        <v>84</v>
      </c>
      <c r="G12" s="9" t="s">
        <v>279</v>
      </c>
      <c r="H12" s="9">
        <v>1344765</v>
      </c>
      <c r="J12" s="9" t="s">
        <v>83</v>
      </c>
      <c r="K12" s="9" t="s">
        <v>82</v>
      </c>
      <c r="N12" s="9" t="s">
        <v>81</v>
      </c>
      <c r="O12" s="9" t="s">
        <v>17</v>
      </c>
      <c r="Q12" s="9" t="s">
        <v>80</v>
      </c>
      <c r="R12" s="9" t="s">
        <v>79</v>
      </c>
      <c r="T12" s="9" t="s">
        <v>78</v>
      </c>
      <c r="V12" s="9" t="s">
        <v>107</v>
      </c>
      <c r="X12" s="9" t="s">
        <v>76</v>
      </c>
      <c r="Y12" s="9" t="s">
        <v>75</v>
      </c>
      <c r="Z12" s="9">
        <v>39759</v>
      </c>
      <c r="AA12" s="9" t="s">
        <v>73</v>
      </c>
      <c r="AB12" s="9" t="s">
        <v>73</v>
      </c>
      <c r="AF12" s="9" t="s">
        <v>113</v>
      </c>
      <c r="AI12" s="9">
        <v>43646</v>
      </c>
      <c r="AJ12" s="9">
        <v>1.2</v>
      </c>
      <c r="AK12" s="9">
        <v>8.6999999999999993</v>
      </c>
      <c r="BK12" s="9" t="s">
        <v>69</v>
      </c>
      <c r="BL12" s="9" t="s">
        <v>68</v>
      </c>
      <c r="BM12" s="9" t="s">
        <v>67</v>
      </c>
      <c r="BN12" s="9">
        <v>43706.828813784719</v>
      </c>
      <c r="BR12" s="9" t="s">
        <v>64</v>
      </c>
      <c r="BS12" s="9">
        <v>4.0801201916624399E+18</v>
      </c>
      <c r="BT12" s="9" t="s">
        <v>63</v>
      </c>
      <c r="BU12" s="9" t="s">
        <v>112</v>
      </c>
      <c r="BV12" s="9">
        <v>2020</v>
      </c>
      <c r="BW12" s="9" t="s">
        <v>61</v>
      </c>
      <c r="BY12" s="9">
        <v>4.0828201911323802E+18</v>
      </c>
      <c r="BZ12" s="9" t="s">
        <v>278</v>
      </c>
      <c r="CA12" s="9" t="s">
        <v>59</v>
      </c>
    </row>
    <row r="13" spans="1:79" x14ac:dyDescent="0.2">
      <c r="A13" s="9" t="s">
        <v>111</v>
      </c>
      <c r="B13" s="9" t="s">
        <v>110</v>
      </c>
      <c r="C13" s="9">
        <v>2019</v>
      </c>
      <c r="D13" s="9" t="s">
        <v>273</v>
      </c>
      <c r="E13" s="9">
        <v>2.0190729915424E+17</v>
      </c>
      <c r="F13" s="9" t="s">
        <v>84</v>
      </c>
      <c r="G13" s="9" t="s">
        <v>277</v>
      </c>
      <c r="H13" s="9">
        <v>1344765</v>
      </c>
      <c r="J13" s="9" t="s">
        <v>83</v>
      </c>
      <c r="K13" s="9" t="s">
        <v>82</v>
      </c>
      <c r="N13" s="9" t="s">
        <v>81</v>
      </c>
      <c r="O13" s="9" t="s">
        <v>17</v>
      </c>
      <c r="Q13" s="9" t="s">
        <v>80</v>
      </c>
      <c r="R13" s="9" t="s">
        <v>79</v>
      </c>
      <c r="T13" s="9" t="s">
        <v>78</v>
      </c>
      <c r="V13" s="9" t="s">
        <v>107</v>
      </c>
      <c r="X13" s="9" t="s">
        <v>76</v>
      </c>
      <c r="Y13" s="9" t="s">
        <v>75</v>
      </c>
      <c r="Z13" s="9">
        <v>39759</v>
      </c>
      <c r="AA13" s="9" t="s">
        <v>73</v>
      </c>
      <c r="AB13" s="9" t="s">
        <v>73</v>
      </c>
      <c r="AF13" s="9" t="s">
        <v>113</v>
      </c>
      <c r="AI13" s="9">
        <v>43585</v>
      </c>
      <c r="AJ13" s="9">
        <v>1.2</v>
      </c>
      <c r="AK13" s="9">
        <v>8.6999999999999993</v>
      </c>
      <c r="BK13" s="9" t="s">
        <v>69</v>
      </c>
      <c r="BL13" s="9" t="s">
        <v>68</v>
      </c>
      <c r="BM13" s="9" t="s">
        <v>67</v>
      </c>
      <c r="BN13" s="9">
        <v>43706.844012986112</v>
      </c>
      <c r="BR13" s="9" t="s">
        <v>64</v>
      </c>
      <c r="BS13" s="9">
        <v>4.0801201916624399E+18</v>
      </c>
      <c r="BT13" s="9" t="s">
        <v>63</v>
      </c>
      <c r="BU13" s="9" t="s">
        <v>112</v>
      </c>
      <c r="BV13" s="9">
        <v>2020</v>
      </c>
      <c r="BW13" s="9" t="s">
        <v>61</v>
      </c>
      <c r="BY13" s="9">
        <v>4.0828201911323402E+18</v>
      </c>
      <c r="BZ13" s="9" t="s">
        <v>276</v>
      </c>
      <c r="CA13" s="9" t="s">
        <v>59</v>
      </c>
    </row>
    <row r="14" spans="1:79" x14ac:dyDescent="0.2">
      <c r="A14" s="9" t="s">
        <v>111</v>
      </c>
      <c r="B14" s="9" t="s">
        <v>110</v>
      </c>
      <c r="C14" s="9">
        <v>2019</v>
      </c>
      <c r="D14" s="9" t="s">
        <v>273</v>
      </c>
      <c r="E14" s="9">
        <v>2.0190729915424E+17</v>
      </c>
      <c r="F14" s="9" t="s">
        <v>84</v>
      </c>
      <c r="G14" s="9" t="s">
        <v>275</v>
      </c>
      <c r="H14" s="9">
        <v>1344765</v>
      </c>
      <c r="J14" s="9" t="s">
        <v>83</v>
      </c>
      <c r="K14" s="9" t="s">
        <v>82</v>
      </c>
      <c r="N14" s="9" t="s">
        <v>81</v>
      </c>
      <c r="O14" s="9" t="s">
        <v>17</v>
      </c>
      <c r="Q14" s="9" t="s">
        <v>80</v>
      </c>
      <c r="R14" s="9" t="s">
        <v>79</v>
      </c>
      <c r="T14" s="9" t="s">
        <v>78</v>
      </c>
      <c r="V14" s="9" t="s">
        <v>107</v>
      </c>
      <c r="X14" s="9" t="s">
        <v>76</v>
      </c>
      <c r="Y14" s="9" t="s">
        <v>75</v>
      </c>
      <c r="Z14" s="9">
        <v>39759</v>
      </c>
      <c r="AA14" s="9" t="s">
        <v>73</v>
      </c>
      <c r="AB14" s="9" t="s">
        <v>73</v>
      </c>
      <c r="AF14" s="9" t="s">
        <v>104</v>
      </c>
      <c r="AI14" s="9">
        <v>43646</v>
      </c>
      <c r="AJ14" s="9">
        <v>6</v>
      </c>
      <c r="AK14" s="9">
        <v>51</v>
      </c>
      <c r="BK14" s="9" t="s">
        <v>69</v>
      </c>
      <c r="BL14" s="9" t="s">
        <v>68</v>
      </c>
      <c r="BM14" s="9" t="s">
        <v>67</v>
      </c>
      <c r="BN14" s="9">
        <v>43706.856865856484</v>
      </c>
      <c r="BR14" s="9" t="s">
        <v>64</v>
      </c>
      <c r="BS14" s="9">
        <v>4.0801201916624399E+18</v>
      </c>
      <c r="BT14" s="9" t="s">
        <v>63</v>
      </c>
      <c r="BU14" s="9" t="s">
        <v>102</v>
      </c>
      <c r="BV14" s="9">
        <v>2020</v>
      </c>
      <c r="BW14" s="9" t="s">
        <v>61</v>
      </c>
      <c r="BY14" s="9">
        <v>4.08282019112815E+18</v>
      </c>
      <c r="BZ14" s="9" t="s">
        <v>274</v>
      </c>
      <c r="CA14" s="9" t="s">
        <v>59</v>
      </c>
    </row>
    <row r="15" spans="1:79" x14ac:dyDescent="0.2">
      <c r="A15" s="9" t="s">
        <v>111</v>
      </c>
      <c r="B15" s="9" t="s">
        <v>110</v>
      </c>
      <c r="C15" s="9">
        <v>2019</v>
      </c>
      <c r="D15" s="9" t="s">
        <v>273</v>
      </c>
      <c r="E15" s="9">
        <v>2.0190729915424E+17</v>
      </c>
      <c r="F15" s="9" t="s">
        <v>84</v>
      </c>
      <c r="G15" s="9" t="s">
        <v>272</v>
      </c>
      <c r="H15" s="9">
        <v>1344765</v>
      </c>
      <c r="J15" s="9" t="s">
        <v>83</v>
      </c>
      <c r="K15" s="9" t="s">
        <v>82</v>
      </c>
      <c r="N15" s="9" t="s">
        <v>81</v>
      </c>
      <c r="O15" s="9" t="s">
        <v>17</v>
      </c>
      <c r="Q15" s="9" t="s">
        <v>80</v>
      </c>
      <c r="R15" s="9" t="s">
        <v>79</v>
      </c>
      <c r="T15" s="9" t="s">
        <v>78</v>
      </c>
      <c r="V15" s="9" t="s">
        <v>107</v>
      </c>
      <c r="X15" s="9" t="s">
        <v>76</v>
      </c>
      <c r="Y15" s="9" t="s">
        <v>75</v>
      </c>
      <c r="Z15" s="9">
        <v>39759</v>
      </c>
      <c r="AA15" s="9" t="s">
        <v>73</v>
      </c>
      <c r="AB15" s="9" t="s">
        <v>73</v>
      </c>
      <c r="AF15" s="9" t="s">
        <v>113</v>
      </c>
      <c r="AI15" s="9">
        <v>43534</v>
      </c>
      <c r="AJ15" s="9">
        <v>1.5</v>
      </c>
      <c r="AK15" s="9">
        <v>8.6999999999999993</v>
      </c>
      <c r="BK15" s="9" t="s">
        <v>69</v>
      </c>
      <c r="BL15" s="9" t="s">
        <v>68</v>
      </c>
      <c r="BM15" s="9" t="s">
        <v>67</v>
      </c>
      <c r="BN15" s="9">
        <v>43706.859013460649</v>
      </c>
      <c r="BR15" s="9" t="s">
        <v>64</v>
      </c>
      <c r="BS15" s="9">
        <v>4.0801201916624399E+18</v>
      </c>
      <c r="BT15" s="9" t="s">
        <v>63</v>
      </c>
      <c r="BU15" s="9" t="s">
        <v>112</v>
      </c>
      <c r="BV15" s="9">
        <v>2020</v>
      </c>
      <c r="BW15" s="9" t="s">
        <v>61</v>
      </c>
      <c r="BY15" s="9">
        <v>4.0828201911322798E+18</v>
      </c>
      <c r="BZ15" s="9" t="s">
        <v>271</v>
      </c>
      <c r="CA15" s="9" t="s">
        <v>59</v>
      </c>
    </row>
    <row r="16" spans="1:79" x14ac:dyDescent="0.2">
      <c r="A16" s="9" t="s">
        <v>203</v>
      </c>
      <c r="B16" s="9" t="s">
        <v>202</v>
      </c>
      <c r="C16" s="9">
        <v>2019</v>
      </c>
      <c r="D16" s="9" t="s">
        <v>97</v>
      </c>
      <c r="E16" s="9">
        <v>2.02001319185792E+17</v>
      </c>
      <c r="F16" s="9" t="s">
        <v>84</v>
      </c>
      <c r="G16" s="9">
        <v>2089154</v>
      </c>
      <c r="H16" s="9">
        <v>1379421</v>
      </c>
      <c r="J16" s="9" t="s">
        <v>83</v>
      </c>
      <c r="K16" s="9" t="s">
        <v>82</v>
      </c>
      <c r="N16" s="9" t="s">
        <v>81</v>
      </c>
      <c r="O16" s="9" t="s">
        <v>17</v>
      </c>
      <c r="Q16" s="9" t="s">
        <v>80</v>
      </c>
      <c r="R16" s="9" t="s">
        <v>79</v>
      </c>
      <c r="T16" s="9" t="s">
        <v>78</v>
      </c>
      <c r="V16" s="9" t="s">
        <v>201</v>
      </c>
      <c r="X16" s="9" t="s">
        <v>76</v>
      </c>
      <c r="Y16" s="9" t="s">
        <v>75</v>
      </c>
      <c r="Z16" s="9">
        <v>39759</v>
      </c>
      <c r="AD16" s="9">
        <v>15</v>
      </c>
      <c r="AE16" s="9" t="s">
        <v>200</v>
      </c>
      <c r="AI16" s="9">
        <v>43772</v>
      </c>
      <c r="AJ16" s="9">
        <v>20</v>
      </c>
      <c r="AK16" s="9">
        <v>220</v>
      </c>
      <c r="BG16" s="9" t="s">
        <v>20</v>
      </c>
      <c r="BI16" s="9" t="s">
        <v>70</v>
      </c>
      <c r="BK16" s="9" t="s">
        <v>69</v>
      </c>
      <c r="BL16" s="9" t="s">
        <v>68</v>
      </c>
      <c r="BM16" s="9" t="s">
        <v>67</v>
      </c>
      <c r="BN16" s="9">
        <v>43872.069233726848</v>
      </c>
      <c r="BR16" s="9" t="s">
        <v>64</v>
      </c>
      <c r="BS16" s="9">
        <v>4.02012020168638E+18</v>
      </c>
      <c r="BT16" s="9" t="s">
        <v>63</v>
      </c>
      <c r="BV16" s="9">
        <v>2020</v>
      </c>
      <c r="BW16" s="9" t="s">
        <v>61</v>
      </c>
      <c r="BY16" s="9">
        <v>4.0210202016880502E+18</v>
      </c>
      <c r="BZ16" s="9" t="s">
        <v>270</v>
      </c>
      <c r="CA16" s="9" t="s">
        <v>59</v>
      </c>
    </row>
    <row r="17" spans="1:79" x14ac:dyDescent="0.2">
      <c r="A17" s="9" t="s">
        <v>203</v>
      </c>
      <c r="B17" s="9" t="s">
        <v>202</v>
      </c>
      <c r="C17" s="9">
        <v>2019</v>
      </c>
      <c r="D17" s="9" t="s">
        <v>97</v>
      </c>
      <c r="E17" s="9">
        <v>2.02001319185792E+17</v>
      </c>
      <c r="F17" s="9" t="s">
        <v>84</v>
      </c>
      <c r="G17" s="9">
        <v>1973608</v>
      </c>
      <c r="H17" s="9">
        <v>1379421</v>
      </c>
      <c r="J17" s="9" t="s">
        <v>83</v>
      </c>
      <c r="K17" s="9" t="s">
        <v>82</v>
      </c>
      <c r="N17" s="9" t="s">
        <v>81</v>
      </c>
      <c r="O17" s="9" t="s">
        <v>17</v>
      </c>
      <c r="Q17" s="9" t="s">
        <v>80</v>
      </c>
      <c r="R17" s="9" t="s">
        <v>79</v>
      </c>
      <c r="T17" s="9" t="s">
        <v>78</v>
      </c>
      <c r="V17" s="9" t="s">
        <v>201</v>
      </c>
      <c r="X17" s="9" t="s">
        <v>76</v>
      </c>
      <c r="Y17" s="9" t="s">
        <v>75</v>
      </c>
      <c r="Z17" s="9">
        <v>39759</v>
      </c>
      <c r="AD17" s="9">
        <v>15</v>
      </c>
      <c r="AE17" s="9" t="s">
        <v>200</v>
      </c>
      <c r="AI17" s="9">
        <v>43802</v>
      </c>
      <c r="AJ17" s="9">
        <v>20</v>
      </c>
      <c r="AK17" s="9">
        <v>240</v>
      </c>
      <c r="BG17" s="9" t="s">
        <v>20</v>
      </c>
      <c r="BI17" s="9" t="s">
        <v>70</v>
      </c>
      <c r="BK17" s="9" t="s">
        <v>69</v>
      </c>
      <c r="BL17" s="9" t="s">
        <v>68</v>
      </c>
      <c r="BM17" s="9" t="s">
        <v>67</v>
      </c>
      <c r="BN17" s="9">
        <v>43872.069233726848</v>
      </c>
      <c r="BR17" s="9" t="s">
        <v>64</v>
      </c>
      <c r="BS17" s="9">
        <v>4.02012020168638E+18</v>
      </c>
      <c r="BT17" s="9" t="s">
        <v>63</v>
      </c>
      <c r="BV17" s="9">
        <v>2020</v>
      </c>
      <c r="BW17" s="9" t="s">
        <v>61</v>
      </c>
      <c r="BY17" s="9">
        <v>4.0210202016880502E+18</v>
      </c>
      <c r="BZ17" s="9" t="s">
        <v>269</v>
      </c>
      <c r="CA17" s="9" t="s">
        <v>59</v>
      </c>
    </row>
    <row r="18" spans="1:79" x14ac:dyDescent="0.2">
      <c r="A18" s="9" t="s">
        <v>87</v>
      </c>
      <c r="B18" s="9" t="s">
        <v>86</v>
      </c>
      <c r="C18" s="9">
        <v>2020</v>
      </c>
      <c r="D18" s="9" t="s">
        <v>140</v>
      </c>
      <c r="E18" s="9">
        <v>2.0210330944264499E+17</v>
      </c>
      <c r="F18" s="9" t="s">
        <v>84</v>
      </c>
      <c r="G18" s="9">
        <v>31259082</v>
      </c>
      <c r="H18" s="9">
        <v>1506705</v>
      </c>
      <c r="J18" s="9" t="s">
        <v>83</v>
      </c>
      <c r="K18" s="9" t="s">
        <v>82</v>
      </c>
      <c r="N18" s="9" t="s">
        <v>81</v>
      </c>
      <c r="O18" s="9" t="s">
        <v>16</v>
      </c>
      <c r="Q18" s="9" t="s">
        <v>80</v>
      </c>
      <c r="R18" s="9" t="s">
        <v>79</v>
      </c>
      <c r="T18" s="9" t="s">
        <v>78</v>
      </c>
      <c r="V18" s="9" t="s">
        <v>77</v>
      </c>
      <c r="X18" s="9" t="s">
        <v>76</v>
      </c>
      <c r="Y18" s="9" t="s">
        <v>75</v>
      </c>
      <c r="Z18" s="9">
        <v>397595331</v>
      </c>
      <c r="AA18" s="9" t="s">
        <v>74</v>
      </c>
      <c r="AB18" s="9" t="s">
        <v>232</v>
      </c>
      <c r="AD18" s="9" t="s">
        <v>72</v>
      </c>
      <c r="AE18" s="9" t="s">
        <v>71</v>
      </c>
      <c r="AI18" s="9">
        <v>44087</v>
      </c>
      <c r="AJ18" s="9">
        <v>25</v>
      </c>
      <c r="AK18" s="9">
        <v>248</v>
      </c>
      <c r="BG18" s="9" t="s">
        <v>20</v>
      </c>
      <c r="BI18" s="9" t="s">
        <v>70</v>
      </c>
      <c r="BK18" s="9" t="s">
        <v>69</v>
      </c>
      <c r="BL18" s="9" t="s">
        <v>68</v>
      </c>
      <c r="BM18" s="9" t="s">
        <v>67</v>
      </c>
      <c r="BN18" s="9">
        <v>44292.17738202546</v>
      </c>
      <c r="BP18" s="9" t="s">
        <v>268</v>
      </c>
      <c r="BQ18" s="9" t="s">
        <v>65</v>
      </c>
      <c r="BR18" s="9" t="s">
        <v>64</v>
      </c>
      <c r="BS18" s="9">
        <v>4.0331202112704102E+18</v>
      </c>
      <c r="BT18" s="9" t="s">
        <v>63</v>
      </c>
      <c r="BU18" s="9" t="s">
        <v>62</v>
      </c>
      <c r="BV18" s="9">
        <v>2020</v>
      </c>
      <c r="BW18" s="9" t="s">
        <v>61</v>
      </c>
      <c r="BY18" s="9">
        <v>4.04062021127505E+18</v>
      </c>
      <c r="BZ18" s="9" t="s">
        <v>267</v>
      </c>
      <c r="CA18" s="9" t="s">
        <v>59</v>
      </c>
    </row>
    <row r="19" spans="1:79" x14ac:dyDescent="0.2">
      <c r="A19" s="9" t="s">
        <v>87</v>
      </c>
      <c r="B19" s="9" t="s">
        <v>86</v>
      </c>
      <c r="C19" s="9">
        <v>2020</v>
      </c>
      <c r="D19" s="9" t="s">
        <v>140</v>
      </c>
      <c r="E19" s="9">
        <v>2.0210330944264499E+17</v>
      </c>
      <c r="F19" s="9" t="s">
        <v>84</v>
      </c>
      <c r="G19" s="9">
        <v>31696377</v>
      </c>
      <c r="H19" s="9">
        <v>1506705</v>
      </c>
      <c r="J19" s="9" t="s">
        <v>83</v>
      </c>
      <c r="K19" s="9" t="s">
        <v>82</v>
      </c>
      <c r="N19" s="9" t="s">
        <v>81</v>
      </c>
      <c r="O19" s="9" t="s">
        <v>16</v>
      </c>
      <c r="Q19" s="9" t="s">
        <v>80</v>
      </c>
      <c r="R19" s="9" t="s">
        <v>79</v>
      </c>
      <c r="T19" s="9" t="s">
        <v>78</v>
      </c>
      <c r="V19" s="9" t="s">
        <v>77</v>
      </c>
      <c r="X19" s="9" t="s">
        <v>76</v>
      </c>
      <c r="Y19" s="9" t="s">
        <v>75</v>
      </c>
      <c r="Z19" s="9">
        <v>397595331</v>
      </c>
      <c r="AA19" s="9" t="s">
        <v>74</v>
      </c>
      <c r="AB19" s="9" t="s">
        <v>232</v>
      </c>
      <c r="AD19" s="9" t="s">
        <v>72</v>
      </c>
      <c r="AE19" s="9" t="s">
        <v>71</v>
      </c>
      <c r="AI19" s="9">
        <v>44104</v>
      </c>
      <c r="AJ19" s="9">
        <v>6</v>
      </c>
      <c r="AK19" s="9">
        <v>254</v>
      </c>
      <c r="BG19" s="9" t="s">
        <v>20</v>
      </c>
      <c r="BI19" s="9" t="s">
        <v>70</v>
      </c>
      <c r="BK19" s="9" t="s">
        <v>69</v>
      </c>
      <c r="BL19" s="9" t="s">
        <v>68</v>
      </c>
      <c r="BM19" s="9" t="s">
        <v>67</v>
      </c>
      <c r="BN19" s="9">
        <v>44292.17738202546</v>
      </c>
      <c r="BP19" s="9" t="s">
        <v>266</v>
      </c>
      <c r="BQ19" s="9" t="s">
        <v>65</v>
      </c>
      <c r="BR19" s="9" t="s">
        <v>64</v>
      </c>
      <c r="BS19" s="9">
        <v>4.0331202112704102E+18</v>
      </c>
      <c r="BT19" s="9" t="s">
        <v>63</v>
      </c>
      <c r="BU19" s="9" t="s">
        <v>62</v>
      </c>
      <c r="BV19" s="9">
        <v>2020</v>
      </c>
      <c r="BW19" s="9" t="s">
        <v>61</v>
      </c>
      <c r="BY19" s="9">
        <v>4.04062021127505E+18</v>
      </c>
      <c r="BZ19" s="9" t="s">
        <v>265</v>
      </c>
      <c r="CA19" s="9" t="s">
        <v>59</v>
      </c>
    </row>
    <row r="20" spans="1:79" x14ac:dyDescent="0.2">
      <c r="A20" s="9" t="s">
        <v>111</v>
      </c>
      <c r="B20" s="9" t="s">
        <v>110</v>
      </c>
      <c r="C20" s="9">
        <v>2020</v>
      </c>
      <c r="D20" s="9" t="s">
        <v>140</v>
      </c>
      <c r="E20" s="9">
        <v>2.0201214937670099E+17</v>
      </c>
      <c r="F20" s="9" t="s">
        <v>84</v>
      </c>
      <c r="G20" s="9" t="s">
        <v>264</v>
      </c>
      <c r="H20" s="9">
        <v>1482832</v>
      </c>
      <c r="J20" s="9" t="s">
        <v>83</v>
      </c>
      <c r="K20" s="9" t="s">
        <v>82</v>
      </c>
      <c r="L20" s="9" t="s">
        <v>87</v>
      </c>
      <c r="N20" s="9" t="s">
        <v>81</v>
      </c>
      <c r="O20" s="9" t="s">
        <v>108</v>
      </c>
      <c r="Q20" s="9" t="s">
        <v>80</v>
      </c>
      <c r="R20" s="9" t="s">
        <v>79</v>
      </c>
      <c r="T20" s="9" t="s">
        <v>78</v>
      </c>
      <c r="V20" s="9" t="s">
        <v>107</v>
      </c>
      <c r="X20" s="9" t="s">
        <v>76</v>
      </c>
      <c r="Y20" s="9" t="s">
        <v>75</v>
      </c>
      <c r="Z20" s="9">
        <v>39759</v>
      </c>
      <c r="AA20" s="9" t="s">
        <v>73</v>
      </c>
      <c r="AB20" s="9" t="s">
        <v>73</v>
      </c>
      <c r="AC20" s="9" t="s">
        <v>87</v>
      </c>
      <c r="AD20" s="9" t="s">
        <v>106</v>
      </c>
      <c r="AE20" s="9" t="s">
        <v>105</v>
      </c>
      <c r="AF20" s="9" t="s">
        <v>104</v>
      </c>
      <c r="AI20" s="9">
        <v>44086</v>
      </c>
      <c r="AJ20" s="9">
        <v>25</v>
      </c>
      <c r="AK20" s="9">
        <v>254</v>
      </c>
      <c r="BF20" s="9" t="s">
        <v>103</v>
      </c>
      <c r="BK20" s="9" t="s">
        <v>69</v>
      </c>
      <c r="BL20" s="9" t="s">
        <v>68</v>
      </c>
      <c r="BM20" s="9" t="s">
        <v>67</v>
      </c>
      <c r="BN20" s="9">
        <v>44218.642651064816</v>
      </c>
      <c r="BR20" s="9" t="s">
        <v>64</v>
      </c>
      <c r="BS20" s="9">
        <v>4.1216202019742802E+18</v>
      </c>
      <c r="BT20" s="9" t="s">
        <v>63</v>
      </c>
      <c r="BU20" s="9" t="s">
        <v>102</v>
      </c>
      <c r="BV20" s="9">
        <v>2020</v>
      </c>
      <c r="BW20" s="9" t="s">
        <v>61</v>
      </c>
      <c r="BY20" s="9">
        <v>4.0121202121035203E+18</v>
      </c>
      <c r="BZ20" s="9" t="s">
        <v>263</v>
      </c>
      <c r="CA20" s="9" t="s">
        <v>59</v>
      </c>
    </row>
    <row r="21" spans="1:79" x14ac:dyDescent="0.2">
      <c r="A21" s="9" t="s">
        <v>111</v>
      </c>
      <c r="B21" s="9" t="s">
        <v>110</v>
      </c>
      <c r="C21" s="9">
        <v>2019</v>
      </c>
      <c r="D21" s="9" t="s">
        <v>97</v>
      </c>
      <c r="E21" s="9">
        <v>2.0200129917019101E+17</v>
      </c>
      <c r="F21" s="9" t="s">
        <v>84</v>
      </c>
      <c r="G21" s="9" t="s">
        <v>262</v>
      </c>
      <c r="H21" s="9">
        <v>1378435</v>
      </c>
      <c r="J21" s="9" t="s">
        <v>83</v>
      </c>
      <c r="K21" s="9" t="s">
        <v>82</v>
      </c>
      <c r="N21" s="9" t="s">
        <v>81</v>
      </c>
      <c r="O21" s="9" t="s">
        <v>108</v>
      </c>
      <c r="Q21" s="9" t="s">
        <v>80</v>
      </c>
      <c r="R21" s="9" t="s">
        <v>79</v>
      </c>
      <c r="T21" s="9" t="s">
        <v>78</v>
      </c>
      <c r="V21" s="9" t="s">
        <v>107</v>
      </c>
      <c r="X21" s="9" t="s">
        <v>76</v>
      </c>
      <c r="Y21" s="9" t="s">
        <v>75</v>
      </c>
      <c r="Z21" s="9">
        <v>39759</v>
      </c>
      <c r="AA21" s="9" t="s">
        <v>73</v>
      </c>
      <c r="AB21" s="9" t="s">
        <v>73</v>
      </c>
      <c r="AF21" s="9" t="s">
        <v>113</v>
      </c>
      <c r="AI21" s="9">
        <v>43829</v>
      </c>
      <c r="AJ21" s="9">
        <v>1.2</v>
      </c>
      <c r="AK21" s="9">
        <v>15.9</v>
      </c>
      <c r="BF21" s="9" t="s">
        <v>103</v>
      </c>
      <c r="BK21" s="9" t="s">
        <v>69</v>
      </c>
      <c r="BL21" s="9" t="s">
        <v>68</v>
      </c>
      <c r="BM21" s="9" t="s">
        <v>67</v>
      </c>
      <c r="BN21" s="9">
        <v>43894.301458807873</v>
      </c>
      <c r="BR21" s="9" t="s">
        <v>64</v>
      </c>
      <c r="BS21" s="9">
        <v>4.02012020168638E+18</v>
      </c>
      <c r="BT21" s="9" t="s">
        <v>63</v>
      </c>
      <c r="BU21" s="9" t="s">
        <v>112</v>
      </c>
      <c r="BV21" s="9">
        <v>2020</v>
      </c>
      <c r="BW21" s="9" t="s">
        <v>61</v>
      </c>
      <c r="BY21" s="9">
        <v>4.0302202012391997E+18</v>
      </c>
      <c r="BZ21" s="9" t="s">
        <v>261</v>
      </c>
      <c r="CA21" s="9" t="s">
        <v>59</v>
      </c>
    </row>
    <row r="22" spans="1:79" x14ac:dyDescent="0.2">
      <c r="A22" s="9" t="s">
        <v>111</v>
      </c>
      <c r="B22" s="9" t="s">
        <v>110</v>
      </c>
      <c r="C22" s="9">
        <v>2019</v>
      </c>
      <c r="D22" s="9" t="s">
        <v>97</v>
      </c>
      <c r="E22" s="9">
        <v>2.0200129917019101E+17</v>
      </c>
      <c r="F22" s="9" t="s">
        <v>84</v>
      </c>
      <c r="G22" s="9" t="s">
        <v>260</v>
      </c>
      <c r="H22" s="9">
        <v>1378435</v>
      </c>
      <c r="J22" s="9" t="s">
        <v>83</v>
      </c>
      <c r="K22" s="9" t="s">
        <v>82</v>
      </c>
      <c r="N22" s="9" t="s">
        <v>81</v>
      </c>
      <c r="O22" s="9" t="s">
        <v>108</v>
      </c>
      <c r="Q22" s="9" t="s">
        <v>80</v>
      </c>
      <c r="R22" s="9" t="s">
        <v>79</v>
      </c>
      <c r="T22" s="9" t="s">
        <v>78</v>
      </c>
      <c r="V22" s="9" t="s">
        <v>107</v>
      </c>
      <c r="X22" s="9" t="s">
        <v>76</v>
      </c>
      <c r="Y22" s="9" t="s">
        <v>75</v>
      </c>
      <c r="Z22" s="9">
        <v>39759</v>
      </c>
      <c r="AA22" s="9" t="s">
        <v>73</v>
      </c>
      <c r="AB22" s="9" t="s">
        <v>73</v>
      </c>
      <c r="AF22" s="9" t="s">
        <v>113</v>
      </c>
      <c r="AI22" s="9">
        <v>43799</v>
      </c>
      <c r="AJ22" s="9">
        <v>1.2</v>
      </c>
      <c r="AK22" s="9">
        <v>15.9</v>
      </c>
      <c r="BF22" s="9" t="s">
        <v>103</v>
      </c>
      <c r="BK22" s="9" t="s">
        <v>69</v>
      </c>
      <c r="BL22" s="9" t="s">
        <v>68</v>
      </c>
      <c r="BM22" s="9" t="s">
        <v>67</v>
      </c>
      <c r="BN22" s="9">
        <v>43894.316529699077</v>
      </c>
      <c r="BR22" s="9" t="s">
        <v>64</v>
      </c>
      <c r="BS22" s="9">
        <v>4.02012020168638E+18</v>
      </c>
      <c r="BT22" s="9" t="s">
        <v>63</v>
      </c>
      <c r="BU22" s="9" t="s">
        <v>112</v>
      </c>
      <c r="BV22" s="9">
        <v>2020</v>
      </c>
      <c r="BW22" s="9" t="s">
        <v>61</v>
      </c>
      <c r="BY22" s="9">
        <v>4.0302202012386601E+18</v>
      </c>
      <c r="BZ22" s="9" t="s">
        <v>245</v>
      </c>
      <c r="CA22" s="9" t="s">
        <v>59</v>
      </c>
    </row>
    <row r="23" spans="1:79" x14ac:dyDescent="0.2">
      <c r="A23" s="9" t="s">
        <v>111</v>
      </c>
      <c r="B23" s="9" t="s">
        <v>110</v>
      </c>
      <c r="C23" s="9">
        <v>2019</v>
      </c>
      <c r="D23" s="9" t="s">
        <v>97</v>
      </c>
      <c r="E23" s="9">
        <v>2.0200129917019101E+17</v>
      </c>
      <c r="F23" s="9" t="s">
        <v>84</v>
      </c>
      <c r="G23" s="9" t="s">
        <v>259</v>
      </c>
      <c r="H23" s="9">
        <v>1378435</v>
      </c>
      <c r="J23" s="9" t="s">
        <v>83</v>
      </c>
      <c r="K23" s="9" t="s">
        <v>82</v>
      </c>
      <c r="N23" s="9" t="s">
        <v>81</v>
      </c>
      <c r="O23" s="9" t="s">
        <v>108</v>
      </c>
      <c r="Q23" s="9" t="s">
        <v>80</v>
      </c>
      <c r="R23" s="9" t="s">
        <v>79</v>
      </c>
      <c r="T23" s="9" t="s">
        <v>78</v>
      </c>
      <c r="V23" s="9" t="s">
        <v>107</v>
      </c>
      <c r="X23" s="9" t="s">
        <v>76</v>
      </c>
      <c r="Y23" s="9" t="s">
        <v>75</v>
      </c>
      <c r="Z23" s="9">
        <v>39759</v>
      </c>
      <c r="AA23" s="9" t="s">
        <v>73</v>
      </c>
      <c r="AB23" s="9" t="s">
        <v>73</v>
      </c>
      <c r="AF23" s="9" t="s">
        <v>104</v>
      </c>
      <c r="AI23" s="9">
        <v>43738</v>
      </c>
      <c r="AJ23" s="9">
        <v>6</v>
      </c>
      <c r="AK23" s="9">
        <v>87</v>
      </c>
      <c r="BF23" s="9" t="s">
        <v>103</v>
      </c>
      <c r="BK23" s="9" t="s">
        <v>69</v>
      </c>
      <c r="BL23" s="9" t="s">
        <v>68</v>
      </c>
      <c r="BM23" s="9" t="s">
        <v>67</v>
      </c>
      <c r="BN23" s="9">
        <v>43894.429855393515</v>
      </c>
      <c r="BR23" s="9" t="s">
        <v>64</v>
      </c>
      <c r="BS23" s="9">
        <v>4.02012020168638E+18</v>
      </c>
      <c r="BT23" s="9" t="s">
        <v>63</v>
      </c>
      <c r="BU23" s="9" t="s">
        <v>102</v>
      </c>
      <c r="BV23" s="9">
        <v>2020</v>
      </c>
      <c r="BW23" s="9" t="s">
        <v>61</v>
      </c>
      <c r="BY23" s="9">
        <v>4.0302202012283802E+18</v>
      </c>
      <c r="BZ23" s="9" t="s">
        <v>255</v>
      </c>
      <c r="CA23" s="9" t="s">
        <v>59</v>
      </c>
    </row>
    <row r="24" spans="1:79" x14ac:dyDescent="0.2">
      <c r="A24" s="9" t="s">
        <v>111</v>
      </c>
      <c r="B24" s="9" t="s">
        <v>110</v>
      </c>
      <c r="C24" s="9">
        <v>2019</v>
      </c>
      <c r="D24" s="9" t="s">
        <v>97</v>
      </c>
      <c r="E24" s="9">
        <v>2.0200129917019101E+17</v>
      </c>
      <c r="F24" s="9" t="s">
        <v>84</v>
      </c>
      <c r="G24" s="9" t="s">
        <v>258</v>
      </c>
      <c r="H24" s="9">
        <v>1378435</v>
      </c>
      <c r="J24" s="9" t="s">
        <v>83</v>
      </c>
      <c r="K24" s="9" t="s">
        <v>82</v>
      </c>
      <c r="N24" s="9" t="s">
        <v>81</v>
      </c>
      <c r="O24" s="9" t="s">
        <v>108</v>
      </c>
      <c r="Q24" s="9" t="s">
        <v>80</v>
      </c>
      <c r="R24" s="9" t="s">
        <v>79</v>
      </c>
      <c r="T24" s="9" t="s">
        <v>78</v>
      </c>
      <c r="V24" s="9" t="s">
        <v>107</v>
      </c>
      <c r="X24" s="9" t="s">
        <v>76</v>
      </c>
      <c r="Y24" s="9" t="s">
        <v>75</v>
      </c>
      <c r="Z24" s="9">
        <v>39759</v>
      </c>
      <c r="AA24" s="9" t="s">
        <v>73</v>
      </c>
      <c r="AB24" s="9" t="s">
        <v>73</v>
      </c>
      <c r="AF24" s="9" t="s">
        <v>104</v>
      </c>
      <c r="AI24" s="9">
        <v>43829</v>
      </c>
      <c r="AJ24" s="9">
        <v>6</v>
      </c>
      <c r="AK24" s="9">
        <v>87</v>
      </c>
      <c r="BF24" s="9" t="s">
        <v>103</v>
      </c>
      <c r="BK24" s="9" t="s">
        <v>69</v>
      </c>
      <c r="BL24" s="9" t="s">
        <v>68</v>
      </c>
      <c r="BM24" s="9" t="s">
        <v>67</v>
      </c>
      <c r="BN24" s="9">
        <v>43894.438350555552</v>
      </c>
      <c r="BR24" s="9" t="s">
        <v>64</v>
      </c>
      <c r="BS24" s="9">
        <v>4.02012020168638E+18</v>
      </c>
      <c r="BT24" s="9" t="s">
        <v>63</v>
      </c>
      <c r="BU24" s="9" t="s">
        <v>102</v>
      </c>
      <c r="BV24" s="9">
        <v>2020</v>
      </c>
      <c r="BW24" s="9" t="s">
        <v>61</v>
      </c>
      <c r="BY24" s="9">
        <v>4.0302202012391997E+18</v>
      </c>
      <c r="BZ24" s="9" t="s">
        <v>257</v>
      </c>
      <c r="CA24" s="9" t="s">
        <v>59</v>
      </c>
    </row>
    <row r="25" spans="1:79" x14ac:dyDescent="0.2">
      <c r="A25" s="9" t="s">
        <v>111</v>
      </c>
      <c r="B25" s="9" t="s">
        <v>110</v>
      </c>
      <c r="C25" s="9">
        <v>2019</v>
      </c>
      <c r="D25" s="9" t="s">
        <v>97</v>
      </c>
      <c r="E25" s="9">
        <v>2.0200129917019101E+17</v>
      </c>
      <c r="F25" s="9" t="s">
        <v>84</v>
      </c>
      <c r="G25" s="9" t="s">
        <v>256</v>
      </c>
      <c r="H25" s="9">
        <v>1378435</v>
      </c>
      <c r="J25" s="9" t="s">
        <v>83</v>
      </c>
      <c r="K25" s="9" t="s">
        <v>82</v>
      </c>
      <c r="N25" s="9" t="s">
        <v>81</v>
      </c>
      <c r="O25" s="9" t="s">
        <v>108</v>
      </c>
      <c r="Q25" s="9" t="s">
        <v>80</v>
      </c>
      <c r="R25" s="9" t="s">
        <v>79</v>
      </c>
      <c r="T25" s="9" t="s">
        <v>78</v>
      </c>
      <c r="V25" s="9" t="s">
        <v>107</v>
      </c>
      <c r="X25" s="9" t="s">
        <v>76</v>
      </c>
      <c r="Y25" s="9" t="s">
        <v>75</v>
      </c>
      <c r="Z25" s="9">
        <v>39759</v>
      </c>
      <c r="AA25" s="9" t="s">
        <v>73</v>
      </c>
      <c r="AB25" s="9" t="s">
        <v>73</v>
      </c>
      <c r="AF25" s="9" t="s">
        <v>113</v>
      </c>
      <c r="AI25" s="9">
        <v>43738</v>
      </c>
      <c r="AJ25" s="9">
        <v>1.2</v>
      </c>
      <c r="AK25" s="9">
        <v>15.9</v>
      </c>
      <c r="BF25" s="9" t="s">
        <v>103</v>
      </c>
      <c r="BK25" s="9" t="s">
        <v>69</v>
      </c>
      <c r="BL25" s="9" t="s">
        <v>68</v>
      </c>
      <c r="BM25" s="9" t="s">
        <v>67</v>
      </c>
      <c r="BN25" s="9">
        <v>43894.445277372688</v>
      </c>
      <c r="BR25" s="9" t="s">
        <v>64</v>
      </c>
      <c r="BS25" s="9">
        <v>4.02012020168638E+18</v>
      </c>
      <c r="BT25" s="9" t="s">
        <v>63</v>
      </c>
      <c r="BU25" s="9" t="s">
        <v>112</v>
      </c>
      <c r="BV25" s="9">
        <v>2020</v>
      </c>
      <c r="BW25" s="9" t="s">
        <v>61</v>
      </c>
      <c r="BY25" s="9">
        <v>4.0302202012160102E+18</v>
      </c>
      <c r="BZ25" s="9" t="s">
        <v>255</v>
      </c>
      <c r="CA25" s="9" t="s">
        <v>59</v>
      </c>
    </row>
    <row r="26" spans="1:79" x14ac:dyDescent="0.2">
      <c r="A26" s="9" t="s">
        <v>111</v>
      </c>
      <c r="B26" s="9" t="s">
        <v>110</v>
      </c>
      <c r="C26" s="9">
        <v>2019</v>
      </c>
      <c r="D26" s="9" t="s">
        <v>97</v>
      </c>
      <c r="E26" s="9">
        <v>2.0200129917019101E+17</v>
      </c>
      <c r="F26" s="9" t="s">
        <v>84</v>
      </c>
      <c r="G26" s="9" t="s">
        <v>254</v>
      </c>
      <c r="H26" s="9">
        <v>1378435</v>
      </c>
      <c r="J26" s="9" t="s">
        <v>83</v>
      </c>
      <c r="K26" s="9" t="s">
        <v>82</v>
      </c>
      <c r="N26" s="9" t="s">
        <v>81</v>
      </c>
      <c r="O26" s="9" t="s">
        <v>108</v>
      </c>
      <c r="Q26" s="9" t="s">
        <v>80</v>
      </c>
      <c r="R26" s="9" t="s">
        <v>79</v>
      </c>
      <c r="T26" s="9" t="s">
        <v>78</v>
      </c>
      <c r="V26" s="9" t="s">
        <v>107</v>
      </c>
      <c r="X26" s="9" t="s">
        <v>76</v>
      </c>
      <c r="Y26" s="9" t="s">
        <v>75</v>
      </c>
      <c r="Z26" s="9">
        <v>39759</v>
      </c>
      <c r="AA26" s="9" t="s">
        <v>73</v>
      </c>
      <c r="AB26" s="9" t="s">
        <v>73</v>
      </c>
      <c r="AF26" s="9" t="s">
        <v>104</v>
      </c>
      <c r="AI26" s="9">
        <v>43768</v>
      </c>
      <c r="AJ26" s="9">
        <v>6</v>
      </c>
      <c r="AK26" s="9">
        <v>87</v>
      </c>
      <c r="BF26" s="9" t="s">
        <v>103</v>
      </c>
      <c r="BK26" s="9" t="s">
        <v>69</v>
      </c>
      <c r="BL26" s="9" t="s">
        <v>68</v>
      </c>
      <c r="BM26" s="9" t="s">
        <v>67</v>
      </c>
      <c r="BN26" s="9">
        <v>43894.461072175924</v>
      </c>
      <c r="BR26" s="9" t="s">
        <v>64</v>
      </c>
      <c r="BS26" s="9">
        <v>4.02012020168638E+18</v>
      </c>
      <c r="BT26" s="9" t="s">
        <v>63</v>
      </c>
      <c r="BU26" s="9" t="s">
        <v>102</v>
      </c>
      <c r="BV26" s="9">
        <v>2020</v>
      </c>
      <c r="BW26" s="9" t="s">
        <v>61</v>
      </c>
      <c r="BY26" s="9">
        <v>4.0302202012350602E+18</v>
      </c>
      <c r="BZ26" s="9" t="s">
        <v>250</v>
      </c>
      <c r="CA26" s="9" t="s">
        <v>59</v>
      </c>
    </row>
    <row r="27" spans="1:79" x14ac:dyDescent="0.2">
      <c r="A27" s="9" t="s">
        <v>111</v>
      </c>
      <c r="B27" s="9" t="s">
        <v>110</v>
      </c>
      <c r="C27" s="9">
        <v>2019</v>
      </c>
      <c r="D27" s="9" t="s">
        <v>97</v>
      </c>
      <c r="E27" s="9">
        <v>2.0200129917019101E+17</v>
      </c>
      <c r="F27" s="9" t="s">
        <v>84</v>
      </c>
      <c r="G27" s="9" t="s">
        <v>253</v>
      </c>
      <c r="H27" s="9">
        <v>1378435</v>
      </c>
      <c r="J27" s="9" t="s">
        <v>83</v>
      </c>
      <c r="K27" s="9" t="s">
        <v>82</v>
      </c>
      <c r="N27" s="9" t="s">
        <v>81</v>
      </c>
      <c r="O27" s="9" t="s">
        <v>108</v>
      </c>
      <c r="Q27" s="9" t="s">
        <v>80</v>
      </c>
      <c r="R27" s="9" t="s">
        <v>79</v>
      </c>
      <c r="T27" s="9" t="s">
        <v>78</v>
      </c>
      <c r="V27" s="9" t="s">
        <v>107</v>
      </c>
      <c r="X27" s="9" t="s">
        <v>76</v>
      </c>
      <c r="Y27" s="9" t="s">
        <v>75</v>
      </c>
      <c r="Z27" s="9">
        <v>39759</v>
      </c>
      <c r="AA27" s="9" t="s">
        <v>73</v>
      </c>
      <c r="AB27" s="9" t="s">
        <v>73</v>
      </c>
      <c r="AF27" s="9" t="s">
        <v>104</v>
      </c>
      <c r="AI27" s="9">
        <v>43707</v>
      </c>
      <c r="AJ27" s="9">
        <v>6</v>
      </c>
      <c r="AK27" s="9">
        <v>87</v>
      </c>
      <c r="BF27" s="9" t="s">
        <v>103</v>
      </c>
      <c r="BK27" s="9" t="s">
        <v>69</v>
      </c>
      <c r="BL27" s="9" t="s">
        <v>68</v>
      </c>
      <c r="BM27" s="9" t="s">
        <v>67</v>
      </c>
      <c r="BN27" s="9">
        <v>43894.464329224538</v>
      </c>
      <c r="BR27" s="9" t="s">
        <v>64</v>
      </c>
      <c r="BS27" s="9">
        <v>4.02012020168638E+18</v>
      </c>
      <c r="BT27" s="9" t="s">
        <v>63</v>
      </c>
      <c r="BU27" s="9" t="s">
        <v>102</v>
      </c>
      <c r="BV27" s="9">
        <v>2020</v>
      </c>
      <c r="BW27" s="9" t="s">
        <v>61</v>
      </c>
      <c r="BY27" s="9">
        <v>4.0302202012371502E+18</v>
      </c>
      <c r="BZ27" s="9" t="s">
        <v>252</v>
      </c>
      <c r="CA27" s="9" t="s">
        <v>59</v>
      </c>
    </row>
    <row r="28" spans="1:79" x14ac:dyDescent="0.2">
      <c r="A28" s="9" t="s">
        <v>111</v>
      </c>
      <c r="B28" s="9" t="s">
        <v>110</v>
      </c>
      <c r="C28" s="9">
        <v>2019</v>
      </c>
      <c r="D28" s="9" t="s">
        <v>97</v>
      </c>
      <c r="E28" s="9">
        <v>2.0200129917019101E+17</v>
      </c>
      <c r="F28" s="9" t="s">
        <v>84</v>
      </c>
      <c r="G28" s="9" t="s">
        <v>251</v>
      </c>
      <c r="H28" s="9">
        <v>1378435</v>
      </c>
      <c r="J28" s="9" t="s">
        <v>83</v>
      </c>
      <c r="K28" s="9" t="s">
        <v>82</v>
      </c>
      <c r="N28" s="9" t="s">
        <v>81</v>
      </c>
      <c r="O28" s="9" t="s">
        <v>108</v>
      </c>
      <c r="Q28" s="9" t="s">
        <v>80</v>
      </c>
      <c r="R28" s="9" t="s">
        <v>79</v>
      </c>
      <c r="T28" s="9" t="s">
        <v>78</v>
      </c>
      <c r="V28" s="9" t="s">
        <v>107</v>
      </c>
      <c r="X28" s="9" t="s">
        <v>76</v>
      </c>
      <c r="Y28" s="9" t="s">
        <v>75</v>
      </c>
      <c r="Z28" s="9">
        <v>39759</v>
      </c>
      <c r="AA28" s="9" t="s">
        <v>73</v>
      </c>
      <c r="AB28" s="9" t="s">
        <v>73</v>
      </c>
      <c r="AF28" s="9" t="s">
        <v>113</v>
      </c>
      <c r="AI28" s="9">
        <v>43768</v>
      </c>
      <c r="AJ28" s="9">
        <v>1.2</v>
      </c>
      <c r="AK28" s="9">
        <v>15.9</v>
      </c>
      <c r="BF28" s="9" t="s">
        <v>103</v>
      </c>
      <c r="BK28" s="9" t="s">
        <v>69</v>
      </c>
      <c r="BL28" s="9" t="s">
        <v>68</v>
      </c>
      <c r="BM28" s="9" t="s">
        <v>67</v>
      </c>
      <c r="BN28" s="9">
        <v>43894.495344236107</v>
      </c>
      <c r="BR28" s="9" t="s">
        <v>64</v>
      </c>
      <c r="BS28" s="9">
        <v>4.02012020168638E+18</v>
      </c>
      <c r="BT28" s="9" t="s">
        <v>63</v>
      </c>
      <c r="BU28" s="9" t="s">
        <v>112</v>
      </c>
      <c r="BV28" s="9">
        <v>2020</v>
      </c>
      <c r="BW28" s="9" t="s">
        <v>61</v>
      </c>
      <c r="BY28" s="9">
        <v>4.0302202012196101E+18</v>
      </c>
      <c r="BZ28" s="9" t="s">
        <v>250</v>
      </c>
      <c r="CA28" s="9" t="s">
        <v>59</v>
      </c>
    </row>
    <row r="29" spans="1:79" x14ac:dyDescent="0.2">
      <c r="A29" s="9" t="s">
        <v>111</v>
      </c>
      <c r="B29" s="9" t="s">
        <v>110</v>
      </c>
      <c r="C29" s="9">
        <v>2019</v>
      </c>
      <c r="D29" s="9" t="s">
        <v>97</v>
      </c>
      <c r="E29" s="9">
        <v>2.0200129917019101E+17</v>
      </c>
      <c r="F29" s="9" t="s">
        <v>84</v>
      </c>
      <c r="G29" s="9" t="s">
        <v>249</v>
      </c>
      <c r="H29" s="9">
        <v>1378435</v>
      </c>
      <c r="J29" s="9" t="s">
        <v>83</v>
      </c>
      <c r="K29" s="9" t="s">
        <v>82</v>
      </c>
      <c r="N29" s="9" t="s">
        <v>81</v>
      </c>
      <c r="O29" s="9" t="s">
        <v>108</v>
      </c>
      <c r="Q29" s="9" t="s">
        <v>80</v>
      </c>
      <c r="R29" s="9" t="s">
        <v>79</v>
      </c>
      <c r="T29" s="9" t="s">
        <v>78</v>
      </c>
      <c r="V29" s="9" t="s">
        <v>107</v>
      </c>
      <c r="X29" s="9" t="s">
        <v>76</v>
      </c>
      <c r="Y29" s="9" t="s">
        <v>75</v>
      </c>
      <c r="Z29" s="9">
        <v>39759</v>
      </c>
      <c r="AA29" s="9" t="s">
        <v>73</v>
      </c>
      <c r="AB29" s="9" t="s">
        <v>73</v>
      </c>
      <c r="AF29" s="9" t="s">
        <v>113</v>
      </c>
      <c r="AI29" s="9">
        <v>43707</v>
      </c>
      <c r="AJ29" s="9">
        <v>1.2</v>
      </c>
      <c r="AK29" s="9">
        <v>15.9</v>
      </c>
      <c r="BF29" s="9" t="s">
        <v>103</v>
      </c>
      <c r="BK29" s="9" t="s">
        <v>69</v>
      </c>
      <c r="BL29" s="9" t="s">
        <v>68</v>
      </c>
      <c r="BM29" s="9" t="s">
        <v>67</v>
      </c>
      <c r="BN29" s="9">
        <v>43894.537542060185</v>
      </c>
      <c r="BR29" s="9" t="s">
        <v>64</v>
      </c>
      <c r="BS29" s="9">
        <v>4.02012020168638E+18</v>
      </c>
      <c r="BT29" s="9" t="s">
        <v>63</v>
      </c>
      <c r="BU29" s="9" t="s">
        <v>112</v>
      </c>
      <c r="BV29" s="9">
        <v>2020</v>
      </c>
      <c r="BW29" s="9" t="s">
        <v>61</v>
      </c>
      <c r="BY29" s="9">
        <v>4.0302202012278702E+18</v>
      </c>
      <c r="BZ29" s="9" t="s">
        <v>248</v>
      </c>
      <c r="CA29" s="9" t="s">
        <v>59</v>
      </c>
    </row>
    <row r="30" spans="1:79" x14ac:dyDescent="0.2">
      <c r="A30" s="9" t="s">
        <v>111</v>
      </c>
      <c r="B30" s="9" t="s">
        <v>110</v>
      </c>
      <c r="C30" s="9">
        <v>2019</v>
      </c>
      <c r="D30" s="9" t="s">
        <v>97</v>
      </c>
      <c r="E30" s="9">
        <v>2.0200129917019101E+17</v>
      </c>
      <c r="F30" s="9" t="s">
        <v>84</v>
      </c>
      <c r="G30" s="9" t="s">
        <v>247</v>
      </c>
      <c r="H30" s="9">
        <v>1378435</v>
      </c>
      <c r="J30" s="9" t="s">
        <v>83</v>
      </c>
      <c r="K30" s="9" t="s">
        <v>82</v>
      </c>
      <c r="N30" s="9" t="s">
        <v>81</v>
      </c>
      <c r="O30" s="9" t="s">
        <v>108</v>
      </c>
      <c r="Q30" s="9" t="s">
        <v>80</v>
      </c>
      <c r="R30" s="9" t="s">
        <v>79</v>
      </c>
      <c r="T30" s="9" t="s">
        <v>78</v>
      </c>
      <c r="V30" s="9" t="s">
        <v>107</v>
      </c>
      <c r="X30" s="9" t="s">
        <v>76</v>
      </c>
      <c r="Y30" s="9" t="s">
        <v>75</v>
      </c>
      <c r="Z30" s="9">
        <v>39759</v>
      </c>
      <c r="AA30" s="9" t="s">
        <v>73</v>
      </c>
      <c r="AB30" s="9" t="s">
        <v>73</v>
      </c>
      <c r="AF30" s="9" t="s">
        <v>104</v>
      </c>
      <c r="AI30" s="9">
        <v>43676</v>
      </c>
      <c r="AJ30" s="9">
        <v>6</v>
      </c>
      <c r="AK30" s="9">
        <v>87</v>
      </c>
      <c r="BF30" s="9" t="s">
        <v>103</v>
      </c>
      <c r="BK30" s="9" t="s">
        <v>69</v>
      </c>
      <c r="BL30" s="9" t="s">
        <v>68</v>
      </c>
      <c r="BM30" s="9" t="s">
        <v>67</v>
      </c>
      <c r="BN30" s="9">
        <v>43894.549389988424</v>
      </c>
      <c r="BR30" s="9" t="s">
        <v>64</v>
      </c>
      <c r="BS30" s="9">
        <v>4.02012020168638E+18</v>
      </c>
      <c r="BT30" s="9" t="s">
        <v>63</v>
      </c>
      <c r="BU30" s="9" t="s">
        <v>102</v>
      </c>
      <c r="BV30" s="9">
        <v>2020</v>
      </c>
      <c r="BW30" s="9" t="s">
        <v>61</v>
      </c>
      <c r="BY30" s="9">
        <v>4.03022020123661E+18</v>
      </c>
      <c r="BZ30" s="9" t="s">
        <v>243</v>
      </c>
      <c r="CA30" s="9" t="s">
        <v>59</v>
      </c>
    </row>
    <row r="31" spans="1:79" x14ac:dyDescent="0.2">
      <c r="A31" s="9" t="s">
        <v>111</v>
      </c>
      <c r="B31" s="9" t="s">
        <v>110</v>
      </c>
      <c r="C31" s="9">
        <v>2019</v>
      </c>
      <c r="D31" s="9" t="s">
        <v>97</v>
      </c>
      <c r="E31" s="9">
        <v>2.0200129917019101E+17</v>
      </c>
      <c r="F31" s="9" t="s">
        <v>84</v>
      </c>
      <c r="G31" s="9" t="s">
        <v>246</v>
      </c>
      <c r="H31" s="9">
        <v>1378435</v>
      </c>
      <c r="J31" s="9" t="s">
        <v>83</v>
      </c>
      <c r="K31" s="9" t="s">
        <v>82</v>
      </c>
      <c r="N31" s="9" t="s">
        <v>81</v>
      </c>
      <c r="O31" s="9" t="s">
        <v>108</v>
      </c>
      <c r="Q31" s="9" t="s">
        <v>80</v>
      </c>
      <c r="R31" s="9" t="s">
        <v>79</v>
      </c>
      <c r="T31" s="9" t="s">
        <v>78</v>
      </c>
      <c r="V31" s="9" t="s">
        <v>107</v>
      </c>
      <c r="X31" s="9" t="s">
        <v>76</v>
      </c>
      <c r="Y31" s="9" t="s">
        <v>75</v>
      </c>
      <c r="Z31" s="9">
        <v>39759</v>
      </c>
      <c r="AA31" s="9" t="s">
        <v>73</v>
      </c>
      <c r="AB31" s="9" t="s">
        <v>73</v>
      </c>
      <c r="AF31" s="9" t="s">
        <v>104</v>
      </c>
      <c r="AI31" s="9">
        <v>43799</v>
      </c>
      <c r="AJ31" s="9">
        <v>6</v>
      </c>
      <c r="AK31" s="9">
        <v>87</v>
      </c>
      <c r="BF31" s="9" t="s">
        <v>103</v>
      </c>
      <c r="BK31" s="9" t="s">
        <v>69</v>
      </c>
      <c r="BL31" s="9" t="s">
        <v>68</v>
      </c>
      <c r="BM31" s="9" t="s">
        <v>67</v>
      </c>
      <c r="BN31" s="9">
        <v>43894.578082094908</v>
      </c>
      <c r="BR31" s="9" t="s">
        <v>64</v>
      </c>
      <c r="BS31" s="9">
        <v>4.02012020168638E+18</v>
      </c>
      <c r="BT31" s="9" t="s">
        <v>63</v>
      </c>
      <c r="BU31" s="9" t="s">
        <v>102</v>
      </c>
      <c r="BV31" s="9">
        <v>2020</v>
      </c>
      <c r="BW31" s="9" t="s">
        <v>61</v>
      </c>
      <c r="BY31" s="9">
        <v>4.0302202012201098E+18</v>
      </c>
      <c r="BZ31" s="9" t="s">
        <v>245</v>
      </c>
      <c r="CA31" s="9" t="s">
        <v>59</v>
      </c>
    </row>
    <row r="32" spans="1:79" x14ac:dyDescent="0.2">
      <c r="A32" s="9" t="s">
        <v>111</v>
      </c>
      <c r="B32" s="9" t="s">
        <v>110</v>
      </c>
      <c r="C32" s="9">
        <v>2019</v>
      </c>
      <c r="D32" s="9" t="s">
        <v>97</v>
      </c>
      <c r="E32" s="9">
        <v>2.0200129917019101E+17</v>
      </c>
      <c r="F32" s="9" t="s">
        <v>84</v>
      </c>
      <c r="G32" s="9" t="s">
        <v>244</v>
      </c>
      <c r="H32" s="9">
        <v>1378435</v>
      </c>
      <c r="J32" s="9" t="s">
        <v>83</v>
      </c>
      <c r="K32" s="9" t="s">
        <v>82</v>
      </c>
      <c r="N32" s="9" t="s">
        <v>81</v>
      </c>
      <c r="O32" s="9" t="s">
        <v>108</v>
      </c>
      <c r="Q32" s="9" t="s">
        <v>80</v>
      </c>
      <c r="R32" s="9" t="s">
        <v>79</v>
      </c>
      <c r="T32" s="9" t="s">
        <v>78</v>
      </c>
      <c r="V32" s="9" t="s">
        <v>107</v>
      </c>
      <c r="X32" s="9" t="s">
        <v>76</v>
      </c>
      <c r="Y32" s="9" t="s">
        <v>75</v>
      </c>
      <c r="Z32" s="9">
        <v>39759</v>
      </c>
      <c r="AA32" s="9" t="s">
        <v>73</v>
      </c>
      <c r="AB32" s="9" t="s">
        <v>73</v>
      </c>
      <c r="AF32" s="9" t="s">
        <v>113</v>
      </c>
      <c r="AI32" s="9">
        <v>43676</v>
      </c>
      <c r="AJ32" s="9">
        <v>1.2</v>
      </c>
      <c r="AK32" s="9">
        <v>15.9</v>
      </c>
      <c r="BF32" s="9" t="s">
        <v>103</v>
      </c>
      <c r="BK32" s="9" t="s">
        <v>69</v>
      </c>
      <c r="BL32" s="9" t="s">
        <v>68</v>
      </c>
      <c r="BM32" s="9" t="s">
        <v>67</v>
      </c>
      <c r="BN32" s="9">
        <v>43894.581635532406</v>
      </c>
      <c r="BR32" s="9" t="s">
        <v>64</v>
      </c>
      <c r="BS32" s="9">
        <v>4.02012020168638E+18</v>
      </c>
      <c r="BT32" s="9" t="s">
        <v>63</v>
      </c>
      <c r="BU32" s="9" t="s">
        <v>112</v>
      </c>
      <c r="BV32" s="9">
        <v>2020</v>
      </c>
      <c r="BW32" s="9" t="s">
        <v>61</v>
      </c>
      <c r="BY32" s="9">
        <v>4.0302202012242499E+18</v>
      </c>
      <c r="BZ32" s="9" t="s">
        <v>243</v>
      </c>
      <c r="CA32" s="9" t="s">
        <v>59</v>
      </c>
    </row>
    <row r="33" spans="1:79" x14ac:dyDescent="0.2">
      <c r="A33" s="9" t="s">
        <v>111</v>
      </c>
      <c r="B33" s="9" t="s">
        <v>110</v>
      </c>
      <c r="C33" s="9">
        <v>2020</v>
      </c>
      <c r="D33" s="9" t="s">
        <v>241</v>
      </c>
      <c r="E33" s="9">
        <v>2.0200221920062099E+17</v>
      </c>
      <c r="F33" s="9" t="s">
        <v>84</v>
      </c>
      <c r="G33" s="9" t="s">
        <v>242</v>
      </c>
      <c r="H33" s="9">
        <v>1385527</v>
      </c>
      <c r="J33" s="9" t="s">
        <v>83</v>
      </c>
      <c r="K33" s="9" t="s">
        <v>82</v>
      </c>
      <c r="N33" s="9" t="s">
        <v>81</v>
      </c>
      <c r="O33" s="9" t="s">
        <v>108</v>
      </c>
      <c r="Q33" s="9" t="s">
        <v>80</v>
      </c>
      <c r="R33" s="9" t="s">
        <v>79</v>
      </c>
      <c r="T33" s="9" t="s">
        <v>78</v>
      </c>
      <c r="V33" s="9" t="s">
        <v>107</v>
      </c>
      <c r="X33" s="9" t="s">
        <v>76</v>
      </c>
      <c r="Y33" s="9" t="s">
        <v>75</v>
      </c>
      <c r="Z33" s="9">
        <v>39759</v>
      </c>
      <c r="AA33" s="9" t="s">
        <v>73</v>
      </c>
      <c r="AB33" s="9" t="s">
        <v>73</v>
      </c>
      <c r="AF33" s="9" t="s">
        <v>113</v>
      </c>
      <c r="AI33" s="9">
        <v>43860</v>
      </c>
      <c r="AJ33" s="9">
        <v>1.2</v>
      </c>
      <c r="AK33" s="9">
        <v>1.2</v>
      </c>
      <c r="BK33" s="9" t="s">
        <v>69</v>
      </c>
      <c r="BL33" s="9" t="s">
        <v>68</v>
      </c>
      <c r="BM33" s="9" t="s">
        <v>67</v>
      </c>
      <c r="BN33" s="9">
        <v>43915.291367754631</v>
      </c>
      <c r="BR33" s="9" t="s">
        <v>64</v>
      </c>
      <c r="BS33" s="9">
        <v>4.02212020169344E+18</v>
      </c>
      <c r="BT33" s="9" t="s">
        <v>63</v>
      </c>
      <c r="BU33" s="9" t="s">
        <v>112</v>
      </c>
      <c r="BV33" s="9">
        <v>2020</v>
      </c>
      <c r="BW33" s="9" t="s">
        <v>61</v>
      </c>
      <c r="BY33" s="9">
        <v>4.0324202017077801E+18</v>
      </c>
      <c r="BZ33" s="9" t="s">
        <v>239</v>
      </c>
      <c r="CA33" s="9" t="s">
        <v>59</v>
      </c>
    </row>
    <row r="34" spans="1:79" x14ac:dyDescent="0.2">
      <c r="A34" s="9" t="s">
        <v>111</v>
      </c>
      <c r="B34" s="9" t="s">
        <v>110</v>
      </c>
      <c r="C34" s="9">
        <v>2020</v>
      </c>
      <c r="D34" s="9" t="s">
        <v>241</v>
      </c>
      <c r="E34" s="9">
        <v>2.0200221920062099E+17</v>
      </c>
      <c r="F34" s="9" t="s">
        <v>84</v>
      </c>
      <c r="G34" s="9" t="s">
        <v>240</v>
      </c>
      <c r="H34" s="9">
        <v>1385527</v>
      </c>
      <c r="J34" s="9" t="s">
        <v>83</v>
      </c>
      <c r="K34" s="9" t="s">
        <v>82</v>
      </c>
      <c r="N34" s="9" t="s">
        <v>81</v>
      </c>
      <c r="O34" s="9" t="s">
        <v>108</v>
      </c>
      <c r="Q34" s="9" t="s">
        <v>80</v>
      </c>
      <c r="R34" s="9" t="s">
        <v>79</v>
      </c>
      <c r="T34" s="9" t="s">
        <v>78</v>
      </c>
      <c r="V34" s="9" t="s">
        <v>107</v>
      </c>
      <c r="X34" s="9" t="s">
        <v>76</v>
      </c>
      <c r="Y34" s="9" t="s">
        <v>75</v>
      </c>
      <c r="Z34" s="9">
        <v>39759</v>
      </c>
      <c r="AA34" s="9" t="s">
        <v>73</v>
      </c>
      <c r="AB34" s="9" t="s">
        <v>73</v>
      </c>
      <c r="AF34" s="9" t="s">
        <v>104</v>
      </c>
      <c r="AI34" s="9">
        <v>43860</v>
      </c>
      <c r="AJ34" s="9">
        <v>6</v>
      </c>
      <c r="AK34" s="9">
        <v>6</v>
      </c>
      <c r="BK34" s="9" t="s">
        <v>69</v>
      </c>
      <c r="BL34" s="9" t="s">
        <v>68</v>
      </c>
      <c r="BM34" s="9" t="s">
        <v>67</v>
      </c>
      <c r="BN34" s="9">
        <v>43915.315212395835</v>
      </c>
      <c r="BR34" s="9" t="s">
        <v>64</v>
      </c>
      <c r="BS34" s="9">
        <v>4.02212020169344E+18</v>
      </c>
      <c r="BT34" s="9" t="s">
        <v>63</v>
      </c>
      <c r="BU34" s="9" t="s">
        <v>102</v>
      </c>
      <c r="BV34" s="9">
        <v>2020</v>
      </c>
      <c r="BW34" s="9" t="s">
        <v>61</v>
      </c>
      <c r="BY34" s="9">
        <v>4.0324202017077801E+18</v>
      </c>
      <c r="BZ34" s="9" t="s">
        <v>239</v>
      </c>
      <c r="CA34" s="9" t="s">
        <v>59</v>
      </c>
    </row>
    <row r="35" spans="1:79" x14ac:dyDescent="0.2">
      <c r="A35" s="9" t="s">
        <v>111</v>
      </c>
      <c r="B35" s="9" t="s">
        <v>110</v>
      </c>
      <c r="C35" s="9">
        <v>2020</v>
      </c>
      <c r="D35" s="9" t="s">
        <v>235</v>
      </c>
      <c r="E35" s="9">
        <v>2.0200320921120602E+17</v>
      </c>
      <c r="F35" s="9" t="s">
        <v>84</v>
      </c>
      <c r="G35" s="9" t="s">
        <v>238</v>
      </c>
      <c r="H35" s="9">
        <v>1391686</v>
      </c>
      <c r="J35" s="9" t="s">
        <v>83</v>
      </c>
      <c r="K35" s="9" t="s">
        <v>82</v>
      </c>
      <c r="N35" s="9" t="s">
        <v>81</v>
      </c>
      <c r="O35" s="9" t="s">
        <v>108</v>
      </c>
      <c r="Q35" s="9" t="s">
        <v>80</v>
      </c>
      <c r="R35" s="9" t="s">
        <v>79</v>
      </c>
      <c r="T35" s="9" t="s">
        <v>78</v>
      </c>
      <c r="V35" s="9" t="s">
        <v>107</v>
      </c>
      <c r="X35" s="9" t="s">
        <v>76</v>
      </c>
      <c r="Y35" s="9" t="s">
        <v>75</v>
      </c>
      <c r="Z35" s="9">
        <v>39759</v>
      </c>
      <c r="AA35" s="9" t="s">
        <v>73</v>
      </c>
      <c r="AB35" s="9" t="s">
        <v>73</v>
      </c>
      <c r="AF35" s="9" t="s">
        <v>113</v>
      </c>
      <c r="AI35" s="9">
        <v>43890</v>
      </c>
      <c r="AJ35" s="9">
        <v>1.2</v>
      </c>
      <c r="AK35" s="9">
        <v>2.4</v>
      </c>
      <c r="BK35" s="9" t="s">
        <v>69</v>
      </c>
      <c r="BL35" s="9" t="s">
        <v>68</v>
      </c>
      <c r="BM35" s="9" t="s">
        <v>67</v>
      </c>
      <c r="BN35" s="9">
        <v>43924.422569907409</v>
      </c>
      <c r="BR35" s="9" t="s">
        <v>64</v>
      </c>
      <c r="BS35" s="9">
        <v>4.0323202017043999E+18</v>
      </c>
      <c r="BT35" s="9" t="s">
        <v>63</v>
      </c>
      <c r="BU35" s="9" t="s">
        <v>112</v>
      </c>
      <c r="BV35" s="9">
        <v>2020</v>
      </c>
      <c r="BW35" s="9" t="s">
        <v>61</v>
      </c>
      <c r="BY35" s="9">
        <v>4.0402202017244698E+18</v>
      </c>
      <c r="BZ35" s="9" t="s">
        <v>236</v>
      </c>
      <c r="CA35" s="9" t="s">
        <v>59</v>
      </c>
    </row>
    <row r="36" spans="1:79" x14ac:dyDescent="0.2">
      <c r="A36" s="9" t="s">
        <v>111</v>
      </c>
      <c r="B36" s="9" t="s">
        <v>110</v>
      </c>
      <c r="C36" s="9">
        <v>2020</v>
      </c>
      <c r="D36" s="9" t="s">
        <v>235</v>
      </c>
      <c r="E36" s="9">
        <v>2.0200320921120602E+17</v>
      </c>
      <c r="F36" s="9" t="s">
        <v>84</v>
      </c>
      <c r="G36" s="9" t="s">
        <v>237</v>
      </c>
      <c r="H36" s="9">
        <v>1391686</v>
      </c>
      <c r="J36" s="9" t="s">
        <v>83</v>
      </c>
      <c r="K36" s="9" t="s">
        <v>82</v>
      </c>
      <c r="N36" s="9" t="s">
        <v>81</v>
      </c>
      <c r="O36" s="9" t="s">
        <v>108</v>
      </c>
      <c r="Q36" s="9" t="s">
        <v>80</v>
      </c>
      <c r="R36" s="9" t="s">
        <v>79</v>
      </c>
      <c r="T36" s="9" t="s">
        <v>78</v>
      </c>
      <c r="V36" s="9" t="s">
        <v>107</v>
      </c>
      <c r="X36" s="9" t="s">
        <v>76</v>
      </c>
      <c r="Y36" s="9" t="s">
        <v>75</v>
      </c>
      <c r="Z36" s="9">
        <v>39759</v>
      </c>
      <c r="AA36" s="9" t="s">
        <v>73</v>
      </c>
      <c r="AB36" s="9" t="s">
        <v>73</v>
      </c>
      <c r="AF36" s="9" t="s">
        <v>104</v>
      </c>
      <c r="AI36" s="9">
        <v>43890</v>
      </c>
      <c r="AJ36" s="9">
        <v>6</v>
      </c>
      <c r="AK36" s="9">
        <v>37</v>
      </c>
      <c r="BK36" s="9" t="s">
        <v>69</v>
      </c>
      <c r="BL36" s="9" t="s">
        <v>68</v>
      </c>
      <c r="BM36" s="9" t="s">
        <v>67</v>
      </c>
      <c r="BN36" s="9">
        <v>43924.457814456022</v>
      </c>
      <c r="BR36" s="9" t="s">
        <v>64</v>
      </c>
      <c r="BS36" s="9">
        <v>4.0323202017043999E+18</v>
      </c>
      <c r="BT36" s="9" t="s">
        <v>63</v>
      </c>
      <c r="BU36" s="9" t="s">
        <v>102</v>
      </c>
      <c r="BV36" s="9">
        <v>2020</v>
      </c>
      <c r="BW36" s="9" t="s">
        <v>61</v>
      </c>
      <c r="BY36" s="9">
        <v>4.0402202017244698E+18</v>
      </c>
      <c r="BZ36" s="9" t="s">
        <v>236</v>
      </c>
      <c r="CA36" s="9" t="s">
        <v>59</v>
      </c>
    </row>
    <row r="37" spans="1:79" x14ac:dyDescent="0.2">
      <c r="A37" s="9" t="s">
        <v>111</v>
      </c>
      <c r="B37" s="9" t="s">
        <v>110</v>
      </c>
      <c r="C37" s="9">
        <v>2020</v>
      </c>
      <c r="D37" s="9" t="s">
        <v>235</v>
      </c>
      <c r="E37" s="9">
        <v>2.0200320921120602E+17</v>
      </c>
      <c r="F37" s="9" t="s">
        <v>84</v>
      </c>
      <c r="G37" s="9" t="s">
        <v>234</v>
      </c>
      <c r="H37" s="9">
        <v>1391686</v>
      </c>
      <c r="J37" s="9" t="s">
        <v>83</v>
      </c>
      <c r="K37" s="9" t="s">
        <v>82</v>
      </c>
      <c r="N37" s="9" t="s">
        <v>81</v>
      </c>
      <c r="O37" s="9" t="s">
        <v>108</v>
      </c>
      <c r="Q37" s="9" t="s">
        <v>80</v>
      </c>
      <c r="R37" s="9" t="s">
        <v>79</v>
      </c>
      <c r="T37" s="9" t="s">
        <v>78</v>
      </c>
      <c r="V37" s="9" t="s">
        <v>107</v>
      </c>
      <c r="X37" s="9" t="s">
        <v>76</v>
      </c>
      <c r="Y37" s="9" t="s">
        <v>75</v>
      </c>
      <c r="Z37" s="9">
        <v>39759</v>
      </c>
      <c r="AA37" s="9" t="s">
        <v>73</v>
      </c>
      <c r="AB37" s="9" t="s">
        <v>73</v>
      </c>
      <c r="AF37" s="9" t="s">
        <v>104</v>
      </c>
      <c r="AI37" s="9">
        <v>43873</v>
      </c>
      <c r="AJ37" s="9">
        <v>25</v>
      </c>
      <c r="AK37" s="9">
        <v>37</v>
      </c>
      <c r="BK37" s="9" t="s">
        <v>69</v>
      </c>
      <c r="BL37" s="9" t="s">
        <v>68</v>
      </c>
      <c r="BM37" s="9" t="s">
        <v>67</v>
      </c>
      <c r="BN37" s="9">
        <v>43924.505993101855</v>
      </c>
      <c r="BR37" s="9" t="s">
        <v>64</v>
      </c>
      <c r="BS37" s="9">
        <v>4.0323202017043999E+18</v>
      </c>
      <c r="BT37" s="9" t="s">
        <v>63</v>
      </c>
      <c r="BU37" s="9" t="s">
        <v>102</v>
      </c>
      <c r="BV37" s="9">
        <v>2020</v>
      </c>
      <c r="BW37" s="9" t="s">
        <v>61</v>
      </c>
      <c r="BY37" s="9">
        <v>4.0402202017244698E+18</v>
      </c>
      <c r="BZ37" s="9" t="s">
        <v>233</v>
      </c>
      <c r="CA37" s="9" t="s">
        <v>59</v>
      </c>
    </row>
    <row r="38" spans="1:79" x14ac:dyDescent="0.2">
      <c r="A38" s="9" t="s">
        <v>87</v>
      </c>
      <c r="B38" s="9" t="s">
        <v>86</v>
      </c>
      <c r="C38" s="9">
        <v>2020</v>
      </c>
      <c r="D38" s="9" t="s">
        <v>160</v>
      </c>
      <c r="E38" s="9">
        <v>2.0210330944272499E+17</v>
      </c>
      <c r="F38" s="9" t="s">
        <v>84</v>
      </c>
      <c r="G38" s="9">
        <v>32042633</v>
      </c>
      <c r="H38" s="9">
        <v>1506719</v>
      </c>
      <c r="J38" s="9" t="s">
        <v>83</v>
      </c>
      <c r="K38" s="9" t="s">
        <v>82</v>
      </c>
      <c r="N38" s="9" t="s">
        <v>81</v>
      </c>
      <c r="O38" s="9" t="s">
        <v>16</v>
      </c>
      <c r="Q38" s="9" t="s">
        <v>80</v>
      </c>
      <c r="R38" s="9" t="s">
        <v>79</v>
      </c>
      <c r="T38" s="9" t="s">
        <v>78</v>
      </c>
      <c r="V38" s="9" t="s">
        <v>77</v>
      </c>
      <c r="X38" s="9" t="s">
        <v>76</v>
      </c>
      <c r="Y38" s="9" t="s">
        <v>75</v>
      </c>
      <c r="Z38" s="9">
        <v>397595331</v>
      </c>
      <c r="AA38" s="9" t="s">
        <v>74</v>
      </c>
      <c r="AB38" s="9" t="s">
        <v>232</v>
      </c>
      <c r="AD38" s="9" t="s">
        <v>72</v>
      </c>
      <c r="AE38" s="9" t="s">
        <v>71</v>
      </c>
      <c r="AI38" s="9">
        <v>44116</v>
      </c>
      <c r="AJ38" s="9">
        <v>25</v>
      </c>
      <c r="AK38" s="9">
        <v>279</v>
      </c>
      <c r="BG38" s="9" t="s">
        <v>20</v>
      </c>
      <c r="BI38" s="9" t="s">
        <v>70</v>
      </c>
      <c r="BK38" s="9" t="s">
        <v>69</v>
      </c>
      <c r="BL38" s="9" t="s">
        <v>68</v>
      </c>
      <c r="BM38" s="9" t="s">
        <v>67</v>
      </c>
      <c r="BN38" s="9">
        <v>44292.183399942129</v>
      </c>
      <c r="BP38" s="9" t="s">
        <v>231</v>
      </c>
      <c r="BQ38" s="9" t="s">
        <v>65</v>
      </c>
      <c r="BR38" s="9" t="s">
        <v>64</v>
      </c>
      <c r="BS38" s="9">
        <v>4.0331202112704102E+18</v>
      </c>
      <c r="BT38" s="9" t="s">
        <v>63</v>
      </c>
      <c r="BU38" s="9" t="s">
        <v>62</v>
      </c>
      <c r="BV38" s="9">
        <v>2020</v>
      </c>
      <c r="BW38" s="9" t="s">
        <v>61</v>
      </c>
      <c r="BY38" s="9">
        <v>4.0406202112755502E+18</v>
      </c>
      <c r="BZ38" s="9" t="s">
        <v>230</v>
      </c>
      <c r="CA38" s="9" t="s">
        <v>59</v>
      </c>
    </row>
    <row r="39" spans="1:79" x14ac:dyDescent="0.2">
      <c r="A39" s="9" t="s">
        <v>111</v>
      </c>
      <c r="B39" s="9" t="s">
        <v>110</v>
      </c>
      <c r="C39" s="9">
        <v>2020</v>
      </c>
      <c r="D39" s="9" t="s">
        <v>226</v>
      </c>
      <c r="E39" s="9">
        <v>2.0200421922903501E+17</v>
      </c>
      <c r="F39" s="9" t="s">
        <v>84</v>
      </c>
      <c r="G39" s="9" t="s">
        <v>229</v>
      </c>
      <c r="H39" s="9">
        <v>1402724</v>
      </c>
      <c r="J39" s="9" t="s">
        <v>83</v>
      </c>
      <c r="K39" s="9" t="s">
        <v>82</v>
      </c>
      <c r="N39" s="9" t="s">
        <v>81</v>
      </c>
      <c r="O39" s="9" t="s">
        <v>108</v>
      </c>
      <c r="Q39" s="9" t="s">
        <v>80</v>
      </c>
      <c r="R39" s="9" t="s">
        <v>79</v>
      </c>
      <c r="T39" s="9" t="s">
        <v>78</v>
      </c>
      <c r="V39" s="9" t="s">
        <v>107</v>
      </c>
      <c r="X39" s="9" t="s">
        <v>76</v>
      </c>
      <c r="Y39" s="9" t="s">
        <v>75</v>
      </c>
      <c r="Z39" s="9">
        <v>39759</v>
      </c>
      <c r="AA39" s="9" t="s">
        <v>73</v>
      </c>
      <c r="AB39" s="9" t="s">
        <v>73</v>
      </c>
      <c r="AF39" s="9" t="s">
        <v>104</v>
      </c>
      <c r="AI39" s="9">
        <v>43920</v>
      </c>
      <c r="AJ39" s="9">
        <v>6</v>
      </c>
      <c r="AK39" s="9">
        <v>68</v>
      </c>
      <c r="BK39" s="9" t="s">
        <v>69</v>
      </c>
      <c r="BL39" s="9" t="s">
        <v>68</v>
      </c>
      <c r="BM39" s="9" t="s">
        <v>67</v>
      </c>
      <c r="BN39" s="9">
        <v>43966.287745590278</v>
      </c>
      <c r="BR39" s="9" t="s">
        <v>64</v>
      </c>
      <c r="BS39" s="9">
        <v>4.0420202017373501E+18</v>
      </c>
      <c r="BT39" s="9" t="s">
        <v>63</v>
      </c>
      <c r="BU39" s="9" t="s">
        <v>102</v>
      </c>
      <c r="BV39" s="9">
        <v>2020</v>
      </c>
      <c r="BW39" s="9" t="s">
        <v>61</v>
      </c>
      <c r="BY39" s="9">
        <v>4.0514202017469501E+18</v>
      </c>
      <c r="BZ39" s="9" t="s">
        <v>224</v>
      </c>
      <c r="CA39" s="9" t="s">
        <v>59</v>
      </c>
    </row>
    <row r="40" spans="1:79" x14ac:dyDescent="0.2">
      <c r="A40" s="9" t="s">
        <v>111</v>
      </c>
      <c r="B40" s="9" t="s">
        <v>110</v>
      </c>
      <c r="C40" s="9">
        <v>2020</v>
      </c>
      <c r="D40" s="9" t="s">
        <v>226</v>
      </c>
      <c r="E40" s="9">
        <v>2.0200421922903501E+17</v>
      </c>
      <c r="F40" s="9" t="s">
        <v>84</v>
      </c>
      <c r="G40" s="9" t="s">
        <v>228</v>
      </c>
      <c r="H40" s="9">
        <v>1402724</v>
      </c>
      <c r="J40" s="9" t="s">
        <v>83</v>
      </c>
      <c r="K40" s="9" t="s">
        <v>82</v>
      </c>
      <c r="N40" s="9" t="s">
        <v>81</v>
      </c>
      <c r="O40" s="9" t="s">
        <v>108</v>
      </c>
      <c r="Q40" s="9" t="s">
        <v>80</v>
      </c>
      <c r="R40" s="9" t="s">
        <v>79</v>
      </c>
      <c r="T40" s="9" t="s">
        <v>78</v>
      </c>
      <c r="V40" s="9" t="s">
        <v>107</v>
      </c>
      <c r="X40" s="9" t="s">
        <v>76</v>
      </c>
      <c r="Y40" s="9" t="s">
        <v>75</v>
      </c>
      <c r="Z40" s="9">
        <v>39759</v>
      </c>
      <c r="AA40" s="9" t="s">
        <v>73</v>
      </c>
      <c r="AB40" s="9" t="s">
        <v>73</v>
      </c>
      <c r="AF40" s="9" t="s">
        <v>104</v>
      </c>
      <c r="AI40" s="9">
        <v>43902</v>
      </c>
      <c r="AJ40" s="9">
        <v>25</v>
      </c>
      <c r="AK40" s="9">
        <v>68</v>
      </c>
      <c r="BK40" s="9" t="s">
        <v>69</v>
      </c>
      <c r="BL40" s="9" t="s">
        <v>68</v>
      </c>
      <c r="BM40" s="9" t="s">
        <v>67</v>
      </c>
      <c r="BN40" s="9">
        <v>43966.33363828704</v>
      </c>
      <c r="BR40" s="9" t="s">
        <v>64</v>
      </c>
      <c r="BS40" s="9">
        <v>4.0420202017373501E+18</v>
      </c>
      <c r="BT40" s="9" t="s">
        <v>63</v>
      </c>
      <c r="BU40" s="9" t="s">
        <v>102</v>
      </c>
      <c r="BV40" s="9">
        <v>2020</v>
      </c>
      <c r="BW40" s="9" t="s">
        <v>61</v>
      </c>
      <c r="BY40" s="9">
        <v>4.0514202017469501E+18</v>
      </c>
      <c r="BZ40" s="9" t="s">
        <v>227</v>
      </c>
      <c r="CA40" s="9" t="s">
        <v>59</v>
      </c>
    </row>
    <row r="41" spans="1:79" x14ac:dyDescent="0.2">
      <c r="A41" s="9" t="s">
        <v>111</v>
      </c>
      <c r="B41" s="9" t="s">
        <v>110</v>
      </c>
      <c r="C41" s="9">
        <v>2020</v>
      </c>
      <c r="D41" s="9" t="s">
        <v>226</v>
      </c>
      <c r="E41" s="9">
        <v>2.0200421922903501E+17</v>
      </c>
      <c r="F41" s="9" t="s">
        <v>84</v>
      </c>
      <c r="G41" s="9" t="s">
        <v>225</v>
      </c>
      <c r="H41" s="9">
        <v>1402724</v>
      </c>
      <c r="J41" s="9" t="s">
        <v>83</v>
      </c>
      <c r="K41" s="9" t="s">
        <v>82</v>
      </c>
      <c r="N41" s="9" t="s">
        <v>81</v>
      </c>
      <c r="O41" s="9" t="s">
        <v>108</v>
      </c>
      <c r="Q41" s="9" t="s">
        <v>80</v>
      </c>
      <c r="R41" s="9" t="s">
        <v>79</v>
      </c>
      <c r="T41" s="9" t="s">
        <v>78</v>
      </c>
      <c r="V41" s="9" t="s">
        <v>107</v>
      </c>
      <c r="X41" s="9" t="s">
        <v>76</v>
      </c>
      <c r="Y41" s="9" t="s">
        <v>75</v>
      </c>
      <c r="Z41" s="9">
        <v>39759</v>
      </c>
      <c r="AA41" s="9" t="s">
        <v>73</v>
      </c>
      <c r="AB41" s="9" t="s">
        <v>73</v>
      </c>
      <c r="AF41" s="9" t="s">
        <v>113</v>
      </c>
      <c r="AI41" s="9">
        <v>43920</v>
      </c>
      <c r="AJ41" s="9">
        <v>1.2</v>
      </c>
      <c r="AK41" s="9">
        <v>3.6</v>
      </c>
      <c r="BK41" s="9" t="s">
        <v>69</v>
      </c>
      <c r="BL41" s="9" t="s">
        <v>68</v>
      </c>
      <c r="BM41" s="9" t="s">
        <v>67</v>
      </c>
      <c r="BN41" s="9">
        <v>43966.33363828704</v>
      </c>
      <c r="BR41" s="9" t="s">
        <v>64</v>
      </c>
      <c r="BS41" s="9">
        <v>4.0420202017373501E+18</v>
      </c>
      <c r="BT41" s="9" t="s">
        <v>63</v>
      </c>
      <c r="BU41" s="9" t="s">
        <v>112</v>
      </c>
      <c r="BV41" s="9">
        <v>2020</v>
      </c>
      <c r="BW41" s="9" t="s">
        <v>61</v>
      </c>
      <c r="BY41" s="9">
        <v>4.0514202017469501E+18</v>
      </c>
      <c r="BZ41" s="9" t="s">
        <v>224</v>
      </c>
      <c r="CA41" s="9" t="s">
        <v>59</v>
      </c>
    </row>
    <row r="42" spans="1:79" x14ac:dyDescent="0.2">
      <c r="A42" s="9" t="s">
        <v>223</v>
      </c>
      <c r="B42" s="9" t="s">
        <v>222</v>
      </c>
      <c r="C42" s="9">
        <v>2020</v>
      </c>
      <c r="D42" s="9" t="s">
        <v>160</v>
      </c>
      <c r="E42" s="9">
        <v>2.02102019424912E+17</v>
      </c>
      <c r="F42" s="9" t="s">
        <v>84</v>
      </c>
      <c r="G42" s="9">
        <v>2963394</v>
      </c>
      <c r="H42" s="9">
        <v>1498018</v>
      </c>
      <c r="J42" s="9" t="s">
        <v>83</v>
      </c>
      <c r="K42" s="9" t="s">
        <v>82</v>
      </c>
      <c r="L42" s="9" t="s">
        <v>111</v>
      </c>
      <c r="N42" s="9" t="s">
        <v>173</v>
      </c>
      <c r="O42" s="9" t="s">
        <v>134</v>
      </c>
      <c r="Q42" s="9" t="s">
        <v>20</v>
      </c>
      <c r="R42" s="9" t="s">
        <v>172</v>
      </c>
      <c r="T42" s="9" t="s">
        <v>78</v>
      </c>
      <c r="V42" s="9" t="s">
        <v>171</v>
      </c>
      <c r="X42" s="9" t="s">
        <v>170</v>
      </c>
      <c r="Y42" s="9" t="s">
        <v>169</v>
      </c>
      <c r="Z42" s="9">
        <v>370300318</v>
      </c>
      <c r="AA42" s="9" t="s">
        <v>221</v>
      </c>
      <c r="AB42" s="9" t="s">
        <v>220</v>
      </c>
      <c r="AC42" s="9" t="s">
        <v>111</v>
      </c>
      <c r="AD42" s="9" t="s">
        <v>72</v>
      </c>
      <c r="AE42" s="9" t="s">
        <v>71</v>
      </c>
      <c r="AI42" s="9">
        <v>44110</v>
      </c>
      <c r="AJ42" s="9">
        <v>2800</v>
      </c>
      <c r="AK42" s="9">
        <v>2800</v>
      </c>
      <c r="BG42" s="9" t="s">
        <v>166</v>
      </c>
      <c r="BI42" s="9" t="s">
        <v>165</v>
      </c>
      <c r="BJ42" s="9">
        <v>2020</v>
      </c>
      <c r="BK42" s="9" t="s">
        <v>19</v>
      </c>
      <c r="BL42" s="9" t="s">
        <v>219</v>
      </c>
      <c r="BM42" s="9" t="s">
        <v>67</v>
      </c>
      <c r="BN42" s="9">
        <v>44250.152212905094</v>
      </c>
      <c r="BP42" s="9" t="s">
        <v>218</v>
      </c>
      <c r="BQ42" s="9" t="s">
        <v>65</v>
      </c>
      <c r="BR42" s="9" t="s">
        <v>126</v>
      </c>
      <c r="BS42" s="9">
        <v>4.0203202121402701E+18</v>
      </c>
      <c r="BT42" s="9" t="s">
        <v>63</v>
      </c>
      <c r="BU42" s="9" t="s">
        <v>125</v>
      </c>
      <c r="BV42" s="9">
        <v>2020</v>
      </c>
      <c r="BW42" s="9" t="s">
        <v>61</v>
      </c>
      <c r="BY42" s="9">
        <v>4.02232021116401E+18</v>
      </c>
      <c r="BZ42" s="9" t="s">
        <v>217</v>
      </c>
      <c r="CA42" s="9" t="s">
        <v>59</v>
      </c>
    </row>
    <row r="43" spans="1:79" x14ac:dyDescent="0.2">
      <c r="A43" s="9" t="s">
        <v>111</v>
      </c>
      <c r="B43" s="9" t="s">
        <v>110</v>
      </c>
      <c r="C43" s="9">
        <v>2020</v>
      </c>
      <c r="D43" s="9" t="s">
        <v>213</v>
      </c>
      <c r="E43" s="9">
        <v>2.0200520923654499E+17</v>
      </c>
      <c r="F43" s="9" t="s">
        <v>84</v>
      </c>
      <c r="G43" s="9" t="s">
        <v>216</v>
      </c>
      <c r="H43" s="9">
        <v>1407307</v>
      </c>
      <c r="J43" s="9" t="s">
        <v>83</v>
      </c>
      <c r="K43" s="9" t="s">
        <v>82</v>
      </c>
      <c r="N43" s="9" t="s">
        <v>81</v>
      </c>
      <c r="O43" s="9" t="s">
        <v>108</v>
      </c>
      <c r="Q43" s="9" t="s">
        <v>80</v>
      </c>
      <c r="R43" s="9" t="s">
        <v>79</v>
      </c>
      <c r="T43" s="9" t="s">
        <v>78</v>
      </c>
      <c r="V43" s="9" t="s">
        <v>107</v>
      </c>
      <c r="X43" s="9" t="s">
        <v>76</v>
      </c>
      <c r="Y43" s="9" t="s">
        <v>75</v>
      </c>
      <c r="Z43" s="9">
        <v>39759</v>
      </c>
      <c r="AA43" s="9" t="s">
        <v>73</v>
      </c>
      <c r="AB43" s="9" t="s">
        <v>73</v>
      </c>
      <c r="AF43" s="9" t="s">
        <v>104</v>
      </c>
      <c r="AI43" s="9">
        <v>43951</v>
      </c>
      <c r="AJ43" s="9">
        <v>6</v>
      </c>
      <c r="AK43" s="9">
        <v>99</v>
      </c>
      <c r="BK43" s="9" t="s">
        <v>69</v>
      </c>
      <c r="BL43" s="9" t="s">
        <v>68</v>
      </c>
      <c r="BM43" s="9" t="s">
        <v>67</v>
      </c>
      <c r="BN43" s="9">
        <v>43979.283889236111</v>
      </c>
      <c r="BR43" s="9" t="s">
        <v>64</v>
      </c>
      <c r="BS43" s="9">
        <v>4.05212020176224E+18</v>
      </c>
      <c r="BT43" s="9" t="s">
        <v>63</v>
      </c>
      <c r="BU43" s="9" t="s">
        <v>102</v>
      </c>
      <c r="BV43" s="9">
        <v>2020</v>
      </c>
      <c r="BW43" s="9" t="s">
        <v>61</v>
      </c>
      <c r="BY43" s="9">
        <v>4.05272020176672E+18</v>
      </c>
      <c r="BZ43" s="9" t="s">
        <v>214</v>
      </c>
      <c r="CA43" s="9" t="s">
        <v>59</v>
      </c>
    </row>
    <row r="44" spans="1:79" x14ac:dyDescent="0.2">
      <c r="A44" s="9" t="s">
        <v>111</v>
      </c>
      <c r="B44" s="9" t="s">
        <v>110</v>
      </c>
      <c r="C44" s="9">
        <v>2020</v>
      </c>
      <c r="D44" s="9" t="s">
        <v>213</v>
      </c>
      <c r="E44" s="9">
        <v>2.0200520923654499E+17</v>
      </c>
      <c r="F44" s="9" t="s">
        <v>84</v>
      </c>
      <c r="G44" s="9" t="s">
        <v>215</v>
      </c>
      <c r="H44" s="9">
        <v>1407307</v>
      </c>
      <c r="J44" s="9" t="s">
        <v>83</v>
      </c>
      <c r="K44" s="9" t="s">
        <v>82</v>
      </c>
      <c r="N44" s="9" t="s">
        <v>81</v>
      </c>
      <c r="O44" s="9" t="s">
        <v>108</v>
      </c>
      <c r="Q44" s="9" t="s">
        <v>80</v>
      </c>
      <c r="R44" s="9" t="s">
        <v>79</v>
      </c>
      <c r="T44" s="9" t="s">
        <v>78</v>
      </c>
      <c r="V44" s="9" t="s">
        <v>107</v>
      </c>
      <c r="X44" s="9" t="s">
        <v>76</v>
      </c>
      <c r="Y44" s="9" t="s">
        <v>75</v>
      </c>
      <c r="Z44" s="9">
        <v>39759</v>
      </c>
      <c r="AA44" s="9" t="s">
        <v>73</v>
      </c>
      <c r="AB44" s="9" t="s">
        <v>73</v>
      </c>
      <c r="AF44" s="9" t="s">
        <v>113</v>
      </c>
      <c r="AI44" s="9">
        <v>43951</v>
      </c>
      <c r="AJ44" s="9">
        <v>1.2</v>
      </c>
      <c r="AK44" s="9">
        <v>4.8</v>
      </c>
      <c r="BK44" s="9" t="s">
        <v>69</v>
      </c>
      <c r="BL44" s="9" t="s">
        <v>68</v>
      </c>
      <c r="BM44" s="9" t="s">
        <v>67</v>
      </c>
      <c r="BN44" s="9">
        <v>43979.31402996528</v>
      </c>
      <c r="BR44" s="9" t="s">
        <v>64</v>
      </c>
      <c r="BS44" s="9">
        <v>4.05212020176224E+18</v>
      </c>
      <c r="BT44" s="9" t="s">
        <v>63</v>
      </c>
      <c r="BU44" s="9" t="s">
        <v>112</v>
      </c>
      <c r="BV44" s="9">
        <v>2020</v>
      </c>
      <c r="BW44" s="9" t="s">
        <v>61</v>
      </c>
      <c r="BY44" s="9">
        <v>4.05272020176672E+18</v>
      </c>
      <c r="BZ44" s="9" t="s">
        <v>214</v>
      </c>
      <c r="CA44" s="9" t="s">
        <v>59</v>
      </c>
    </row>
    <row r="45" spans="1:79" x14ac:dyDescent="0.2">
      <c r="A45" s="9" t="s">
        <v>111</v>
      </c>
      <c r="B45" s="9" t="s">
        <v>110</v>
      </c>
      <c r="C45" s="9">
        <v>2020</v>
      </c>
      <c r="D45" s="9" t="s">
        <v>213</v>
      </c>
      <c r="E45" s="9">
        <v>2.0200520923654499E+17</v>
      </c>
      <c r="F45" s="9" t="s">
        <v>84</v>
      </c>
      <c r="G45" s="9" t="s">
        <v>212</v>
      </c>
      <c r="H45" s="9">
        <v>1407307</v>
      </c>
      <c r="J45" s="9" t="s">
        <v>83</v>
      </c>
      <c r="K45" s="9" t="s">
        <v>82</v>
      </c>
      <c r="N45" s="9" t="s">
        <v>81</v>
      </c>
      <c r="O45" s="9" t="s">
        <v>108</v>
      </c>
      <c r="Q45" s="9" t="s">
        <v>80</v>
      </c>
      <c r="R45" s="9" t="s">
        <v>79</v>
      </c>
      <c r="T45" s="9" t="s">
        <v>78</v>
      </c>
      <c r="V45" s="9" t="s">
        <v>107</v>
      </c>
      <c r="X45" s="9" t="s">
        <v>76</v>
      </c>
      <c r="Y45" s="9" t="s">
        <v>75</v>
      </c>
      <c r="Z45" s="9">
        <v>39759</v>
      </c>
      <c r="AA45" s="9" t="s">
        <v>73</v>
      </c>
      <c r="AB45" s="9" t="s">
        <v>73</v>
      </c>
      <c r="AF45" s="9" t="s">
        <v>104</v>
      </c>
      <c r="AI45" s="9">
        <v>43933</v>
      </c>
      <c r="AJ45" s="9">
        <v>25</v>
      </c>
      <c r="AK45" s="9">
        <v>99</v>
      </c>
      <c r="BK45" s="9" t="s">
        <v>69</v>
      </c>
      <c r="BL45" s="9" t="s">
        <v>68</v>
      </c>
      <c r="BM45" s="9" t="s">
        <v>67</v>
      </c>
      <c r="BN45" s="9">
        <v>43979.329250833332</v>
      </c>
      <c r="BR45" s="9" t="s">
        <v>64</v>
      </c>
      <c r="BS45" s="9">
        <v>4.05212020176224E+18</v>
      </c>
      <c r="BT45" s="9" t="s">
        <v>63</v>
      </c>
      <c r="BU45" s="9" t="s">
        <v>102</v>
      </c>
      <c r="BV45" s="9">
        <v>2020</v>
      </c>
      <c r="BW45" s="9" t="s">
        <v>61</v>
      </c>
      <c r="BY45" s="9">
        <v>4.05272020176672E+18</v>
      </c>
      <c r="BZ45" s="9" t="s">
        <v>211</v>
      </c>
      <c r="CA45" s="9" t="s">
        <v>59</v>
      </c>
    </row>
    <row r="46" spans="1:79" x14ac:dyDescent="0.2">
      <c r="A46" s="9" t="s">
        <v>111</v>
      </c>
      <c r="B46" s="9" t="s">
        <v>110</v>
      </c>
      <c r="C46" s="9">
        <v>2020</v>
      </c>
      <c r="D46" s="9" t="s">
        <v>207</v>
      </c>
      <c r="E46" s="9">
        <v>2.0200620924083802E+17</v>
      </c>
      <c r="F46" s="9" t="s">
        <v>84</v>
      </c>
      <c r="G46" s="9" t="s">
        <v>210</v>
      </c>
      <c r="H46" s="9">
        <v>1413483</v>
      </c>
      <c r="J46" s="9" t="s">
        <v>83</v>
      </c>
      <c r="K46" s="9" t="s">
        <v>82</v>
      </c>
      <c r="N46" s="9" t="s">
        <v>81</v>
      </c>
      <c r="O46" s="9" t="s">
        <v>108</v>
      </c>
      <c r="Q46" s="9" t="s">
        <v>80</v>
      </c>
      <c r="R46" s="9" t="s">
        <v>79</v>
      </c>
      <c r="T46" s="9" t="s">
        <v>78</v>
      </c>
      <c r="V46" s="9" t="s">
        <v>107</v>
      </c>
      <c r="X46" s="9" t="s">
        <v>76</v>
      </c>
      <c r="Y46" s="9" t="s">
        <v>75</v>
      </c>
      <c r="Z46" s="9">
        <v>39759</v>
      </c>
      <c r="AA46" s="9" t="s">
        <v>73</v>
      </c>
      <c r="AB46" s="9" t="s">
        <v>73</v>
      </c>
      <c r="AF46" s="9" t="s">
        <v>104</v>
      </c>
      <c r="AI46" s="9">
        <v>43963</v>
      </c>
      <c r="AJ46" s="9">
        <v>25</v>
      </c>
      <c r="AK46" s="9">
        <v>130</v>
      </c>
      <c r="BK46" s="9" t="s">
        <v>69</v>
      </c>
      <c r="BL46" s="9" t="s">
        <v>68</v>
      </c>
      <c r="BM46" s="9" t="s">
        <v>67</v>
      </c>
      <c r="BN46" s="9">
        <v>44022.28107287037</v>
      </c>
      <c r="BR46" s="9" t="s">
        <v>64</v>
      </c>
      <c r="BS46" s="9">
        <v>4.0621202017761597E+18</v>
      </c>
      <c r="BT46" s="9" t="s">
        <v>63</v>
      </c>
      <c r="BU46" s="9" t="s">
        <v>102</v>
      </c>
      <c r="BV46" s="9">
        <v>2020</v>
      </c>
      <c r="BW46" s="9" t="s">
        <v>61</v>
      </c>
      <c r="BY46" s="9">
        <v>4.0709202017834798E+18</v>
      </c>
      <c r="BZ46" s="9" t="s">
        <v>209</v>
      </c>
      <c r="CA46" s="9" t="s">
        <v>59</v>
      </c>
    </row>
    <row r="47" spans="1:79" x14ac:dyDescent="0.2">
      <c r="A47" s="9" t="s">
        <v>111</v>
      </c>
      <c r="B47" s="9" t="s">
        <v>110</v>
      </c>
      <c r="C47" s="9">
        <v>2020</v>
      </c>
      <c r="D47" s="9" t="s">
        <v>207</v>
      </c>
      <c r="E47" s="9">
        <v>2.0200620924083802E+17</v>
      </c>
      <c r="F47" s="9" t="s">
        <v>84</v>
      </c>
      <c r="G47" s="9" t="s">
        <v>208</v>
      </c>
      <c r="H47" s="9">
        <v>1413483</v>
      </c>
      <c r="J47" s="9" t="s">
        <v>83</v>
      </c>
      <c r="K47" s="9" t="s">
        <v>82</v>
      </c>
      <c r="N47" s="9" t="s">
        <v>81</v>
      </c>
      <c r="O47" s="9" t="s">
        <v>108</v>
      </c>
      <c r="Q47" s="9" t="s">
        <v>80</v>
      </c>
      <c r="R47" s="9" t="s">
        <v>79</v>
      </c>
      <c r="T47" s="9" t="s">
        <v>78</v>
      </c>
      <c r="V47" s="9" t="s">
        <v>107</v>
      </c>
      <c r="X47" s="9" t="s">
        <v>76</v>
      </c>
      <c r="Y47" s="9" t="s">
        <v>75</v>
      </c>
      <c r="Z47" s="9">
        <v>39759</v>
      </c>
      <c r="AA47" s="9" t="s">
        <v>73</v>
      </c>
      <c r="AB47" s="9" t="s">
        <v>73</v>
      </c>
      <c r="AF47" s="9" t="s">
        <v>113</v>
      </c>
      <c r="AI47" s="9">
        <v>43981</v>
      </c>
      <c r="AJ47" s="9">
        <v>1.2</v>
      </c>
      <c r="AK47" s="9">
        <v>6</v>
      </c>
      <c r="BK47" s="9" t="s">
        <v>69</v>
      </c>
      <c r="BL47" s="9" t="s">
        <v>68</v>
      </c>
      <c r="BM47" s="9" t="s">
        <v>67</v>
      </c>
      <c r="BN47" s="9">
        <v>44022.295657962961</v>
      </c>
      <c r="BR47" s="9" t="s">
        <v>64</v>
      </c>
      <c r="BS47" s="9">
        <v>4.0621202017761597E+18</v>
      </c>
      <c r="BT47" s="9" t="s">
        <v>63</v>
      </c>
      <c r="BU47" s="9" t="s">
        <v>112</v>
      </c>
      <c r="BV47" s="9">
        <v>2020</v>
      </c>
      <c r="BW47" s="9" t="s">
        <v>61</v>
      </c>
      <c r="BY47" s="9">
        <v>4.0709202017834798E+18</v>
      </c>
      <c r="BZ47" s="9" t="s">
        <v>205</v>
      </c>
      <c r="CA47" s="9" t="s">
        <v>59</v>
      </c>
    </row>
    <row r="48" spans="1:79" x14ac:dyDescent="0.2">
      <c r="A48" s="9" t="s">
        <v>111</v>
      </c>
      <c r="B48" s="9" t="s">
        <v>110</v>
      </c>
      <c r="C48" s="9">
        <v>2020</v>
      </c>
      <c r="D48" s="9" t="s">
        <v>207</v>
      </c>
      <c r="E48" s="9">
        <v>2.0200620924083802E+17</v>
      </c>
      <c r="F48" s="9" t="s">
        <v>84</v>
      </c>
      <c r="G48" s="9" t="s">
        <v>206</v>
      </c>
      <c r="H48" s="9">
        <v>1413483</v>
      </c>
      <c r="J48" s="9" t="s">
        <v>83</v>
      </c>
      <c r="K48" s="9" t="s">
        <v>82</v>
      </c>
      <c r="N48" s="9" t="s">
        <v>81</v>
      </c>
      <c r="O48" s="9" t="s">
        <v>108</v>
      </c>
      <c r="Q48" s="9" t="s">
        <v>80</v>
      </c>
      <c r="R48" s="9" t="s">
        <v>79</v>
      </c>
      <c r="T48" s="9" t="s">
        <v>78</v>
      </c>
      <c r="V48" s="9" t="s">
        <v>107</v>
      </c>
      <c r="X48" s="9" t="s">
        <v>76</v>
      </c>
      <c r="Y48" s="9" t="s">
        <v>75</v>
      </c>
      <c r="Z48" s="9">
        <v>39759</v>
      </c>
      <c r="AA48" s="9" t="s">
        <v>73</v>
      </c>
      <c r="AB48" s="9" t="s">
        <v>73</v>
      </c>
      <c r="AF48" s="9" t="s">
        <v>104</v>
      </c>
      <c r="AI48" s="9">
        <v>43981</v>
      </c>
      <c r="AJ48" s="9">
        <v>6</v>
      </c>
      <c r="AK48" s="9">
        <v>130</v>
      </c>
      <c r="BK48" s="9" t="s">
        <v>69</v>
      </c>
      <c r="BL48" s="9" t="s">
        <v>68</v>
      </c>
      <c r="BM48" s="9" t="s">
        <v>67</v>
      </c>
      <c r="BN48" s="9">
        <v>44022.339598831022</v>
      </c>
      <c r="BR48" s="9" t="s">
        <v>64</v>
      </c>
      <c r="BS48" s="9">
        <v>4.0621202017761597E+18</v>
      </c>
      <c r="BT48" s="9" t="s">
        <v>63</v>
      </c>
      <c r="BU48" s="9" t="s">
        <v>102</v>
      </c>
      <c r="BV48" s="9">
        <v>2020</v>
      </c>
      <c r="BW48" s="9" t="s">
        <v>61</v>
      </c>
      <c r="BY48" s="9">
        <v>4.0709202017834798E+18</v>
      </c>
      <c r="BZ48" s="9" t="s">
        <v>205</v>
      </c>
      <c r="CA48" s="9" t="s">
        <v>59</v>
      </c>
    </row>
    <row r="49" spans="1:79" x14ac:dyDescent="0.2">
      <c r="A49" s="9" t="s">
        <v>203</v>
      </c>
      <c r="B49" s="9" t="s">
        <v>202</v>
      </c>
      <c r="C49" s="9">
        <v>2020</v>
      </c>
      <c r="D49" s="9" t="s">
        <v>92</v>
      </c>
      <c r="E49" s="9">
        <v>2.0210407944311002E+17</v>
      </c>
      <c r="F49" s="9" t="s">
        <v>84</v>
      </c>
      <c r="G49" s="9">
        <v>3879416</v>
      </c>
      <c r="H49" s="9">
        <v>1508394</v>
      </c>
      <c r="J49" s="9" t="s">
        <v>83</v>
      </c>
      <c r="K49" s="9" t="s">
        <v>82</v>
      </c>
      <c r="N49" s="9" t="s">
        <v>81</v>
      </c>
      <c r="O49" s="9" t="s">
        <v>17</v>
      </c>
      <c r="Q49" s="9" t="s">
        <v>80</v>
      </c>
      <c r="R49" s="9" t="s">
        <v>79</v>
      </c>
      <c r="T49" s="9" t="s">
        <v>78</v>
      </c>
      <c r="V49" s="9" t="s">
        <v>201</v>
      </c>
      <c r="X49" s="9" t="s">
        <v>76</v>
      </c>
      <c r="Y49" s="9" t="s">
        <v>75</v>
      </c>
      <c r="Z49" s="9">
        <v>39759</v>
      </c>
      <c r="AD49" s="9">
        <v>15</v>
      </c>
      <c r="AE49" s="9" t="s">
        <v>200</v>
      </c>
      <c r="AI49" s="9">
        <v>44138</v>
      </c>
      <c r="AJ49" s="9">
        <v>20</v>
      </c>
      <c r="AK49" s="9">
        <v>220</v>
      </c>
      <c r="BG49" s="9" t="s">
        <v>20</v>
      </c>
      <c r="BI49" s="9" t="s">
        <v>70</v>
      </c>
      <c r="BK49" s="9" t="s">
        <v>69</v>
      </c>
      <c r="BL49" s="9" t="s">
        <v>68</v>
      </c>
      <c r="BM49" s="9" t="s">
        <v>67</v>
      </c>
      <c r="BN49" s="9">
        <v>44296.171057916668</v>
      </c>
      <c r="BR49" s="9" t="s">
        <v>64</v>
      </c>
      <c r="BS49" s="9">
        <v>4.0407202112765302E+18</v>
      </c>
      <c r="BT49" s="9" t="s">
        <v>63</v>
      </c>
      <c r="BV49" s="9">
        <v>2020</v>
      </c>
      <c r="BW49" s="9" t="s">
        <v>61</v>
      </c>
      <c r="BY49" s="9">
        <v>4.0410202112768102E+18</v>
      </c>
      <c r="BZ49" s="9" t="s">
        <v>204</v>
      </c>
      <c r="CA49" s="9" t="s">
        <v>59</v>
      </c>
    </row>
    <row r="50" spans="1:79" x14ac:dyDescent="0.2">
      <c r="A50" s="9" t="s">
        <v>203</v>
      </c>
      <c r="B50" s="9" t="s">
        <v>202</v>
      </c>
      <c r="C50" s="9">
        <v>2020</v>
      </c>
      <c r="D50" s="9" t="s">
        <v>155</v>
      </c>
      <c r="E50" s="9">
        <v>2.0210407944312301E+17</v>
      </c>
      <c r="F50" s="9" t="s">
        <v>84</v>
      </c>
      <c r="G50" s="9">
        <v>4034121</v>
      </c>
      <c r="H50" s="9">
        <v>1508411</v>
      </c>
      <c r="J50" s="9" t="s">
        <v>83</v>
      </c>
      <c r="K50" s="9" t="s">
        <v>82</v>
      </c>
      <c r="N50" s="9" t="s">
        <v>81</v>
      </c>
      <c r="O50" s="9" t="s">
        <v>17</v>
      </c>
      <c r="Q50" s="9" t="s">
        <v>80</v>
      </c>
      <c r="R50" s="9" t="s">
        <v>79</v>
      </c>
      <c r="T50" s="9" t="s">
        <v>78</v>
      </c>
      <c r="V50" s="9" t="s">
        <v>201</v>
      </c>
      <c r="X50" s="9" t="s">
        <v>76</v>
      </c>
      <c r="Y50" s="9" t="s">
        <v>75</v>
      </c>
      <c r="Z50" s="9">
        <v>39759</v>
      </c>
      <c r="AD50" s="9">
        <v>15</v>
      </c>
      <c r="AE50" s="9" t="s">
        <v>200</v>
      </c>
      <c r="AI50" s="9">
        <v>44168</v>
      </c>
      <c r="AJ50" s="9">
        <v>20</v>
      </c>
      <c r="AK50" s="9">
        <v>240</v>
      </c>
      <c r="BG50" s="9" t="s">
        <v>20</v>
      </c>
      <c r="BI50" s="9" t="s">
        <v>70</v>
      </c>
      <c r="BK50" s="9" t="s">
        <v>69</v>
      </c>
      <c r="BL50" s="9" t="s">
        <v>68</v>
      </c>
      <c r="BM50" s="9" t="s">
        <v>67</v>
      </c>
      <c r="BN50" s="9">
        <v>44296.172812662036</v>
      </c>
      <c r="BR50" s="9" t="s">
        <v>64</v>
      </c>
      <c r="BS50" s="9">
        <v>4.0407202112765302E+18</v>
      </c>
      <c r="BT50" s="9" t="s">
        <v>63</v>
      </c>
      <c r="BV50" s="9">
        <v>2020</v>
      </c>
      <c r="BW50" s="9" t="s">
        <v>61</v>
      </c>
      <c r="BY50" s="9">
        <v>4.0410202112768901E+18</v>
      </c>
      <c r="BZ50" s="9" t="s">
        <v>199</v>
      </c>
      <c r="CA50" s="9" t="s">
        <v>59</v>
      </c>
    </row>
    <row r="51" spans="1:79" x14ac:dyDescent="0.2">
      <c r="A51" s="9" t="s">
        <v>111</v>
      </c>
      <c r="B51" s="9" t="s">
        <v>110</v>
      </c>
      <c r="C51" s="9">
        <v>2020</v>
      </c>
      <c r="D51" s="9" t="s">
        <v>191</v>
      </c>
      <c r="E51" s="9">
        <v>2.0200720925609101E+17</v>
      </c>
      <c r="F51" s="9" t="s">
        <v>84</v>
      </c>
      <c r="G51" s="9" t="s">
        <v>198</v>
      </c>
      <c r="H51" s="9">
        <v>1427110</v>
      </c>
      <c r="J51" s="9" t="s">
        <v>83</v>
      </c>
      <c r="K51" s="9" t="s">
        <v>82</v>
      </c>
      <c r="N51" s="9" t="s">
        <v>81</v>
      </c>
      <c r="O51" s="9" t="s">
        <v>108</v>
      </c>
      <c r="Q51" s="9" t="s">
        <v>80</v>
      </c>
      <c r="R51" s="9" t="s">
        <v>79</v>
      </c>
      <c r="T51" s="9" t="s">
        <v>78</v>
      </c>
      <c r="V51" s="9" t="s">
        <v>107</v>
      </c>
      <c r="X51" s="9" t="s">
        <v>76</v>
      </c>
      <c r="Y51" s="9" t="s">
        <v>75</v>
      </c>
      <c r="Z51" s="9">
        <v>39759</v>
      </c>
      <c r="AA51" s="9" t="s">
        <v>73</v>
      </c>
      <c r="AB51" s="9" t="s">
        <v>73</v>
      </c>
      <c r="AF51" s="9" t="s">
        <v>104</v>
      </c>
      <c r="AI51" s="9">
        <v>43992</v>
      </c>
      <c r="AJ51" s="9">
        <v>10</v>
      </c>
      <c r="AK51" s="9">
        <v>10</v>
      </c>
      <c r="BK51" s="9" t="s">
        <v>69</v>
      </c>
      <c r="BL51" s="9" t="s">
        <v>68</v>
      </c>
      <c r="BM51" s="9" t="s">
        <v>67</v>
      </c>
      <c r="BN51" s="9">
        <v>44054.312606412037</v>
      </c>
      <c r="BR51" s="9" t="s">
        <v>64</v>
      </c>
      <c r="BS51" s="9">
        <v>4.0721202017922499E+18</v>
      </c>
      <c r="BT51" s="9" t="s">
        <v>63</v>
      </c>
      <c r="BU51" s="9" t="s">
        <v>197</v>
      </c>
      <c r="BV51" s="9">
        <v>2020</v>
      </c>
      <c r="BW51" s="9" t="s">
        <v>61</v>
      </c>
      <c r="BY51" s="9">
        <v>4.08102020181698E+18</v>
      </c>
      <c r="BZ51" s="9" t="s">
        <v>192</v>
      </c>
      <c r="CA51" s="9" t="s">
        <v>59</v>
      </c>
    </row>
    <row r="52" spans="1:79" x14ac:dyDescent="0.2">
      <c r="A52" s="9" t="s">
        <v>111</v>
      </c>
      <c r="B52" s="9" t="s">
        <v>110</v>
      </c>
      <c r="C52" s="9">
        <v>2020</v>
      </c>
      <c r="D52" s="9" t="s">
        <v>191</v>
      </c>
      <c r="E52" s="9">
        <v>2.0200720925609101E+17</v>
      </c>
      <c r="F52" s="9" t="s">
        <v>84</v>
      </c>
      <c r="G52" s="9" t="s">
        <v>196</v>
      </c>
      <c r="H52" s="9">
        <v>1427110</v>
      </c>
      <c r="J52" s="9" t="s">
        <v>83</v>
      </c>
      <c r="K52" s="9" t="s">
        <v>82</v>
      </c>
      <c r="N52" s="9" t="s">
        <v>81</v>
      </c>
      <c r="O52" s="9" t="s">
        <v>108</v>
      </c>
      <c r="Q52" s="9" t="s">
        <v>80</v>
      </c>
      <c r="R52" s="9" t="s">
        <v>79</v>
      </c>
      <c r="T52" s="9" t="s">
        <v>78</v>
      </c>
      <c r="V52" s="9" t="s">
        <v>107</v>
      </c>
      <c r="X52" s="9" t="s">
        <v>76</v>
      </c>
      <c r="Y52" s="9" t="s">
        <v>75</v>
      </c>
      <c r="Z52" s="9">
        <v>39759</v>
      </c>
      <c r="AA52" s="9" t="s">
        <v>73</v>
      </c>
      <c r="AB52" s="9" t="s">
        <v>73</v>
      </c>
      <c r="AF52" s="9" t="s">
        <v>104</v>
      </c>
      <c r="AI52" s="9">
        <v>43994</v>
      </c>
      <c r="AJ52" s="9">
        <v>25</v>
      </c>
      <c r="AK52" s="9">
        <v>161</v>
      </c>
      <c r="BK52" s="9" t="s">
        <v>69</v>
      </c>
      <c r="BL52" s="9" t="s">
        <v>68</v>
      </c>
      <c r="BM52" s="9" t="s">
        <v>67</v>
      </c>
      <c r="BN52" s="9">
        <v>44054.324905335649</v>
      </c>
      <c r="BR52" s="9" t="s">
        <v>64</v>
      </c>
      <c r="BS52" s="9">
        <v>4.0721202017922499E+18</v>
      </c>
      <c r="BT52" s="9" t="s">
        <v>63</v>
      </c>
      <c r="BU52" s="9" t="s">
        <v>102</v>
      </c>
      <c r="BV52" s="9">
        <v>2020</v>
      </c>
      <c r="BW52" s="9" t="s">
        <v>61</v>
      </c>
      <c r="BY52" s="9">
        <v>4.08102020181698E+18</v>
      </c>
      <c r="BZ52" s="9" t="s">
        <v>195</v>
      </c>
      <c r="CA52" s="9" t="s">
        <v>59</v>
      </c>
    </row>
    <row r="53" spans="1:79" x14ac:dyDescent="0.2">
      <c r="A53" s="9" t="s">
        <v>111</v>
      </c>
      <c r="B53" s="9" t="s">
        <v>110</v>
      </c>
      <c r="C53" s="9">
        <v>2020</v>
      </c>
      <c r="D53" s="9" t="s">
        <v>191</v>
      </c>
      <c r="E53" s="9">
        <v>2.0200720925609101E+17</v>
      </c>
      <c r="F53" s="9" t="s">
        <v>84</v>
      </c>
      <c r="G53" s="9" t="s">
        <v>194</v>
      </c>
      <c r="H53" s="9">
        <v>1427110</v>
      </c>
      <c r="J53" s="9" t="s">
        <v>83</v>
      </c>
      <c r="K53" s="9" t="s">
        <v>82</v>
      </c>
      <c r="N53" s="9" t="s">
        <v>81</v>
      </c>
      <c r="O53" s="9" t="s">
        <v>108</v>
      </c>
      <c r="Q53" s="9" t="s">
        <v>80</v>
      </c>
      <c r="R53" s="9" t="s">
        <v>79</v>
      </c>
      <c r="T53" s="9" t="s">
        <v>78</v>
      </c>
      <c r="V53" s="9" t="s">
        <v>107</v>
      </c>
      <c r="X53" s="9" t="s">
        <v>76</v>
      </c>
      <c r="Y53" s="9" t="s">
        <v>75</v>
      </c>
      <c r="Z53" s="9">
        <v>39759</v>
      </c>
      <c r="AA53" s="9" t="s">
        <v>73</v>
      </c>
      <c r="AB53" s="9" t="s">
        <v>73</v>
      </c>
      <c r="AF53" s="9" t="s">
        <v>113</v>
      </c>
      <c r="AI53" s="9">
        <v>44012</v>
      </c>
      <c r="AJ53" s="9">
        <v>1.2</v>
      </c>
      <c r="AK53" s="9">
        <v>8.1999999999999993</v>
      </c>
      <c r="BK53" s="9" t="s">
        <v>69</v>
      </c>
      <c r="BL53" s="9" t="s">
        <v>68</v>
      </c>
      <c r="BM53" s="9" t="s">
        <v>67</v>
      </c>
      <c r="BN53" s="9">
        <v>44054.324905347225</v>
      </c>
      <c r="BR53" s="9" t="s">
        <v>64</v>
      </c>
      <c r="BS53" s="9">
        <v>4.0721202017922499E+18</v>
      </c>
      <c r="BT53" s="9" t="s">
        <v>63</v>
      </c>
      <c r="BU53" s="9" t="s">
        <v>112</v>
      </c>
      <c r="BV53" s="9">
        <v>2020</v>
      </c>
      <c r="BW53" s="9" t="s">
        <v>61</v>
      </c>
      <c r="BY53" s="9">
        <v>4.08102020181698E+18</v>
      </c>
      <c r="BZ53" s="9" t="s">
        <v>189</v>
      </c>
      <c r="CA53" s="9" t="s">
        <v>59</v>
      </c>
    </row>
    <row r="54" spans="1:79" x14ac:dyDescent="0.2">
      <c r="A54" s="9" t="s">
        <v>111</v>
      </c>
      <c r="B54" s="9" t="s">
        <v>110</v>
      </c>
      <c r="C54" s="9">
        <v>2020</v>
      </c>
      <c r="D54" s="9" t="s">
        <v>191</v>
      </c>
      <c r="E54" s="9">
        <v>2.0200720925609101E+17</v>
      </c>
      <c r="F54" s="9" t="s">
        <v>84</v>
      </c>
      <c r="G54" s="9" t="s">
        <v>193</v>
      </c>
      <c r="H54" s="9">
        <v>1427110</v>
      </c>
      <c r="J54" s="9" t="s">
        <v>83</v>
      </c>
      <c r="K54" s="9" t="s">
        <v>82</v>
      </c>
      <c r="N54" s="9" t="s">
        <v>81</v>
      </c>
      <c r="O54" s="9" t="s">
        <v>108</v>
      </c>
      <c r="Q54" s="9" t="s">
        <v>80</v>
      </c>
      <c r="R54" s="9" t="s">
        <v>79</v>
      </c>
      <c r="T54" s="9" t="s">
        <v>78</v>
      </c>
      <c r="V54" s="9" t="s">
        <v>107</v>
      </c>
      <c r="X54" s="9" t="s">
        <v>76</v>
      </c>
      <c r="Y54" s="9" t="s">
        <v>75</v>
      </c>
      <c r="Z54" s="9">
        <v>39759</v>
      </c>
      <c r="AA54" s="9" t="s">
        <v>73</v>
      </c>
      <c r="AB54" s="9" t="s">
        <v>73</v>
      </c>
      <c r="AF54" s="9" t="s">
        <v>113</v>
      </c>
      <c r="AI54" s="9">
        <v>43992</v>
      </c>
      <c r="AJ54" s="9">
        <v>1</v>
      </c>
      <c r="AK54" s="9">
        <v>8.1999999999999993</v>
      </c>
      <c r="BK54" s="9" t="s">
        <v>69</v>
      </c>
      <c r="BL54" s="9" t="s">
        <v>68</v>
      </c>
      <c r="BM54" s="9" t="s">
        <v>67</v>
      </c>
      <c r="BN54" s="9">
        <v>44054.327082997683</v>
      </c>
      <c r="BR54" s="9" t="s">
        <v>64</v>
      </c>
      <c r="BS54" s="9">
        <v>4.0721202017922499E+18</v>
      </c>
      <c r="BT54" s="9" t="s">
        <v>63</v>
      </c>
      <c r="BU54" s="9" t="s">
        <v>112</v>
      </c>
      <c r="BV54" s="9">
        <v>2020</v>
      </c>
      <c r="BW54" s="9" t="s">
        <v>61</v>
      </c>
      <c r="BY54" s="9">
        <v>4.08102020181698E+18</v>
      </c>
      <c r="BZ54" s="9" t="s">
        <v>192</v>
      </c>
      <c r="CA54" s="9" t="s">
        <v>59</v>
      </c>
    </row>
    <row r="55" spans="1:79" x14ac:dyDescent="0.2">
      <c r="A55" s="9" t="s">
        <v>111</v>
      </c>
      <c r="B55" s="9" t="s">
        <v>110</v>
      </c>
      <c r="C55" s="9">
        <v>2020</v>
      </c>
      <c r="D55" s="9" t="s">
        <v>191</v>
      </c>
      <c r="E55" s="9">
        <v>2.0200720925609101E+17</v>
      </c>
      <c r="F55" s="9" t="s">
        <v>84</v>
      </c>
      <c r="G55" s="9" t="s">
        <v>190</v>
      </c>
      <c r="H55" s="9">
        <v>1427110</v>
      </c>
      <c r="J55" s="9" t="s">
        <v>83</v>
      </c>
      <c r="K55" s="9" t="s">
        <v>82</v>
      </c>
      <c r="N55" s="9" t="s">
        <v>81</v>
      </c>
      <c r="O55" s="9" t="s">
        <v>108</v>
      </c>
      <c r="Q55" s="9" t="s">
        <v>80</v>
      </c>
      <c r="R55" s="9" t="s">
        <v>79</v>
      </c>
      <c r="T55" s="9" t="s">
        <v>78</v>
      </c>
      <c r="V55" s="9" t="s">
        <v>107</v>
      </c>
      <c r="X55" s="9" t="s">
        <v>76</v>
      </c>
      <c r="Y55" s="9" t="s">
        <v>75</v>
      </c>
      <c r="Z55" s="9">
        <v>39759</v>
      </c>
      <c r="AA55" s="9" t="s">
        <v>73</v>
      </c>
      <c r="AB55" s="9" t="s">
        <v>73</v>
      </c>
      <c r="AF55" s="9" t="s">
        <v>104</v>
      </c>
      <c r="AI55" s="9">
        <v>44012</v>
      </c>
      <c r="AJ55" s="9">
        <v>6</v>
      </c>
      <c r="AK55" s="9">
        <v>161</v>
      </c>
      <c r="BK55" s="9" t="s">
        <v>69</v>
      </c>
      <c r="BL55" s="9" t="s">
        <v>68</v>
      </c>
      <c r="BM55" s="9" t="s">
        <v>67</v>
      </c>
      <c r="BN55" s="9">
        <v>44054.342760833337</v>
      </c>
      <c r="BR55" s="9" t="s">
        <v>64</v>
      </c>
      <c r="BS55" s="9">
        <v>4.0721202017922499E+18</v>
      </c>
      <c r="BT55" s="9" t="s">
        <v>63</v>
      </c>
      <c r="BU55" s="9" t="s">
        <v>102</v>
      </c>
      <c r="BV55" s="9">
        <v>2020</v>
      </c>
      <c r="BW55" s="9" t="s">
        <v>61</v>
      </c>
      <c r="BY55" s="9">
        <v>4.08102020181698E+18</v>
      </c>
      <c r="BZ55" s="9" t="s">
        <v>189</v>
      </c>
      <c r="CA55" s="9" t="s">
        <v>59</v>
      </c>
    </row>
    <row r="56" spans="1:79" x14ac:dyDescent="0.2">
      <c r="A56" s="9" t="s">
        <v>111</v>
      </c>
      <c r="B56" s="9" t="s">
        <v>110</v>
      </c>
      <c r="C56" s="9">
        <v>2020</v>
      </c>
      <c r="D56" s="9" t="s">
        <v>185</v>
      </c>
      <c r="E56" s="9">
        <v>2.0200820926249798E+17</v>
      </c>
      <c r="F56" s="9" t="s">
        <v>84</v>
      </c>
      <c r="G56" s="9" t="s">
        <v>188</v>
      </c>
      <c r="H56" s="9">
        <v>1434463</v>
      </c>
      <c r="J56" s="9" t="s">
        <v>83</v>
      </c>
      <c r="K56" s="9" t="s">
        <v>82</v>
      </c>
      <c r="N56" s="9" t="s">
        <v>81</v>
      </c>
      <c r="O56" s="9" t="s">
        <v>108</v>
      </c>
      <c r="Q56" s="9" t="s">
        <v>80</v>
      </c>
      <c r="R56" s="9" t="s">
        <v>79</v>
      </c>
      <c r="T56" s="9" t="s">
        <v>78</v>
      </c>
      <c r="V56" s="9" t="s">
        <v>107</v>
      </c>
      <c r="X56" s="9" t="s">
        <v>76</v>
      </c>
      <c r="Y56" s="9" t="s">
        <v>75</v>
      </c>
      <c r="Z56" s="9">
        <v>39759</v>
      </c>
      <c r="AA56" s="9" t="s">
        <v>73</v>
      </c>
      <c r="AB56" s="9" t="s">
        <v>73</v>
      </c>
      <c r="AF56" s="9" t="s">
        <v>104</v>
      </c>
      <c r="AI56" s="9">
        <v>44024</v>
      </c>
      <c r="AJ56" s="9">
        <v>25</v>
      </c>
      <c r="AK56" s="9">
        <v>192</v>
      </c>
      <c r="BK56" s="9" t="s">
        <v>69</v>
      </c>
      <c r="BL56" s="9" t="s">
        <v>68</v>
      </c>
      <c r="BM56" s="9" t="s">
        <v>67</v>
      </c>
      <c r="BN56" s="9">
        <v>44090.28331003472</v>
      </c>
      <c r="BR56" s="9" t="s">
        <v>64</v>
      </c>
      <c r="BS56" s="9">
        <v>4.0822202018295301E+18</v>
      </c>
      <c r="BT56" s="9" t="s">
        <v>63</v>
      </c>
      <c r="BU56" s="9" t="s">
        <v>102</v>
      </c>
      <c r="BV56" s="9">
        <v>2020</v>
      </c>
      <c r="BW56" s="9" t="s">
        <v>61</v>
      </c>
      <c r="BY56" s="9">
        <v>4.09152020183955E+18</v>
      </c>
      <c r="BZ56" s="9" t="s">
        <v>186</v>
      </c>
      <c r="CA56" s="9" t="s">
        <v>59</v>
      </c>
    </row>
    <row r="57" spans="1:79" x14ac:dyDescent="0.2">
      <c r="A57" s="9" t="s">
        <v>111</v>
      </c>
      <c r="B57" s="9" t="s">
        <v>110</v>
      </c>
      <c r="C57" s="9">
        <v>2020</v>
      </c>
      <c r="D57" s="9" t="s">
        <v>185</v>
      </c>
      <c r="E57" s="9">
        <v>2.0200820926249798E+17</v>
      </c>
      <c r="F57" s="9" t="s">
        <v>84</v>
      </c>
      <c r="G57" s="9" t="s">
        <v>187</v>
      </c>
      <c r="H57" s="9">
        <v>1434463</v>
      </c>
      <c r="J57" s="9" t="s">
        <v>83</v>
      </c>
      <c r="K57" s="9" t="s">
        <v>82</v>
      </c>
      <c r="N57" s="9" t="s">
        <v>81</v>
      </c>
      <c r="O57" s="9" t="s">
        <v>108</v>
      </c>
      <c r="Q57" s="9" t="s">
        <v>80</v>
      </c>
      <c r="R57" s="9" t="s">
        <v>79</v>
      </c>
      <c r="T57" s="9" t="s">
        <v>78</v>
      </c>
      <c r="V57" s="9" t="s">
        <v>107</v>
      </c>
      <c r="X57" s="9" t="s">
        <v>76</v>
      </c>
      <c r="Y57" s="9" t="s">
        <v>75</v>
      </c>
      <c r="Z57" s="9">
        <v>39759</v>
      </c>
      <c r="AA57" s="9" t="s">
        <v>73</v>
      </c>
      <c r="AB57" s="9" t="s">
        <v>73</v>
      </c>
      <c r="AF57" s="9" t="s">
        <v>104</v>
      </c>
      <c r="AI57" s="9">
        <v>44042</v>
      </c>
      <c r="AJ57" s="9">
        <v>6</v>
      </c>
      <c r="AK57" s="9">
        <v>192</v>
      </c>
      <c r="BK57" s="9" t="s">
        <v>69</v>
      </c>
      <c r="BL57" s="9" t="s">
        <v>68</v>
      </c>
      <c r="BM57" s="9" t="s">
        <v>67</v>
      </c>
      <c r="BN57" s="9">
        <v>44090.28331003472</v>
      </c>
      <c r="BR57" s="9" t="s">
        <v>64</v>
      </c>
      <c r="BS57" s="9">
        <v>4.0822202018295301E+18</v>
      </c>
      <c r="BT57" s="9" t="s">
        <v>63</v>
      </c>
      <c r="BU57" s="9" t="s">
        <v>102</v>
      </c>
      <c r="BV57" s="9">
        <v>2020</v>
      </c>
      <c r="BW57" s="9" t="s">
        <v>61</v>
      </c>
      <c r="BY57" s="9">
        <v>4.09152020183955E+18</v>
      </c>
      <c r="BZ57" s="9" t="s">
        <v>186</v>
      </c>
      <c r="CA57" s="9" t="s">
        <v>59</v>
      </c>
    </row>
    <row r="58" spans="1:79" x14ac:dyDescent="0.2">
      <c r="A58" s="9" t="s">
        <v>111</v>
      </c>
      <c r="B58" s="9" t="s">
        <v>110</v>
      </c>
      <c r="C58" s="9">
        <v>2020</v>
      </c>
      <c r="D58" s="9" t="s">
        <v>185</v>
      </c>
      <c r="E58" s="9">
        <v>2.0200820926249798E+17</v>
      </c>
      <c r="F58" s="9" t="s">
        <v>84</v>
      </c>
      <c r="G58" s="9" t="s">
        <v>184</v>
      </c>
      <c r="H58" s="9">
        <v>1434463</v>
      </c>
      <c r="J58" s="9" t="s">
        <v>83</v>
      </c>
      <c r="K58" s="9" t="s">
        <v>82</v>
      </c>
      <c r="N58" s="9" t="s">
        <v>81</v>
      </c>
      <c r="O58" s="9" t="s">
        <v>108</v>
      </c>
      <c r="Q58" s="9" t="s">
        <v>80</v>
      </c>
      <c r="R58" s="9" t="s">
        <v>79</v>
      </c>
      <c r="T58" s="9" t="s">
        <v>78</v>
      </c>
      <c r="V58" s="9" t="s">
        <v>107</v>
      </c>
      <c r="X58" s="9" t="s">
        <v>76</v>
      </c>
      <c r="Y58" s="9" t="s">
        <v>75</v>
      </c>
      <c r="Z58" s="9">
        <v>39759</v>
      </c>
      <c r="AA58" s="9" t="s">
        <v>73</v>
      </c>
      <c r="AB58" s="9" t="s">
        <v>73</v>
      </c>
      <c r="AF58" s="9" t="s">
        <v>113</v>
      </c>
      <c r="AI58" s="9">
        <v>44042</v>
      </c>
      <c r="AJ58" s="9">
        <v>1.2</v>
      </c>
      <c r="AK58" s="9">
        <v>9.4</v>
      </c>
      <c r="BK58" s="9" t="s">
        <v>69</v>
      </c>
      <c r="BL58" s="9" t="s">
        <v>68</v>
      </c>
      <c r="BM58" s="9" t="s">
        <v>67</v>
      </c>
      <c r="BN58" s="9">
        <v>44090.28331003472</v>
      </c>
      <c r="BR58" s="9" t="s">
        <v>64</v>
      </c>
      <c r="BS58" s="9">
        <v>4.0822202018295301E+18</v>
      </c>
      <c r="BT58" s="9" t="s">
        <v>63</v>
      </c>
      <c r="BU58" s="9" t="s">
        <v>112</v>
      </c>
      <c r="BV58" s="9">
        <v>2020</v>
      </c>
      <c r="BW58" s="9" t="s">
        <v>61</v>
      </c>
      <c r="BY58" s="9">
        <v>4.09152020183955E+18</v>
      </c>
      <c r="BZ58" s="9" t="s">
        <v>183</v>
      </c>
      <c r="CA58" s="9" t="s">
        <v>59</v>
      </c>
    </row>
    <row r="59" spans="1:79" x14ac:dyDescent="0.2">
      <c r="A59" s="9" t="s">
        <v>176</v>
      </c>
      <c r="B59" s="9" t="s">
        <v>175</v>
      </c>
      <c r="C59" s="9">
        <v>2020</v>
      </c>
      <c r="E59" s="9">
        <v>2.0201021932593699E+17</v>
      </c>
      <c r="F59" s="9" t="s">
        <v>174</v>
      </c>
      <c r="G59" s="9">
        <v>13250787</v>
      </c>
      <c r="H59" s="9">
        <v>1458940</v>
      </c>
      <c r="J59" s="9" t="s">
        <v>83</v>
      </c>
      <c r="K59" s="9" t="s">
        <v>82</v>
      </c>
      <c r="L59" s="9" t="s">
        <v>111</v>
      </c>
      <c r="N59" s="9" t="s">
        <v>81</v>
      </c>
      <c r="O59" s="9" t="s">
        <v>20</v>
      </c>
      <c r="Q59" s="9" t="s">
        <v>20</v>
      </c>
      <c r="R59" s="9" t="s">
        <v>79</v>
      </c>
      <c r="T59" s="9" t="s">
        <v>78</v>
      </c>
      <c r="V59" s="9" t="s">
        <v>182</v>
      </c>
      <c r="W59" s="9" t="s">
        <v>181</v>
      </c>
      <c r="X59" s="9" t="s">
        <v>180</v>
      </c>
      <c r="Y59" s="9" t="s">
        <v>32</v>
      </c>
      <c r="Z59" s="9">
        <v>950513343</v>
      </c>
      <c r="AA59" s="9" t="s">
        <v>179</v>
      </c>
      <c r="AB59" s="9" t="s">
        <v>130</v>
      </c>
      <c r="AC59" s="9" t="s">
        <v>111</v>
      </c>
      <c r="AD59" s="9" t="s">
        <v>72</v>
      </c>
      <c r="AE59" s="9" t="s">
        <v>71</v>
      </c>
      <c r="AI59" s="9">
        <v>44076</v>
      </c>
      <c r="AJ59" s="9">
        <v>2800</v>
      </c>
      <c r="AK59" s="9">
        <v>2800</v>
      </c>
      <c r="BG59" s="9" t="s">
        <v>166</v>
      </c>
      <c r="BI59" s="9" t="s">
        <v>165</v>
      </c>
      <c r="BJ59" s="9">
        <v>2020</v>
      </c>
      <c r="BK59" s="9" t="s">
        <v>69</v>
      </c>
      <c r="BL59" s="9" t="s">
        <v>68</v>
      </c>
      <c r="BM59" s="9" t="s">
        <v>67</v>
      </c>
      <c r="BN59" s="9">
        <v>44140.241320925925</v>
      </c>
      <c r="BP59" s="9" t="s">
        <v>178</v>
      </c>
      <c r="BQ59" s="9" t="s">
        <v>163</v>
      </c>
      <c r="BR59" s="9" t="s">
        <v>162</v>
      </c>
      <c r="BS59" s="9">
        <v>4.1022202018826598E+18</v>
      </c>
      <c r="BT59" s="9" t="s">
        <v>63</v>
      </c>
      <c r="BU59" s="9" t="s">
        <v>125</v>
      </c>
      <c r="BV59" s="9">
        <v>2020</v>
      </c>
      <c r="BW59" s="9" t="s">
        <v>61</v>
      </c>
      <c r="BY59" s="9">
        <v>4.1023202018829599E+18</v>
      </c>
      <c r="BZ59" s="9" t="s">
        <v>177</v>
      </c>
      <c r="CA59" s="9" t="s">
        <v>59</v>
      </c>
    </row>
    <row r="60" spans="1:79" x14ac:dyDescent="0.2">
      <c r="A60" s="9" t="s">
        <v>176</v>
      </c>
      <c r="B60" s="9" t="s">
        <v>175</v>
      </c>
      <c r="C60" s="9">
        <v>2020</v>
      </c>
      <c r="E60" s="9">
        <v>2.0201021932626499E+17</v>
      </c>
      <c r="F60" s="9" t="s">
        <v>174</v>
      </c>
      <c r="G60" s="9">
        <v>16398988</v>
      </c>
      <c r="H60" s="9">
        <v>1458940</v>
      </c>
      <c r="J60" s="9" t="s">
        <v>83</v>
      </c>
      <c r="K60" s="9" t="s">
        <v>82</v>
      </c>
      <c r="L60" s="9" t="s">
        <v>111</v>
      </c>
      <c r="N60" s="9" t="s">
        <v>173</v>
      </c>
      <c r="O60" s="9" t="s">
        <v>20</v>
      </c>
      <c r="Q60" s="9" t="s">
        <v>20</v>
      </c>
      <c r="R60" s="9" t="s">
        <v>172</v>
      </c>
      <c r="T60" s="9" t="s">
        <v>78</v>
      </c>
      <c r="V60" s="9" t="s">
        <v>171</v>
      </c>
      <c r="X60" s="9" t="s">
        <v>170</v>
      </c>
      <c r="Y60" s="9" t="s">
        <v>169</v>
      </c>
      <c r="Z60" s="9">
        <v>370300318</v>
      </c>
      <c r="AA60" s="9" t="s">
        <v>168</v>
      </c>
      <c r="AB60" s="9" t="s">
        <v>167</v>
      </c>
      <c r="AC60" s="9" t="s">
        <v>111</v>
      </c>
      <c r="AD60" s="9" t="s">
        <v>72</v>
      </c>
      <c r="AE60" s="9" t="s">
        <v>71</v>
      </c>
      <c r="AI60" s="9">
        <v>44096</v>
      </c>
      <c r="AJ60" s="9">
        <v>2800</v>
      </c>
      <c r="AK60" s="9">
        <v>2800</v>
      </c>
      <c r="BG60" s="9" t="s">
        <v>166</v>
      </c>
      <c r="BI60" s="9" t="s">
        <v>165</v>
      </c>
      <c r="BJ60" s="9">
        <v>2020</v>
      </c>
      <c r="BK60" s="9" t="s">
        <v>69</v>
      </c>
      <c r="BL60" s="9" t="s">
        <v>68</v>
      </c>
      <c r="BM60" s="9" t="s">
        <v>67</v>
      </c>
      <c r="BN60" s="9">
        <v>44140.244816203704</v>
      </c>
      <c r="BP60" s="9" t="s">
        <v>164</v>
      </c>
      <c r="BQ60" s="9" t="s">
        <v>163</v>
      </c>
      <c r="BR60" s="9" t="s">
        <v>162</v>
      </c>
      <c r="BS60" s="9">
        <v>4.1022202018826598E+18</v>
      </c>
      <c r="BT60" s="9" t="s">
        <v>63</v>
      </c>
      <c r="BU60" s="9" t="s">
        <v>125</v>
      </c>
      <c r="BV60" s="9">
        <v>2020</v>
      </c>
      <c r="BW60" s="9" t="s">
        <v>61</v>
      </c>
      <c r="BY60" s="9">
        <v>4.10232020188399E+18</v>
      </c>
      <c r="BZ60" s="9" t="s">
        <v>161</v>
      </c>
      <c r="CA60" s="9" t="s">
        <v>59</v>
      </c>
    </row>
    <row r="61" spans="1:79" x14ac:dyDescent="0.2">
      <c r="A61" s="9" t="s">
        <v>111</v>
      </c>
      <c r="B61" s="9" t="s">
        <v>110</v>
      </c>
      <c r="C61" s="9">
        <v>2020</v>
      </c>
      <c r="D61" s="9" t="s">
        <v>160</v>
      </c>
      <c r="E61" s="9">
        <v>2.0201217938841699E+17</v>
      </c>
      <c r="F61" s="9" t="s">
        <v>84</v>
      </c>
      <c r="G61" s="9" t="s">
        <v>159</v>
      </c>
      <c r="H61" s="9">
        <v>1483193</v>
      </c>
      <c r="J61" s="9" t="s">
        <v>83</v>
      </c>
      <c r="K61" s="9" t="s">
        <v>82</v>
      </c>
      <c r="L61" s="9" t="s">
        <v>87</v>
      </c>
      <c r="N61" s="9" t="s">
        <v>81</v>
      </c>
      <c r="O61" s="9" t="s">
        <v>108</v>
      </c>
      <c r="Q61" s="9" t="s">
        <v>80</v>
      </c>
      <c r="R61" s="9" t="s">
        <v>79</v>
      </c>
      <c r="T61" s="9" t="s">
        <v>78</v>
      </c>
      <c r="V61" s="9" t="s">
        <v>107</v>
      </c>
      <c r="X61" s="9" t="s">
        <v>76</v>
      </c>
      <c r="Y61" s="9" t="s">
        <v>75</v>
      </c>
      <c r="Z61" s="9">
        <v>39759</v>
      </c>
      <c r="AA61" s="9" t="s">
        <v>73</v>
      </c>
      <c r="AB61" s="9" t="s">
        <v>73</v>
      </c>
      <c r="AC61" s="9" t="s">
        <v>87</v>
      </c>
      <c r="AD61" s="9" t="s">
        <v>106</v>
      </c>
      <c r="AE61" s="9" t="s">
        <v>105</v>
      </c>
      <c r="AF61" s="9" t="s">
        <v>104</v>
      </c>
      <c r="AI61" s="9">
        <v>44116</v>
      </c>
      <c r="AJ61" s="9">
        <v>25</v>
      </c>
      <c r="AK61" s="9">
        <v>279</v>
      </c>
      <c r="BF61" s="9" t="s">
        <v>103</v>
      </c>
      <c r="BK61" s="9" t="s">
        <v>69</v>
      </c>
      <c r="BL61" s="9" t="s">
        <v>68</v>
      </c>
      <c r="BM61" s="9" t="s">
        <v>67</v>
      </c>
      <c r="BN61" s="9">
        <v>44231.431779293984</v>
      </c>
      <c r="BR61" s="9" t="s">
        <v>64</v>
      </c>
      <c r="BS61" s="9">
        <v>4.1219202019782098E+18</v>
      </c>
      <c r="BT61" s="9" t="s">
        <v>63</v>
      </c>
      <c r="BU61" s="9" t="s">
        <v>102</v>
      </c>
      <c r="BV61" s="9">
        <v>2020</v>
      </c>
      <c r="BW61" s="9" t="s">
        <v>61</v>
      </c>
      <c r="BY61" s="9">
        <v>4.02032021201474E+18</v>
      </c>
      <c r="BZ61" s="9" t="s">
        <v>158</v>
      </c>
      <c r="CA61" s="9" t="s">
        <v>59</v>
      </c>
    </row>
    <row r="62" spans="1:79" x14ac:dyDescent="0.2">
      <c r="A62" s="9" t="s">
        <v>157</v>
      </c>
      <c r="B62" s="9" t="s">
        <v>156</v>
      </c>
      <c r="C62" s="9">
        <v>2020</v>
      </c>
      <c r="D62" s="9" t="s">
        <v>155</v>
      </c>
      <c r="E62" s="9">
        <v>2.0210602944861501E+17</v>
      </c>
      <c r="F62" s="9" t="s">
        <v>84</v>
      </c>
      <c r="G62" s="9">
        <v>5334416</v>
      </c>
      <c r="H62" s="9">
        <v>1518550</v>
      </c>
      <c r="J62" s="9" t="s">
        <v>83</v>
      </c>
      <c r="K62" s="9" t="s">
        <v>82</v>
      </c>
      <c r="N62" s="9" t="s">
        <v>81</v>
      </c>
      <c r="O62" s="9" t="s">
        <v>134</v>
      </c>
      <c r="Q62" s="9" t="s">
        <v>20</v>
      </c>
      <c r="R62" s="9" t="s">
        <v>79</v>
      </c>
      <c r="T62" s="9" t="s">
        <v>78</v>
      </c>
      <c r="V62" s="9" t="s">
        <v>133</v>
      </c>
      <c r="X62" s="9" t="s">
        <v>132</v>
      </c>
      <c r="Y62" s="9" t="s">
        <v>32</v>
      </c>
      <c r="Z62" s="9">
        <v>943042315</v>
      </c>
      <c r="AA62" s="9" t="s">
        <v>131</v>
      </c>
      <c r="AB62" s="9" t="s">
        <v>154</v>
      </c>
      <c r="AD62" s="9" t="s">
        <v>72</v>
      </c>
      <c r="AE62" s="9" t="s">
        <v>71</v>
      </c>
      <c r="AI62" s="9">
        <v>44174</v>
      </c>
      <c r="AJ62" s="9">
        <v>2800</v>
      </c>
      <c r="AK62" s="9">
        <v>2800</v>
      </c>
      <c r="BG62" s="9" t="s">
        <v>129</v>
      </c>
      <c r="BH62" s="9" t="s">
        <v>153</v>
      </c>
      <c r="BJ62" s="9">
        <v>2020</v>
      </c>
      <c r="BK62" s="9" t="s">
        <v>69</v>
      </c>
      <c r="BL62" s="9" t="s">
        <v>68</v>
      </c>
      <c r="BM62" s="9" t="s">
        <v>67</v>
      </c>
      <c r="BN62" s="9">
        <v>44358.156921759262</v>
      </c>
      <c r="BP62" s="9" t="s">
        <v>152</v>
      </c>
      <c r="BQ62" s="9" t="s">
        <v>65</v>
      </c>
      <c r="BR62" s="9" t="s">
        <v>126</v>
      </c>
      <c r="BS62" s="9">
        <v>4.0604202112998001E+18</v>
      </c>
      <c r="BT62" s="9" t="s">
        <v>63</v>
      </c>
      <c r="BU62" s="9" t="s">
        <v>125</v>
      </c>
      <c r="BV62" s="9">
        <v>2020</v>
      </c>
      <c r="BW62" s="9" t="s">
        <v>61</v>
      </c>
      <c r="BY62" s="9">
        <v>4.0611202113066701E+18</v>
      </c>
      <c r="BZ62" s="9" t="s">
        <v>151</v>
      </c>
      <c r="CA62" s="9" t="s">
        <v>59</v>
      </c>
    </row>
    <row r="63" spans="1:79" x14ac:dyDescent="0.2">
      <c r="A63" s="9" t="s">
        <v>111</v>
      </c>
      <c r="B63" s="9" t="s">
        <v>110</v>
      </c>
      <c r="C63" s="9">
        <v>2020</v>
      </c>
      <c r="D63" s="9" t="s">
        <v>92</v>
      </c>
      <c r="E63" s="9">
        <v>2.0201204935463002E+17</v>
      </c>
      <c r="F63" s="9" t="s">
        <v>84</v>
      </c>
      <c r="G63" s="9" t="s">
        <v>150</v>
      </c>
      <c r="H63" s="9">
        <v>1481637</v>
      </c>
      <c r="J63" s="9" t="s">
        <v>83</v>
      </c>
      <c r="K63" s="9" t="s">
        <v>82</v>
      </c>
      <c r="L63" s="9" t="s">
        <v>87</v>
      </c>
      <c r="N63" s="9" t="s">
        <v>81</v>
      </c>
      <c r="O63" s="9" t="s">
        <v>108</v>
      </c>
      <c r="Q63" s="9" t="s">
        <v>80</v>
      </c>
      <c r="R63" s="9" t="s">
        <v>79</v>
      </c>
      <c r="T63" s="9" t="s">
        <v>78</v>
      </c>
      <c r="V63" s="9" t="s">
        <v>107</v>
      </c>
      <c r="X63" s="9" t="s">
        <v>76</v>
      </c>
      <c r="Y63" s="9" t="s">
        <v>75</v>
      </c>
      <c r="Z63" s="9">
        <v>39759</v>
      </c>
      <c r="AA63" s="9" t="s">
        <v>73</v>
      </c>
      <c r="AB63" s="9" t="s">
        <v>73</v>
      </c>
      <c r="AC63" s="9" t="s">
        <v>87</v>
      </c>
      <c r="AD63" s="9" t="s">
        <v>106</v>
      </c>
      <c r="AE63" s="9" t="s">
        <v>105</v>
      </c>
      <c r="AF63" s="9" t="s">
        <v>104</v>
      </c>
      <c r="AI63" s="9">
        <v>44147</v>
      </c>
      <c r="AJ63" s="9">
        <v>25</v>
      </c>
      <c r="AK63" s="9">
        <v>310</v>
      </c>
      <c r="BF63" s="9" t="s">
        <v>103</v>
      </c>
      <c r="BK63" s="9" t="s">
        <v>69</v>
      </c>
      <c r="BL63" s="9" t="s">
        <v>68</v>
      </c>
      <c r="BM63" s="9" t="s">
        <v>67</v>
      </c>
      <c r="BN63" s="9">
        <v>44201.614049074073</v>
      </c>
      <c r="BR63" s="9" t="s">
        <v>64</v>
      </c>
      <c r="BS63" s="9">
        <v>4.1205202019644498E+18</v>
      </c>
      <c r="BT63" s="9" t="s">
        <v>63</v>
      </c>
      <c r="BU63" s="9" t="s">
        <v>102</v>
      </c>
      <c r="BV63" s="9">
        <v>2020</v>
      </c>
      <c r="BW63" s="9" t="s">
        <v>61</v>
      </c>
      <c r="BY63" s="9">
        <v>4.0104202120090501E+18</v>
      </c>
      <c r="BZ63" s="9" t="s">
        <v>149</v>
      </c>
      <c r="CA63" s="9" t="s">
        <v>59</v>
      </c>
    </row>
    <row r="64" spans="1:79" x14ac:dyDescent="0.2">
      <c r="A64" s="9" t="s">
        <v>111</v>
      </c>
      <c r="B64" s="9" t="s">
        <v>110</v>
      </c>
      <c r="C64" s="9">
        <v>2020</v>
      </c>
      <c r="D64" s="9" t="s">
        <v>92</v>
      </c>
      <c r="E64" s="9">
        <v>2.0201204935463002E+17</v>
      </c>
      <c r="F64" s="9" t="s">
        <v>84</v>
      </c>
      <c r="G64" s="9" t="s">
        <v>148</v>
      </c>
      <c r="H64" s="9">
        <v>1481637</v>
      </c>
      <c r="J64" s="9" t="s">
        <v>83</v>
      </c>
      <c r="K64" s="9" t="s">
        <v>82</v>
      </c>
      <c r="N64" s="9" t="s">
        <v>81</v>
      </c>
      <c r="O64" s="9" t="s">
        <v>108</v>
      </c>
      <c r="Q64" s="9" t="s">
        <v>80</v>
      </c>
      <c r="R64" s="9" t="s">
        <v>79</v>
      </c>
      <c r="T64" s="9" t="s">
        <v>78</v>
      </c>
      <c r="V64" s="9" t="s">
        <v>107</v>
      </c>
      <c r="X64" s="9" t="s">
        <v>76</v>
      </c>
      <c r="Y64" s="9" t="s">
        <v>75</v>
      </c>
      <c r="Z64" s="9">
        <v>39759</v>
      </c>
      <c r="AA64" s="9" t="s">
        <v>73</v>
      </c>
      <c r="AB64" s="9" t="s">
        <v>73</v>
      </c>
      <c r="AF64" s="9" t="s">
        <v>113</v>
      </c>
      <c r="AI64" s="9">
        <v>44134</v>
      </c>
      <c r="AJ64" s="9">
        <v>1.2</v>
      </c>
      <c r="AK64" s="9">
        <v>13</v>
      </c>
      <c r="BF64" s="9" t="s">
        <v>103</v>
      </c>
      <c r="BK64" s="9" t="s">
        <v>69</v>
      </c>
      <c r="BL64" s="9" t="s">
        <v>68</v>
      </c>
      <c r="BM64" s="9" t="s">
        <v>67</v>
      </c>
      <c r="BN64" s="9">
        <v>44201.629348506947</v>
      </c>
      <c r="BR64" s="9" t="s">
        <v>64</v>
      </c>
      <c r="BS64" s="9">
        <v>4.1205202019644498E+18</v>
      </c>
      <c r="BT64" s="9" t="s">
        <v>63</v>
      </c>
      <c r="BU64" s="9" t="s">
        <v>112</v>
      </c>
      <c r="BV64" s="9">
        <v>2020</v>
      </c>
      <c r="BW64" s="9" t="s">
        <v>61</v>
      </c>
      <c r="BY64" s="9">
        <v>4.0104202120012698E+18</v>
      </c>
      <c r="BZ64" s="9" t="s">
        <v>147</v>
      </c>
      <c r="CA64" s="9" t="s">
        <v>59</v>
      </c>
    </row>
    <row r="65" spans="1:79" x14ac:dyDescent="0.2">
      <c r="A65" s="9" t="s">
        <v>111</v>
      </c>
      <c r="B65" s="9" t="s">
        <v>110</v>
      </c>
      <c r="C65" s="9">
        <v>2020</v>
      </c>
      <c r="D65" s="9" t="s">
        <v>92</v>
      </c>
      <c r="E65" s="9">
        <v>2.0201204935463002E+17</v>
      </c>
      <c r="F65" s="9" t="s">
        <v>84</v>
      </c>
      <c r="G65" s="9" t="s">
        <v>146</v>
      </c>
      <c r="H65" s="9">
        <v>1481637</v>
      </c>
      <c r="J65" s="9" t="s">
        <v>83</v>
      </c>
      <c r="K65" s="9" t="s">
        <v>82</v>
      </c>
      <c r="L65" s="9" t="s">
        <v>87</v>
      </c>
      <c r="N65" s="9" t="s">
        <v>81</v>
      </c>
      <c r="O65" s="9" t="s">
        <v>108</v>
      </c>
      <c r="Q65" s="9" t="s">
        <v>80</v>
      </c>
      <c r="R65" s="9" t="s">
        <v>79</v>
      </c>
      <c r="T65" s="9" t="s">
        <v>78</v>
      </c>
      <c r="V65" s="9" t="s">
        <v>107</v>
      </c>
      <c r="X65" s="9" t="s">
        <v>76</v>
      </c>
      <c r="Y65" s="9" t="s">
        <v>75</v>
      </c>
      <c r="Z65" s="9">
        <v>39759</v>
      </c>
      <c r="AA65" s="9" t="s">
        <v>73</v>
      </c>
      <c r="AB65" s="9" t="s">
        <v>73</v>
      </c>
      <c r="AC65" s="9" t="s">
        <v>87</v>
      </c>
      <c r="AD65" s="9" t="s">
        <v>106</v>
      </c>
      <c r="AE65" s="9" t="s">
        <v>105</v>
      </c>
      <c r="AF65" s="9" t="s">
        <v>104</v>
      </c>
      <c r="AI65" s="9">
        <v>44134</v>
      </c>
      <c r="AJ65" s="9">
        <v>6</v>
      </c>
      <c r="AK65" s="9">
        <v>310</v>
      </c>
      <c r="BF65" s="9" t="s">
        <v>103</v>
      </c>
      <c r="BK65" s="9" t="s">
        <v>69</v>
      </c>
      <c r="BL65" s="9" t="s">
        <v>68</v>
      </c>
      <c r="BM65" s="9" t="s">
        <v>67</v>
      </c>
      <c r="BN65" s="9">
        <v>44201.629348506947</v>
      </c>
      <c r="BR65" s="9" t="s">
        <v>64</v>
      </c>
      <c r="BS65" s="9">
        <v>4.1205202019644498E+18</v>
      </c>
      <c r="BT65" s="9" t="s">
        <v>63</v>
      </c>
      <c r="BU65" s="9" t="s">
        <v>102</v>
      </c>
      <c r="BV65" s="9">
        <v>2020</v>
      </c>
      <c r="BW65" s="9" t="s">
        <v>61</v>
      </c>
      <c r="BY65" s="9">
        <v>4.0104202120012698E+18</v>
      </c>
      <c r="BZ65" s="9" t="s">
        <v>145</v>
      </c>
      <c r="CA65" s="9" t="s">
        <v>59</v>
      </c>
    </row>
    <row r="66" spans="1:79" x14ac:dyDescent="0.2">
      <c r="A66" s="9" t="s">
        <v>111</v>
      </c>
      <c r="B66" s="9" t="s">
        <v>110</v>
      </c>
      <c r="C66" s="9">
        <v>2020</v>
      </c>
      <c r="D66" s="9" t="s">
        <v>140</v>
      </c>
      <c r="E66" s="9">
        <v>2.0201214937670099E+17</v>
      </c>
      <c r="F66" s="9" t="s">
        <v>84</v>
      </c>
      <c r="G66" s="9" t="s">
        <v>144</v>
      </c>
      <c r="H66" s="9">
        <v>1482832</v>
      </c>
      <c r="J66" s="9" t="s">
        <v>83</v>
      </c>
      <c r="K66" s="9" t="s">
        <v>82</v>
      </c>
      <c r="N66" s="9" t="s">
        <v>81</v>
      </c>
      <c r="O66" s="9" t="s">
        <v>108</v>
      </c>
      <c r="Q66" s="9" t="s">
        <v>80</v>
      </c>
      <c r="R66" s="9" t="s">
        <v>79</v>
      </c>
      <c r="T66" s="9" t="s">
        <v>78</v>
      </c>
      <c r="V66" s="9" t="s">
        <v>133</v>
      </c>
      <c r="X66" s="9" t="s">
        <v>132</v>
      </c>
      <c r="Y66" s="9" t="s">
        <v>32</v>
      </c>
      <c r="Z66" s="9">
        <v>94304</v>
      </c>
      <c r="AA66" s="9" t="s">
        <v>73</v>
      </c>
      <c r="AB66" s="9" t="s">
        <v>73</v>
      </c>
      <c r="AF66" s="9" t="s">
        <v>104</v>
      </c>
      <c r="AI66" s="9">
        <v>44099</v>
      </c>
      <c r="AJ66" s="9">
        <v>100</v>
      </c>
      <c r="AK66" s="9">
        <v>100</v>
      </c>
      <c r="BF66" s="9" t="s">
        <v>103</v>
      </c>
      <c r="BK66" s="9" t="s">
        <v>69</v>
      </c>
      <c r="BL66" s="9" t="s">
        <v>68</v>
      </c>
      <c r="BM66" s="9" t="s">
        <v>67</v>
      </c>
      <c r="BN66" s="9">
        <v>44218.713958645836</v>
      </c>
      <c r="BR66" s="9" t="s">
        <v>64</v>
      </c>
      <c r="BS66" s="9">
        <v>4.1216202019742802E+18</v>
      </c>
      <c r="BT66" s="9" t="s">
        <v>63</v>
      </c>
      <c r="BU66" s="9" t="s">
        <v>143</v>
      </c>
      <c r="BV66" s="9">
        <v>2020</v>
      </c>
      <c r="BW66" s="9" t="s">
        <v>61</v>
      </c>
      <c r="BY66" s="9">
        <v>4.0121202121260498E+18</v>
      </c>
      <c r="BZ66" s="9" t="s">
        <v>142</v>
      </c>
      <c r="CA66" s="9" t="s">
        <v>59</v>
      </c>
    </row>
    <row r="67" spans="1:79" x14ac:dyDescent="0.2">
      <c r="A67" s="9" t="s">
        <v>111</v>
      </c>
      <c r="B67" s="9" t="s">
        <v>110</v>
      </c>
      <c r="C67" s="9">
        <v>2020</v>
      </c>
      <c r="D67" s="9" t="s">
        <v>140</v>
      </c>
      <c r="E67" s="9">
        <v>2.0201214937670099E+17</v>
      </c>
      <c r="F67" s="9" t="s">
        <v>84</v>
      </c>
      <c r="G67" s="9" t="s">
        <v>141</v>
      </c>
      <c r="H67" s="9">
        <v>1482832</v>
      </c>
      <c r="J67" s="9" t="s">
        <v>83</v>
      </c>
      <c r="K67" s="9" t="s">
        <v>82</v>
      </c>
      <c r="N67" s="9" t="s">
        <v>81</v>
      </c>
      <c r="O67" s="9" t="s">
        <v>108</v>
      </c>
      <c r="Q67" s="9" t="s">
        <v>80</v>
      </c>
      <c r="R67" s="9" t="s">
        <v>79</v>
      </c>
      <c r="T67" s="9" t="s">
        <v>78</v>
      </c>
      <c r="V67" s="9" t="s">
        <v>107</v>
      </c>
      <c r="X67" s="9" t="s">
        <v>76</v>
      </c>
      <c r="Y67" s="9" t="s">
        <v>75</v>
      </c>
      <c r="Z67" s="9">
        <v>39759</v>
      </c>
      <c r="AA67" s="9" t="s">
        <v>73</v>
      </c>
      <c r="AB67" s="9" t="s">
        <v>73</v>
      </c>
      <c r="AF67" s="9" t="s">
        <v>113</v>
      </c>
      <c r="AI67" s="9">
        <v>44104</v>
      </c>
      <c r="AJ67" s="9">
        <v>1.2</v>
      </c>
      <c r="AK67" s="9">
        <v>11.8</v>
      </c>
      <c r="BF67" s="9" t="s">
        <v>103</v>
      </c>
      <c r="BK67" s="9" t="s">
        <v>69</v>
      </c>
      <c r="BL67" s="9" t="s">
        <v>68</v>
      </c>
      <c r="BM67" s="9" t="s">
        <v>67</v>
      </c>
      <c r="BN67" s="9">
        <v>44218.737108923611</v>
      </c>
      <c r="BR67" s="9" t="s">
        <v>64</v>
      </c>
      <c r="BS67" s="9">
        <v>4.1216202019742802E+18</v>
      </c>
      <c r="BT67" s="9" t="s">
        <v>63</v>
      </c>
      <c r="BU67" s="9" t="s">
        <v>112</v>
      </c>
      <c r="BV67" s="9">
        <v>2020</v>
      </c>
      <c r="BW67" s="9" t="s">
        <v>61</v>
      </c>
      <c r="BY67" s="9">
        <v>4.0121202121328102E+18</v>
      </c>
      <c r="BZ67" s="9" t="s">
        <v>138</v>
      </c>
      <c r="CA67" s="9" t="s">
        <v>59</v>
      </c>
    </row>
    <row r="68" spans="1:79" x14ac:dyDescent="0.2">
      <c r="A68" s="9" t="s">
        <v>111</v>
      </c>
      <c r="B68" s="9" t="s">
        <v>110</v>
      </c>
      <c r="C68" s="9">
        <v>2020</v>
      </c>
      <c r="D68" s="9" t="s">
        <v>140</v>
      </c>
      <c r="E68" s="9">
        <v>2.0201214937670099E+17</v>
      </c>
      <c r="F68" s="9" t="s">
        <v>84</v>
      </c>
      <c r="G68" s="9" t="s">
        <v>139</v>
      </c>
      <c r="H68" s="9">
        <v>1482832</v>
      </c>
      <c r="J68" s="9" t="s">
        <v>83</v>
      </c>
      <c r="K68" s="9" t="s">
        <v>82</v>
      </c>
      <c r="L68" s="9" t="s">
        <v>87</v>
      </c>
      <c r="N68" s="9" t="s">
        <v>81</v>
      </c>
      <c r="O68" s="9" t="s">
        <v>108</v>
      </c>
      <c r="Q68" s="9" t="s">
        <v>80</v>
      </c>
      <c r="R68" s="9" t="s">
        <v>79</v>
      </c>
      <c r="T68" s="9" t="s">
        <v>78</v>
      </c>
      <c r="V68" s="9" t="s">
        <v>107</v>
      </c>
      <c r="X68" s="9" t="s">
        <v>76</v>
      </c>
      <c r="Y68" s="9" t="s">
        <v>75</v>
      </c>
      <c r="Z68" s="9">
        <v>39759</v>
      </c>
      <c r="AA68" s="9" t="s">
        <v>73</v>
      </c>
      <c r="AB68" s="9" t="s">
        <v>73</v>
      </c>
      <c r="AC68" s="9" t="s">
        <v>87</v>
      </c>
      <c r="AD68" s="9" t="s">
        <v>106</v>
      </c>
      <c r="AE68" s="9" t="s">
        <v>105</v>
      </c>
      <c r="AF68" s="9" t="s">
        <v>104</v>
      </c>
      <c r="AI68" s="9">
        <v>44104</v>
      </c>
      <c r="AJ68" s="9">
        <v>6</v>
      </c>
      <c r="AK68" s="9">
        <v>254</v>
      </c>
      <c r="BF68" s="9" t="s">
        <v>103</v>
      </c>
      <c r="BK68" s="9" t="s">
        <v>69</v>
      </c>
      <c r="BL68" s="9" t="s">
        <v>68</v>
      </c>
      <c r="BM68" s="9" t="s">
        <v>67</v>
      </c>
      <c r="BN68" s="9">
        <v>44218.737108923611</v>
      </c>
      <c r="BR68" s="9" t="s">
        <v>64</v>
      </c>
      <c r="BS68" s="9">
        <v>4.1216202019742802E+18</v>
      </c>
      <c r="BT68" s="9" t="s">
        <v>63</v>
      </c>
      <c r="BU68" s="9" t="s">
        <v>102</v>
      </c>
      <c r="BV68" s="9">
        <v>2020</v>
      </c>
      <c r="BW68" s="9" t="s">
        <v>61</v>
      </c>
      <c r="BY68" s="9">
        <v>4.0121202121328102E+18</v>
      </c>
      <c r="BZ68" s="9" t="s">
        <v>138</v>
      </c>
      <c r="CA68" s="9" t="s">
        <v>59</v>
      </c>
    </row>
    <row r="69" spans="1:79" x14ac:dyDescent="0.2">
      <c r="A69" s="9" t="s">
        <v>137</v>
      </c>
      <c r="B69" s="9" t="s">
        <v>136</v>
      </c>
      <c r="C69" s="9">
        <v>2020</v>
      </c>
      <c r="D69" s="9" t="s">
        <v>135</v>
      </c>
      <c r="E69" s="9">
        <v>2.0201224939416899E+17</v>
      </c>
      <c r="F69" s="9" t="s">
        <v>84</v>
      </c>
      <c r="G69" s="9">
        <v>11240974</v>
      </c>
      <c r="H69" s="9">
        <v>1484293</v>
      </c>
      <c r="J69" s="9" t="s">
        <v>83</v>
      </c>
      <c r="K69" s="9" t="s">
        <v>82</v>
      </c>
      <c r="L69" s="9" t="s">
        <v>111</v>
      </c>
      <c r="N69" s="9" t="s">
        <v>81</v>
      </c>
      <c r="O69" s="9" t="s">
        <v>134</v>
      </c>
      <c r="Q69" s="9" t="s">
        <v>20</v>
      </c>
      <c r="R69" s="9" t="s">
        <v>79</v>
      </c>
      <c r="T69" s="9" t="s">
        <v>78</v>
      </c>
      <c r="V69" s="9" t="s">
        <v>133</v>
      </c>
      <c r="X69" s="9" t="s">
        <v>132</v>
      </c>
      <c r="Y69" s="9" t="s">
        <v>32</v>
      </c>
      <c r="Z69" s="9">
        <v>943042315</v>
      </c>
      <c r="AA69" s="9" t="s">
        <v>131</v>
      </c>
      <c r="AB69" s="9" t="s">
        <v>130</v>
      </c>
      <c r="AC69" s="9" t="s">
        <v>111</v>
      </c>
      <c r="AD69" s="9" t="s">
        <v>72</v>
      </c>
      <c r="AE69" s="9" t="s">
        <v>71</v>
      </c>
      <c r="AI69" s="9">
        <v>44174</v>
      </c>
      <c r="AJ69" s="9">
        <v>2800</v>
      </c>
      <c r="AK69" s="9">
        <v>2800</v>
      </c>
      <c r="BG69" s="9" t="s">
        <v>129</v>
      </c>
      <c r="BH69" s="9" t="s">
        <v>128</v>
      </c>
      <c r="BJ69" s="9">
        <v>2020</v>
      </c>
      <c r="BK69" s="9" t="s">
        <v>69</v>
      </c>
      <c r="BL69" s="9" t="s">
        <v>68</v>
      </c>
      <c r="BM69" s="9" t="s">
        <v>67</v>
      </c>
      <c r="BN69" s="9">
        <v>44219.473464259259</v>
      </c>
      <c r="BP69" s="9" t="s">
        <v>127</v>
      </c>
      <c r="BQ69" s="9" t="s">
        <v>65</v>
      </c>
      <c r="BR69" s="9" t="s">
        <v>126</v>
      </c>
      <c r="BS69" s="9">
        <v>4.12262020198637E+18</v>
      </c>
      <c r="BT69" s="9" t="s">
        <v>63</v>
      </c>
      <c r="BU69" s="9" t="s">
        <v>125</v>
      </c>
      <c r="BV69" s="9">
        <v>2020</v>
      </c>
      <c r="BW69" s="9" t="s">
        <v>61</v>
      </c>
      <c r="BY69" s="9">
        <v>4.0123202121362898E+18</v>
      </c>
      <c r="BZ69" s="9" t="s">
        <v>124</v>
      </c>
      <c r="CA69" s="9" t="s">
        <v>59</v>
      </c>
    </row>
    <row r="70" spans="1:79" x14ac:dyDescent="0.2">
      <c r="A70" s="9" t="s">
        <v>111</v>
      </c>
      <c r="B70" s="9" t="s">
        <v>110</v>
      </c>
      <c r="C70" s="9">
        <v>2020</v>
      </c>
      <c r="D70" s="9" t="s">
        <v>97</v>
      </c>
      <c r="E70" s="9">
        <v>2.0210131941960701E+17</v>
      </c>
      <c r="F70" s="9" t="s">
        <v>84</v>
      </c>
      <c r="G70" s="9" t="s">
        <v>123</v>
      </c>
      <c r="H70" s="9">
        <v>1496802</v>
      </c>
      <c r="J70" s="9" t="s">
        <v>83</v>
      </c>
      <c r="K70" s="9" t="s">
        <v>82</v>
      </c>
      <c r="L70" s="9" t="s">
        <v>87</v>
      </c>
      <c r="N70" s="9" t="s">
        <v>81</v>
      </c>
      <c r="O70" s="9" t="s">
        <v>108</v>
      </c>
      <c r="Q70" s="9" t="s">
        <v>80</v>
      </c>
      <c r="R70" s="9" t="s">
        <v>79</v>
      </c>
      <c r="T70" s="9" t="s">
        <v>78</v>
      </c>
      <c r="V70" s="9" t="s">
        <v>107</v>
      </c>
      <c r="X70" s="9" t="s">
        <v>76</v>
      </c>
      <c r="Y70" s="9" t="s">
        <v>75</v>
      </c>
      <c r="Z70" s="9">
        <v>39759</v>
      </c>
      <c r="AA70" s="9" t="s">
        <v>73</v>
      </c>
      <c r="AB70" s="9" t="s">
        <v>73</v>
      </c>
      <c r="AC70" s="9" t="s">
        <v>87</v>
      </c>
      <c r="AD70" s="9" t="s">
        <v>106</v>
      </c>
      <c r="AE70" s="9" t="s">
        <v>105</v>
      </c>
      <c r="AF70" s="9" t="s">
        <v>104</v>
      </c>
      <c r="AI70" s="9">
        <v>44177</v>
      </c>
      <c r="AJ70" s="9">
        <v>25</v>
      </c>
      <c r="AK70" s="9">
        <v>347</v>
      </c>
      <c r="BF70" s="9" t="s">
        <v>103</v>
      </c>
      <c r="BK70" s="9" t="s">
        <v>69</v>
      </c>
      <c r="BL70" s="9" t="s">
        <v>68</v>
      </c>
      <c r="BM70" s="9" t="s">
        <v>67</v>
      </c>
      <c r="BN70" s="9">
        <v>44267.180822604168</v>
      </c>
      <c r="BR70" s="9" t="s">
        <v>64</v>
      </c>
      <c r="BS70" s="9">
        <v>4.0201202121400402E+18</v>
      </c>
      <c r="BT70" s="9" t="s">
        <v>63</v>
      </c>
      <c r="BU70" s="9" t="s">
        <v>102</v>
      </c>
      <c r="BV70" s="9">
        <v>2020</v>
      </c>
      <c r="BW70" s="9" t="s">
        <v>61</v>
      </c>
      <c r="BY70" s="9">
        <v>4.0311202112498601E+18</v>
      </c>
      <c r="BZ70" s="9" t="s">
        <v>118</v>
      </c>
      <c r="CA70" s="9" t="s">
        <v>59</v>
      </c>
    </row>
    <row r="71" spans="1:79" x14ac:dyDescent="0.2">
      <c r="A71" s="9" t="s">
        <v>111</v>
      </c>
      <c r="B71" s="9" t="s">
        <v>110</v>
      </c>
      <c r="C71" s="9">
        <v>2020</v>
      </c>
      <c r="D71" s="9" t="s">
        <v>97</v>
      </c>
      <c r="E71" s="9">
        <v>2.0210131941960701E+17</v>
      </c>
      <c r="F71" s="9" t="s">
        <v>84</v>
      </c>
      <c r="G71" s="9" t="s">
        <v>122</v>
      </c>
      <c r="H71" s="9">
        <v>1496802</v>
      </c>
      <c r="J71" s="9" t="s">
        <v>83</v>
      </c>
      <c r="K71" s="9" t="s">
        <v>82</v>
      </c>
      <c r="N71" s="9" t="s">
        <v>81</v>
      </c>
      <c r="O71" s="9" t="s">
        <v>108</v>
      </c>
      <c r="Q71" s="9" t="s">
        <v>80</v>
      </c>
      <c r="R71" s="9" t="s">
        <v>79</v>
      </c>
      <c r="T71" s="9" t="s">
        <v>78</v>
      </c>
      <c r="V71" s="9" t="s">
        <v>107</v>
      </c>
      <c r="X71" s="9" t="s">
        <v>76</v>
      </c>
      <c r="Y71" s="9" t="s">
        <v>75</v>
      </c>
      <c r="Z71" s="9">
        <v>39759</v>
      </c>
      <c r="AA71" s="9" t="s">
        <v>73</v>
      </c>
      <c r="AB71" s="9" t="s">
        <v>73</v>
      </c>
      <c r="AF71" s="9" t="s">
        <v>113</v>
      </c>
      <c r="AI71" s="9">
        <v>44165</v>
      </c>
      <c r="AJ71" s="9">
        <v>1.2</v>
      </c>
      <c r="AK71" s="9">
        <v>15.4</v>
      </c>
      <c r="BF71" s="9" t="s">
        <v>103</v>
      </c>
      <c r="BK71" s="9" t="s">
        <v>69</v>
      </c>
      <c r="BL71" s="9" t="s">
        <v>68</v>
      </c>
      <c r="BM71" s="9" t="s">
        <v>67</v>
      </c>
      <c r="BN71" s="9">
        <v>44267.194841226854</v>
      </c>
      <c r="BR71" s="9" t="s">
        <v>64</v>
      </c>
      <c r="BS71" s="9">
        <v>4.0201202121400402E+18</v>
      </c>
      <c r="BT71" s="9" t="s">
        <v>63</v>
      </c>
      <c r="BU71" s="9" t="s">
        <v>112</v>
      </c>
      <c r="BV71" s="9">
        <v>2020</v>
      </c>
      <c r="BW71" s="9" t="s">
        <v>61</v>
      </c>
      <c r="BY71" s="9">
        <v>4.0311202112473702E+18</v>
      </c>
      <c r="BZ71" s="9" t="s">
        <v>120</v>
      </c>
      <c r="CA71" s="9" t="s">
        <v>59</v>
      </c>
    </row>
    <row r="72" spans="1:79" x14ac:dyDescent="0.2">
      <c r="A72" s="9" t="s">
        <v>111</v>
      </c>
      <c r="B72" s="9" t="s">
        <v>110</v>
      </c>
      <c r="C72" s="9">
        <v>2020</v>
      </c>
      <c r="D72" s="9" t="s">
        <v>97</v>
      </c>
      <c r="E72" s="9">
        <v>2.0210131941960701E+17</v>
      </c>
      <c r="F72" s="9" t="s">
        <v>84</v>
      </c>
      <c r="G72" s="9" t="s">
        <v>121</v>
      </c>
      <c r="H72" s="9">
        <v>1496802</v>
      </c>
      <c r="J72" s="9" t="s">
        <v>83</v>
      </c>
      <c r="K72" s="9" t="s">
        <v>82</v>
      </c>
      <c r="L72" s="9" t="s">
        <v>87</v>
      </c>
      <c r="N72" s="9" t="s">
        <v>81</v>
      </c>
      <c r="O72" s="9" t="s">
        <v>108</v>
      </c>
      <c r="Q72" s="9" t="s">
        <v>80</v>
      </c>
      <c r="R72" s="9" t="s">
        <v>79</v>
      </c>
      <c r="T72" s="9" t="s">
        <v>78</v>
      </c>
      <c r="V72" s="9" t="s">
        <v>107</v>
      </c>
      <c r="X72" s="9" t="s">
        <v>76</v>
      </c>
      <c r="Y72" s="9" t="s">
        <v>75</v>
      </c>
      <c r="Z72" s="9">
        <v>39759</v>
      </c>
      <c r="AA72" s="9" t="s">
        <v>73</v>
      </c>
      <c r="AB72" s="9" t="s">
        <v>73</v>
      </c>
      <c r="AC72" s="9" t="s">
        <v>87</v>
      </c>
      <c r="AD72" s="9" t="s">
        <v>106</v>
      </c>
      <c r="AE72" s="9" t="s">
        <v>105</v>
      </c>
      <c r="AF72" s="9" t="s">
        <v>104</v>
      </c>
      <c r="AI72" s="9">
        <v>44165</v>
      </c>
      <c r="AJ72" s="9">
        <v>6</v>
      </c>
      <c r="AK72" s="9">
        <v>347</v>
      </c>
      <c r="BF72" s="9" t="s">
        <v>103</v>
      </c>
      <c r="BK72" s="9" t="s">
        <v>69</v>
      </c>
      <c r="BL72" s="9" t="s">
        <v>68</v>
      </c>
      <c r="BM72" s="9" t="s">
        <v>67</v>
      </c>
      <c r="BN72" s="9">
        <v>44267.194841226854</v>
      </c>
      <c r="BR72" s="9" t="s">
        <v>64</v>
      </c>
      <c r="BS72" s="9">
        <v>4.0201202121400402E+18</v>
      </c>
      <c r="BT72" s="9" t="s">
        <v>63</v>
      </c>
      <c r="BU72" s="9" t="s">
        <v>102</v>
      </c>
      <c r="BV72" s="9">
        <v>2020</v>
      </c>
      <c r="BW72" s="9" t="s">
        <v>61</v>
      </c>
      <c r="BY72" s="9">
        <v>4.0311202112473702E+18</v>
      </c>
      <c r="BZ72" s="9" t="s">
        <v>120</v>
      </c>
      <c r="CA72" s="9" t="s">
        <v>59</v>
      </c>
    </row>
    <row r="73" spans="1:79" x14ac:dyDescent="0.2">
      <c r="A73" s="9" t="s">
        <v>111</v>
      </c>
      <c r="B73" s="9" t="s">
        <v>110</v>
      </c>
      <c r="C73" s="9">
        <v>2020</v>
      </c>
      <c r="D73" s="9" t="s">
        <v>97</v>
      </c>
      <c r="E73" s="9">
        <v>2.0210131941960701E+17</v>
      </c>
      <c r="F73" s="9" t="s">
        <v>84</v>
      </c>
      <c r="G73" s="9" t="s">
        <v>119</v>
      </c>
      <c r="H73" s="9">
        <v>1496802</v>
      </c>
      <c r="J73" s="9" t="s">
        <v>83</v>
      </c>
      <c r="K73" s="9" t="s">
        <v>82</v>
      </c>
      <c r="N73" s="9" t="s">
        <v>81</v>
      </c>
      <c r="O73" s="9" t="s">
        <v>108</v>
      </c>
      <c r="Q73" s="9" t="s">
        <v>80</v>
      </c>
      <c r="R73" s="9" t="s">
        <v>79</v>
      </c>
      <c r="T73" s="9" t="s">
        <v>78</v>
      </c>
      <c r="V73" s="9" t="s">
        <v>107</v>
      </c>
      <c r="X73" s="9" t="s">
        <v>76</v>
      </c>
      <c r="Y73" s="9" t="s">
        <v>75</v>
      </c>
      <c r="Z73" s="9">
        <v>39759</v>
      </c>
      <c r="AA73" s="9" t="s">
        <v>73</v>
      </c>
      <c r="AB73" s="9" t="s">
        <v>73</v>
      </c>
      <c r="AF73" s="9" t="s">
        <v>113</v>
      </c>
      <c r="AI73" s="9">
        <v>44195</v>
      </c>
      <c r="AJ73" s="9">
        <v>1.2</v>
      </c>
      <c r="AK73" s="9">
        <v>15.4</v>
      </c>
      <c r="BF73" s="9" t="s">
        <v>103</v>
      </c>
      <c r="BK73" s="9" t="s">
        <v>69</v>
      </c>
      <c r="BL73" s="9" t="s">
        <v>68</v>
      </c>
      <c r="BM73" s="9" t="s">
        <v>67</v>
      </c>
      <c r="BN73" s="9">
        <v>44267.207520752316</v>
      </c>
      <c r="BR73" s="9" t="s">
        <v>64</v>
      </c>
      <c r="BS73" s="9">
        <v>4.0201202121400402E+18</v>
      </c>
      <c r="BT73" s="9" t="s">
        <v>63</v>
      </c>
      <c r="BU73" s="9" t="s">
        <v>112</v>
      </c>
      <c r="BV73" s="9">
        <v>2020</v>
      </c>
      <c r="BW73" s="9" t="s">
        <v>61</v>
      </c>
      <c r="BY73" s="9">
        <v>4.03112021125363E+18</v>
      </c>
      <c r="BZ73" s="9" t="s">
        <v>118</v>
      </c>
      <c r="CA73" s="9" t="s">
        <v>59</v>
      </c>
    </row>
    <row r="74" spans="1:79" x14ac:dyDescent="0.2">
      <c r="A74" s="9" t="s">
        <v>111</v>
      </c>
      <c r="B74" s="9" t="s">
        <v>110</v>
      </c>
      <c r="C74" s="9">
        <v>2020</v>
      </c>
      <c r="D74" s="9" t="s">
        <v>97</v>
      </c>
      <c r="E74" s="9">
        <v>2.0210131941960701E+17</v>
      </c>
      <c r="F74" s="9" t="s">
        <v>84</v>
      </c>
      <c r="G74" s="9" t="s">
        <v>117</v>
      </c>
      <c r="H74" s="9">
        <v>1496802</v>
      </c>
      <c r="J74" s="9" t="s">
        <v>83</v>
      </c>
      <c r="K74" s="9" t="s">
        <v>82</v>
      </c>
      <c r="L74" s="9" t="s">
        <v>87</v>
      </c>
      <c r="N74" s="9" t="s">
        <v>81</v>
      </c>
      <c r="O74" s="9" t="s">
        <v>108</v>
      </c>
      <c r="Q74" s="9" t="s">
        <v>80</v>
      </c>
      <c r="R74" s="9" t="s">
        <v>79</v>
      </c>
      <c r="T74" s="9" t="s">
        <v>78</v>
      </c>
      <c r="V74" s="9" t="s">
        <v>107</v>
      </c>
      <c r="X74" s="9" t="s">
        <v>76</v>
      </c>
      <c r="Y74" s="9" t="s">
        <v>75</v>
      </c>
      <c r="Z74" s="9">
        <v>39759</v>
      </c>
      <c r="AA74" s="9" t="s">
        <v>73</v>
      </c>
      <c r="AB74" s="9" t="s">
        <v>73</v>
      </c>
      <c r="AC74" s="9" t="s">
        <v>87</v>
      </c>
      <c r="AD74" s="9" t="s">
        <v>106</v>
      </c>
      <c r="AE74" s="9" t="s">
        <v>105</v>
      </c>
      <c r="AF74" s="9" t="s">
        <v>104</v>
      </c>
      <c r="AI74" s="9">
        <v>44195</v>
      </c>
      <c r="AJ74" s="9">
        <v>6</v>
      </c>
      <c r="AK74" s="9">
        <v>347</v>
      </c>
      <c r="BF74" s="9" t="s">
        <v>103</v>
      </c>
      <c r="BK74" s="9" t="s">
        <v>69</v>
      </c>
      <c r="BL74" s="9" t="s">
        <v>68</v>
      </c>
      <c r="BM74" s="9" t="s">
        <v>67</v>
      </c>
      <c r="BN74" s="9">
        <v>44267.207520752316</v>
      </c>
      <c r="BR74" s="9" t="s">
        <v>64</v>
      </c>
      <c r="BS74" s="9">
        <v>4.0201202121400402E+18</v>
      </c>
      <c r="BT74" s="9" t="s">
        <v>63</v>
      </c>
      <c r="BU74" s="9" t="s">
        <v>102</v>
      </c>
      <c r="BV74" s="9">
        <v>2020</v>
      </c>
      <c r="BW74" s="9" t="s">
        <v>61</v>
      </c>
      <c r="BY74" s="9">
        <v>4.03112021125363E+18</v>
      </c>
      <c r="BZ74" s="9" t="s">
        <v>116</v>
      </c>
      <c r="CA74" s="9" t="s">
        <v>59</v>
      </c>
    </row>
    <row r="75" spans="1:79" x14ac:dyDescent="0.2">
      <c r="A75" s="9" t="s">
        <v>111</v>
      </c>
      <c r="B75" s="9" t="s">
        <v>110</v>
      </c>
      <c r="C75" s="9">
        <v>2020</v>
      </c>
      <c r="D75" s="9" t="s">
        <v>85</v>
      </c>
      <c r="E75" s="9">
        <v>2.0201211936795501E+17</v>
      </c>
      <c r="F75" s="9" t="s">
        <v>84</v>
      </c>
      <c r="G75" s="9" t="s">
        <v>115</v>
      </c>
      <c r="H75" s="9">
        <v>1482644</v>
      </c>
      <c r="J75" s="9" t="s">
        <v>83</v>
      </c>
      <c r="K75" s="9" t="s">
        <v>82</v>
      </c>
      <c r="L75" s="9" t="s">
        <v>87</v>
      </c>
      <c r="N75" s="9" t="s">
        <v>81</v>
      </c>
      <c r="O75" s="9" t="s">
        <v>108</v>
      </c>
      <c r="Q75" s="9" t="s">
        <v>80</v>
      </c>
      <c r="R75" s="9" t="s">
        <v>79</v>
      </c>
      <c r="T75" s="9" t="s">
        <v>78</v>
      </c>
      <c r="V75" s="9" t="s">
        <v>107</v>
      </c>
      <c r="X75" s="9" t="s">
        <v>76</v>
      </c>
      <c r="Y75" s="9" t="s">
        <v>75</v>
      </c>
      <c r="Z75" s="9">
        <v>39759</v>
      </c>
      <c r="AA75" s="9" t="s">
        <v>73</v>
      </c>
      <c r="AB75" s="9" t="s">
        <v>73</v>
      </c>
      <c r="AC75" s="9" t="s">
        <v>87</v>
      </c>
      <c r="AD75" s="9" t="s">
        <v>106</v>
      </c>
      <c r="AE75" s="9" t="s">
        <v>105</v>
      </c>
      <c r="AF75" s="9" t="s">
        <v>104</v>
      </c>
      <c r="AI75" s="9">
        <v>44055</v>
      </c>
      <c r="AJ75" s="9">
        <v>25</v>
      </c>
      <c r="AK75" s="9">
        <v>223</v>
      </c>
      <c r="BF75" s="9" t="s">
        <v>103</v>
      </c>
      <c r="BK75" s="9" t="s">
        <v>69</v>
      </c>
      <c r="BL75" s="9" t="s">
        <v>68</v>
      </c>
      <c r="BM75" s="9" t="s">
        <v>67</v>
      </c>
      <c r="BN75" s="9">
        <v>44209.428830393517</v>
      </c>
      <c r="BR75" s="9" t="s">
        <v>64</v>
      </c>
      <c r="BS75" s="9">
        <v>4.1215202019740099E+18</v>
      </c>
      <c r="BT75" s="9" t="s">
        <v>63</v>
      </c>
      <c r="BU75" s="9" t="s">
        <v>102</v>
      </c>
      <c r="BV75" s="9">
        <v>2020</v>
      </c>
      <c r="BW75" s="9" t="s">
        <v>61</v>
      </c>
      <c r="BY75" s="9">
        <v>4.0112202120715402E+18</v>
      </c>
      <c r="BZ75" s="9" t="s">
        <v>101</v>
      </c>
      <c r="CA75" s="9" t="s">
        <v>59</v>
      </c>
    </row>
    <row r="76" spans="1:79" x14ac:dyDescent="0.2">
      <c r="A76" s="9" t="s">
        <v>111</v>
      </c>
      <c r="B76" s="9" t="s">
        <v>110</v>
      </c>
      <c r="C76" s="9">
        <v>2020</v>
      </c>
      <c r="D76" s="9" t="s">
        <v>85</v>
      </c>
      <c r="E76" s="9">
        <v>2.0201211936795501E+17</v>
      </c>
      <c r="F76" s="9" t="s">
        <v>84</v>
      </c>
      <c r="G76" s="9" t="s">
        <v>114</v>
      </c>
      <c r="H76" s="9">
        <v>1482644</v>
      </c>
      <c r="J76" s="9" t="s">
        <v>83</v>
      </c>
      <c r="K76" s="9" t="s">
        <v>82</v>
      </c>
      <c r="N76" s="9" t="s">
        <v>81</v>
      </c>
      <c r="O76" s="9" t="s">
        <v>108</v>
      </c>
      <c r="Q76" s="9" t="s">
        <v>80</v>
      </c>
      <c r="R76" s="9" t="s">
        <v>79</v>
      </c>
      <c r="T76" s="9" t="s">
        <v>78</v>
      </c>
      <c r="V76" s="9" t="s">
        <v>107</v>
      </c>
      <c r="X76" s="9" t="s">
        <v>76</v>
      </c>
      <c r="Y76" s="9" t="s">
        <v>75</v>
      </c>
      <c r="Z76" s="9">
        <v>39759</v>
      </c>
      <c r="AA76" s="9" t="s">
        <v>73</v>
      </c>
      <c r="AB76" s="9" t="s">
        <v>73</v>
      </c>
      <c r="AF76" s="9" t="s">
        <v>113</v>
      </c>
      <c r="AI76" s="9">
        <v>44073</v>
      </c>
      <c r="AJ76" s="9">
        <v>1.2</v>
      </c>
      <c r="AK76" s="9">
        <v>10.6</v>
      </c>
      <c r="BF76" s="9" t="s">
        <v>103</v>
      </c>
      <c r="BK76" s="9" t="s">
        <v>69</v>
      </c>
      <c r="BL76" s="9" t="s">
        <v>68</v>
      </c>
      <c r="BM76" s="9" t="s">
        <v>67</v>
      </c>
      <c r="BN76" s="9">
        <v>44209.451884513888</v>
      </c>
      <c r="BR76" s="9" t="s">
        <v>64</v>
      </c>
      <c r="BS76" s="9">
        <v>4.1215202019740099E+18</v>
      </c>
      <c r="BT76" s="9" t="s">
        <v>63</v>
      </c>
      <c r="BU76" s="9" t="s">
        <v>112</v>
      </c>
      <c r="BV76" s="9">
        <v>2020</v>
      </c>
      <c r="BW76" s="9" t="s">
        <v>61</v>
      </c>
      <c r="BY76" s="9">
        <v>4.0112202120797E+18</v>
      </c>
      <c r="BZ76" s="9" t="s">
        <v>101</v>
      </c>
      <c r="CA76" s="9" t="s">
        <v>59</v>
      </c>
    </row>
    <row r="77" spans="1:79" x14ac:dyDescent="0.2">
      <c r="A77" s="9" t="s">
        <v>111</v>
      </c>
      <c r="B77" s="9" t="s">
        <v>110</v>
      </c>
      <c r="C77" s="9">
        <v>2020</v>
      </c>
      <c r="D77" s="9" t="s">
        <v>85</v>
      </c>
      <c r="E77" s="9">
        <v>2.0201211936795501E+17</v>
      </c>
      <c r="F77" s="9" t="s">
        <v>84</v>
      </c>
      <c r="G77" s="9" t="s">
        <v>109</v>
      </c>
      <c r="H77" s="9">
        <v>1482644</v>
      </c>
      <c r="J77" s="9" t="s">
        <v>83</v>
      </c>
      <c r="K77" s="9" t="s">
        <v>82</v>
      </c>
      <c r="L77" s="9" t="s">
        <v>87</v>
      </c>
      <c r="N77" s="9" t="s">
        <v>81</v>
      </c>
      <c r="O77" s="9" t="s">
        <v>108</v>
      </c>
      <c r="Q77" s="9" t="s">
        <v>80</v>
      </c>
      <c r="R77" s="9" t="s">
        <v>79</v>
      </c>
      <c r="T77" s="9" t="s">
        <v>78</v>
      </c>
      <c r="V77" s="9" t="s">
        <v>107</v>
      </c>
      <c r="X77" s="9" t="s">
        <v>76</v>
      </c>
      <c r="Y77" s="9" t="s">
        <v>75</v>
      </c>
      <c r="Z77" s="9">
        <v>39759</v>
      </c>
      <c r="AA77" s="9" t="s">
        <v>73</v>
      </c>
      <c r="AB77" s="9" t="s">
        <v>73</v>
      </c>
      <c r="AC77" s="9" t="s">
        <v>87</v>
      </c>
      <c r="AD77" s="9" t="s">
        <v>106</v>
      </c>
      <c r="AE77" s="9" t="s">
        <v>105</v>
      </c>
      <c r="AF77" s="9" t="s">
        <v>104</v>
      </c>
      <c r="AI77" s="9">
        <v>44073</v>
      </c>
      <c r="AJ77" s="9">
        <v>6</v>
      </c>
      <c r="AK77" s="9">
        <v>223</v>
      </c>
      <c r="BF77" s="9" t="s">
        <v>103</v>
      </c>
      <c r="BK77" s="9" t="s">
        <v>69</v>
      </c>
      <c r="BL77" s="9" t="s">
        <v>68</v>
      </c>
      <c r="BM77" s="9" t="s">
        <v>67</v>
      </c>
      <c r="BN77" s="9">
        <v>44209.451884513888</v>
      </c>
      <c r="BR77" s="9" t="s">
        <v>64</v>
      </c>
      <c r="BS77" s="9">
        <v>4.1215202019740099E+18</v>
      </c>
      <c r="BT77" s="9" t="s">
        <v>63</v>
      </c>
      <c r="BU77" s="9" t="s">
        <v>102</v>
      </c>
      <c r="BV77" s="9">
        <v>2020</v>
      </c>
      <c r="BW77" s="9" t="s">
        <v>61</v>
      </c>
      <c r="BY77" s="9">
        <v>4.0112202120797E+18</v>
      </c>
      <c r="BZ77" s="9" t="s">
        <v>101</v>
      </c>
      <c r="CA77" s="9" t="s">
        <v>59</v>
      </c>
    </row>
    <row r="78" spans="1:79" x14ac:dyDescent="0.2">
      <c r="A78" s="9" t="s">
        <v>87</v>
      </c>
      <c r="B78" s="9" t="s">
        <v>86</v>
      </c>
      <c r="C78" s="9">
        <v>2020</v>
      </c>
      <c r="D78" s="9" t="s">
        <v>97</v>
      </c>
      <c r="E78" s="9">
        <v>2.0210330944288099E+17</v>
      </c>
      <c r="F78" s="9" t="s">
        <v>84</v>
      </c>
      <c r="G78" s="9">
        <v>33009392</v>
      </c>
      <c r="H78" s="9">
        <v>1506738</v>
      </c>
      <c r="J78" s="9" t="s">
        <v>83</v>
      </c>
      <c r="K78" s="9" t="s">
        <v>82</v>
      </c>
      <c r="N78" s="9" t="s">
        <v>81</v>
      </c>
      <c r="O78" s="9" t="s">
        <v>16</v>
      </c>
      <c r="Q78" s="9" t="s">
        <v>80</v>
      </c>
      <c r="R78" s="9" t="s">
        <v>79</v>
      </c>
      <c r="T78" s="9" t="s">
        <v>78</v>
      </c>
      <c r="V78" s="9" t="s">
        <v>77</v>
      </c>
      <c r="X78" s="9" t="s">
        <v>76</v>
      </c>
      <c r="Y78" s="9" t="s">
        <v>75</v>
      </c>
      <c r="Z78" s="9">
        <v>397595331</v>
      </c>
      <c r="AA78" s="9" t="s">
        <v>74</v>
      </c>
      <c r="AB78" s="9" t="s">
        <v>73</v>
      </c>
      <c r="AD78" s="9" t="s">
        <v>72</v>
      </c>
      <c r="AE78" s="9" t="s">
        <v>71</v>
      </c>
      <c r="AI78" s="9">
        <v>44165</v>
      </c>
      <c r="AJ78" s="9">
        <v>6</v>
      </c>
      <c r="AK78" s="9">
        <v>316</v>
      </c>
      <c r="BG78" s="9" t="s">
        <v>20</v>
      </c>
      <c r="BI78" s="9" t="s">
        <v>70</v>
      </c>
      <c r="BK78" s="9" t="s">
        <v>69</v>
      </c>
      <c r="BL78" s="9" t="s">
        <v>68</v>
      </c>
      <c r="BM78" s="9" t="s">
        <v>67</v>
      </c>
      <c r="BN78" s="9">
        <v>44287.237466631945</v>
      </c>
      <c r="BP78" s="9" t="s">
        <v>100</v>
      </c>
      <c r="BQ78" s="9" t="s">
        <v>65</v>
      </c>
      <c r="BR78" s="9" t="s">
        <v>64</v>
      </c>
      <c r="BS78" s="9">
        <v>4.0331202112704102E+18</v>
      </c>
      <c r="BT78" s="9" t="s">
        <v>63</v>
      </c>
      <c r="BU78" s="9" t="s">
        <v>62</v>
      </c>
      <c r="BV78" s="9">
        <v>2020</v>
      </c>
      <c r="BW78" s="9" t="s">
        <v>61</v>
      </c>
      <c r="BY78" s="9">
        <v>4.04012021127424E+18</v>
      </c>
      <c r="BZ78" s="9" t="s">
        <v>98</v>
      </c>
      <c r="CA78" s="9" t="s">
        <v>59</v>
      </c>
    </row>
    <row r="79" spans="1:79" x14ac:dyDescent="0.2">
      <c r="A79" s="9" t="s">
        <v>87</v>
      </c>
      <c r="B79" s="9" t="s">
        <v>86</v>
      </c>
      <c r="C79" s="9">
        <v>2020</v>
      </c>
      <c r="D79" s="9" t="s">
        <v>97</v>
      </c>
      <c r="E79" s="9">
        <v>2.0210330944288099E+17</v>
      </c>
      <c r="F79" s="9" t="s">
        <v>84</v>
      </c>
      <c r="G79" s="9">
        <v>33090379</v>
      </c>
      <c r="H79" s="9">
        <v>1506738</v>
      </c>
      <c r="J79" s="9" t="s">
        <v>83</v>
      </c>
      <c r="K79" s="9" t="s">
        <v>82</v>
      </c>
      <c r="N79" s="9" t="s">
        <v>81</v>
      </c>
      <c r="O79" s="9" t="s">
        <v>16</v>
      </c>
      <c r="Q79" s="9" t="s">
        <v>80</v>
      </c>
      <c r="R79" s="9" t="s">
        <v>79</v>
      </c>
      <c r="T79" s="9" t="s">
        <v>78</v>
      </c>
      <c r="V79" s="9" t="s">
        <v>77</v>
      </c>
      <c r="X79" s="9" t="s">
        <v>76</v>
      </c>
      <c r="Y79" s="9" t="s">
        <v>75</v>
      </c>
      <c r="Z79" s="9">
        <v>397595331</v>
      </c>
      <c r="AA79" s="9" t="s">
        <v>74</v>
      </c>
      <c r="AB79" s="9" t="s">
        <v>73</v>
      </c>
      <c r="AD79" s="9" t="s">
        <v>72</v>
      </c>
      <c r="AE79" s="9" t="s">
        <v>71</v>
      </c>
      <c r="AI79" s="9">
        <v>44178</v>
      </c>
      <c r="AJ79" s="9">
        <v>25</v>
      </c>
      <c r="AK79" s="9">
        <v>341</v>
      </c>
      <c r="BG79" s="9" t="s">
        <v>20</v>
      </c>
      <c r="BI79" s="9" t="s">
        <v>70</v>
      </c>
      <c r="BK79" s="9" t="s">
        <v>69</v>
      </c>
      <c r="BL79" s="9" t="s">
        <v>68</v>
      </c>
      <c r="BM79" s="9" t="s">
        <v>67</v>
      </c>
      <c r="BN79" s="9">
        <v>44287.237466631945</v>
      </c>
      <c r="BP79" s="9" t="s">
        <v>99</v>
      </c>
      <c r="BQ79" s="9" t="s">
        <v>65</v>
      </c>
      <c r="BR79" s="9" t="s">
        <v>64</v>
      </c>
      <c r="BS79" s="9">
        <v>4.0331202112704102E+18</v>
      </c>
      <c r="BT79" s="9" t="s">
        <v>63</v>
      </c>
      <c r="BU79" s="9" t="s">
        <v>62</v>
      </c>
      <c r="BV79" s="9">
        <v>2020</v>
      </c>
      <c r="BW79" s="9" t="s">
        <v>61</v>
      </c>
      <c r="BY79" s="9">
        <v>4.04012021127424E+18</v>
      </c>
      <c r="BZ79" s="9" t="s">
        <v>98</v>
      </c>
      <c r="CA79" s="9" t="s">
        <v>59</v>
      </c>
    </row>
    <row r="80" spans="1:79" x14ac:dyDescent="0.2">
      <c r="A80" s="9" t="s">
        <v>87</v>
      </c>
      <c r="B80" s="9" t="s">
        <v>86</v>
      </c>
      <c r="C80" s="9">
        <v>2020</v>
      </c>
      <c r="D80" s="9" t="s">
        <v>97</v>
      </c>
      <c r="E80" s="9">
        <v>2.0210330944288099E+17</v>
      </c>
      <c r="F80" s="9" t="s">
        <v>84</v>
      </c>
      <c r="G80" s="9">
        <v>33235664</v>
      </c>
      <c r="H80" s="9">
        <v>1506738</v>
      </c>
      <c r="J80" s="9" t="s">
        <v>83</v>
      </c>
      <c r="K80" s="9" t="s">
        <v>82</v>
      </c>
      <c r="N80" s="9" t="s">
        <v>81</v>
      </c>
      <c r="O80" s="9" t="s">
        <v>16</v>
      </c>
      <c r="Q80" s="9" t="s">
        <v>80</v>
      </c>
      <c r="R80" s="9" t="s">
        <v>79</v>
      </c>
      <c r="T80" s="9" t="s">
        <v>78</v>
      </c>
      <c r="V80" s="9" t="s">
        <v>77</v>
      </c>
      <c r="X80" s="9" t="s">
        <v>76</v>
      </c>
      <c r="Y80" s="9" t="s">
        <v>75</v>
      </c>
      <c r="Z80" s="9">
        <v>397595331</v>
      </c>
      <c r="AA80" s="9" t="s">
        <v>74</v>
      </c>
      <c r="AB80" s="9" t="s">
        <v>73</v>
      </c>
      <c r="AD80" s="9" t="s">
        <v>72</v>
      </c>
      <c r="AE80" s="9" t="s">
        <v>71</v>
      </c>
      <c r="AI80" s="9">
        <v>44195</v>
      </c>
      <c r="AJ80" s="9">
        <v>6</v>
      </c>
      <c r="AK80" s="9">
        <v>347</v>
      </c>
      <c r="BG80" s="9" t="s">
        <v>20</v>
      </c>
      <c r="BI80" s="9" t="s">
        <v>70</v>
      </c>
      <c r="BK80" s="9" t="s">
        <v>69</v>
      </c>
      <c r="BL80" s="9" t="s">
        <v>68</v>
      </c>
      <c r="BM80" s="9" t="s">
        <v>67</v>
      </c>
      <c r="BN80" s="9">
        <v>44287.237466631945</v>
      </c>
      <c r="BP80" s="9" t="s">
        <v>96</v>
      </c>
      <c r="BQ80" s="9" t="s">
        <v>65</v>
      </c>
      <c r="BR80" s="9" t="s">
        <v>64</v>
      </c>
      <c r="BS80" s="9">
        <v>4.0331202112704102E+18</v>
      </c>
      <c r="BT80" s="9" t="s">
        <v>63</v>
      </c>
      <c r="BU80" s="9" t="s">
        <v>62</v>
      </c>
      <c r="BV80" s="9">
        <v>2020</v>
      </c>
      <c r="BW80" s="9" t="s">
        <v>61</v>
      </c>
      <c r="BY80" s="9">
        <v>4.04012021127424E+18</v>
      </c>
      <c r="BZ80" s="9" t="s">
        <v>95</v>
      </c>
      <c r="CA80" s="9" t="s">
        <v>59</v>
      </c>
    </row>
    <row r="81" spans="1:79" x14ac:dyDescent="0.2">
      <c r="A81" s="9" t="s">
        <v>87</v>
      </c>
      <c r="B81" s="9" t="s">
        <v>86</v>
      </c>
      <c r="C81" s="9">
        <v>2020</v>
      </c>
      <c r="D81" s="9" t="s">
        <v>92</v>
      </c>
      <c r="E81" s="9">
        <v>2.02103309442792E+17</v>
      </c>
      <c r="F81" s="9" t="s">
        <v>84</v>
      </c>
      <c r="G81" s="9">
        <v>32729962</v>
      </c>
      <c r="H81" s="9">
        <v>1506730</v>
      </c>
      <c r="J81" s="9" t="s">
        <v>83</v>
      </c>
      <c r="K81" s="9" t="s">
        <v>82</v>
      </c>
      <c r="N81" s="9" t="s">
        <v>81</v>
      </c>
      <c r="O81" s="9" t="s">
        <v>16</v>
      </c>
      <c r="Q81" s="9" t="s">
        <v>80</v>
      </c>
      <c r="R81" s="9" t="s">
        <v>79</v>
      </c>
      <c r="T81" s="9" t="s">
        <v>78</v>
      </c>
      <c r="V81" s="9" t="s">
        <v>77</v>
      </c>
      <c r="X81" s="9" t="s">
        <v>76</v>
      </c>
      <c r="Y81" s="9" t="s">
        <v>75</v>
      </c>
      <c r="Z81" s="9">
        <v>397595331</v>
      </c>
      <c r="AA81" s="9" t="s">
        <v>74</v>
      </c>
      <c r="AB81" s="9" t="s">
        <v>73</v>
      </c>
      <c r="AD81" s="9" t="s">
        <v>72</v>
      </c>
      <c r="AE81" s="9" t="s">
        <v>71</v>
      </c>
      <c r="AI81" s="9">
        <v>44134</v>
      </c>
      <c r="AJ81" s="9">
        <v>6</v>
      </c>
      <c r="AK81" s="9">
        <v>285</v>
      </c>
      <c r="BG81" s="9" t="s">
        <v>20</v>
      </c>
      <c r="BI81" s="9" t="s">
        <v>70</v>
      </c>
      <c r="BK81" s="9" t="s">
        <v>69</v>
      </c>
      <c r="BL81" s="9" t="s">
        <v>68</v>
      </c>
      <c r="BM81" s="9" t="s">
        <v>67</v>
      </c>
      <c r="BN81" s="9">
        <v>44287.248839722219</v>
      </c>
      <c r="BR81" s="9" t="s">
        <v>64</v>
      </c>
      <c r="BS81" s="9">
        <v>4.0331202112704102E+18</v>
      </c>
      <c r="BT81" s="9" t="s">
        <v>63</v>
      </c>
      <c r="BU81" s="9" t="s">
        <v>94</v>
      </c>
      <c r="BV81" s="9">
        <v>2020</v>
      </c>
      <c r="BW81" s="9" t="s">
        <v>61</v>
      </c>
      <c r="BY81" s="9">
        <v>4.04012021127373E+18</v>
      </c>
      <c r="BZ81" s="9" t="s">
        <v>93</v>
      </c>
      <c r="CA81" s="9" t="s">
        <v>59</v>
      </c>
    </row>
    <row r="82" spans="1:79" x14ac:dyDescent="0.2">
      <c r="A82" s="9" t="s">
        <v>87</v>
      </c>
      <c r="B82" s="9" t="s">
        <v>86</v>
      </c>
      <c r="C82" s="9">
        <v>2020</v>
      </c>
      <c r="D82" s="9" t="s">
        <v>92</v>
      </c>
      <c r="E82" s="9">
        <v>2.02103309442792E+17</v>
      </c>
      <c r="F82" s="9" t="s">
        <v>84</v>
      </c>
      <c r="G82" s="9">
        <v>32857692</v>
      </c>
      <c r="H82" s="9">
        <v>1506730</v>
      </c>
      <c r="J82" s="9" t="s">
        <v>83</v>
      </c>
      <c r="K82" s="9" t="s">
        <v>82</v>
      </c>
      <c r="N82" s="9" t="s">
        <v>81</v>
      </c>
      <c r="O82" s="9" t="s">
        <v>16</v>
      </c>
      <c r="Q82" s="9" t="s">
        <v>80</v>
      </c>
      <c r="R82" s="9" t="s">
        <v>79</v>
      </c>
      <c r="T82" s="9" t="s">
        <v>78</v>
      </c>
      <c r="V82" s="9" t="s">
        <v>77</v>
      </c>
      <c r="X82" s="9" t="s">
        <v>76</v>
      </c>
      <c r="Y82" s="9" t="s">
        <v>75</v>
      </c>
      <c r="Z82" s="9">
        <v>397595331</v>
      </c>
      <c r="AA82" s="9" t="s">
        <v>74</v>
      </c>
      <c r="AB82" s="9" t="s">
        <v>73</v>
      </c>
      <c r="AD82" s="9" t="s">
        <v>72</v>
      </c>
      <c r="AE82" s="9" t="s">
        <v>71</v>
      </c>
      <c r="AI82" s="9">
        <v>44147</v>
      </c>
      <c r="AJ82" s="9">
        <v>25</v>
      </c>
      <c r="AK82" s="9">
        <v>310</v>
      </c>
      <c r="BG82" s="9" t="s">
        <v>20</v>
      </c>
      <c r="BI82" s="9" t="s">
        <v>70</v>
      </c>
      <c r="BK82" s="9" t="s">
        <v>69</v>
      </c>
      <c r="BL82" s="9" t="s">
        <v>68</v>
      </c>
      <c r="BM82" s="9" t="s">
        <v>67</v>
      </c>
      <c r="BN82" s="9">
        <v>44287.248839722219</v>
      </c>
      <c r="BR82" s="9" t="s">
        <v>64</v>
      </c>
      <c r="BS82" s="9">
        <v>4.0331202112704102E+18</v>
      </c>
      <c r="BT82" s="9" t="s">
        <v>63</v>
      </c>
      <c r="BU82" s="9" t="s">
        <v>91</v>
      </c>
      <c r="BV82" s="9">
        <v>2020</v>
      </c>
      <c r="BW82" s="9" t="s">
        <v>61</v>
      </c>
      <c r="BY82" s="9">
        <v>4.04012021127373E+18</v>
      </c>
      <c r="BZ82" s="9" t="s">
        <v>90</v>
      </c>
      <c r="CA82" s="9" t="s">
        <v>59</v>
      </c>
    </row>
    <row r="83" spans="1:79" x14ac:dyDescent="0.2">
      <c r="A83" s="9" t="s">
        <v>87</v>
      </c>
      <c r="B83" s="9" t="s">
        <v>86</v>
      </c>
      <c r="C83" s="9">
        <v>2020</v>
      </c>
      <c r="D83" s="9" t="s">
        <v>85</v>
      </c>
      <c r="E83" s="9">
        <v>2.0210329944256602E+17</v>
      </c>
      <c r="F83" s="9" t="s">
        <v>84</v>
      </c>
      <c r="G83" s="9">
        <v>30768253</v>
      </c>
      <c r="H83" s="9">
        <v>1506587</v>
      </c>
      <c r="J83" s="9" t="s">
        <v>83</v>
      </c>
      <c r="K83" s="9" t="s">
        <v>82</v>
      </c>
      <c r="N83" s="9" t="s">
        <v>81</v>
      </c>
      <c r="O83" s="9" t="s">
        <v>16</v>
      </c>
      <c r="Q83" s="9" t="s">
        <v>80</v>
      </c>
      <c r="R83" s="9" t="s">
        <v>79</v>
      </c>
      <c r="T83" s="9" t="s">
        <v>78</v>
      </c>
      <c r="V83" s="9" t="s">
        <v>77</v>
      </c>
      <c r="X83" s="9" t="s">
        <v>76</v>
      </c>
      <c r="Y83" s="9" t="s">
        <v>75</v>
      </c>
      <c r="Z83" s="9">
        <v>397595331</v>
      </c>
      <c r="AA83" s="9" t="s">
        <v>74</v>
      </c>
      <c r="AB83" s="9" t="s">
        <v>73</v>
      </c>
      <c r="AD83" s="9" t="s">
        <v>72</v>
      </c>
      <c r="AE83" s="9" t="s">
        <v>71</v>
      </c>
      <c r="AI83" s="9">
        <v>44055</v>
      </c>
      <c r="AJ83" s="9">
        <v>25</v>
      </c>
      <c r="AK83" s="9">
        <v>217</v>
      </c>
      <c r="BG83" s="9" t="s">
        <v>20</v>
      </c>
      <c r="BI83" s="9" t="s">
        <v>70</v>
      </c>
      <c r="BK83" s="9" t="s">
        <v>69</v>
      </c>
      <c r="BL83" s="9" t="s">
        <v>68</v>
      </c>
      <c r="BM83" s="9" t="s">
        <v>67</v>
      </c>
      <c r="BN83" s="9">
        <v>44287.251555844909</v>
      </c>
      <c r="BP83" s="9" t="s">
        <v>89</v>
      </c>
      <c r="BQ83" s="9" t="s">
        <v>65</v>
      </c>
      <c r="BR83" s="9" t="s">
        <v>64</v>
      </c>
      <c r="BS83" s="9">
        <v>4.0330202112703201E+18</v>
      </c>
      <c r="BT83" s="9" t="s">
        <v>63</v>
      </c>
      <c r="BU83" s="9" t="s">
        <v>62</v>
      </c>
      <c r="BV83" s="9">
        <v>2020</v>
      </c>
      <c r="BW83" s="9" t="s">
        <v>61</v>
      </c>
      <c r="BY83" s="9">
        <v>4.0401202112733E+18</v>
      </c>
      <c r="BZ83" s="9" t="s">
        <v>88</v>
      </c>
      <c r="CA83" s="9" t="s">
        <v>59</v>
      </c>
    </row>
    <row r="84" spans="1:79" x14ac:dyDescent="0.2">
      <c r="A84" s="9" t="s">
        <v>87</v>
      </c>
      <c r="B84" s="9" t="s">
        <v>86</v>
      </c>
      <c r="C84" s="9">
        <v>2020</v>
      </c>
      <c r="D84" s="9" t="s">
        <v>85</v>
      </c>
      <c r="E84" s="9">
        <v>2.0210329944256602E+17</v>
      </c>
      <c r="F84" s="9" t="s">
        <v>84</v>
      </c>
      <c r="G84" s="9">
        <v>31045570</v>
      </c>
      <c r="H84" s="9">
        <v>1506587</v>
      </c>
      <c r="J84" s="9" t="s">
        <v>83</v>
      </c>
      <c r="K84" s="9" t="s">
        <v>82</v>
      </c>
      <c r="N84" s="9" t="s">
        <v>81</v>
      </c>
      <c r="O84" s="9" t="s">
        <v>16</v>
      </c>
      <c r="Q84" s="9" t="s">
        <v>80</v>
      </c>
      <c r="R84" s="9" t="s">
        <v>79</v>
      </c>
      <c r="T84" s="9" t="s">
        <v>78</v>
      </c>
      <c r="V84" s="9" t="s">
        <v>77</v>
      </c>
      <c r="X84" s="9" t="s">
        <v>76</v>
      </c>
      <c r="Y84" s="9" t="s">
        <v>75</v>
      </c>
      <c r="Z84" s="9">
        <v>397595331</v>
      </c>
      <c r="AA84" s="9" t="s">
        <v>74</v>
      </c>
      <c r="AB84" s="9" t="s">
        <v>73</v>
      </c>
      <c r="AD84" s="9" t="s">
        <v>72</v>
      </c>
      <c r="AE84" s="9" t="s">
        <v>71</v>
      </c>
      <c r="AI84" s="9">
        <v>44073</v>
      </c>
      <c r="AJ84" s="9">
        <v>6</v>
      </c>
      <c r="AK84" s="9">
        <v>223</v>
      </c>
      <c r="BG84" s="9" t="s">
        <v>20</v>
      </c>
      <c r="BI84" s="9" t="s">
        <v>70</v>
      </c>
      <c r="BK84" s="9" t="s">
        <v>69</v>
      </c>
      <c r="BL84" s="9" t="s">
        <v>68</v>
      </c>
      <c r="BM84" s="9" t="s">
        <v>67</v>
      </c>
      <c r="BN84" s="9">
        <v>44287.251555844909</v>
      </c>
      <c r="BP84" s="9" t="s">
        <v>66</v>
      </c>
      <c r="BQ84" s="9" t="s">
        <v>65</v>
      </c>
      <c r="BR84" s="9" t="s">
        <v>64</v>
      </c>
      <c r="BS84" s="9">
        <v>4.0330202112703201E+18</v>
      </c>
      <c r="BT84" s="9" t="s">
        <v>63</v>
      </c>
      <c r="BU84" s="9" t="s">
        <v>62</v>
      </c>
      <c r="BV84" s="9">
        <v>2020</v>
      </c>
      <c r="BW84" s="9" t="s">
        <v>61</v>
      </c>
      <c r="BY84" s="9">
        <v>4.0401202112733E+18</v>
      </c>
      <c r="BZ84" s="9" t="s">
        <v>60</v>
      </c>
      <c r="CA84" s="9" t="s">
        <v>59</v>
      </c>
    </row>
    <row r="86" spans="1:79" x14ac:dyDescent="0.2">
      <c r="AJ86" s="9">
        <v>14810.300000000003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A35"/>
  <sheetViews>
    <sheetView topLeftCell="M10" workbookViewId="0">
      <selection activeCell="V35" sqref="V35"/>
    </sheetView>
  </sheetViews>
  <sheetFormatPr defaultRowHeight="12.75" x14ac:dyDescent="0.2"/>
  <cols>
    <col min="1" max="1" width="11.140625" style="16" bestFit="1" customWidth="1"/>
    <col min="2" max="2" width="53.85546875" style="16" bestFit="1" customWidth="1"/>
    <col min="3" max="21" width="9.140625" style="16"/>
    <col min="22" max="22" width="8.28515625" style="16" bestFit="1" customWidth="1"/>
    <col min="23" max="16384" width="9.140625" style="16"/>
  </cols>
  <sheetData>
    <row r="1" spans="1:79" x14ac:dyDescent="0.2">
      <c r="A1" s="16" t="s">
        <v>372</v>
      </c>
      <c r="B1" s="16" t="s">
        <v>365</v>
      </c>
      <c r="C1" s="16" t="s">
        <v>371</v>
      </c>
      <c r="D1" s="16" t="s">
        <v>370</v>
      </c>
      <c r="E1" s="16" t="s">
        <v>369</v>
      </c>
      <c r="F1" s="16" t="s">
        <v>368</v>
      </c>
      <c r="G1" s="16" t="s">
        <v>367</v>
      </c>
      <c r="H1" s="16" t="s">
        <v>366</v>
      </c>
      <c r="I1" s="16" t="s">
        <v>365</v>
      </c>
      <c r="J1" s="16" t="s">
        <v>364</v>
      </c>
      <c r="K1" s="16" t="s">
        <v>363</v>
      </c>
      <c r="L1" s="16" t="s">
        <v>362</v>
      </c>
      <c r="M1" s="16" t="s">
        <v>361</v>
      </c>
      <c r="N1" s="16" t="s">
        <v>360</v>
      </c>
      <c r="O1" s="16" t="s">
        <v>359</v>
      </c>
      <c r="P1" s="16" t="s">
        <v>358</v>
      </c>
      <c r="Q1" s="16" t="s">
        <v>357</v>
      </c>
      <c r="R1" s="16" t="s">
        <v>356</v>
      </c>
      <c r="S1" s="16" t="s">
        <v>355</v>
      </c>
      <c r="T1" s="16" t="s">
        <v>354</v>
      </c>
      <c r="U1" s="16" t="s">
        <v>353</v>
      </c>
      <c r="V1" s="16" t="s">
        <v>352</v>
      </c>
      <c r="W1" s="16" t="s">
        <v>351</v>
      </c>
      <c r="X1" s="16" t="s">
        <v>350</v>
      </c>
      <c r="Y1" s="16" t="s">
        <v>349</v>
      </c>
      <c r="Z1" s="16" t="s">
        <v>348</v>
      </c>
      <c r="AA1" s="16" t="s">
        <v>347</v>
      </c>
      <c r="AB1" s="16" t="s">
        <v>346</v>
      </c>
      <c r="AC1" s="16" t="s">
        <v>345</v>
      </c>
      <c r="AD1" s="16" t="s">
        <v>344</v>
      </c>
      <c r="AE1" s="16" t="s">
        <v>343</v>
      </c>
      <c r="AF1" s="16" t="s">
        <v>342</v>
      </c>
      <c r="AG1" s="16" t="s">
        <v>341</v>
      </c>
      <c r="AH1" s="16" t="s">
        <v>340</v>
      </c>
      <c r="AI1" s="16" t="s">
        <v>339</v>
      </c>
      <c r="AJ1" s="16" t="s">
        <v>338</v>
      </c>
      <c r="AK1" s="16" t="s">
        <v>337</v>
      </c>
      <c r="AL1" s="16" t="s">
        <v>336</v>
      </c>
      <c r="AM1" s="16" t="s">
        <v>335</v>
      </c>
      <c r="AN1" s="16" t="s">
        <v>334</v>
      </c>
      <c r="AO1" s="16" t="s">
        <v>333</v>
      </c>
      <c r="AP1" s="16" t="s">
        <v>332</v>
      </c>
      <c r="AQ1" s="16" t="s">
        <v>331</v>
      </c>
      <c r="AR1" s="16" t="s">
        <v>330</v>
      </c>
      <c r="AS1" s="16" t="s">
        <v>329</v>
      </c>
      <c r="AT1" s="16" t="s">
        <v>328</v>
      </c>
      <c r="AU1" s="16" t="s">
        <v>327</v>
      </c>
      <c r="AV1" s="16" t="s">
        <v>326</v>
      </c>
      <c r="AW1" s="16" t="s">
        <v>325</v>
      </c>
      <c r="AX1" s="16" t="s">
        <v>324</v>
      </c>
      <c r="AY1" s="16" t="s">
        <v>323</v>
      </c>
      <c r="AZ1" s="16" t="s">
        <v>322</v>
      </c>
      <c r="BA1" s="16" t="s">
        <v>321</v>
      </c>
      <c r="BB1" s="16" t="s">
        <v>320</v>
      </c>
      <c r="BC1" s="16" t="s">
        <v>319</v>
      </c>
      <c r="BD1" s="16" t="s">
        <v>318</v>
      </c>
      <c r="BE1" s="16" t="s">
        <v>317</v>
      </c>
      <c r="BF1" s="16" t="s">
        <v>316</v>
      </c>
      <c r="BG1" s="16" t="s">
        <v>315</v>
      </c>
      <c r="BH1" s="16" t="s">
        <v>314</v>
      </c>
      <c r="BI1" s="16" t="s">
        <v>313</v>
      </c>
      <c r="BJ1" s="16" t="s">
        <v>312</v>
      </c>
      <c r="BK1" s="16" t="s">
        <v>311</v>
      </c>
      <c r="BL1" s="16" t="s">
        <v>310</v>
      </c>
      <c r="BM1" s="16" t="s">
        <v>309</v>
      </c>
      <c r="BN1" s="16" t="s">
        <v>308</v>
      </c>
      <c r="BO1" s="16" t="s">
        <v>307</v>
      </c>
      <c r="BP1" s="16" t="s">
        <v>306</v>
      </c>
      <c r="BQ1" s="16" t="s">
        <v>305</v>
      </c>
      <c r="BR1" s="16" t="s">
        <v>304</v>
      </c>
      <c r="BS1" s="16" t="s">
        <v>303</v>
      </c>
      <c r="BT1" s="16" t="s">
        <v>302</v>
      </c>
      <c r="BU1" s="16" t="s">
        <v>301</v>
      </c>
      <c r="BV1" s="16" t="s">
        <v>300</v>
      </c>
      <c r="BW1" s="16" t="s">
        <v>299</v>
      </c>
      <c r="BX1" s="16" t="s">
        <v>298</v>
      </c>
      <c r="BY1" s="16" t="s">
        <v>297</v>
      </c>
      <c r="BZ1" s="16" t="s">
        <v>296</v>
      </c>
      <c r="CA1" s="16" t="s">
        <v>295</v>
      </c>
    </row>
    <row r="2" spans="1:79" x14ac:dyDescent="0.2">
      <c r="A2" s="16" t="s">
        <v>519</v>
      </c>
      <c r="B2" s="16" t="s">
        <v>518</v>
      </c>
      <c r="C2" s="16">
        <v>2019</v>
      </c>
      <c r="D2" s="16" t="s">
        <v>460</v>
      </c>
      <c r="E2" s="16">
        <v>2.0190715915075901E+17</v>
      </c>
      <c r="F2" s="16" t="s">
        <v>84</v>
      </c>
      <c r="G2" s="16" t="s">
        <v>517</v>
      </c>
      <c r="H2" s="16">
        <v>1339820</v>
      </c>
      <c r="J2" s="16" t="s">
        <v>83</v>
      </c>
      <c r="K2" s="16" t="s">
        <v>82</v>
      </c>
      <c r="L2" s="16" t="s">
        <v>111</v>
      </c>
      <c r="N2" s="16" t="s">
        <v>417</v>
      </c>
      <c r="O2" s="16" t="s">
        <v>374</v>
      </c>
      <c r="Q2" s="16" t="s">
        <v>20</v>
      </c>
      <c r="R2" s="16" t="s">
        <v>416</v>
      </c>
      <c r="T2" s="16" t="s">
        <v>415</v>
      </c>
      <c r="V2" s="16" t="s">
        <v>423</v>
      </c>
      <c r="X2" s="16" t="s">
        <v>413</v>
      </c>
      <c r="Y2" s="16" t="s">
        <v>32</v>
      </c>
      <c r="Z2" s="16">
        <v>946182113</v>
      </c>
      <c r="AA2" s="16" t="s">
        <v>412</v>
      </c>
      <c r="AB2" s="16" t="s">
        <v>483</v>
      </c>
      <c r="AC2" s="16" t="s">
        <v>111</v>
      </c>
      <c r="AD2" s="16" t="s">
        <v>72</v>
      </c>
      <c r="AE2" s="16" t="s">
        <v>71</v>
      </c>
      <c r="AI2" s="18">
        <v>43582</v>
      </c>
      <c r="AJ2" s="16">
        <v>250</v>
      </c>
      <c r="AK2" s="16">
        <v>250</v>
      </c>
      <c r="BG2" s="16" t="s">
        <v>392</v>
      </c>
      <c r="BI2" s="16" t="s">
        <v>70</v>
      </c>
      <c r="BJ2" s="16">
        <v>2020</v>
      </c>
      <c r="BK2" s="16" t="s">
        <v>69</v>
      </c>
      <c r="BL2" s="16" t="s">
        <v>68</v>
      </c>
      <c r="BM2" s="16" t="s">
        <v>67</v>
      </c>
      <c r="BN2" s="17">
        <v>43666.146225636578</v>
      </c>
      <c r="BP2" s="16" t="s">
        <v>516</v>
      </c>
      <c r="BQ2" s="16" t="s">
        <v>65</v>
      </c>
      <c r="BR2" s="16" t="s">
        <v>126</v>
      </c>
      <c r="BS2" s="16">
        <v>4.07152019165954E+18</v>
      </c>
      <c r="BT2" s="16" t="s">
        <v>63</v>
      </c>
      <c r="BU2" s="16" t="s">
        <v>125</v>
      </c>
      <c r="BV2" s="16">
        <v>2020</v>
      </c>
      <c r="BW2" s="16" t="s">
        <v>61</v>
      </c>
      <c r="BY2" s="16">
        <v>4.0719201916606403E+18</v>
      </c>
      <c r="BZ2" s="16" t="s">
        <v>515</v>
      </c>
      <c r="CA2" s="16" t="s">
        <v>59</v>
      </c>
    </row>
    <row r="3" spans="1:79" x14ac:dyDescent="0.2">
      <c r="A3" s="16" t="s">
        <v>111</v>
      </c>
      <c r="B3" s="16" t="s">
        <v>110</v>
      </c>
      <c r="C3" s="16">
        <v>2019</v>
      </c>
      <c r="D3" s="16" t="s">
        <v>273</v>
      </c>
      <c r="E3" s="16">
        <v>2.0190729915521699E+17</v>
      </c>
      <c r="F3" s="16" t="s">
        <v>84</v>
      </c>
      <c r="G3" s="16" t="s">
        <v>514</v>
      </c>
      <c r="H3" s="16">
        <v>1344765</v>
      </c>
      <c r="J3" s="16" t="s">
        <v>83</v>
      </c>
      <c r="K3" s="16" t="s">
        <v>82</v>
      </c>
      <c r="N3" s="16" t="s">
        <v>417</v>
      </c>
      <c r="O3" s="16" t="s">
        <v>17</v>
      </c>
      <c r="Q3" s="16" t="s">
        <v>80</v>
      </c>
      <c r="R3" s="16" t="s">
        <v>416</v>
      </c>
      <c r="T3" s="16" t="s">
        <v>415</v>
      </c>
      <c r="V3" s="16" t="s">
        <v>414</v>
      </c>
      <c r="X3" s="16" t="s">
        <v>413</v>
      </c>
      <c r="Y3" s="16" t="s">
        <v>32</v>
      </c>
      <c r="Z3" s="16">
        <v>94618</v>
      </c>
      <c r="AA3" s="16" t="s">
        <v>513</v>
      </c>
      <c r="AB3" s="16" t="s">
        <v>483</v>
      </c>
      <c r="AF3" s="16" t="s">
        <v>104</v>
      </c>
      <c r="AI3" s="18">
        <v>43564</v>
      </c>
      <c r="AJ3" s="16">
        <v>100</v>
      </c>
      <c r="AK3" s="16">
        <v>100</v>
      </c>
      <c r="BK3" s="16" t="s">
        <v>69</v>
      </c>
      <c r="BL3" s="16" t="s">
        <v>68</v>
      </c>
      <c r="BM3" s="16" t="s">
        <v>67</v>
      </c>
      <c r="BN3" s="17">
        <v>43706.636727592595</v>
      </c>
      <c r="BR3" s="16" t="s">
        <v>64</v>
      </c>
      <c r="BS3" s="16">
        <v>4.0801201916624399E+18</v>
      </c>
      <c r="BT3" s="16" t="s">
        <v>63</v>
      </c>
      <c r="BU3" s="16" t="s">
        <v>512</v>
      </c>
      <c r="BV3" s="16">
        <v>2020</v>
      </c>
      <c r="BW3" s="16" t="s">
        <v>61</v>
      </c>
      <c r="BY3" s="16">
        <v>4.0828201911201398E+18</v>
      </c>
      <c r="BZ3" s="16" t="s">
        <v>511</v>
      </c>
      <c r="CA3" s="16" t="s">
        <v>59</v>
      </c>
    </row>
    <row r="4" spans="1:79" x14ac:dyDescent="0.2">
      <c r="A4" s="16" t="s">
        <v>494</v>
      </c>
      <c r="B4" s="16" t="s">
        <v>493</v>
      </c>
      <c r="C4" s="16">
        <v>2019</v>
      </c>
      <c r="D4" s="16" t="s">
        <v>377</v>
      </c>
      <c r="E4" s="16">
        <v>2.0191015916420602E+17</v>
      </c>
      <c r="F4" s="16" t="s">
        <v>84</v>
      </c>
      <c r="G4" s="16">
        <v>2292811</v>
      </c>
      <c r="H4" s="16">
        <v>1358125</v>
      </c>
      <c r="J4" s="16" t="s">
        <v>83</v>
      </c>
      <c r="K4" s="16" t="s">
        <v>82</v>
      </c>
      <c r="L4" s="16" t="s">
        <v>111</v>
      </c>
      <c r="N4" s="16" t="s">
        <v>417</v>
      </c>
      <c r="O4" s="16" t="s">
        <v>374</v>
      </c>
      <c r="Q4" s="16" t="s">
        <v>20</v>
      </c>
      <c r="R4" s="16" t="s">
        <v>416</v>
      </c>
      <c r="T4" s="16" t="s">
        <v>415</v>
      </c>
      <c r="V4" s="16" t="s">
        <v>423</v>
      </c>
      <c r="X4" s="16" t="s">
        <v>413</v>
      </c>
      <c r="Y4" s="16" t="s">
        <v>32</v>
      </c>
      <c r="Z4" s="16">
        <v>946182113</v>
      </c>
      <c r="AA4" s="16" t="s">
        <v>412</v>
      </c>
      <c r="AB4" s="16" t="s">
        <v>510</v>
      </c>
      <c r="AC4" s="16" t="s">
        <v>111</v>
      </c>
      <c r="AD4" s="16" t="s">
        <v>72</v>
      </c>
      <c r="AE4" s="16" t="s">
        <v>71</v>
      </c>
      <c r="AI4" s="18">
        <v>43733</v>
      </c>
      <c r="AJ4" s="16">
        <v>250</v>
      </c>
      <c r="AK4" s="16">
        <v>250</v>
      </c>
      <c r="BG4" s="16" t="s">
        <v>392</v>
      </c>
      <c r="BI4" s="16" t="s">
        <v>70</v>
      </c>
      <c r="BJ4" s="16">
        <v>2020</v>
      </c>
      <c r="BK4" s="16" t="s">
        <v>69</v>
      </c>
      <c r="BL4" s="16" t="s">
        <v>68</v>
      </c>
      <c r="BM4" s="16" t="s">
        <v>67</v>
      </c>
      <c r="BN4" s="17">
        <v>43761.115905891202</v>
      </c>
      <c r="BP4" s="16" t="s">
        <v>509</v>
      </c>
      <c r="BQ4" s="16" t="s">
        <v>65</v>
      </c>
      <c r="BR4" s="16" t="s">
        <v>126</v>
      </c>
      <c r="BS4" s="16">
        <v>4.1015201916742001E+18</v>
      </c>
      <c r="BT4" s="16" t="s">
        <v>63</v>
      </c>
      <c r="BU4" s="16" t="s">
        <v>125</v>
      </c>
      <c r="BV4" s="16">
        <v>2020</v>
      </c>
      <c r="BW4" s="16" t="s">
        <v>61</v>
      </c>
      <c r="BY4" s="16">
        <v>4.1022201916751099E+18</v>
      </c>
      <c r="BZ4" s="16" t="s">
        <v>508</v>
      </c>
      <c r="CA4" s="16" t="s">
        <v>59</v>
      </c>
    </row>
    <row r="5" spans="1:79" x14ac:dyDescent="0.2">
      <c r="A5" s="16" t="s">
        <v>176</v>
      </c>
      <c r="B5" s="16" t="s">
        <v>175</v>
      </c>
      <c r="C5" s="16">
        <v>2019</v>
      </c>
      <c r="D5" s="16" t="s">
        <v>460</v>
      </c>
      <c r="E5" s="16">
        <v>2.0191021916525699E+17</v>
      </c>
      <c r="F5" s="16" t="s">
        <v>174</v>
      </c>
      <c r="G5" s="16">
        <v>516084</v>
      </c>
      <c r="H5" s="16">
        <v>1360571</v>
      </c>
      <c r="J5" s="16" t="s">
        <v>83</v>
      </c>
      <c r="K5" s="16" t="s">
        <v>82</v>
      </c>
      <c r="L5" s="16" t="s">
        <v>111</v>
      </c>
      <c r="N5" s="16" t="s">
        <v>417</v>
      </c>
      <c r="O5" s="16" t="s">
        <v>20</v>
      </c>
      <c r="Q5" s="16" t="s">
        <v>20</v>
      </c>
      <c r="R5" s="16" t="s">
        <v>416</v>
      </c>
      <c r="T5" s="16" t="s">
        <v>415</v>
      </c>
      <c r="V5" s="16" t="s">
        <v>423</v>
      </c>
      <c r="X5" s="16" t="s">
        <v>413</v>
      </c>
      <c r="Y5" s="16" t="s">
        <v>32</v>
      </c>
      <c r="Z5" s="16">
        <v>946182113</v>
      </c>
      <c r="AA5" s="16" t="s">
        <v>412</v>
      </c>
      <c r="AB5" s="16" t="s">
        <v>483</v>
      </c>
      <c r="AC5" s="16" t="s">
        <v>111</v>
      </c>
      <c r="AD5" s="16" t="s">
        <v>72</v>
      </c>
      <c r="AE5" s="16" t="s">
        <v>71</v>
      </c>
      <c r="AI5" s="18">
        <v>43582</v>
      </c>
      <c r="AJ5" s="16">
        <v>2800</v>
      </c>
      <c r="AK5" s="16">
        <v>2800</v>
      </c>
      <c r="BG5" s="16" t="s">
        <v>392</v>
      </c>
      <c r="BI5" s="16" t="s">
        <v>70</v>
      </c>
      <c r="BJ5" s="16">
        <v>2020</v>
      </c>
      <c r="BK5" s="16" t="s">
        <v>19</v>
      </c>
      <c r="BL5" s="16" t="s">
        <v>219</v>
      </c>
      <c r="BM5" s="16" t="s">
        <v>67</v>
      </c>
      <c r="BN5" s="17">
        <v>43768.112303229165</v>
      </c>
      <c r="BP5" s="16" t="s">
        <v>507</v>
      </c>
      <c r="BQ5" s="16" t="s">
        <v>163</v>
      </c>
      <c r="BR5" s="16" t="s">
        <v>162</v>
      </c>
      <c r="BS5" s="16">
        <v>4.1021201916749701E+18</v>
      </c>
      <c r="BT5" s="16" t="s">
        <v>63</v>
      </c>
      <c r="BU5" s="16" t="s">
        <v>125</v>
      </c>
      <c r="BV5" s="16">
        <v>2020</v>
      </c>
      <c r="BW5" s="16" t="s">
        <v>61</v>
      </c>
      <c r="BY5" s="16">
        <v>4.1029201916759798E+18</v>
      </c>
      <c r="BZ5" s="16" t="s">
        <v>506</v>
      </c>
      <c r="CA5" s="16" t="s">
        <v>59</v>
      </c>
    </row>
    <row r="6" spans="1:79" x14ac:dyDescent="0.2">
      <c r="A6" s="16" t="s">
        <v>505</v>
      </c>
      <c r="B6" s="16" t="s">
        <v>504</v>
      </c>
      <c r="C6" s="16">
        <v>2020</v>
      </c>
      <c r="D6" s="16" t="s">
        <v>92</v>
      </c>
      <c r="E6" s="16">
        <v>2.0210426944548899E+17</v>
      </c>
      <c r="F6" s="16">
        <v>12</v>
      </c>
      <c r="G6" s="16">
        <v>10904247</v>
      </c>
      <c r="H6" s="16">
        <v>1514451</v>
      </c>
      <c r="J6" s="16" t="s">
        <v>83</v>
      </c>
      <c r="K6" s="16" t="s">
        <v>82</v>
      </c>
      <c r="N6" s="16" t="s">
        <v>417</v>
      </c>
      <c r="O6" s="16" t="s">
        <v>16</v>
      </c>
      <c r="Q6" s="16" t="s">
        <v>80</v>
      </c>
      <c r="R6" s="16" t="s">
        <v>416</v>
      </c>
      <c r="T6" s="16" t="s">
        <v>415</v>
      </c>
      <c r="V6" s="16" t="s">
        <v>423</v>
      </c>
      <c r="X6" s="16" t="s">
        <v>413</v>
      </c>
      <c r="Y6" s="16" t="s">
        <v>32</v>
      </c>
      <c r="Z6" s="16">
        <v>946182113</v>
      </c>
      <c r="AA6" s="16" t="s">
        <v>412</v>
      </c>
      <c r="AB6" s="16" t="s">
        <v>411</v>
      </c>
      <c r="AD6" s="16" t="s">
        <v>398</v>
      </c>
      <c r="AE6" s="16" t="s">
        <v>399</v>
      </c>
      <c r="AG6" s="16" t="s">
        <v>391</v>
      </c>
      <c r="AI6" s="18">
        <v>44086</v>
      </c>
      <c r="AJ6" s="16">
        <v>636.66</v>
      </c>
      <c r="AK6" s="16">
        <v>636.66</v>
      </c>
      <c r="BG6" s="16" t="s">
        <v>20</v>
      </c>
      <c r="BI6" s="16" t="s">
        <v>70</v>
      </c>
      <c r="BK6" s="16" t="s">
        <v>19</v>
      </c>
      <c r="BL6" s="16" t="s">
        <v>219</v>
      </c>
      <c r="BM6" s="16" t="s">
        <v>67</v>
      </c>
      <c r="BN6" s="17">
        <v>44325.150081793981</v>
      </c>
      <c r="BP6" s="16">
        <v>10519213</v>
      </c>
      <c r="BQ6" s="16" t="s">
        <v>403</v>
      </c>
      <c r="BR6" s="16" t="s">
        <v>64</v>
      </c>
      <c r="BS6" s="16">
        <v>4.0426202112790702E+18</v>
      </c>
      <c r="BT6" s="16" t="s">
        <v>63</v>
      </c>
      <c r="BU6" s="16" t="s">
        <v>429</v>
      </c>
      <c r="BV6" s="16">
        <v>2020</v>
      </c>
      <c r="BW6" s="16" t="s">
        <v>61</v>
      </c>
      <c r="BY6" s="16">
        <v>4.0509202112926899E+18</v>
      </c>
      <c r="BZ6" s="16" t="s">
        <v>503</v>
      </c>
      <c r="CA6" s="16" t="s">
        <v>405</v>
      </c>
    </row>
    <row r="7" spans="1:79" x14ac:dyDescent="0.2">
      <c r="A7" s="16" t="s">
        <v>502</v>
      </c>
      <c r="B7" s="16" t="s">
        <v>501</v>
      </c>
      <c r="C7" s="16">
        <v>2020</v>
      </c>
      <c r="D7" s="16" t="s">
        <v>92</v>
      </c>
      <c r="E7" s="16">
        <v>2.0210511944644499E+17</v>
      </c>
      <c r="F7" s="16" t="s">
        <v>84</v>
      </c>
      <c r="G7" s="16" t="s">
        <v>500</v>
      </c>
      <c r="H7" s="16">
        <v>1515686</v>
      </c>
      <c r="J7" s="16" t="s">
        <v>83</v>
      </c>
      <c r="K7" s="16" t="s">
        <v>82</v>
      </c>
      <c r="N7" s="16" t="s">
        <v>417</v>
      </c>
      <c r="O7" s="16" t="s">
        <v>16</v>
      </c>
      <c r="Q7" s="16" t="s">
        <v>80</v>
      </c>
      <c r="R7" s="16" t="s">
        <v>416</v>
      </c>
      <c r="T7" s="16" t="s">
        <v>415</v>
      </c>
      <c r="V7" s="16" t="s">
        <v>414</v>
      </c>
      <c r="X7" s="16" t="s">
        <v>413</v>
      </c>
      <c r="Y7" s="16" t="s">
        <v>32</v>
      </c>
      <c r="Z7" s="16">
        <v>94618</v>
      </c>
      <c r="AA7" s="16" t="s">
        <v>412</v>
      </c>
      <c r="AB7" s="16" t="s">
        <v>411</v>
      </c>
      <c r="AD7" s="16" t="s">
        <v>398</v>
      </c>
      <c r="AE7" s="16" t="s">
        <v>399</v>
      </c>
      <c r="AG7" s="16" t="s">
        <v>391</v>
      </c>
      <c r="AI7" s="18">
        <v>44086</v>
      </c>
      <c r="AJ7" s="16">
        <v>636.66</v>
      </c>
      <c r="AK7" s="16">
        <v>636.66</v>
      </c>
      <c r="BG7" s="16" t="s">
        <v>20</v>
      </c>
      <c r="BI7" s="16" t="s">
        <v>70</v>
      </c>
      <c r="BK7" s="16" t="s">
        <v>19</v>
      </c>
      <c r="BL7" s="16" t="s">
        <v>219</v>
      </c>
      <c r="BM7" s="16" t="s">
        <v>67</v>
      </c>
      <c r="BN7" s="17">
        <v>44329.15079890046</v>
      </c>
      <c r="BR7" s="16" t="s">
        <v>64</v>
      </c>
      <c r="BS7" s="16">
        <v>4.05122021129282E+18</v>
      </c>
      <c r="BT7" s="16" t="s">
        <v>63</v>
      </c>
      <c r="BU7" s="16" t="s">
        <v>410</v>
      </c>
      <c r="BV7" s="16">
        <v>2020</v>
      </c>
      <c r="BW7" s="16" t="s">
        <v>61</v>
      </c>
      <c r="BY7" s="16">
        <v>4.0513202112928998E+18</v>
      </c>
      <c r="BZ7" s="16" t="s">
        <v>499</v>
      </c>
      <c r="CA7" s="16" t="s">
        <v>59</v>
      </c>
    </row>
    <row r="8" spans="1:79" x14ac:dyDescent="0.2">
      <c r="A8" s="16" t="s">
        <v>498</v>
      </c>
      <c r="B8" s="16" t="s">
        <v>497</v>
      </c>
      <c r="C8" s="16">
        <v>2020</v>
      </c>
      <c r="D8" s="16" t="s">
        <v>140</v>
      </c>
      <c r="E8" s="16">
        <v>2.0210304944017501E+17</v>
      </c>
      <c r="F8" s="16" t="s">
        <v>84</v>
      </c>
      <c r="G8" s="16" t="s">
        <v>496</v>
      </c>
      <c r="H8" s="16">
        <v>1502854</v>
      </c>
      <c r="J8" s="16" t="s">
        <v>83</v>
      </c>
      <c r="K8" s="16" t="s">
        <v>82</v>
      </c>
      <c r="N8" s="16" t="s">
        <v>417</v>
      </c>
      <c r="O8" s="16" t="s">
        <v>16</v>
      </c>
      <c r="Q8" s="16" t="s">
        <v>80</v>
      </c>
      <c r="R8" s="16" t="s">
        <v>416</v>
      </c>
      <c r="T8" s="16" t="s">
        <v>415</v>
      </c>
      <c r="V8" s="16" t="s">
        <v>414</v>
      </c>
      <c r="X8" s="16" t="s">
        <v>413</v>
      </c>
      <c r="Y8" s="16" t="s">
        <v>32</v>
      </c>
      <c r="Z8" s="16">
        <v>94618</v>
      </c>
      <c r="AA8" s="16" t="s">
        <v>412</v>
      </c>
      <c r="AB8" s="16" t="s">
        <v>411</v>
      </c>
      <c r="AD8" s="16" t="s">
        <v>398</v>
      </c>
      <c r="AE8" s="16" t="s">
        <v>399</v>
      </c>
      <c r="AG8" s="16" t="s">
        <v>391</v>
      </c>
      <c r="AI8" s="18">
        <v>44086</v>
      </c>
      <c r="AJ8" s="16">
        <v>636.66999999999996</v>
      </c>
      <c r="AK8" s="16">
        <v>636.66999999999996</v>
      </c>
      <c r="BG8" s="16" t="s">
        <v>20</v>
      </c>
      <c r="BI8" s="16" t="s">
        <v>70</v>
      </c>
      <c r="BK8" s="16" t="s">
        <v>69</v>
      </c>
      <c r="BL8" s="16" t="s">
        <v>68</v>
      </c>
      <c r="BM8" s="16" t="s">
        <v>67</v>
      </c>
      <c r="BN8" s="17">
        <v>44264.156958391206</v>
      </c>
      <c r="BR8" s="16" t="s">
        <v>64</v>
      </c>
      <c r="BS8" s="16">
        <v>4.03042021122526E+18</v>
      </c>
      <c r="BT8" s="16" t="s">
        <v>63</v>
      </c>
      <c r="BU8" s="16" t="s">
        <v>410</v>
      </c>
      <c r="BV8" s="16">
        <v>2020</v>
      </c>
      <c r="BW8" s="16" t="s">
        <v>61</v>
      </c>
      <c r="BY8" s="16">
        <v>4.0309202112277801E+18</v>
      </c>
      <c r="BZ8" s="16" t="s">
        <v>495</v>
      </c>
      <c r="CA8" s="16" t="s">
        <v>59</v>
      </c>
    </row>
    <row r="9" spans="1:79" x14ac:dyDescent="0.2">
      <c r="A9" s="16" t="s">
        <v>494</v>
      </c>
      <c r="B9" s="16" t="s">
        <v>493</v>
      </c>
      <c r="C9" s="16">
        <v>2020</v>
      </c>
      <c r="D9" s="16" t="s">
        <v>492</v>
      </c>
      <c r="E9" s="16">
        <v>2.0200709924439699E+17</v>
      </c>
      <c r="F9" s="16" t="s">
        <v>84</v>
      </c>
      <c r="G9" s="16">
        <v>2734868</v>
      </c>
      <c r="H9" s="16">
        <v>1418380</v>
      </c>
      <c r="J9" s="16" t="s">
        <v>83</v>
      </c>
      <c r="K9" s="16" t="s">
        <v>82</v>
      </c>
      <c r="L9" s="16" t="s">
        <v>111</v>
      </c>
      <c r="N9" s="16" t="s">
        <v>417</v>
      </c>
      <c r="O9" s="16" t="s">
        <v>374</v>
      </c>
      <c r="Q9" s="16" t="s">
        <v>20</v>
      </c>
      <c r="R9" s="16" t="s">
        <v>416</v>
      </c>
      <c r="T9" s="16" t="s">
        <v>415</v>
      </c>
      <c r="V9" s="16" t="s">
        <v>423</v>
      </c>
      <c r="X9" s="16" t="s">
        <v>413</v>
      </c>
      <c r="Y9" s="16" t="s">
        <v>32</v>
      </c>
      <c r="Z9" s="16">
        <v>946182113</v>
      </c>
      <c r="AA9" s="16" t="s">
        <v>412</v>
      </c>
      <c r="AB9" s="16" t="s">
        <v>130</v>
      </c>
      <c r="AC9" s="16" t="s">
        <v>111</v>
      </c>
      <c r="AD9" s="16" t="s">
        <v>72</v>
      </c>
      <c r="AE9" s="16" t="s">
        <v>71</v>
      </c>
      <c r="AI9" s="18">
        <v>43872</v>
      </c>
      <c r="AJ9" s="16">
        <v>250</v>
      </c>
      <c r="AK9" s="16">
        <v>500</v>
      </c>
      <c r="BG9" s="16" t="s">
        <v>392</v>
      </c>
      <c r="BI9" s="16" t="s">
        <v>70</v>
      </c>
      <c r="BJ9" s="16">
        <v>2020</v>
      </c>
      <c r="BK9" s="16" t="s">
        <v>19</v>
      </c>
      <c r="BL9" s="16" t="s">
        <v>219</v>
      </c>
      <c r="BM9" s="16" t="s">
        <v>67</v>
      </c>
      <c r="BN9" s="17">
        <v>44027.076414374998</v>
      </c>
      <c r="BP9" s="16" t="s">
        <v>491</v>
      </c>
      <c r="BQ9" s="16" t="s">
        <v>65</v>
      </c>
      <c r="BR9" s="16" t="s">
        <v>126</v>
      </c>
      <c r="BS9" s="16">
        <v>4.0709202017799598E+18</v>
      </c>
      <c r="BT9" s="16" t="s">
        <v>63</v>
      </c>
      <c r="BU9" s="16" t="s">
        <v>125</v>
      </c>
      <c r="BV9" s="16">
        <v>2020</v>
      </c>
      <c r="BW9" s="16" t="s">
        <v>61</v>
      </c>
      <c r="BY9" s="16">
        <v>4.0714202017905603E+18</v>
      </c>
      <c r="BZ9" s="16" t="s">
        <v>490</v>
      </c>
      <c r="CA9" s="16" t="s">
        <v>59</v>
      </c>
    </row>
    <row r="10" spans="1:79" x14ac:dyDescent="0.2">
      <c r="A10" s="16" t="s">
        <v>489</v>
      </c>
      <c r="B10" s="16" t="s">
        <v>488</v>
      </c>
      <c r="C10" s="16">
        <v>2019</v>
      </c>
      <c r="D10" s="16" t="s">
        <v>460</v>
      </c>
      <c r="E10" s="16">
        <v>2.02003249215924E+17</v>
      </c>
      <c r="F10" s="16" t="s">
        <v>174</v>
      </c>
      <c r="G10" s="16">
        <v>1807677</v>
      </c>
      <c r="H10" s="16">
        <v>1391947</v>
      </c>
      <c r="J10" s="16" t="s">
        <v>83</v>
      </c>
      <c r="K10" s="16" t="s">
        <v>82</v>
      </c>
      <c r="N10" s="16" t="s">
        <v>417</v>
      </c>
      <c r="O10" s="16" t="s">
        <v>20</v>
      </c>
      <c r="Q10" s="16" t="s">
        <v>20</v>
      </c>
      <c r="R10" s="16" t="s">
        <v>416</v>
      </c>
      <c r="T10" s="16" t="s">
        <v>415</v>
      </c>
      <c r="V10" s="16" t="s">
        <v>423</v>
      </c>
      <c r="X10" s="16" t="s">
        <v>413</v>
      </c>
      <c r="Y10" s="16" t="s">
        <v>32</v>
      </c>
      <c r="Z10" s="16">
        <v>946182113</v>
      </c>
      <c r="AA10" s="16" t="s">
        <v>412</v>
      </c>
      <c r="AB10" s="16" t="s">
        <v>130</v>
      </c>
      <c r="AD10" s="16">
        <v>15</v>
      </c>
      <c r="AE10" s="16" t="s">
        <v>200</v>
      </c>
      <c r="AI10" s="18">
        <v>43593</v>
      </c>
      <c r="AJ10" s="16">
        <v>2800</v>
      </c>
      <c r="AK10" s="16">
        <v>2800</v>
      </c>
      <c r="BG10" s="16" t="s">
        <v>392</v>
      </c>
      <c r="BH10" s="16" t="s">
        <v>70</v>
      </c>
      <c r="BI10" s="16" t="s">
        <v>70</v>
      </c>
      <c r="BJ10" s="16">
        <v>2020</v>
      </c>
      <c r="BK10" s="16" t="s">
        <v>69</v>
      </c>
      <c r="BL10" s="16" t="s">
        <v>68</v>
      </c>
      <c r="BM10" s="16" t="s">
        <v>67</v>
      </c>
      <c r="BN10" s="17">
        <v>44079.17055127315</v>
      </c>
      <c r="BR10" s="16" t="s">
        <v>162</v>
      </c>
      <c r="BS10" s="16">
        <v>4.03252020171475E+18</v>
      </c>
      <c r="BT10" s="16" t="s">
        <v>63</v>
      </c>
      <c r="BV10" s="16">
        <v>2020</v>
      </c>
      <c r="BW10" s="16" t="s">
        <v>61</v>
      </c>
      <c r="BY10" s="16">
        <v>4.0328202017183698E+18</v>
      </c>
      <c r="BZ10" s="16" t="s">
        <v>487</v>
      </c>
      <c r="CA10" s="16" t="s">
        <v>59</v>
      </c>
    </row>
    <row r="11" spans="1:79" x14ac:dyDescent="0.2">
      <c r="A11" s="16" t="s">
        <v>387</v>
      </c>
      <c r="B11" s="16" t="s">
        <v>388</v>
      </c>
      <c r="C11" s="16">
        <v>2020</v>
      </c>
      <c r="D11" s="16" t="s">
        <v>85</v>
      </c>
      <c r="E11" s="16">
        <v>2.0201214938734E+17</v>
      </c>
      <c r="F11" s="16">
        <v>12</v>
      </c>
      <c r="G11" s="16">
        <v>36779590</v>
      </c>
      <c r="H11" s="16">
        <v>1482850</v>
      </c>
      <c r="J11" s="16" t="s">
        <v>83</v>
      </c>
      <c r="K11" s="16" t="s">
        <v>82</v>
      </c>
      <c r="N11" s="16" t="s">
        <v>417</v>
      </c>
      <c r="O11" s="16" t="s">
        <v>16</v>
      </c>
      <c r="Q11" s="16" t="s">
        <v>80</v>
      </c>
      <c r="R11" s="16" t="s">
        <v>416</v>
      </c>
      <c r="T11" s="16" t="s">
        <v>415</v>
      </c>
      <c r="V11" s="16" t="s">
        <v>423</v>
      </c>
      <c r="X11" s="16" t="s">
        <v>413</v>
      </c>
      <c r="Y11" s="16" t="s">
        <v>32</v>
      </c>
      <c r="Z11" s="16">
        <v>946182113</v>
      </c>
      <c r="AA11" s="16" t="s">
        <v>412</v>
      </c>
      <c r="AB11" s="16" t="s">
        <v>411</v>
      </c>
      <c r="AD11" s="16" t="s">
        <v>398</v>
      </c>
      <c r="AE11" s="16" t="s">
        <v>399</v>
      </c>
      <c r="AG11" s="16" t="s">
        <v>391</v>
      </c>
      <c r="AI11" s="18">
        <v>44035</v>
      </c>
      <c r="AJ11" s="16">
        <v>25000</v>
      </c>
      <c r="AK11" s="16">
        <v>25000</v>
      </c>
      <c r="BG11" s="16" t="s">
        <v>166</v>
      </c>
      <c r="BI11" s="16" t="s">
        <v>165</v>
      </c>
      <c r="BJ11" s="16">
        <v>2020</v>
      </c>
      <c r="BK11" s="16" t="s">
        <v>69</v>
      </c>
      <c r="BL11" s="16" t="s">
        <v>68</v>
      </c>
      <c r="BM11" s="16" t="s">
        <v>67</v>
      </c>
      <c r="BN11" s="17">
        <v>44183.153593622686</v>
      </c>
      <c r="BP11" s="16">
        <v>36524305</v>
      </c>
      <c r="BQ11" s="16" t="s">
        <v>403</v>
      </c>
      <c r="BR11" s="16" t="s">
        <v>64</v>
      </c>
      <c r="BS11" s="16">
        <v>4.1216202019742802E+18</v>
      </c>
      <c r="BT11" s="16" t="s">
        <v>63</v>
      </c>
      <c r="BU11" s="16" t="s">
        <v>429</v>
      </c>
      <c r="BV11" s="16">
        <v>2020</v>
      </c>
      <c r="BW11" s="16" t="s">
        <v>61</v>
      </c>
      <c r="BY11" s="16">
        <v>4.1218202019770301E+18</v>
      </c>
      <c r="BZ11" s="16" t="s">
        <v>486</v>
      </c>
      <c r="CA11" s="16" t="s">
        <v>405</v>
      </c>
    </row>
    <row r="12" spans="1:79" x14ac:dyDescent="0.2">
      <c r="A12" s="16" t="s">
        <v>485</v>
      </c>
      <c r="B12" s="16" t="s">
        <v>484</v>
      </c>
      <c r="C12" s="16">
        <v>2020</v>
      </c>
      <c r="D12" s="16" t="s">
        <v>235</v>
      </c>
      <c r="E12" s="16">
        <v>2.0200715924994099E+17</v>
      </c>
      <c r="F12" s="16" t="s">
        <v>174</v>
      </c>
      <c r="G12" s="16">
        <v>1358716</v>
      </c>
      <c r="H12" s="16">
        <v>1424472</v>
      </c>
      <c r="J12" s="16" t="s">
        <v>83</v>
      </c>
      <c r="K12" s="16" t="s">
        <v>82</v>
      </c>
      <c r="N12" s="16" t="s">
        <v>417</v>
      </c>
      <c r="O12" s="16" t="s">
        <v>20</v>
      </c>
      <c r="Q12" s="16" t="s">
        <v>20</v>
      </c>
      <c r="R12" s="16" t="s">
        <v>416</v>
      </c>
      <c r="T12" s="16" t="s">
        <v>415</v>
      </c>
      <c r="V12" s="16" t="s">
        <v>423</v>
      </c>
      <c r="X12" s="16" t="s">
        <v>413</v>
      </c>
      <c r="Y12" s="16" t="s">
        <v>32</v>
      </c>
      <c r="Z12" s="16">
        <v>946182113</v>
      </c>
      <c r="AA12" s="16" t="s">
        <v>412</v>
      </c>
      <c r="AB12" s="16" t="s">
        <v>483</v>
      </c>
      <c r="AD12" s="16" t="s">
        <v>72</v>
      </c>
      <c r="AE12" s="16" t="s">
        <v>71</v>
      </c>
      <c r="AI12" s="18">
        <v>43868</v>
      </c>
      <c r="AJ12" s="16">
        <v>1000</v>
      </c>
      <c r="AK12" s="16">
        <v>1000</v>
      </c>
      <c r="BG12" s="16" t="s">
        <v>392</v>
      </c>
      <c r="BI12" s="16" t="s">
        <v>70</v>
      </c>
      <c r="BJ12" s="16">
        <v>2020</v>
      </c>
      <c r="BK12" s="16" t="s">
        <v>69</v>
      </c>
      <c r="BL12" s="16" t="s">
        <v>68</v>
      </c>
      <c r="BM12" s="16" t="s">
        <v>67</v>
      </c>
      <c r="BN12" s="17">
        <v>44033.136137280089</v>
      </c>
      <c r="BP12" s="16" t="s">
        <v>482</v>
      </c>
      <c r="BQ12" s="16" t="s">
        <v>163</v>
      </c>
      <c r="BR12" s="16" t="s">
        <v>162</v>
      </c>
      <c r="BS12" s="16">
        <v>4.0716202017908598E+18</v>
      </c>
      <c r="BT12" s="16" t="s">
        <v>63</v>
      </c>
      <c r="BU12" s="16" t="s">
        <v>125</v>
      </c>
      <c r="BV12" s="16">
        <v>2020</v>
      </c>
      <c r="BW12" s="16" t="s">
        <v>61</v>
      </c>
      <c r="BY12" s="16">
        <v>4.0720202017919401E+18</v>
      </c>
      <c r="BZ12" s="16" t="s">
        <v>481</v>
      </c>
      <c r="CA12" s="16" t="s">
        <v>59</v>
      </c>
    </row>
    <row r="13" spans="1:79" x14ac:dyDescent="0.2">
      <c r="A13" s="16" t="s">
        <v>480</v>
      </c>
      <c r="B13" s="16" t="s">
        <v>479</v>
      </c>
      <c r="C13" s="16">
        <v>2020</v>
      </c>
      <c r="D13" s="16" t="s">
        <v>92</v>
      </c>
      <c r="E13" s="16">
        <v>2.02104059443068E+17</v>
      </c>
      <c r="F13" s="16" t="s">
        <v>84</v>
      </c>
      <c r="G13" s="16" t="s">
        <v>478</v>
      </c>
      <c r="H13" s="16">
        <v>1507807</v>
      </c>
      <c r="J13" s="16" t="s">
        <v>83</v>
      </c>
      <c r="K13" s="16" t="s">
        <v>82</v>
      </c>
      <c r="N13" s="16" t="s">
        <v>417</v>
      </c>
      <c r="O13" s="16" t="s">
        <v>16</v>
      </c>
      <c r="Q13" s="16" t="s">
        <v>80</v>
      </c>
      <c r="R13" s="16" t="s">
        <v>416</v>
      </c>
      <c r="T13" s="16" t="s">
        <v>415</v>
      </c>
      <c r="V13" s="16" t="s">
        <v>414</v>
      </c>
      <c r="X13" s="16" t="s">
        <v>413</v>
      </c>
      <c r="Y13" s="16" t="s">
        <v>32</v>
      </c>
      <c r="Z13" s="16">
        <v>94618</v>
      </c>
      <c r="AA13" s="16" t="s">
        <v>412</v>
      </c>
      <c r="AB13" s="16" t="s">
        <v>411</v>
      </c>
      <c r="AD13" s="16" t="s">
        <v>398</v>
      </c>
      <c r="AE13" s="16" t="s">
        <v>399</v>
      </c>
      <c r="AG13" s="16" t="s">
        <v>391</v>
      </c>
      <c r="AI13" s="18">
        <v>44086</v>
      </c>
      <c r="AJ13" s="16">
        <v>636.66999999999996</v>
      </c>
      <c r="AK13" s="16">
        <v>636.66999999999996</v>
      </c>
      <c r="BG13" s="16" t="s">
        <v>20</v>
      </c>
      <c r="BI13" s="16" t="s">
        <v>70</v>
      </c>
      <c r="BK13" s="16" t="s">
        <v>19</v>
      </c>
      <c r="BL13" s="16" t="s">
        <v>219</v>
      </c>
      <c r="BM13" s="16" t="s">
        <v>67</v>
      </c>
      <c r="BN13" s="17">
        <v>44294.182206678241</v>
      </c>
      <c r="BR13" s="16" t="s">
        <v>64</v>
      </c>
      <c r="BS13" s="16">
        <v>4.04072021127648E+18</v>
      </c>
      <c r="BT13" s="16" t="s">
        <v>63</v>
      </c>
      <c r="BU13" s="16" t="s">
        <v>410</v>
      </c>
      <c r="BV13" s="16">
        <v>2020</v>
      </c>
      <c r="BW13" s="16" t="s">
        <v>61</v>
      </c>
      <c r="BY13" s="16">
        <v>4.0407202112764902E+18</v>
      </c>
      <c r="BZ13" s="16" t="s">
        <v>477</v>
      </c>
      <c r="CA13" s="16" t="s">
        <v>59</v>
      </c>
    </row>
    <row r="14" spans="1:79" x14ac:dyDescent="0.2">
      <c r="A14" s="16" t="s">
        <v>176</v>
      </c>
      <c r="B14" s="16" t="s">
        <v>175</v>
      </c>
      <c r="C14" s="16">
        <v>2020</v>
      </c>
      <c r="D14" s="16" t="s">
        <v>85</v>
      </c>
      <c r="E14" s="16">
        <v>2.02009209276532E+17</v>
      </c>
      <c r="F14" s="16">
        <v>18</v>
      </c>
      <c r="G14" s="16">
        <v>13826562</v>
      </c>
      <c r="H14" s="16">
        <v>1440320</v>
      </c>
      <c r="J14" s="16" t="s">
        <v>83</v>
      </c>
      <c r="K14" s="16" t="s">
        <v>82</v>
      </c>
      <c r="N14" s="16" t="s">
        <v>417</v>
      </c>
      <c r="O14" s="16" t="s">
        <v>20</v>
      </c>
      <c r="Q14" s="16" t="s">
        <v>20</v>
      </c>
      <c r="R14" s="16" t="s">
        <v>416</v>
      </c>
      <c r="T14" s="16" t="s">
        <v>415</v>
      </c>
      <c r="V14" s="16" t="s">
        <v>423</v>
      </c>
      <c r="X14" s="16" t="s">
        <v>413</v>
      </c>
      <c r="Y14" s="16" t="s">
        <v>32</v>
      </c>
      <c r="Z14" s="16">
        <v>946182113</v>
      </c>
      <c r="AA14" s="16" t="s">
        <v>412</v>
      </c>
      <c r="AB14" s="16" t="s">
        <v>411</v>
      </c>
      <c r="AD14" s="16" t="s">
        <v>398</v>
      </c>
      <c r="AE14" s="16" t="s">
        <v>399</v>
      </c>
      <c r="AG14" s="16" t="s">
        <v>391</v>
      </c>
      <c r="AI14" s="18">
        <v>43952</v>
      </c>
      <c r="AJ14" s="16">
        <v>2800</v>
      </c>
      <c r="AK14" s="16">
        <v>5600</v>
      </c>
      <c r="BG14" s="16" t="s">
        <v>166</v>
      </c>
      <c r="BI14" s="16" t="s">
        <v>165</v>
      </c>
      <c r="BJ14" s="16">
        <v>2020</v>
      </c>
      <c r="BK14" s="16" t="s">
        <v>69</v>
      </c>
      <c r="BL14" s="16" t="s">
        <v>68</v>
      </c>
      <c r="BM14" s="16" t="s">
        <v>67</v>
      </c>
      <c r="BN14" s="17">
        <v>44104.184709814814</v>
      </c>
      <c r="BP14" s="16">
        <v>9226555</v>
      </c>
      <c r="BQ14" s="16" t="s">
        <v>400</v>
      </c>
      <c r="BR14" s="16" t="s">
        <v>162</v>
      </c>
      <c r="BS14" s="16">
        <v>4.0922202018492001E+18</v>
      </c>
      <c r="BT14" s="16" t="s">
        <v>63</v>
      </c>
      <c r="BU14" s="16" t="s">
        <v>429</v>
      </c>
      <c r="BV14" s="16">
        <v>2020</v>
      </c>
      <c r="BW14" s="16" t="s">
        <v>61</v>
      </c>
      <c r="BY14" s="16">
        <v>4.09302020185346E+18</v>
      </c>
      <c r="BZ14" s="16" t="s">
        <v>476</v>
      </c>
      <c r="CA14" s="16" t="s">
        <v>402</v>
      </c>
    </row>
    <row r="15" spans="1:79" x14ac:dyDescent="0.2">
      <c r="A15" s="16" t="s">
        <v>475</v>
      </c>
      <c r="B15" s="16" t="s">
        <v>474</v>
      </c>
      <c r="C15" s="16">
        <v>2020</v>
      </c>
      <c r="D15" s="16" t="s">
        <v>92</v>
      </c>
      <c r="E15" s="16">
        <v>2.0210512944668301E+17</v>
      </c>
      <c r="F15" s="16" t="s">
        <v>84</v>
      </c>
      <c r="G15" s="16" t="s">
        <v>473</v>
      </c>
      <c r="H15" s="16">
        <v>1515964</v>
      </c>
      <c r="J15" s="16" t="s">
        <v>83</v>
      </c>
      <c r="K15" s="16" t="s">
        <v>82</v>
      </c>
      <c r="N15" s="16" t="s">
        <v>417</v>
      </c>
      <c r="O15" s="16" t="s">
        <v>16</v>
      </c>
      <c r="Q15" s="16" t="s">
        <v>80</v>
      </c>
      <c r="R15" s="16" t="s">
        <v>416</v>
      </c>
      <c r="T15" s="16" t="s">
        <v>415</v>
      </c>
      <c r="V15" s="16" t="s">
        <v>414</v>
      </c>
      <c r="X15" s="16" t="s">
        <v>413</v>
      </c>
      <c r="Y15" s="16" t="s">
        <v>32</v>
      </c>
      <c r="Z15" s="16">
        <v>94618</v>
      </c>
      <c r="AA15" s="16" t="s">
        <v>412</v>
      </c>
      <c r="AB15" s="16" t="s">
        <v>411</v>
      </c>
      <c r="AD15" s="16" t="s">
        <v>398</v>
      </c>
      <c r="AE15" s="16" t="s">
        <v>399</v>
      </c>
      <c r="AG15" s="16" t="s">
        <v>391</v>
      </c>
      <c r="AI15" s="18">
        <v>44086</v>
      </c>
      <c r="AJ15" s="16">
        <v>636.66999999999996</v>
      </c>
      <c r="AK15" s="16">
        <v>636.66999999999996</v>
      </c>
      <c r="BG15" s="16" t="s">
        <v>20</v>
      </c>
      <c r="BI15" s="16" t="s">
        <v>70</v>
      </c>
      <c r="BK15" s="16" t="s">
        <v>19</v>
      </c>
      <c r="BL15" s="16" t="s">
        <v>219</v>
      </c>
      <c r="BM15" s="16" t="s">
        <v>67</v>
      </c>
      <c r="BN15" s="17">
        <v>44330.149919456017</v>
      </c>
      <c r="BR15" s="16" t="s">
        <v>64</v>
      </c>
      <c r="BS15" s="16">
        <v>4.0513202112928799E+18</v>
      </c>
      <c r="BT15" s="16" t="s">
        <v>63</v>
      </c>
      <c r="BU15" s="16" t="s">
        <v>410</v>
      </c>
      <c r="BV15" s="16">
        <v>2020</v>
      </c>
      <c r="BW15" s="16" t="s">
        <v>61</v>
      </c>
      <c r="BY15" s="16">
        <v>4.0514202112929802E+18</v>
      </c>
      <c r="BZ15" s="16" t="s">
        <v>472</v>
      </c>
      <c r="CA15" s="16" t="s">
        <v>59</v>
      </c>
    </row>
    <row r="16" spans="1:79" x14ac:dyDescent="0.2">
      <c r="A16" s="16" t="s">
        <v>471</v>
      </c>
      <c r="B16" s="16" t="s">
        <v>470</v>
      </c>
      <c r="C16" s="16">
        <v>2020</v>
      </c>
      <c r="D16" s="16" t="s">
        <v>92</v>
      </c>
      <c r="E16" s="16">
        <v>2.0210222942880099E+17</v>
      </c>
      <c r="F16" s="16">
        <v>12</v>
      </c>
      <c r="G16" s="16">
        <v>10874206</v>
      </c>
      <c r="H16" s="16">
        <v>1501777</v>
      </c>
      <c r="J16" s="16" t="s">
        <v>83</v>
      </c>
      <c r="K16" s="16" t="s">
        <v>82</v>
      </c>
      <c r="N16" s="16" t="s">
        <v>417</v>
      </c>
      <c r="O16" s="16" t="s">
        <v>16</v>
      </c>
      <c r="Q16" s="16" t="s">
        <v>80</v>
      </c>
      <c r="R16" s="16" t="s">
        <v>416</v>
      </c>
      <c r="T16" s="16" t="s">
        <v>415</v>
      </c>
      <c r="V16" s="16" t="s">
        <v>423</v>
      </c>
      <c r="X16" s="16" t="s">
        <v>413</v>
      </c>
      <c r="Y16" s="16" t="s">
        <v>32</v>
      </c>
      <c r="Z16" s="16">
        <v>946182113</v>
      </c>
      <c r="AA16" s="16" t="s">
        <v>412</v>
      </c>
      <c r="AB16" s="16" t="s">
        <v>411</v>
      </c>
      <c r="AD16" s="16" t="s">
        <v>398</v>
      </c>
      <c r="AE16" s="16" t="s">
        <v>399</v>
      </c>
      <c r="AG16" s="16" t="s">
        <v>391</v>
      </c>
      <c r="AI16" s="18">
        <v>44086</v>
      </c>
      <c r="AJ16" s="16">
        <v>636.66999999999996</v>
      </c>
      <c r="AK16" s="16">
        <v>636.66999999999996</v>
      </c>
      <c r="BG16" s="16" t="s">
        <v>20</v>
      </c>
      <c r="BI16" s="16" t="s">
        <v>70</v>
      </c>
      <c r="BK16" s="16" t="s">
        <v>19</v>
      </c>
      <c r="BL16" s="16" t="s">
        <v>219</v>
      </c>
      <c r="BM16" s="16" t="s">
        <v>67</v>
      </c>
      <c r="BN16" s="17">
        <v>44258.579054074071</v>
      </c>
      <c r="BP16" s="16">
        <v>10873130</v>
      </c>
      <c r="BQ16" s="16" t="s">
        <v>403</v>
      </c>
      <c r="BR16" s="16" t="s">
        <v>64</v>
      </c>
      <c r="BS16" s="16">
        <v>4.02232021116399E+18</v>
      </c>
      <c r="BT16" s="16" t="s">
        <v>63</v>
      </c>
      <c r="BU16" s="16" t="s">
        <v>469</v>
      </c>
      <c r="BV16" s="16">
        <v>2020</v>
      </c>
      <c r="BW16" s="16" t="s">
        <v>61</v>
      </c>
      <c r="BY16" s="16">
        <v>4.0302202111904701E+18</v>
      </c>
      <c r="BZ16" s="16" t="s">
        <v>468</v>
      </c>
      <c r="CA16" s="16" t="s">
        <v>405</v>
      </c>
    </row>
    <row r="17" spans="1:79" x14ac:dyDescent="0.2">
      <c r="A17" s="16" t="s">
        <v>467</v>
      </c>
      <c r="B17" s="16" t="s">
        <v>466</v>
      </c>
      <c r="C17" s="16">
        <v>2020</v>
      </c>
      <c r="D17" s="16" t="s">
        <v>377</v>
      </c>
      <c r="E17" s="16">
        <v>2.0201015929431901E+17</v>
      </c>
      <c r="F17" s="16" t="s">
        <v>84</v>
      </c>
      <c r="G17" s="16" t="s">
        <v>465</v>
      </c>
      <c r="H17" s="16">
        <v>1450186</v>
      </c>
      <c r="J17" s="16" t="s">
        <v>83</v>
      </c>
      <c r="K17" s="16" t="s">
        <v>82</v>
      </c>
      <c r="N17" s="16" t="s">
        <v>417</v>
      </c>
      <c r="O17" s="16" t="s">
        <v>374</v>
      </c>
      <c r="Q17" s="16" t="s">
        <v>20</v>
      </c>
      <c r="R17" s="16" t="s">
        <v>416</v>
      </c>
      <c r="T17" s="16" t="s">
        <v>415</v>
      </c>
      <c r="V17" s="16" t="s">
        <v>423</v>
      </c>
      <c r="X17" s="16" t="s">
        <v>413</v>
      </c>
      <c r="Y17" s="16" t="s">
        <v>32</v>
      </c>
      <c r="Z17" s="16">
        <v>946182113</v>
      </c>
      <c r="AA17" s="16" t="s">
        <v>412</v>
      </c>
      <c r="AB17" s="16" t="s">
        <v>130</v>
      </c>
      <c r="AD17" s="16">
        <v>15</v>
      </c>
      <c r="AE17" s="16" t="s">
        <v>200</v>
      </c>
      <c r="AI17" s="18">
        <v>44035</v>
      </c>
      <c r="AJ17" s="16">
        <v>1000</v>
      </c>
      <c r="AK17" s="16">
        <v>1000</v>
      </c>
      <c r="BG17" s="16" t="s">
        <v>166</v>
      </c>
      <c r="BI17" s="16" t="s">
        <v>165</v>
      </c>
      <c r="BJ17" s="16">
        <v>2020</v>
      </c>
      <c r="BK17" s="16" t="s">
        <v>69</v>
      </c>
      <c r="BL17" s="16" t="s">
        <v>68</v>
      </c>
      <c r="BM17" s="16" t="s">
        <v>67</v>
      </c>
      <c r="BN17" s="17">
        <v>44121.715806805558</v>
      </c>
      <c r="BR17" s="16" t="s">
        <v>126</v>
      </c>
      <c r="BS17" s="16">
        <v>4.1016202018576502E+18</v>
      </c>
      <c r="BT17" s="16" t="s">
        <v>63</v>
      </c>
      <c r="BV17" s="16">
        <v>2020</v>
      </c>
      <c r="BW17" s="16" t="s">
        <v>61</v>
      </c>
      <c r="BY17" s="16">
        <v>4.10162020187966E+18</v>
      </c>
      <c r="BZ17" s="16" t="s">
        <v>464</v>
      </c>
      <c r="CA17" s="16" t="s">
        <v>59</v>
      </c>
    </row>
    <row r="18" spans="1:79" x14ac:dyDescent="0.2">
      <c r="A18" s="16" t="s">
        <v>463</v>
      </c>
      <c r="B18" s="16" t="s">
        <v>462</v>
      </c>
      <c r="C18" s="16">
        <v>2020</v>
      </c>
      <c r="D18" s="16" t="s">
        <v>92</v>
      </c>
      <c r="E18" s="16">
        <v>2.0210505944629299E+17</v>
      </c>
      <c r="F18" s="16">
        <v>12</v>
      </c>
      <c r="G18" s="16">
        <v>4043683</v>
      </c>
      <c r="H18" s="16">
        <v>1515204</v>
      </c>
      <c r="J18" s="16" t="s">
        <v>83</v>
      </c>
      <c r="K18" s="16" t="s">
        <v>82</v>
      </c>
      <c r="N18" s="16" t="s">
        <v>417</v>
      </c>
      <c r="O18" s="16" t="s">
        <v>16</v>
      </c>
      <c r="Q18" s="16" t="s">
        <v>80</v>
      </c>
      <c r="R18" s="16" t="s">
        <v>416</v>
      </c>
      <c r="T18" s="16" t="s">
        <v>415</v>
      </c>
      <c r="V18" s="16" t="s">
        <v>423</v>
      </c>
      <c r="X18" s="16" t="s">
        <v>413</v>
      </c>
      <c r="Y18" s="16" t="s">
        <v>32</v>
      </c>
      <c r="Z18" s="16">
        <v>946182113</v>
      </c>
      <c r="AA18" s="16" t="s">
        <v>412</v>
      </c>
      <c r="AB18" s="16" t="s">
        <v>411</v>
      </c>
      <c r="AD18" s="16" t="s">
        <v>398</v>
      </c>
      <c r="AE18" s="16" t="s">
        <v>399</v>
      </c>
      <c r="AG18" s="16" t="s">
        <v>391</v>
      </c>
      <c r="AI18" s="18">
        <v>44086</v>
      </c>
      <c r="AJ18" s="16">
        <v>636.66999999999996</v>
      </c>
      <c r="AK18" s="16">
        <v>636.66999999999996</v>
      </c>
      <c r="BG18" s="16" t="s">
        <v>20</v>
      </c>
      <c r="BI18" s="16" t="s">
        <v>70</v>
      </c>
      <c r="BK18" s="16" t="s">
        <v>19</v>
      </c>
      <c r="BL18" s="16" t="s">
        <v>219</v>
      </c>
      <c r="BM18" s="16" t="s">
        <v>67</v>
      </c>
      <c r="BN18" s="17">
        <v>44324.198585729166</v>
      </c>
      <c r="BP18" s="16">
        <v>4035333</v>
      </c>
      <c r="BQ18" s="16" t="s">
        <v>403</v>
      </c>
      <c r="BR18" s="16" t="s">
        <v>64</v>
      </c>
      <c r="BS18" s="16">
        <v>4.0506202112853499E+18</v>
      </c>
      <c r="BT18" s="16" t="s">
        <v>63</v>
      </c>
      <c r="BU18" s="16" t="s">
        <v>429</v>
      </c>
      <c r="BV18" s="16">
        <v>2020</v>
      </c>
      <c r="BW18" s="16" t="s">
        <v>61</v>
      </c>
      <c r="BY18" s="16">
        <v>4.0508202112871598E+18</v>
      </c>
      <c r="BZ18" s="16" t="s">
        <v>461</v>
      </c>
      <c r="CA18" s="16" t="s">
        <v>405</v>
      </c>
    </row>
    <row r="19" spans="1:79" x14ac:dyDescent="0.2">
      <c r="A19" s="16" t="s">
        <v>446</v>
      </c>
      <c r="B19" s="16" t="s">
        <v>410</v>
      </c>
      <c r="C19" s="16">
        <v>2020</v>
      </c>
      <c r="D19" s="16" t="s">
        <v>460</v>
      </c>
      <c r="E19" s="16">
        <v>2.02010129285124E+17</v>
      </c>
      <c r="F19" s="16" t="s">
        <v>84</v>
      </c>
      <c r="G19" s="16">
        <v>4527488</v>
      </c>
      <c r="H19" s="16">
        <v>1446418</v>
      </c>
      <c r="J19" s="16" t="s">
        <v>83</v>
      </c>
      <c r="K19" s="16" t="s">
        <v>82</v>
      </c>
      <c r="N19" s="16" t="s">
        <v>417</v>
      </c>
      <c r="O19" s="16" t="s">
        <v>19</v>
      </c>
      <c r="Q19" s="16" t="s">
        <v>379</v>
      </c>
      <c r="R19" s="16" t="s">
        <v>416</v>
      </c>
      <c r="T19" s="16" t="s">
        <v>415</v>
      </c>
      <c r="V19" s="16" t="s">
        <v>423</v>
      </c>
      <c r="X19" s="16" t="s">
        <v>413</v>
      </c>
      <c r="Y19" s="16" t="s">
        <v>32</v>
      </c>
      <c r="Z19" s="16">
        <v>946182113</v>
      </c>
      <c r="AA19" s="16" t="s">
        <v>412</v>
      </c>
      <c r="AB19" s="16" t="s">
        <v>130</v>
      </c>
      <c r="AD19" s="16">
        <v>15</v>
      </c>
      <c r="AE19" s="16" t="s">
        <v>200</v>
      </c>
      <c r="AI19" s="18">
        <v>43952</v>
      </c>
      <c r="AJ19" s="16">
        <v>2800</v>
      </c>
      <c r="AK19" s="16">
        <v>2800</v>
      </c>
      <c r="BG19" s="16" t="s">
        <v>20</v>
      </c>
      <c r="BI19" s="16" t="s">
        <v>70</v>
      </c>
      <c r="BK19" s="16" t="s">
        <v>69</v>
      </c>
      <c r="BL19" s="16" t="s">
        <v>68</v>
      </c>
      <c r="BM19" s="16" t="s">
        <v>67</v>
      </c>
      <c r="BN19" s="17">
        <v>44125.151650254629</v>
      </c>
      <c r="BR19" s="16" t="s">
        <v>64</v>
      </c>
      <c r="BS19" s="16">
        <v>4.10132020185747E+18</v>
      </c>
      <c r="BT19" s="16" t="s">
        <v>63</v>
      </c>
      <c r="BV19" s="16">
        <v>2020</v>
      </c>
      <c r="BW19" s="16" t="s">
        <v>61</v>
      </c>
      <c r="BY19" s="16">
        <v>4.10212020188226E+18</v>
      </c>
      <c r="BZ19" s="16" t="s">
        <v>459</v>
      </c>
      <c r="CA19" s="16" t="s">
        <v>59</v>
      </c>
    </row>
    <row r="20" spans="1:79" x14ac:dyDescent="0.2">
      <c r="A20" s="16" t="s">
        <v>458</v>
      </c>
      <c r="B20" s="16" t="s">
        <v>457</v>
      </c>
      <c r="C20" s="16">
        <v>2020</v>
      </c>
      <c r="D20" s="16" t="s">
        <v>160</v>
      </c>
      <c r="E20" s="16">
        <v>2.0210518944693901E+17</v>
      </c>
      <c r="F20" s="16" t="s">
        <v>84</v>
      </c>
      <c r="G20" s="16" t="s">
        <v>456</v>
      </c>
      <c r="H20" s="16">
        <v>1516754</v>
      </c>
      <c r="J20" s="16" t="s">
        <v>83</v>
      </c>
      <c r="K20" s="16" t="s">
        <v>82</v>
      </c>
      <c r="N20" s="16" t="s">
        <v>417</v>
      </c>
      <c r="O20" s="16" t="s">
        <v>16</v>
      </c>
      <c r="Q20" s="16" t="s">
        <v>80</v>
      </c>
      <c r="R20" s="16" t="s">
        <v>416</v>
      </c>
      <c r="T20" s="16" t="s">
        <v>415</v>
      </c>
      <c r="V20" s="16" t="s">
        <v>414</v>
      </c>
      <c r="X20" s="16" t="s">
        <v>413</v>
      </c>
      <c r="Y20" s="16" t="s">
        <v>32</v>
      </c>
      <c r="Z20" s="16">
        <v>94618</v>
      </c>
      <c r="AA20" s="16" t="s">
        <v>412</v>
      </c>
      <c r="AB20" s="16" t="s">
        <v>411</v>
      </c>
      <c r="AD20" s="16" t="s">
        <v>398</v>
      </c>
      <c r="AE20" s="16" t="s">
        <v>399</v>
      </c>
      <c r="AG20" s="16" t="s">
        <v>391</v>
      </c>
      <c r="AI20" s="18">
        <v>44086</v>
      </c>
      <c r="AJ20" s="16">
        <v>636.66</v>
      </c>
      <c r="AK20" s="16">
        <v>636.66</v>
      </c>
      <c r="BG20" s="16" t="s">
        <v>20</v>
      </c>
      <c r="BI20" s="16" t="s">
        <v>70</v>
      </c>
      <c r="BK20" s="16" t="s">
        <v>19</v>
      </c>
      <c r="BL20" s="16" t="s">
        <v>219</v>
      </c>
      <c r="BM20" s="16" t="s">
        <v>67</v>
      </c>
      <c r="BN20" s="17">
        <v>44343.161150891203</v>
      </c>
      <c r="BR20" s="16" t="s">
        <v>64</v>
      </c>
      <c r="BS20" s="16">
        <v>4.0519202112947999E+18</v>
      </c>
      <c r="BT20" s="16" t="s">
        <v>63</v>
      </c>
      <c r="BU20" s="16" t="s">
        <v>410</v>
      </c>
      <c r="BV20" s="16">
        <v>2020</v>
      </c>
      <c r="BW20" s="16" t="s">
        <v>61</v>
      </c>
      <c r="BY20" s="16">
        <v>4.0527202112973701E+18</v>
      </c>
      <c r="BZ20" s="16" t="s">
        <v>455</v>
      </c>
      <c r="CA20" s="16" t="s">
        <v>59</v>
      </c>
    </row>
    <row r="21" spans="1:79" x14ac:dyDescent="0.2">
      <c r="A21" s="16" t="s">
        <v>452</v>
      </c>
      <c r="B21" s="16" t="s">
        <v>451</v>
      </c>
      <c r="C21" s="16">
        <v>2020</v>
      </c>
      <c r="D21" s="16" t="s">
        <v>92</v>
      </c>
      <c r="E21" s="16">
        <v>2.0210520944702899E+17</v>
      </c>
      <c r="F21" s="16" t="s">
        <v>84</v>
      </c>
      <c r="G21" s="16" t="s">
        <v>454</v>
      </c>
      <c r="H21" s="16">
        <v>1517435</v>
      </c>
      <c r="J21" s="16" t="s">
        <v>83</v>
      </c>
      <c r="K21" s="16" t="s">
        <v>82</v>
      </c>
      <c r="N21" s="16" t="s">
        <v>417</v>
      </c>
      <c r="O21" s="16" t="s">
        <v>16</v>
      </c>
      <c r="Q21" s="16" t="s">
        <v>80</v>
      </c>
      <c r="R21" s="16" t="s">
        <v>416</v>
      </c>
      <c r="T21" s="16" t="s">
        <v>415</v>
      </c>
      <c r="V21" s="16" t="s">
        <v>414</v>
      </c>
      <c r="X21" s="16" t="s">
        <v>413</v>
      </c>
      <c r="Y21" s="16" t="s">
        <v>32</v>
      </c>
      <c r="Z21" s="16">
        <v>94618</v>
      </c>
      <c r="AA21" s="16" t="s">
        <v>412</v>
      </c>
      <c r="AB21" s="16" t="s">
        <v>411</v>
      </c>
      <c r="AD21" s="16" t="s">
        <v>398</v>
      </c>
      <c r="AE21" s="16" t="s">
        <v>399</v>
      </c>
      <c r="AG21" s="16" t="s">
        <v>391</v>
      </c>
      <c r="AI21" s="18">
        <v>44086</v>
      </c>
      <c r="AJ21" s="16">
        <v>636.66</v>
      </c>
      <c r="AK21" s="16">
        <v>636.66</v>
      </c>
      <c r="BG21" s="16" t="s">
        <v>20</v>
      </c>
      <c r="BI21" s="16" t="s">
        <v>70</v>
      </c>
      <c r="BK21" s="16" t="s">
        <v>19</v>
      </c>
      <c r="BL21" s="16" t="s">
        <v>219</v>
      </c>
      <c r="BM21" s="16" t="s">
        <v>67</v>
      </c>
      <c r="BN21" s="17">
        <v>44343.161261643516</v>
      </c>
      <c r="BR21" s="16" t="s">
        <v>64</v>
      </c>
      <c r="BS21" s="16">
        <v>4.05212021129677E+18</v>
      </c>
      <c r="BT21" s="16" t="s">
        <v>63</v>
      </c>
      <c r="BU21" s="16" t="s">
        <v>410</v>
      </c>
      <c r="BV21" s="16">
        <v>2020</v>
      </c>
      <c r="BW21" s="16" t="s">
        <v>61</v>
      </c>
      <c r="BY21" s="16">
        <v>4.0527202112973701E+18</v>
      </c>
      <c r="BZ21" s="16" t="s">
        <v>453</v>
      </c>
      <c r="CA21" s="16" t="s">
        <v>59</v>
      </c>
    </row>
    <row r="22" spans="1:79" x14ac:dyDescent="0.2">
      <c r="A22" s="16" t="s">
        <v>452</v>
      </c>
      <c r="B22" s="16" t="s">
        <v>451</v>
      </c>
      <c r="C22" s="16">
        <v>2020</v>
      </c>
      <c r="D22" s="16" t="s">
        <v>92</v>
      </c>
      <c r="E22" s="16">
        <v>2.0210520944703002E+17</v>
      </c>
      <c r="F22" s="16" t="s">
        <v>84</v>
      </c>
      <c r="G22" s="16" t="s">
        <v>450</v>
      </c>
      <c r="H22" s="16">
        <v>1517435</v>
      </c>
      <c r="J22" s="16" t="s">
        <v>83</v>
      </c>
      <c r="K22" s="16" t="s">
        <v>82</v>
      </c>
      <c r="N22" s="16" t="s">
        <v>417</v>
      </c>
      <c r="O22" s="16" t="s">
        <v>16</v>
      </c>
      <c r="Q22" s="16" t="s">
        <v>80</v>
      </c>
      <c r="R22" s="16" t="s">
        <v>416</v>
      </c>
      <c r="T22" s="16" t="s">
        <v>415</v>
      </c>
      <c r="V22" s="16" t="s">
        <v>414</v>
      </c>
      <c r="X22" s="16" t="s">
        <v>413</v>
      </c>
      <c r="Y22" s="16" t="s">
        <v>32</v>
      </c>
      <c r="Z22" s="16">
        <v>94618</v>
      </c>
      <c r="AA22" s="16" t="s">
        <v>412</v>
      </c>
      <c r="AB22" s="16" t="s">
        <v>411</v>
      </c>
      <c r="AD22" s="16" t="s">
        <v>398</v>
      </c>
      <c r="AE22" s="16" t="s">
        <v>399</v>
      </c>
      <c r="AG22" s="16" t="s">
        <v>391</v>
      </c>
      <c r="AI22" s="18">
        <v>44086</v>
      </c>
      <c r="AJ22" s="16">
        <v>636.66</v>
      </c>
      <c r="AK22" s="16">
        <v>1273.32</v>
      </c>
      <c r="BG22" s="16" t="s">
        <v>20</v>
      </c>
      <c r="BI22" s="16" t="s">
        <v>70</v>
      </c>
      <c r="BK22" s="16" t="s">
        <v>19</v>
      </c>
      <c r="BL22" s="16" t="s">
        <v>219</v>
      </c>
      <c r="BM22" s="16" t="s">
        <v>67</v>
      </c>
      <c r="BN22" s="17">
        <v>44343.161336944446</v>
      </c>
      <c r="BR22" s="16" t="s">
        <v>64</v>
      </c>
      <c r="BS22" s="16">
        <v>4.05212021129677E+18</v>
      </c>
      <c r="BT22" s="16" t="s">
        <v>63</v>
      </c>
      <c r="BU22" s="16" t="s">
        <v>410</v>
      </c>
      <c r="BV22" s="16">
        <v>2020</v>
      </c>
      <c r="BW22" s="16" t="s">
        <v>61</v>
      </c>
      <c r="BY22" s="16">
        <v>4.0527202112973701E+18</v>
      </c>
      <c r="BZ22" s="16" t="s">
        <v>449</v>
      </c>
      <c r="CA22" s="16" t="s">
        <v>59</v>
      </c>
    </row>
    <row r="23" spans="1:79" x14ac:dyDescent="0.2">
      <c r="A23" s="16" t="s">
        <v>446</v>
      </c>
      <c r="B23" s="16" t="s">
        <v>410</v>
      </c>
      <c r="C23" s="16">
        <v>2020</v>
      </c>
      <c r="D23" s="16" t="s">
        <v>377</v>
      </c>
      <c r="E23" s="16">
        <v>2.0210114940457798E+17</v>
      </c>
      <c r="F23" s="16" t="s">
        <v>84</v>
      </c>
      <c r="G23" s="16">
        <v>8123540</v>
      </c>
      <c r="H23" s="16">
        <v>1487959</v>
      </c>
      <c r="J23" s="16" t="s">
        <v>83</v>
      </c>
      <c r="K23" s="16" t="s">
        <v>82</v>
      </c>
      <c r="N23" s="16" t="s">
        <v>417</v>
      </c>
      <c r="O23" s="16" t="s">
        <v>19</v>
      </c>
      <c r="Q23" s="16" t="s">
        <v>379</v>
      </c>
      <c r="R23" s="16" t="s">
        <v>416</v>
      </c>
      <c r="T23" s="16" t="s">
        <v>415</v>
      </c>
      <c r="V23" s="16" t="s">
        <v>423</v>
      </c>
      <c r="X23" s="16" t="s">
        <v>413</v>
      </c>
      <c r="Y23" s="16" t="s">
        <v>32</v>
      </c>
      <c r="Z23" s="16">
        <v>946182113</v>
      </c>
      <c r="AA23" s="16" t="s">
        <v>412</v>
      </c>
      <c r="AB23" s="16" t="s">
        <v>411</v>
      </c>
      <c r="AD23" s="16">
        <v>15</v>
      </c>
      <c r="AE23" s="16" t="s">
        <v>200</v>
      </c>
      <c r="AI23" s="18">
        <v>44035</v>
      </c>
      <c r="AJ23" s="16">
        <v>25000</v>
      </c>
      <c r="AK23" s="16">
        <v>27800</v>
      </c>
      <c r="BG23" s="16" t="s">
        <v>20</v>
      </c>
      <c r="BI23" s="16" t="s">
        <v>70</v>
      </c>
      <c r="BK23" s="16" t="s">
        <v>69</v>
      </c>
      <c r="BL23" s="16" t="s">
        <v>68</v>
      </c>
      <c r="BM23" s="16" t="s">
        <v>67</v>
      </c>
      <c r="BN23" s="17">
        <v>44231.430941863429</v>
      </c>
      <c r="BR23" s="16" t="s">
        <v>64</v>
      </c>
      <c r="BS23" s="16">
        <v>4.0115202120936602E+18</v>
      </c>
      <c r="BT23" s="16" t="s">
        <v>63</v>
      </c>
      <c r="BV23" s="16">
        <v>2020</v>
      </c>
      <c r="BW23" s="16" t="s">
        <v>61</v>
      </c>
      <c r="BY23" s="16">
        <v>4.02032021201869E+18</v>
      </c>
      <c r="BZ23" s="16" t="s">
        <v>448</v>
      </c>
      <c r="CA23" s="16" t="s">
        <v>59</v>
      </c>
    </row>
    <row r="24" spans="1:79" x14ac:dyDescent="0.2">
      <c r="A24" s="16" t="s">
        <v>446</v>
      </c>
      <c r="B24" s="16" t="s">
        <v>410</v>
      </c>
      <c r="C24" s="16">
        <v>2020</v>
      </c>
      <c r="D24" s="16" t="s">
        <v>377</v>
      </c>
      <c r="E24" s="16">
        <v>2.0210114940462701E+17</v>
      </c>
      <c r="F24" s="16" t="s">
        <v>84</v>
      </c>
      <c r="G24" s="16">
        <v>14460924</v>
      </c>
      <c r="H24" s="16">
        <v>1487959</v>
      </c>
      <c r="J24" s="16" t="s">
        <v>83</v>
      </c>
      <c r="K24" s="16" t="s">
        <v>82</v>
      </c>
      <c r="N24" s="16" t="s">
        <v>417</v>
      </c>
      <c r="O24" s="16" t="s">
        <v>19</v>
      </c>
      <c r="Q24" s="16" t="s">
        <v>379</v>
      </c>
      <c r="R24" s="16" t="s">
        <v>416</v>
      </c>
      <c r="T24" s="16" t="s">
        <v>415</v>
      </c>
      <c r="V24" s="16" t="s">
        <v>423</v>
      </c>
      <c r="X24" s="16" t="s">
        <v>413</v>
      </c>
      <c r="Y24" s="16" t="s">
        <v>32</v>
      </c>
      <c r="Z24" s="16">
        <v>946182113</v>
      </c>
      <c r="AA24" s="16" t="s">
        <v>412</v>
      </c>
      <c r="AB24" s="16" t="s">
        <v>411</v>
      </c>
      <c r="AD24" s="16">
        <v>15</v>
      </c>
      <c r="AE24" s="16" t="s">
        <v>200</v>
      </c>
      <c r="AI24" s="18">
        <v>44086</v>
      </c>
      <c r="AJ24" s="16">
        <v>20000</v>
      </c>
      <c r="AK24" s="16">
        <v>47850</v>
      </c>
      <c r="BG24" s="16" t="s">
        <v>20</v>
      </c>
      <c r="BI24" s="16" t="s">
        <v>70</v>
      </c>
      <c r="BK24" s="16" t="s">
        <v>69</v>
      </c>
      <c r="BL24" s="16" t="s">
        <v>68</v>
      </c>
      <c r="BM24" s="16" t="s">
        <v>67</v>
      </c>
      <c r="BN24" s="17">
        <v>44231.432460914351</v>
      </c>
      <c r="BR24" s="16" t="s">
        <v>64</v>
      </c>
      <c r="BS24" s="16">
        <v>4.0115202120936602E+18</v>
      </c>
      <c r="BT24" s="16" t="s">
        <v>63</v>
      </c>
      <c r="BV24" s="16">
        <v>2020</v>
      </c>
      <c r="BW24" s="16" t="s">
        <v>61</v>
      </c>
      <c r="BY24" s="16">
        <v>4.0203202120188401E+18</v>
      </c>
      <c r="BZ24" s="16" t="s">
        <v>447</v>
      </c>
      <c r="CA24" s="16" t="s">
        <v>59</v>
      </c>
    </row>
    <row r="25" spans="1:79" x14ac:dyDescent="0.2">
      <c r="A25" s="16" t="s">
        <v>446</v>
      </c>
      <c r="B25" s="16" t="s">
        <v>410</v>
      </c>
      <c r="C25" s="16">
        <v>2020</v>
      </c>
      <c r="D25" s="16" t="s">
        <v>377</v>
      </c>
      <c r="E25" s="16">
        <v>2.0210114940459802E+17</v>
      </c>
      <c r="F25" s="16" t="s">
        <v>84</v>
      </c>
      <c r="G25" s="16">
        <v>9708302</v>
      </c>
      <c r="H25" s="16">
        <v>1487959</v>
      </c>
      <c r="J25" s="16" t="s">
        <v>83</v>
      </c>
      <c r="K25" s="16" t="s">
        <v>82</v>
      </c>
      <c r="N25" s="16" t="s">
        <v>417</v>
      </c>
      <c r="O25" s="16" t="s">
        <v>19</v>
      </c>
      <c r="Q25" s="16" t="s">
        <v>379</v>
      </c>
      <c r="R25" s="16" t="s">
        <v>416</v>
      </c>
      <c r="T25" s="16" t="s">
        <v>415</v>
      </c>
      <c r="V25" s="16" t="s">
        <v>423</v>
      </c>
      <c r="X25" s="16" t="s">
        <v>413</v>
      </c>
      <c r="Y25" s="16" t="s">
        <v>32</v>
      </c>
      <c r="Z25" s="16">
        <v>946182113</v>
      </c>
      <c r="AA25" s="16" t="s">
        <v>412</v>
      </c>
      <c r="AB25" s="16" t="s">
        <v>411</v>
      </c>
      <c r="AD25" s="16">
        <v>15</v>
      </c>
      <c r="AE25" s="16" t="s">
        <v>200</v>
      </c>
      <c r="AI25" s="18">
        <v>44055</v>
      </c>
      <c r="AJ25" s="16">
        <v>50</v>
      </c>
      <c r="AK25" s="16">
        <v>27850</v>
      </c>
      <c r="BG25" s="16" t="s">
        <v>20</v>
      </c>
      <c r="BI25" s="16" t="s">
        <v>70</v>
      </c>
      <c r="BK25" s="16" t="s">
        <v>69</v>
      </c>
      <c r="BL25" s="16" t="s">
        <v>68</v>
      </c>
      <c r="BM25" s="16" t="s">
        <v>67</v>
      </c>
      <c r="BN25" s="17">
        <v>44231.432836018517</v>
      </c>
      <c r="BR25" s="16" t="s">
        <v>64</v>
      </c>
      <c r="BS25" s="16">
        <v>4.0115202120936602E+18</v>
      </c>
      <c r="BT25" s="16" t="s">
        <v>63</v>
      </c>
      <c r="BV25" s="16">
        <v>2020</v>
      </c>
      <c r="BW25" s="16" t="s">
        <v>61</v>
      </c>
      <c r="BY25" s="16">
        <v>4.0203202120187602E+18</v>
      </c>
      <c r="BZ25" s="16" t="s">
        <v>445</v>
      </c>
      <c r="CA25" s="16" t="s">
        <v>59</v>
      </c>
    </row>
    <row r="26" spans="1:79" x14ac:dyDescent="0.2">
      <c r="A26" s="16" t="s">
        <v>444</v>
      </c>
      <c r="B26" s="16" t="s">
        <v>443</v>
      </c>
      <c r="C26" s="16">
        <v>2020</v>
      </c>
      <c r="D26" s="16" t="s">
        <v>140</v>
      </c>
      <c r="E26" s="16">
        <v>2.0201203934078899E+17</v>
      </c>
      <c r="F26" s="16">
        <v>12</v>
      </c>
      <c r="G26" s="16">
        <v>7327358</v>
      </c>
      <c r="H26" s="16">
        <v>1480291</v>
      </c>
      <c r="J26" s="16" t="s">
        <v>83</v>
      </c>
      <c r="K26" s="16" t="s">
        <v>82</v>
      </c>
      <c r="N26" s="16" t="s">
        <v>417</v>
      </c>
      <c r="O26" s="16" t="s">
        <v>16</v>
      </c>
      <c r="Q26" s="16" t="s">
        <v>80</v>
      </c>
      <c r="R26" s="16" t="s">
        <v>416</v>
      </c>
      <c r="T26" s="16" t="s">
        <v>415</v>
      </c>
      <c r="V26" s="16" t="s">
        <v>423</v>
      </c>
      <c r="X26" s="16" t="s">
        <v>413</v>
      </c>
      <c r="Y26" s="16" t="s">
        <v>32</v>
      </c>
      <c r="Z26" s="16">
        <v>946182113</v>
      </c>
      <c r="AA26" s="16" t="s">
        <v>412</v>
      </c>
      <c r="AB26" s="16" t="s">
        <v>411</v>
      </c>
      <c r="AD26" s="16" t="s">
        <v>398</v>
      </c>
      <c r="AE26" s="16" t="s">
        <v>399</v>
      </c>
      <c r="AG26" s="16" t="s">
        <v>391</v>
      </c>
      <c r="AI26" s="18">
        <v>44086</v>
      </c>
      <c r="AJ26" s="16">
        <v>636.66999999999996</v>
      </c>
      <c r="AK26" s="16">
        <v>636.66999999999996</v>
      </c>
      <c r="BG26" s="16" t="s">
        <v>20</v>
      </c>
      <c r="BI26" s="16" t="s">
        <v>70</v>
      </c>
      <c r="BK26" s="16" t="s">
        <v>19</v>
      </c>
      <c r="BL26" s="16" t="s">
        <v>219</v>
      </c>
      <c r="BM26" s="16" t="s">
        <v>67</v>
      </c>
      <c r="BN26" s="17">
        <v>44175.153324375002</v>
      </c>
      <c r="BP26" s="16">
        <v>7288843</v>
      </c>
      <c r="BQ26" s="16" t="s">
        <v>403</v>
      </c>
      <c r="BR26" s="16" t="s">
        <v>64</v>
      </c>
      <c r="BS26" s="16">
        <v>4.1204202019634299E+18</v>
      </c>
      <c r="BT26" s="16" t="s">
        <v>63</v>
      </c>
      <c r="BU26" s="16" t="s">
        <v>429</v>
      </c>
      <c r="BV26" s="16">
        <v>2020</v>
      </c>
      <c r="BW26" s="16" t="s">
        <v>61</v>
      </c>
      <c r="BY26" s="16">
        <v>4.1210202019677798E+18</v>
      </c>
      <c r="BZ26" s="16" t="s">
        <v>442</v>
      </c>
      <c r="CA26" s="16" t="s">
        <v>405</v>
      </c>
    </row>
    <row r="27" spans="1:79" x14ac:dyDescent="0.2">
      <c r="A27" s="16" t="s">
        <v>441</v>
      </c>
      <c r="B27" s="16" t="s">
        <v>440</v>
      </c>
      <c r="C27" s="16">
        <v>2020</v>
      </c>
      <c r="D27" s="16" t="s">
        <v>140</v>
      </c>
      <c r="E27" s="16">
        <v>2.02105179446836E+17</v>
      </c>
      <c r="F27" s="16">
        <v>12</v>
      </c>
      <c r="G27" s="16">
        <v>5833017</v>
      </c>
      <c r="H27" s="16">
        <v>1516549</v>
      </c>
      <c r="J27" s="16" t="s">
        <v>83</v>
      </c>
      <c r="K27" s="16" t="s">
        <v>82</v>
      </c>
      <c r="N27" s="16" t="s">
        <v>417</v>
      </c>
      <c r="O27" s="16" t="s">
        <v>16</v>
      </c>
      <c r="Q27" s="16" t="s">
        <v>80</v>
      </c>
      <c r="R27" s="16" t="s">
        <v>416</v>
      </c>
      <c r="T27" s="16" t="s">
        <v>415</v>
      </c>
      <c r="V27" s="16" t="s">
        <v>423</v>
      </c>
      <c r="X27" s="16" t="s">
        <v>413</v>
      </c>
      <c r="Y27" s="16" t="s">
        <v>32</v>
      </c>
      <c r="Z27" s="16">
        <v>946182113</v>
      </c>
      <c r="AA27" s="16" t="s">
        <v>412</v>
      </c>
      <c r="AB27" s="16" t="s">
        <v>411</v>
      </c>
      <c r="AD27" s="16" t="s">
        <v>398</v>
      </c>
      <c r="AE27" s="16" t="s">
        <v>399</v>
      </c>
      <c r="AG27" s="16" t="s">
        <v>391</v>
      </c>
      <c r="AI27" s="18">
        <v>44089</v>
      </c>
      <c r="AJ27" s="16">
        <v>636.66999999999996</v>
      </c>
      <c r="AK27" s="16">
        <v>636.66999999999996</v>
      </c>
      <c r="BG27" s="16" t="s">
        <v>20</v>
      </c>
      <c r="BI27" s="16" t="s">
        <v>70</v>
      </c>
      <c r="BK27" s="16" t="s">
        <v>19</v>
      </c>
      <c r="BL27" s="16" t="s">
        <v>219</v>
      </c>
      <c r="BM27" s="16" t="s">
        <v>67</v>
      </c>
      <c r="BN27" s="17">
        <v>44338.150035254628</v>
      </c>
      <c r="BP27" s="16">
        <v>5831693</v>
      </c>
      <c r="BQ27" s="16" t="s">
        <v>403</v>
      </c>
      <c r="BR27" s="16" t="s">
        <v>64</v>
      </c>
      <c r="BS27" s="16">
        <v>4.05182021129474E+18</v>
      </c>
      <c r="BT27" s="16" t="s">
        <v>63</v>
      </c>
      <c r="BU27" s="16" t="s">
        <v>439</v>
      </c>
      <c r="BV27" s="16">
        <v>2020</v>
      </c>
      <c r="BW27" s="16" t="s">
        <v>61</v>
      </c>
      <c r="BY27" s="16">
        <v>4.0522202112968899E+18</v>
      </c>
      <c r="BZ27" s="16" t="s">
        <v>438</v>
      </c>
      <c r="CA27" s="16" t="s">
        <v>405</v>
      </c>
    </row>
    <row r="28" spans="1:79" x14ac:dyDescent="0.2">
      <c r="A28" s="16" t="s">
        <v>437</v>
      </c>
      <c r="B28" s="16" t="s">
        <v>436</v>
      </c>
      <c r="C28" s="16">
        <v>2020</v>
      </c>
      <c r="D28" s="16" t="s">
        <v>160</v>
      </c>
      <c r="E28" s="16">
        <v>2.0210517944684301E+17</v>
      </c>
      <c r="F28" s="16">
        <v>12</v>
      </c>
      <c r="G28" s="16">
        <v>2134975</v>
      </c>
      <c r="H28" s="16">
        <v>1516565</v>
      </c>
      <c r="J28" s="16" t="s">
        <v>83</v>
      </c>
      <c r="K28" s="16" t="s">
        <v>82</v>
      </c>
      <c r="N28" s="16" t="s">
        <v>417</v>
      </c>
      <c r="O28" s="16" t="s">
        <v>16</v>
      </c>
      <c r="Q28" s="16" t="s">
        <v>80</v>
      </c>
      <c r="R28" s="16" t="s">
        <v>416</v>
      </c>
      <c r="T28" s="16" t="s">
        <v>415</v>
      </c>
      <c r="V28" s="16" t="s">
        <v>423</v>
      </c>
      <c r="X28" s="16" t="s">
        <v>413</v>
      </c>
      <c r="Y28" s="16" t="s">
        <v>32</v>
      </c>
      <c r="Z28" s="16">
        <v>946182113</v>
      </c>
      <c r="AA28" s="16" t="s">
        <v>412</v>
      </c>
      <c r="AB28" s="16" t="s">
        <v>411</v>
      </c>
      <c r="AD28" s="16" t="s">
        <v>398</v>
      </c>
      <c r="AE28" s="16" t="s">
        <v>399</v>
      </c>
      <c r="AG28" s="16" t="s">
        <v>391</v>
      </c>
      <c r="AI28" s="18">
        <v>44086</v>
      </c>
      <c r="AJ28" s="16">
        <v>636.66999999999996</v>
      </c>
      <c r="AK28" s="16">
        <v>636.66999999999996</v>
      </c>
      <c r="BG28" s="16" t="s">
        <v>20</v>
      </c>
      <c r="BI28" s="16" t="s">
        <v>70</v>
      </c>
      <c r="BK28" s="16" t="s">
        <v>69</v>
      </c>
      <c r="BL28" s="16" t="s">
        <v>68</v>
      </c>
      <c r="BM28" s="16" t="s">
        <v>67</v>
      </c>
      <c r="BN28" s="17">
        <v>44338.150242291667</v>
      </c>
      <c r="BP28" s="16">
        <v>2171087</v>
      </c>
      <c r="BQ28" s="16" t="s">
        <v>403</v>
      </c>
      <c r="BR28" s="16" t="s">
        <v>64</v>
      </c>
      <c r="BS28" s="16">
        <v>4.0519202112947999E+18</v>
      </c>
      <c r="BT28" s="16" t="s">
        <v>63</v>
      </c>
      <c r="BU28" s="16" t="s">
        <v>429</v>
      </c>
      <c r="BV28" s="16">
        <v>2020</v>
      </c>
      <c r="BW28" s="16" t="s">
        <v>61</v>
      </c>
      <c r="BY28" s="16">
        <v>4.0522202112968899E+18</v>
      </c>
      <c r="BZ28" s="16" t="s">
        <v>435</v>
      </c>
      <c r="CA28" s="16" t="s">
        <v>405</v>
      </c>
    </row>
    <row r="29" spans="1:79" x14ac:dyDescent="0.2">
      <c r="A29" s="16" t="s">
        <v>434</v>
      </c>
      <c r="B29" s="16" t="s">
        <v>433</v>
      </c>
      <c r="C29" s="16">
        <v>2020</v>
      </c>
      <c r="D29" s="16" t="s">
        <v>92</v>
      </c>
      <c r="E29" s="16">
        <v>2.0210531944749101E+17</v>
      </c>
      <c r="F29" s="16" t="s">
        <v>84</v>
      </c>
      <c r="G29" s="16" t="s">
        <v>432</v>
      </c>
      <c r="H29" s="16">
        <v>1518334</v>
      </c>
      <c r="J29" s="16" t="s">
        <v>83</v>
      </c>
      <c r="K29" s="16" t="s">
        <v>82</v>
      </c>
      <c r="N29" s="16" t="s">
        <v>417</v>
      </c>
      <c r="O29" s="16" t="s">
        <v>16</v>
      </c>
      <c r="Q29" s="16" t="s">
        <v>80</v>
      </c>
      <c r="R29" s="16" t="s">
        <v>416</v>
      </c>
      <c r="T29" s="16" t="s">
        <v>415</v>
      </c>
      <c r="V29" s="16" t="s">
        <v>414</v>
      </c>
      <c r="X29" s="16" t="s">
        <v>413</v>
      </c>
      <c r="Y29" s="16" t="s">
        <v>32</v>
      </c>
      <c r="Z29" s="16">
        <v>94618</v>
      </c>
      <c r="AA29" s="16" t="s">
        <v>412</v>
      </c>
      <c r="AB29" s="16" t="s">
        <v>411</v>
      </c>
      <c r="AD29" s="16" t="s">
        <v>398</v>
      </c>
      <c r="AE29" s="16" t="s">
        <v>399</v>
      </c>
      <c r="AG29" s="16" t="s">
        <v>391</v>
      </c>
      <c r="AI29" s="18">
        <v>44086</v>
      </c>
      <c r="AJ29" s="16">
        <v>636.66999999999996</v>
      </c>
      <c r="AK29" s="16">
        <v>636.66999999999996</v>
      </c>
      <c r="BG29" s="16" t="s">
        <v>20</v>
      </c>
      <c r="BI29" s="16" t="s">
        <v>70</v>
      </c>
      <c r="BK29" s="16" t="s">
        <v>19</v>
      </c>
      <c r="BL29" s="16" t="s">
        <v>219</v>
      </c>
      <c r="BM29" s="16" t="s">
        <v>67</v>
      </c>
      <c r="BN29" s="17">
        <v>44351.157657997683</v>
      </c>
      <c r="BR29" s="16" t="s">
        <v>64</v>
      </c>
      <c r="BS29" s="16">
        <v>4.0601202112997202E+18</v>
      </c>
      <c r="BT29" s="16" t="s">
        <v>63</v>
      </c>
      <c r="BU29" s="16" t="s">
        <v>410</v>
      </c>
      <c r="BV29" s="16">
        <v>2020</v>
      </c>
      <c r="BW29" s="16" t="s">
        <v>61</v>
      </c>
      <c r="BY29" s="16">
        <v>4.0603202112997801E+18</v>
      </c>
      <c r="BZ29" s="16" t="s">
        <v>431</v>
      </c>
      <c r="CA29" s="16" t="s">
        <v>59</v>
      </c>
    </row>
    <row r="30" spans="1:79" x14ac:dyDescent="0.2">
      <c r="A30" s="16" t="s">
        <v>387</v>
      </c>
      <c r="B30" s="16" t="s">
        <v>388</v>
      </c>
      <c r="C30" s="16">
        <v>2020</v>
      </c>
      <c r="D30" s="16" t="s">
        <v>140</v>
      </c>
      <c r="E30" s="16">
        <v>2.0210224942887002E+17</v>
      </c>
      <c r="F30" s="16">
        <v>12</v>
      </c>
      <c r="G30" s="16">
        <v>37440069</v>
      </c>
      <c r="H30" s="16">
        <v>1502017</v>
      </c>
      <c r="J30" s="16" t="s">
        <v>83</v>
      </c>
      <c r="K30" s="16" t="s">
        <v>82</v>
      </c>
      <c r="N30" s="16" t="s">
        <v>417</v>
      </c>
      <c r="O30" s="16" t="s">
        <v>16</v>
      </c>
      <c r="Q30" s="16" t="s">
        <v>80</v>
      </c>
      <c r="R30" s="16" t="s">
        <v>416</v>
      </c>
      <c r="T30" s="16" t="s">
        <v>415</v>
      </c>
      <c r="V30" s="16" t="s">
        <v>423</v>
      </c>
      <c r="X30" s="16" t="s">
        <v>413</v>
      </c>
      <c r="Y30" s="16" t="s">
        <v>32</v>
      </c>
      <c r="Z30" s="16">
        <v>946182113</v>
      </c>
      <c r="AA30" s="16" t="s">
        <v>412</v>
      </c>
      <c r="AB30" s="16" t="s">
        <v>411</v>
      </c>
      <c r="AD30" s="16" t="s">
        <v>398</v>
      </c>
      <c r="AE30" s="16" t="s">
        <v>399</v>
      </c>
      <c r="AG30" s="16" t="s">
        <v>391</v>
      </c>
      <c r="AI30" s="18">
        <v>44055</v>
      </c>
      <c r="AJ30" s="16">
        <v>50</v>
      </c>
      <c r="AK30" s="16">
        <v>25050</v>
      </c>
      <c r="BG30" s="16" t="s">
        <v>166</v>
      </c>
      <c r="BI30" s="16" t="s">
        <v>165</v>
      </c>
      <c r="BJ30" s="16">
        <v>2020</v>
      </c>
      <c r="BK30" s="16" t="s">
        <v>69</v>
      </c>
      <c r="BL30" s="16" t="s">
        <v>68</v>
      </c>
      <c r="BM30" s="16" t="s">
        <v>67</v>
      </c>
      <c r="BN30" s="17">
        <v>44253.168322800928</v>
      </c>
      <c r="BP30" s="16">
        <v>36773706</v>
      </c>
      <c r="BQ30" s="16" t="s">
        <v>403</v>
      </c>
      <c r="BR30" s="16" t="s">
        <v>64</v>
      </c>
      <c r="BS30" s="16">
        <v>4.0226202111890698E+18</v>
      </c>
      <c r="BT30" s="16" t="s">
        <v>63</v>
      </c>
      <c r="BU30" s="16" t="s">
        <v>429</v>
      </c>
      <c r="BV30" s="16">
        <v>2020</v>
      </c>
      <c r="BW30" s="16" t="s">
        <v>61</v>
      </c>
      <c r="BY30" s="16">
        <v>4.0226202111896899E+18</v>
      </c>
      <c r="BZ30" s="16" t="s">
        <v>430</v>
      </c>
      <c r="CA30" s="16" t="s">
        <v>405</v>
      </c>
    </row>
    <row r="31" spans="1:79" x14ac:dyDescent="0.2">
      <c r="A31" s="16" t="s">
        <v>387</v>
      </c>
      <c r="B31" s="16" t="s">
        <v>388</v>
      </c>
      <c r="C31" s="16">
        <v>2020</v>
      </c>
      <c r="D31" s="16" t="s">
        <v>140</v>
      </c>
      <c r="E31" s="16">
        <v>2.0210224942887299E+17</v>
      </c>
      <c r="F31" s="16">
        <v>12</v>
      </c>
      <c r="G31" s="16">
        <v>37448076</v>
      </c>
      <c r="H31" s="16">
        <v>1502017</v>
      </c>
      <c r="J31" s="16" t="s">
        <v>83</v>
      </c>
      <c r="K31" s="16" t="s">
        <v>82</v>
      </c>
      <c r="N31" s="16" t="s">
        <v>417</v>
      </c>
      <c r="O31" s="16" t="s">
        <v>16</v>
      </c>
      <c r="Q31" s="16" t="s">
        <v>80</v>
      </c>
      <c r="R31" s="16" t="s">
        <v>416</v>
      </c>
      <c r="T31" s="16" t="s">
        <v>415</v>
      </c>
      <c r="V31" s="16" t="s">
        <v>423</v>
      </c>
      <c r="X31" s="16" t="s">
        <v>413</v>
      </c>
      <c r="Y31" s="16" t="s">
        <v>32</v>
      </c>
      <c r="Z31" s="16">
        <v>946182113</v>
      </c>
      <c r="AA31" s="16" t="s">
        <v>412</v>
      </c>
      <c r="AB31" s="16" t="s">
        <v>411</v>
      </c>
      <c r="AD31" s="16" t="s">
        <v>398</v>
      </c>
      <c r="AE31" s="16" t="s">
        <v>399</v>
      </c>
      <c r="AG31" s="16" t="s">
        <v>391</v>
      </c>
      <c r="AI31" s="18">
        <v>44086</v>
      </c>
      <c r="AJ31" s="16">
        <v>10450</v>
      </c>
      <c r="AK31" s="16">
        <v>35500</v>
      </c>
      <c r="BG31" s="16" t="s">
        <v>166</v>
      </c>
      <c r="BI31" s="16" t="s">
        <v>165</v>
      </c>
      <c r="BJ31" s="16">
        <v>2020</v>
      </c>
      <c r="BK31" s="16" t="s">
        <v>69</v>
      </c>
      <c r="BL31" s="16" t="s">
        <v>68</v>
      </c>
      <c r="BM31" s="16" t="s">
        <v>67</v>
      </c>
      <c r="BN31" s="17">
        <v>44253.16860164352</v>
      </c>
      <c r="BP31" s="16">
        <v>37430300</v>
      </c>
      <c r="BQ31" s="16" t="s">
        <v>403</v>
      </c>
      <c r="BR31" s="16" t="s">
        <v>64</v>
      </c>
      <c r="BS31" s="16">
        <v>4.0226202111890698E+18</v>
      </c>
      <c r="BT31" s="16" t="s">
        <v>63</v>
      </c>
      <c r="BU31" s="16" t="s">
        <v>429</v>
      </c>
      <c r="BV31" s="16">
        <v>2020</v>
      </c>
      <c r="BW31" s="16" t="s">
        <v>61</v>
      </c>
      <c r="BY31" s="16">
        <v>4.0226202111896899E+18</v>
      </c>
      <c r="BZ31" s="16" t="s">
        <v>428</v>
      </c>
      <c r="CA31" s="16" t="s">
        <v>405</v>
      </c>
    </row>
    <row r="32" spans="1:79" x14ac:dyDescent="0.2">
      <c r="A32" s="16" t="s">
        <v>427</v>
      </c>
      <c r="B32" s="16" t="s">
        <v>426</v>
      </c>
      <c r="C32" s="16">
        <v>2020</v>
      </c>
      <c r="D32" s="16" t="s">
        <v>92</v>
      </c>
      <c r="E32" s="16">
        <v>2.02103049440168E+17</v>
      </c>
      <c r="F32" s="16" t="s">
        <v>84</v>
      </c>
      <c r="G32" s="16" t="s">
        <v>425</v>
      </c>
      <c r="H32" s="16">
        <v>1502847</v>
      </c>
      <c r="J32" s="16" t="s">
        <v>83</v>
      </c>
      <c r="K32" s="16" t="s">
        <v>82</v>
      </c>
      <c r="N32" s="16" t="s">
        <v>417</v>
      </c>
      <c r="O32" s="16" t="s">
        <v>16</v>
      </c>
      <c r="Q32" s="16" t="s">
        <v>80</v>
      </c>
      <c r="R32" s="16" t="s">
        <v>416</v>
      </c>
      <c r="T32" s="16" t="s">
        <v>415</v>
      </c>
      <c r="V32" s="16" t="s">
        <v>414</v>
      </c>
      <c r="X32" s="16" t="s">
        <v>413</v>
      </c>
      <c r="Y32" s="16" t="s">
        <v>32</v>
      </c>
      <c r="Z32" s="16">
        <v>94618</v>
      </c>
      <c r="AA32" s="16" t="s">
        <v>412</v>
      </c>
      <c r="AB32" s="16" t="s">
        <v>411</v>
      </c>
      <c r="AD32" s="16" t="s">
        <v>398</v>
      </c>
      <c r="AE32" s="16" t="s">
        <v>399</v>
      </c>
      <c r="AG32" s="16" t="s">
        <v>391</v>
      </c>
      <c r="AI32" s="18">
        <v>44086</v>
      </c>
      <c r="AJ32" s="16">
        <v>636.66999999999996</v>
      </c>
      <c r="AK32" s="16">
        <v>636.66999999999996</v>
      </c>
      <c r="BG32" s="16" t="s">
        <v>20</v>
      </c>
      <c r="BI32" s="16" t="s">
        <v>70</v>
      </c>
      <c r="BK32" s="16" t="s">
        <v>19</v>
      </c>
      <c r="BL32" s="16" t="s">
        <v>219</v>
      </c>
      <c r="BM32" s="16" t="s">
        <v>67</v>
      </c>
      <c r="BN32" s="17">
        <v>44261.155524571761</v>
      </c>
      <c r="BR32" s="16" t="s">
        <v>64</v>
      </c>
      <c r="BS32" s="16">
        <v>4.03042021122526E+18</v>
      </c>
      <c r="BT32" s="16" t="s">
        <v>63</v>
      </c>
      <c r="BU32" s="16" t="s">
        <v>410</v>
      </c>
      <c r="BV32" s="16">
        <v>2020</v>
      </c>
      <c r="BW32" s="16" t="s">
        <v>61</v>
      </c>
      <c r="BY32" s="16">
        <v>4.0306202112263598E+18</v>
      </c>
      <c r="BZ32" s="16" t="s">
        <v>424</v>
      </c>
      <c r="CA32" s="16" t="s">
        <v>59</v>
      </c>
    </row>
    <row r="33" spans="1:79" x14ac:dyDescent="0.2">
      <c r="A33" s="16" t="s">
        <v>87</v>
      </c>
      <c r="B33" s="16" t="s">
        <v>86</v>
      </c>
      <c r="C33" s="16">
        <v>2020</v>
      </c>
      <c r="D33" s="16" t="s">
        <v>241</v>
      </c>
      <c r="E33" s="16">
        <v>2.0210323944184499E+17</v>
      </c>
      <c r="F33" s="16" t="s">
        <v>84</v>
      </c>
      <c r="G33" s="16">
        <v>28575715</v>
      </c>
      <c r="H33" s="16">
        <v>1506046</v>
      </c>
      <c r="J33" s="16" t="s">
        <v>83</v>
      </c>
      <c r="K33" s="16" t="s">
        <v>82</v>
      </c>
      <c r="L33" s="16" t="s">
        <v>111</v>
      </c>
      <c r="N33" s="16" t="s">
        <v>417</v>
      </c>
      <c r="O33" s="16" t="s">
        <v>16</v>
      </c>
      <c r="Q33" s="16" t="s">
        <v>80</v>
      </c>
      <c r="R33" s="16" t="s">
        <v>416</v>
      </c>
      <c r="T33" s="16" t="s">
        <v>415</v>
      </c>
      <c r="V33" s="16" t="s">
        <v>423</v>
      </c>
      <c r="X33" s="16" t="s">
        <v>413</v>
      </c>
      <c r="Y33" s="16" t="s">
        <v>32</v>
      </c>
      <c r="Z33" s="16">
        <v>946182113</v>
      </c>
      <c r="AA33" s="16" t="s">
        <v>412</v>
      </c>
      <c r="AB33" s="16" t="s">
        <v>130</v>
      </c>
      <c r="AC33" s="16" t="s">
        <v>111</v>
      </c>
      <c r="AD33" s="16" t="s">
        <v>72</v>
      </c>
      <c r="AE33" s="16" t="s">
        <v>71</v>
      </c>
      <c r="AI33" s="18">
        <v>43861</v>
      </c>
      <c r="AJ33" s="16">
        <v>250</v>
      </c>
      <c r="AK33" s="16">
        <v>250</v>
      </c>
      <c r="BG33" s="16" t="s">
        <v>20</v>
      </c>
      <c r="BI33" s="16" t="s">
        <v>70</v>
      </c>
      <c r="BK33" s="16" t="s">
        <v>19</v>
      </c>
      <c r="BL33" s="16" t="s">
        <v>219</v>
      </c>
      <c r="BM33" s="16" t="s">
        <v>67</v>
      </c>
      <c r="BN33" s="17">
        <v>44285.434929594907</v>
      </c>
      <c r="BP33" s="16" t="s">
        <v>422</v>
      </c>
      <c r="BQ33" s="16" t="s">
        <v>65</v>
      </c>
      <c r="BR33" s="16" t="s">
        <v>64</v>
      </c>
      <c r="BS33" s="16">
        <v>4.0324202112620401E+18</v>
      </c>
      <c r="BT33" s="16" t="s">
        <v>63</v>
      </c>
      <c r="BU33" s="16" t="s">
        <v>62</v>
      </c>
      <c r="BV33" s="16">
        <v>2020</v>
      </c>
      <c r="BW33" s="16" t="s">
        <v>61</v>
      </c>
      <c r="BY33" s="16">
        <v>4.0330202112703601E+18</v>
      </c>
      <c r="BZ33" s="16" t="s">
        <v>421</v>
      </c>
      <c r="CA33" s="16" t="s">
        <v>59</v>
      </c>
    </row>
    <row r="34" spans="1:79" x14ac:dyDescent="0.2">
      <c r="A34" s="16" t="s">
        <v>420</v>
      </c>
      <c r="B34" s="16" t="s">
        <v>419</v>
      </c>
      <c r="C34" s="16">
        <v>2020</v>
      </c>
      <c r="D34" s="16" t="s">
        <v>140</v>
      </c>
      <c r="E34" s="16">
        <v>2.0210331944296602E+17</v>
      </c>
      <c r="F34" s="16" t="s">
        <v>84</v>
      </c>
      <c r="G34" s="16" t="s">
        <v>418</v>
      </c>
      <c r="H34" s="16">
        <v>1506833</v>
      </c>
      <c r="J34" s="16" t="s">
        <v>83</v>
      </c>
      <c r="K34" s="16" t="s">
        <v>82</v>
      </c>
      <c r="N34" s="16" t="s">
        <v>417</v>
      </c>
      <c r="O34" s="16" t="s">
        <v>16</v>
      </c>
      <c r="P34" s="16" t="s">
        <v>373</v>
      </c>
      <c r="Q34" s="16" t="s">
        <v>80</v>
      </c>
      <c r="R34" s="16" t="s">
        <v>416</v>
      </c>
      <c r="T34" s="16" t="s">
        <v>415</v>
      </c>
      <c r="V34" s="16" t="s">
        <v>414</v>
      </c>
      <c r="X34" s="16" t="s">
        <v>413</v>
      </c>
      <c r="Y34" s="16" t="s">
        <v>32</v>
      </c>
      <c r="Z34" s="16">
        <v>94618</v>
      </c>
      <c r="AA34" s="16" t="s">
        <v>412</v>
      </c>
      <c r="AB34" s="16" t="s">
        <v>411</v>
      </c>
      <c r="AD34" s="16" t="s">
        <v>398</v>
      </c>
      <c r="AE34" s="16" t="s">
        <v>399</v>
      </c>
      <c r="AG34" s="16" t="s">
        <v>391</v>
      </c>
      <c r="AI34" s="18">
        <v>44086</v>
      </c>
      <c r="AJ34" s="16">
        <v>636.66</v>
      </c>
      <c r="AK34" s="16">
        <v>636.66</v>
      </c>
      <c r="BG34" s="16" t="s">
        <v>20</v>
      </c>
      <c r="BI34" s="16" t="s">
        <v>70</v>
      </c>
      <c r="BK34" s="16" t="s">
        <v>19</v>
      </c>
      <c r="BL34" s="16" t="s">
        <v>219</v>
      </c>
      <c r="BM34" s="16" t="s">
        <v>67</v>
      </c>
      <c r="BN34" s="17">
        <v>44288.166709988429</v>
      </c>
      <c r="BR34" s="16" t="s">
        <v>64</v>
      </c>
      <c r="BS34" s="16">
        <v>4.0401202112704901E+18</v>
      </c>
      <c r="BT34" s="16" t="s">
        <v>63</v>
      </c>
      <c r="BU34" s="16" t="s">
        <v>410</v>
      </c>
      <c r="BV34" s="16">
        <v>2020</v>
      </c>
      <c r="BW34" s="16" t="s">
        <v>61</v>
      </c>
      <c r="BY34" s="16">
        <v>4.0402202112747402E+18</v>
      </c>
      <c r="BZ34" s="16" t="s">
        <v>409</v>
      </c>
      <c r="CA34" s="16" t="s">
        <v>59</v>
      </c>
    </row>
    <row r="35" spans="1:79" x14ac:dyDescent="0.2">
      <c r="V35" s="16" t="str">
        <f>+V34&amp;W34&amp;X34&amp;Y34&amp;Z34</f>
        <v>5610 GOLDEN GATE AVENUEOAKLANDCA94618</v>
      </c>
      <c r="AJ35" s="16">
        <f>SUM(AJ2:AJ34)</f>
        <v>105036.65999999999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Board &amp; Executives Summary</vt:lpstr>
      <vt:lpstr>Ron Sugar</vt:lpstr>
      <vt:lpstr>Andrea Jung</vt:lpstr>
      <vt:lpstr>Albert Gore</vt:lpstr>
      <vt:lpstr>Monica Lozano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Marnell</dc:creator>
  <cp:lastModifiedBy>Matt Marnell</cp:lastModifiedBy>
  <dcterms:created xsi:type="dcterms:W3CDTF">2021-07-15T15:00:46Z</dcterms:created>
  <dcterms:modified xsi:type="dcterms:W3CDTF">2021-08-02T18:56:53Z</dcterms:modified>
</cp:coreProperties>
</file>