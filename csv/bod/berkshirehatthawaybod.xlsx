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131"/>
  <workbookPr defaultThemeVersion="124226"/>
  <mc:AlternateContent xmlns:mc="http://schemas.openxmlformats.org/markup-compatibility/2006">
    <mc:Choice Requires="x15">
      <x15ac:absPath xmlns:x15ac="http://schemas.microsoft.com/office/spreadsheetml/2010/11/ac" url="C:\Users\19144\Documents\Mitchell project\"/>
    </mc:Choice>
  </mc:AlternateContent>
  <xr:revisionPtr revIDLastSave="0" documentId="13_ncr:1_{F4C37F0D-02F3-4979-B3AA-08B6486509D3}" xr6:coauthVersionLast="47" xr6:coauthVersionMax="47" xr10:uidLastSave="{00000000-0000-0000-0000-000000000000}"/>
  <bookViews>
    <workbookView xWindow="-120" yWindow="-120" windowWidth="20730" windowHeight="11160" activeTab="3" xr2:uid="{00000000-000D-0000-FFFF-FFFF00000000}"/>
  </bookViews>
  <sheets>
    <sheet name="Company PAC" sheetId="2" r:id="rId1"/>
    <sheet name="Board &amp; Executives" sheetId="4" r:id="rId2"/>
    <sheet name="Howard G. Buffett" sheetId="1" r:id="rId3"/>
    <sheet name="Stephen B. Burke" sheetId="3" r:id="rId4"/>
    <sheet name="Kenneth I. Chenault" sheetId="5" r:id="rId5"/>
    <sheet name="Susan L. Decker" sheetId="6" r:id="rId6"/>
    <sheet name="David S. Gottesman" sheetId="7" r:id="rId7"/>
    <sheet name="Charlotte Guyman" sheetId="8" r:id="rId8"/>
    <sheet name="Thomas S. Murphy" sheetId="9" r:id="rId9"/>
    <sheet name="Ronald L. Olson" sheetId="10" r:id="rId10"/>
    <sheet name="Walter Scott, Jr." sheetId="11" r:id="rId11"/>
    <sheet name="Meryl B. Witmer" sheetId="12" r:id="rId12"/>
    <sheet name="Warren E. Buffett" sheetId="13" r:id="rId13"/>
    <sheet name="Charles T. Munger" sheetId="14" r:id="rId14"/>
    <sheet name="Gregory E. Abel " sheetId="15" r:id="rId15"/>
    <sheet name="Ajit Jain" sheetId="16" r:id="rId16"/>
    <sheet name="Marc D. Hamburg" sheetId="17" r:id="rId17"/>
  </sheets>
  <calcPr calcId="191029"/>
</workbook>
</file>

<file path=xl/calcChain.xml><?xml version="1.0" encoding="utf-8"?>
<calcChain xmlns="http://schemas.openxmlformats.org/spreadsheetml/2006/main">
  <c r="L10" i="15" l="1"/>
  <c r="N8" i="15"/>
  <c r="F8" i="13"/>
  <c r="F6" i="12"/>
  <c r="F9" i="11"/>
  <c r="F9" i="10"/>
  <c r="F6" i="5"/>
  <c r="F5" i="3"/>
  <c r="F5" i="8"/>
  <c r="L5" i="5"/>
  <c r="L4" i="5"/>
  <c r="K5" i="5"/>
  <c r="K4" i="5"/>
  <c r="K2" i="5"/>
  <c r="L2" i="5"/>
  <c r="K3" i="5"/>
  <c r="L3" i="5"/>
  <c r="N17" i="4"/>
  <c r="L4" i="3"/>
  <c r="K4" i="3"/>
  <c r="L3" i="3"/>
  <c r="K3" i="3"/>
  <c r="L2" i="3"/>
  <c r="K2" i="3"/>
  <c r="M17" i="4" l="1"/>
  <c r="L17" i="4"/>
  <c r="L10" i="16"/>
  <c r="K10" i="16"/>
  <c r="F4" i="6" l="1"/>
  <c r="L3" i="6"/>
  <c r="K3" i="6"/>
  <c r="L2" i="6"/>
  <c r="K2" i="6"/>
  <c r="L2" i="17"/>
  <c r="K2" i="17"/>
  <c r="L3" i="15"/>
  <c r="K3" i="15"/>
  <c r="L2" i="15"/>
  <c r="K2" i="15"/>
  <c r="L3" i="14"/>
  <c r="K3" i="14"/>
  <c r="L2" i="14"/>
  <c r="K2" i="14"/>
  <c r="L7" i="13"/>
  <c r="K7" i="13"/>
  <c r="L6" i="13"/>
  <c r="K6" i="13"/>
  <c r="L5" i="13"/>
  <c r="K5" i="13"/>
  <c r="L4" i="13"/>
  <c r="K4" i="13"/>
  <c r="L3" i="13"/>
  <c r="K3" i="13"/>
  <c r="L2" i="13"/>
  <c r="K2" i="13"/>
  <c r="L3" i="12"/>
  <c r="K3" i="12"/>
  <c r="L2" i="12"/>
  <c r="K2" i="12"/>
  <c r="L8" i="11" l="1"/>
  <c r="K8" i="11"/>
  <c r="L7" i="11"/>
  <c r="K7" i="11"/>
  <c r="L6" i="11"/>
  <c r="K6" i="11"/>
  <c r="L5" i="11"/>
  <c r="K5" i="11"/>
  <c r="L4" i="11"/>
  <c r="K4" i="11"/>
  <c r="L3" i="11"/>
  <c r="K3" i="11"/>
  <c r="L2" i="11"/>
  <c r="K2" i="11"/>
  <c r="L3" i="10" l="1"/>
  <c r="K3" i="10"/>
  <c r="L2" i="10"/>
  <c r="K2" i="10"/>
  <c r="L5" i="9"/>
  <c r="K5" i="9"/>
  <c r="L4" i="9"/>
  <c r="K4" i="9"/>
  <c r="L3" i="9"/>
  <c r="K3" i="9"/>
  <c r="L2" i="9"/>
  <c r="K2" i="9"/>
  <c r="L3" i="8"/>
  <c r="K3" i="8"/>
  <c r="L2" i="8"/>
  <c r="K2" i="8"/>
  <c r="L4" i="7"/>
  <c r="K4" i="7"/>
  <c r="L3" i="7"/>
  <c r="K3" i="7"/>
  <c r="L2" i="7"/>
  <c r="K2" i="7"/>
</calcChain>
</file>

<file path=xl/sharedStrings.xml><?xml version="1.0" encoding="utf-8"?>
<sst xmlns="http://schemas.openxmlformats.org/spreadsheetml/2006/main" count="775" uniqueCount="199">
  <si>
    <t>BIDEN FOR PRESIDENT</t>
  </si>
  <si>
    <t>N</t>
  </si>
  <si>
    <t>D</t>
  </si>
  <si>
    <t>R</t>
  </si>
  <si>
    <t>Republican</t>
  </si>
  <si>
    <t>Independent</t>
  </si>
  <si>
    <t>Democratic</t>
  </si>
  <si>
    <t>Age</t>
  </si>
  <si>
    <t>Political Affiliation</t>
  </si>
  <si>
    <t>From Open Secrets.com</t>
  </si>
  <si>
    <t>State</t>
  </si>
  <si>
    <t>%Republican</t>
  </si>
  <si>
    <t>%Democrat</t>
  </si>
  <si>
    <t>Company PAC Name</t>
  </si>
  <si>
    <t>Contributor name</t>
  </si>
  <si>
    <t>Recipient</t>
  </si>
  <si>
    <t>Employer</t>
  </si>
  <si>
    <t>Receipt date</t>
  </si>
  <si>
    <t>Amount</t>
  </si>
  <si>
    <t>CONDE, CESAR</t>
  </si>
  <si>
    <t>ACTBLUE</t>
  </si>
  <si>
    <t>Calculated Political Affiliation</t>
  </si>
  <si>
    <t>Criteria 41 - 59% N &gt;59% Party Affiliation</t>
  </si>
  <si>
    <t>RETIRED</t>
  </si>
  <si>
    <t>CA</t>
  </si>
  <si>
    <t>Notes</t>
  </si>
  <si>
    <t>Cesar Conde is the newest addition to Walmart’s board of directors as he only joined in 2019. He is the Chairman of NBCUniversal Telemundo Enterprises and NBCUniversal International Group. He first joined NBC International Group in 2013 when he held the position of Executive Vice President. This meant he had the responsibility of overseeing NBCU International and NBCU Digital Enterprises. He became Chairman in 2015, and he is now responsible for the operations and international expansions of the company outside North America. At Telemundo Enterprises, he is responsible for the media properties that serve Hispanic people. Before he joined NBCUniversal, he served Univision Networks for 10 years in a variety of senior executive position, including President of the company. Cesar Conde also previously worked at StarMedia Network and as White House Fellow for Secretary of State. Currently, Conde is a trustee of both the Paley Center for Music and for Aspen Institute. He is also a Young Global Leader for the World Economic Forum, a Full Member at the Council on Foreign Relations, and he serves on the Board of Directors of PepsiCo. Conde has been married to Pamela Silva Conde, a Univision news anchor, since 2009.</t>
  </si>
  <si>
    <t>Cesar Conde Political Contributions in 2014</t>
  </si>
  <si>
    <t>Name &amp; Location</t>
  </si>
  <si>
    <t>Employer/Occupation</t>
  </si>
  <si>
    <t>Dollar</t>
  </si>
  <si>
    <t>Date</t>
  </si>
  <si>
    <t>Primary/</t>
  </si>
  <si>
    <t>General</t>
  </si>
  <si>
    <t>Contibuted To</t>
  </si>
  <si>
    <t>NEW YORK, NY</t>
  </si>
  <si>
    <t>Nbcuniversal/Executive Vice President</t>
  </si>
  <si>
    <t>P</t>
  </si>
  <si>
    <t>COMCAST CORPORATION &amp; NBCUNIVERSAL POLITICAL ACTION COMMITTEE - FEDERAL</t>
  </si>
  <si>
    <t>LOS ANGELES, CA</t>
  </si>
  <si>
    <t>Univision Communications Inc/President, Univision Networks</t>
  </si>
  <si>
    <t>UNIVISION COMMUNICATIONS INC. POLITICAL ACTION COMMITTEE</t>
  </si>
  <si>
    <t>HIALEAH, FL</t>
  </si>
  <si>
    <t>Corporate Staff/Chairman Int#L And Telemundo Enterpris</t>
  </si>
  <si>
    <t>Conde, Cesar</t>
  </si>
  <si>
    <t>Univision Communications Inc/Presid</t>
  </si>
  <si>
    <t>Univision Communications Inc./Presi</t>
  </si>
  <si>
    <t>• Board Member</t>
  </si>
  <si>
    <t>Memberships</t>
  </si>
  <si>
    <t>World Economic Forum - International Business Council</t>
  </si>
  <si>
    <t>• Member</t>
  </si>
  <si>
    <t>Business Roundtable Conservative-leaning pro-business policy group of leading chief executives</t>
  </si>
  <si>
    <t>Donation/Grant Recipients</t>
  </si>
  <si>
    <t>KPMG Partners &amp; Principals &amp; Employees Political Action Committee</t>
  </si>
  <si>
    <t>• 16 contributions · 27,731 USD ('96→'11)</t>
  </si>
  <si>
    <t>Chris Dodd President &amp; CEO of MPAA; former Democratic US Senator from CT</t>
  </si>
  <si>
    <t>• 3 contributions · 3,000 USD ('06→Dec 13 '06)</t>
  </si>
  <si>
    <t>Chuck Schumer US Senator and Representative from New York</t>
  </si>
  <si>
    <t>• 3 contributions · 3,000 USD ('00→'10)</t>
  </si>
  <si>
    <t>Rudy Giuliani Trump adviser; former mayor of New York City</t>
  </si>
  <si>
    <t>• 1 contribution · 2,300 USD ('07)</t>
  </si>
  <si>
    <t>Michael Ciresi V Democratic attorney from Minnesota, veteran contender in Dem statewide races</t>
  </si>
  <si>
    <t>Richard Shelby US Senator and Representative from Alabama</t>
  </si>
  <si>
    <t>• 1 contribution · 1,000 USD ('03)</t>
  </si>
  <si>
    <t>Max Baucus former US Senator and Representative from Montana</t>
  </si>
  <si>
    <t>• 1 contribution · 1,000 USD ('06)</t>
  </si>
  <si>
    <t>Company</t>
  </si>
  <si>
    <t>Board</t>
  </si>
  <si>
    <t>Exec</t>
  </si>
  <si>
    <t>Fname</t>
  </si>
  <si>
    <t>MI</t>
  </si>
  <si>
    <t>Lname</t>
  </si>
  <si>
    <t>Gender</t>
  </si>
  <si>
    <t>DOB</t>
  </si>
  <si>
    <t xml:space="preserve">Dem  </t>
  </si>
  <si>
    <t xml:space="preserve">Rep </t>
  </si>
  <si>
    <t>Neutral</t>
  </si>
  <si>
    <t>Reg</t>
  </si>
  <si>
    <t>Address</t>
  </si>
  <si>
    <t>B</t>
  </si>
  <si>
    <t>M</t>
  </si>
  <si>
    <t>Y</t>
  </si>
  <si>
    <t>F</t>
  </si>
  <si>
    <t>S</t>
  </si>
  <si>
    <t>L</t>
  </si>
  <si>
    <t>NE</t>
  </si>
  <si>
    <t>WINRED</t>
  </si>
  <si>
    <t>WA</t>
  </si>
  <si>
    <t>NY</t>
  </si>
  <si>
    <t>PA</t>
  </si>
  <si>
    <t>DNC SERVICES CORP / DEMOCRATIC NATIONAL COMMITTEE</t>
  </si>
  <si>
    <t>BIDEN VICTORY FUND</t>
  </si>
  <si>
    <t>TRUMP MAKE AMERICA GREAT AGAIN COMMITTEE</t>
  </si>
  <si>
    <t>E</t>
  </si>
  <si>
    <t>FL</t>
  </si>
  <si>
    <t>G</t>
  </si>
  <si>
    <t>David</t>
  </si>
  <si>
    <t xml:space="preserve">                                                                                                                                                                                           </t>
  </si>
  <si>
    <t xml:space="preserve">                                                                                          </t>
  </si>
  <si>
    <t>CT</t>
  </si>
  <si>
    <t>SHAHEEN FOR SENATE</t>
  </si>
  <si>
    <t>CAL FOR NC</t>
  </si>
  <si>
    <t>Marc</t>
  </si>
  <si>
    <t>Hamburg</t>
  </si>
  <si>
    <t>Warren</t>
  </si>
  <si>
    <t>Buffett</t>
  </si>
  <si>
    <t>Charles</t>
  </si>
  <si>
    <t>T</t>
  </si>
  <si>
    <t>Munger</t>
  </si>
  <si>
    <t>Ajit</t>
  </si>
  <si>
    <t>Gregory</t>
  </si>
  <si>
    <t>Abel</t>
  </si>
  <si>
    <t>Jain</t>
  </si>
  <si>
    <t>Berkshire Hathaway</t>
  </si>
  <si>
    <t>Howard</t>
  </si>
  <si>
    <t>Stephen</t>
  </si>
  <si>
    <t>Burke</t>
  </si>
  <si>
    <t>Kenneth</t>
  </si>
  <si>
    <t>I</t>
  </si>
  <si>
    <t>Chenault</t>
  </si>
  <si>
    <t>Susan</t>
  </si>
  <si>
    <t xml:space="preserve">L </t>
  </si>
  <si>
    <t>Decker</t>
  </si>
  <si>
    <t>Gottesman</t>
  </si>
  <si>
    <t>Charlotte</t>
  </si>
  <si>
    <t>Guyman</t>
  </si>
  <si>
    <t>Thomas</t>
  </si>
  <si>
    <t>Murphy</t>
  </si>
  <si>
    <t>Ronald</t>
  </si>
  <si>
    <t>Olson</t>
  </si>
  <si>
    <t>Walter</t>
  </si>
  <si>
    <t>Scott</t>
  </si>
  <si>
    <t>Meryl</t>
  </si>
  <si>
    <t>Witmer</t>
  </si>
  <si>
    <t>Eagle Capital Partners LP,</t>
  </si>
  <si>
    <r>
      <t>The </t>
    </r>
    <r>
      <rPr>
        <b/>
        <sz val="11"/>
        <color rgb="FF5F6368"/>
        <rFont val="Arial"/>
        <family val="2"/>
      </rPr>
      <t>Howard G</t>
    </r>
    <r>
      <rPr>
        <sz val="11"/>
        <color rgb="FF70757A"/>
        <rFont val="Arial"/>
        <family val="2"/>
      </rPr>
      <t>. </t>
    </r>
    <r>
      <rPr>
        <b/>
        <sz val="11"/>
        <color rgb="FF5F6368"/>
        <rFont val="Arial"/>
        <family val="2"/>
      </rPr>
      <t>Buffett</t>
    </r>
    <r>
      <rPr>
        <sz val="11"/>
        <color rgb="FF70757A"/>
        <rFont val="Arial"/>
        <family val="2"/>
      </rPr>
      <t> Foundation</t>
    </r>
  </si>
  <si>
    <t>BUFFETT, WARREN</t>
  </si>
  <si>
    <t>DCCC</t>
  </si>
  <si>
    <t>BERKSHIRE HATHAWAY, INC.</t>
  </si>
  <si>
    <t>BUFFETT, WARREN E</t>
  </si>
  <si>
    <t>MARK KELLY FOR SENATE</t>
  </si>
  <si>
    <t>BERKSHIRE HATHAWAY</t>
  </si>
  <si>
    <t>Retired</t>
  </si>
  <si>
    <t>BURKE, STEPHEN B.</t>
  </si>
  <si>
    <t>MIKIE SHERRILL FOR CONGRESS</t>
  </si>
  <si>
    <t>COMCAST</t>
  </si>
  <si>
    <t>BURKE, STEPHEN</t>
  </si>
  <si>
    <t>NCTA - THE INTERNET AND TELEVISION ASSOCIATION POLITICAL ACTION COMMITTEE (NCTA PAC)</t>
  </si>
  <si>
    <t>COMCAST CORPORATION &amp; NBCUNIVERSAL PAC COMMITTEE - FEDERAL</t>
  </si>
  <si>
    <t>General Catalyst</t>
  </si>
  <si>
    <t>CHENAULT, KENNETH</t>
  </si>
  <si>
    <t>FRIENDS FOR GREGORY MEEKS</t>
  </si>
  <si>
    <t>GENERAL CATALYST</t>
  </si>
  <si>
    <t>CHENAULT, KENNETH I.</t>
  </si>
  <si>
    <t>MEEKS VICTORY FUND</t>
  </si>
  <si>
    <t>Raftr</t>
  </si>
  <si>
    <t>Denver San Francisco</t>
  </si>
  <si>
    <t>NY PA</t>
  </si>
  <si>
    <t xml:space="preserve">NY </t>
  </si>
  <si>
    <t>Rye NY</t>
  </si>
  <si>
    <t>AELF</t>
  </si>
  <si>
    <t>Medina Wa</t>
  </si>
  <si>
    <t>GUYMAN, CHARLOTTE</t>
  </si>
  <si>
    <t>DECKER, SUSAN</t>
  </si>
  <si>
    <t>RAFTR, INC.</t>
  </si>
  <si>
    <t>First Manhattan Co.</t>
  </si>
  <si>
    <t>Wa</t>
  </si>
  <si>
    <t>Ca</t>
  </si>
  <si>
    <t>North Palm Beach Fl and Rye NY</t>
  </si>
  <si>
    <t>MURPHY, THOMAS S.</t>
  </si>
  <si>
    <t>DEMOCRATIC EXECUTIVE COMMITTEE OF FLORIDA</t>
  </si>
  <si>
    <t>DEMOCRATIC PARTY OF VIRGINIA</t>
  </si>
  <si>
    <t>NY Fl</t>
  </si>
  <si>
    <t>Los Angelos Ca</t>
  </si>
  <si>
    <t>OLSON, RONALD L.</t>
  </si>
  <si>
    <t>OZ FOR CONGRESS</t>
  </si>
  <si>
    <t>MUNGER TOLLES &amp; OLSEN, LLP</t>
  </si>
  <si>
    <t>MUNGER, TOLLES &amp; OLSON LLP</t>
  </si>
  <si>
    <t>OLSON, RONALD L</t>
  </si>
  <si>
    <t>MUNGER TOLLES &amp; OLSON</t>
  </si>
  <si>
    <t>TED LIEU FOR CONGRESS</t>
  </si>
  <si>
    <t>MUNGER, TOLLES &amp; OLSON</t>
  </si>
  <si>
    <t>KAMALA HARRIS FOR THE PEOPLE</t>
  </si>
  <si>
    <t>FRIENDS OF LUCY MCBATH</t>
  </si>
  <si>
    <t>MUNGER TOLLES &amp; OLSON LLP</t>
  </si>
  <si>
    <t>WALTER, SCOTT</t>
  </si>
  <si>
    <t>WITMER, MERYL</t>
  </si>
  <si>
    <t>EAGLE VALUE PARTNERS</t>
  </si>
  <si>
    <t>NICOLE FOR NEW YORK</t>
  </si>
  <si>
    <t>Fl</t>
  </si>
  <si>
    <t>Omaha</t>
  </si>
  <si>
    <t>BERKSHIRE HATHAWAY ENERGY COMPANY PAC</t>
  </si>
  <si>
    <t>ABEL, GREGORY E</t>
  </si>
  <si>
    <t>IA</t>
  </si>
  <si>
    <t>BERKSHIRE HATHAWAY ENERGY CO</t>
  </si>
  <si>
    <t>MIDAMERICAN ENERGY COMPANY PAC</t>
  </si>
  <si>
    <t>HAMBURG, MARC</t>
  </si>
  <si>
    <t>Ne</t>
  </si>
  <si>
    <t>Berkdhire Hathaway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</si>
</sst>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43" formatCode="_(* #,##0.00_);_(* \(#,##0.00\);_(* &quot;-&quot;??_);_(@_)"/>
  </numFmts>
  <fonts count="33">
    <font>
      <sz val="11"/>
      <color theme="1"/>
      <name val="Calibri"/>
      <family val="2"/>
      <scheme val="minor"/>
    </font>
    <font>
      <sz val="11"/>
      <name val="Times New Roman"/>
      <family val="1"/>
    </font>
    <font>
      <u/>
      <sz val="11"/>
      <color theme="10"/>
      <name val="Calibri"/>
      <family val="2"/>
    </font>
    <font>
      <sz val="11"/>
      <color theme="1"/>
      <name val="Calibri"/>
      <family val="2"/>
      <scheme val="minor"/>
    </font>
    <font>
      <sz val="11"/>
      <color rgb="FFFF0000"/>
      <name val="Calibri"/>
      <family val="2"/>
      <scheme val="minor"/>
    </font>
    <font>
      <sz val="12"/>
      <color theme="1"/>
      <name val="Times New Roman"/>
      <family val="1"/>
    </font>
    <font>
      <sz val="10"/>
      <color rgb="FF212B4A"/>
      <name val="Arial"/>
      <family val="2"/>
    </font>
    <font>
      <sz val="12"/>
      <color rgb="FFFF0000"/>
      <name val="Times New Roman"/>
      <family val="1"/>
    </font>
    <font>
      <sz val="10"/>
      <color rgb="FF707070"/>
      <name val="Franklin Gothic Medium"/>
      <family val="2"/>
    </font>
    <font>
      <sz val="11"/>
      <color rgb="FF000000"/>
      <name val="BogleWeb"/>
    </font>
    <font>
      <sz val="11"/>
      <color rgb="FF000000"/>
      <name val="Verdana"/>
      <family val="2"/>
    </font>
    <font>
      <sz val="6"/>
      <color rgb="FFFFFFFF"/>
      <name val="Verdana"/>
      <family val="2"/>
    </font>
    <font>
      <sz val="5"/>
      <color rgb="FF000000"/>
      <name val="Verdana"/>
      <family val="2"/>
    </font>
    <font>
      <sz val="11"/>
      <color rgb="FF000000"/>
      <name val="Segoe UI"/>
      <family val="2"/>
    </font>
    <font>
      <b/>
      <sz val="11"/>
      <color rgb="FF000000"/>
      <name val="BogleWeb"/>
    </font>
    <font>
      <sz val="8"/>
      <color rgb="FF555555"/>
      <name val="Segoe UI"/>
      <family val="2"/>
    </font>
    <font>
      <sz val="10"/>
      <color theme="1"/>
      <name val="Times New Roman"/>
      <family val="2"/>
    </font>
    <font>
      <sz val="11"/>
      <color rgb="FF212121"/>
      <name val="Arial"/>
      <family val="2"/>
    </font>
    <font>
      <sz val="10"/>
      <color rgb="FF666666"/>
      <name val="Arial"/>
      <family val="2"/>
    </font>
    <font>
      <sz val="12"/>
      <color rgb="FF212B4A"/>
      <name val="Arial"/>
      <family val="2"/>
    </font>
    <font>
      <sz val="11"/>
      <color rgb="FF70757A"/>
      <name val="Arial"/>
      <family val="2"/>
    </font>
    <font>
      <b/>
      <sz val="11"/>
      <color rgb="FF5F6368"/>
      <name val="Arial"/>
      <family val="2"/>
    </font>
    <font>
      <sz val="11"/>
      <name val="Calibri"/>
      <family val="2"/>
      <scheme val="minor"/>
    </font>
    <font>
      <u/>
      <sz val="11"/>
      <name val="Calibri"/>
      <family val="2"/>
      <scheme val="minor"/>
    </font>
    <font>
      <sz val="11"/>
      <color rgb="FF212121"/>
      <name val="Calibri"/>
      <family val="2"/>
      <scheme val="minor"/>
    </font>
    <font>
      <sz val="16"/>
      <color rgb="FF2E2D29"/>
      <name val="Source Sans Pro"/>
      <family val="2"/>
    </font>
    <font>
      <sz val="11"/>
      <color rgb="FF202122"/>
      <name val="Arial"/>
      <family val="2"/>
    </font>
    <font>
      <sz val="11"/>
      <color rgb="FF212121"/>
      <name val="Arial"/>
      <family val="2"/>
    </font>
    <font>
      <sz val="11"/>
      <color rgb="FF212121"/>
      <name val="Inherit"/>
    </font>
    <font>
      <sz val="12"/>
      <color rgb="FF000000"/>
      <name val="Times New Roman"/>
      <family val="1"/>
    </font>
    <font>
      <sz val="11"/>
      <color rgb="FF4D5156"/>
      <name val="Arial"/>
      <family val="2"/>
    </font>
    <font>
      <sz val="11"/>
      <color rgb="FF222222"/>
      <name val="Arial"/>
      <family val="2"/>
    </font>
    <font>
      <sz val="12"/>
      <color rgb="FF111111"/>
      <name val="Arial"/>
      <family val="2"/>
    </font>
  </fonts>
  <fills count="6">
    <fill>
      <patternFill patternType="none"/>
    </fill>
    <fill>
      <patternFill patternType="gray125"/>
    </fill>
    <fill>
      <patternFill patternType="solid">
        <fgColor rgb="FF000000"/>
        <bgColor indexed="64"/>
      </patternFill>
    </fill>
    <fill>
      <patternFill patternType="solid">
        <fgColor rgb="FFFFFFFF"/>
        <bgColor indexed="64"/>
      </patternFill>
    </fill>
    <fill>
      <patternFill patternType="solid">
        <fgColor rgb="FFFFFFBB"/>
        <bgColor indexed="64"/>
      </patternFill>
    </fill>
    <fill>
      <patternFill patternType="solid">
        <fgColor rgb="FFF1F1F1"/>
        <bgColor indexed="64"/>
      </patternFill>
    </fill>
  </fills>
  <borders count="5">
    <border>
      <left/>
      <right/>
      <top/>
      <bottom/>
      <diagonal/>
    </border>
    <border>
      <left/>
      <right/>
      <top/>
      <bottom style="medium">
        <color rgb="FFF1F1F1"/>
      </bottom>
      <diagonal/>
    </border>
    <border>
      <left style="medium">
        <color rgb="FFF1F1F1"/>
      </left>
      <right/>
      <top/>
      <bottom style="medium">
        <color rgb="FFF1F1F1"/>
      </bottom>
      <diagonal/>
    </border>
    <border>
      <left/>
      <right/>
      <top/>
      <bottom style="medium">
        <color rgb="FF112E51"/>
      </bottom>
      <diagonal/>
    </border>
    <border>
      <left style="medium">
        <color rgb="FFF1F1F1"/>
      </left>
      <right/>
      <top/>
      <bottom style="medium">
        <color rgb="FF112E51"/>
      </bottom>
      <diagonal/>
    </border>
  </borders>
  <cellStyleXfs count="7">
    <xf numFmtId="0" fontId="0" fillId="0" borderId="0"/>
    <xf numFmtId="0" fontId="2" fillId="0" borderId="0" applyNumberFormat="0" applyFill="0" applyBorder="0" applyAlignment="0" applyProtection="0">
      <alignment vertical="top"/>
      <protection locked="0"/>
    </xf>
    <xf numFmtId="43" fontId="3" fillId="0" borderId="0" applyFont="0" applyFill="0" applyBorder="0" applyAlignment="0" applyProtection="0"/>
    <xf numFmtId="44" fontId="3" fillId="0" borderId="0" applyFont="0" applyFill="0" applyBorder="0" applyAlignment="0" applyProtection="0"/>
    <xf numFmtId="0" fontId="16" fillId="0" borderId="0"/>
    <xf numFmtId="0" fontId="16" fillId="0" borderId="0"/>
    <xf numFmtId="0" fontId="16" fillId="0" borderId="0"/>
  </cellStyleXfs>
  <cellXfs count="83">
    <xf numFmtId="0" fontId="0" fillId="0" borderId="0" xfId="0"/>
    <xf numFmtId="14" fontId="0" fillId="0" borderId="0" xfId="0" applyNumberFormat="1"/>
    <xf numFmtId="0" fontId="0" fillId="0" borderId="0" xfId="0" applyNumberFormat="1"/>
    <xf numFmtId="0" fontId="1" fillId="0" borderId="0" xfId="0" applyFont="1"/>
    <xf numFmtId="9" fontId="0" fillId="0" borderId="0" xfId="0" applyNumberFormat="1"/>
    <xf numFmtId="0" fontId="5" fillId="0" borderId="0" xfId="0" applyFont="1"/>
    <xf numFmtId="3" fontId="0" fillId="0" borderId="0" xfId="0" applyNumberFormat="1"/>
    <xf numFmtId="3" fontId="6" fillId="0" borderId="0" xfId="0" applyNumberFormat="1" applyFont="1"/>
    <xf numFmtId="0" fontId="0" fillId="0" borderId="0" xfId="3" applyNumberFormat="1" applyFont="1"/>
    <xf numFmtId="0" fontId="6" fillId="0" borderId="0" xfId="0" applyNumberFormat="1" applyFont="1"/>
    <xf numFmtId="0" fontId="4" fillId="0" borderId="0" xfId="0" applyFont="1"/>
    <xf numFmtId="0" fontId="0" fillId="0" borderId="0" xfId="2" applyNumberFormat="1" applyFont="1"/>
    <xf numFmtId="8" fontId="0" fillId="0" borderId="0" xfId="0" applyNumberFormat="1"/>
    <xf numFmtId="0" fontId="4" fillId="0" borderId="0" xfId="0" applyNumberFormat="1" applyFont="1"/>
    <xf numFmtId="14" fontId="4" fillId="0" borderId="0" xfId="0" applyNumberFormat="1" applyFont="1"/>
    <xf numFmtId="8" fontId="4" fillId="0" borderId="0" xfId="0" applyNumberFormat="1" applyFont="1"/>
    <xf numFmtId="0" fontId="7" fillId="0" borderId="0" xfId="0" applyFont="1"/>
    <xf numFmtId="0" fontId="8" fillId="0" borderId="0" xfId="0" applyFont="1"/>
    <xf numFmtId="0" fontId="2" fillId="0" borderId="0" xfId="1" applyAlignment="1" applyProtection="1"/>
    <xf numFmtId="0" fontId="9" fillId="0" borderId="0" xfId="0" applyFont="1" applyAlignment="1">
      <alignment wrapText="1"/>
    </xf>
    <xf numFmtId="0" fontId="9" fillId="0" borderId="0" xfId="0" applyNumberFormat="1" applyFont="1" applyAlignment="1">
      <alignment wrapText="1"/>
    </xf>
    <xf numFmtId="0" fontId="10" fillId="0" borderId="0" xfId="0" applyFont="1"/>
    <xf numFmtId="0" fontId="11" fillId="2" borderId="0" xfId="0" applyFont="1" applyFill="1" applyAlignment="1">
      <alignment wrapText="1"/>
    </xf>
    <xf numFmtId="0" fontId="11" fillId="2" borderId="0" xfId="0" applyFont="1" applyFill="1" applyAlignment="1">
      <alignment horizontal="right" wrapText="1"/>
    </xf>
    <xf numFmtId="0" fontId="2" fillId="3" borderId="0" xfId="1" applyFill="1" applyAlignment="1" applyProtection="1">
      <alignment wrapText="1"/>
    </xf>
    <xf numFmtId="0" fontId="12" fillId="3" borderId="0" xfId="0" applyFont="1" applyFill="1" applyAlignment="1">
      <alignment wrapText="1"/>
    </xf>
    <xf numFmtId="0" fontId="2" fillId="4" borderId="0" xfId="1" applyFill="1" applyAlignment="1" applyProtection="1">
      <alignment wrapText="1"/>
    </xf>
    <xf numFmtId="0" fontId="12" fillId="4" borderId="0" xfId="0" applyFont="1" applyFill="1" applyAlignment="1">
      <alignment wrapText="1"/>
    </xf>
    <xf numFmtId="0" fontId="13" fillId="0" borderId="0" xfId="0" applyFont="1" applyAlignment="1">
      <alignment horizontal="left" wrapText="1"/>
    </xf>
    <xf numFmtId="0" fontId="2" fillId="0" borderId="0" xfId="1" applyAlignment="1" applyProtection="1">
      <alignment horizontal="left" wrapText="1"/>
    </xf>
    <xf numFmtId="0" fontId="14" fillId="0" borderId="0" xfId="0" applyFont="1" applyAlignment="1">
      <alignment wrapText="1"/>
    </xf>
    <xf numFmtId="6" fontId="15" fillId="0" borderId="0" xfId="0" applyNumberFormat="1" applyFont="1"/>
    <xf numFmtId="0" fontId="0" fillId="3" borderId="0" xfId="0" applyFill="1"/>
    <xf numFmtId="0" fontId="17" fillId="3" borderId="1" xfId="0" applyFont="1" applyFill="1" applyBorder="1" applyAlignment="1">
      <alignment vertical="center" wrapText="1"/>
    </xf>
    <xf numFmtId="0" fontId="17" fillId="3" borderId="2" xfId="0" applyFont="1" applyFill="1" applyBorder="1" applyAlignment="1">
      <alignment vertical="center" wrapText="1"/>
    </xf>
    <xf numFmtId="0" fontId="2" fillId="3" borderId="2" xfId="1" applyFill="1" applyBorder="1" applyAlignment="1" applyProtection="1">
      <alignment vertical="center" wrapText="1"/>
    </xf>
    <xf numFmtId="14" fontId="17" fillId="3" borderId="2" xfId="0" applyNumberFormat="1" applyFont="1" applyFill="1" applyBorder="1" applyAlignment="1">
      <alignment vertical="center" wrapText="1"/>
    </xf>
    <xf numFmtId="8" fontId="17" fillId="3" borderId="2" xfId="0" applyNumberFormat="1" applyFont="1" applyFill="1" applyBorder="1" applyAlignment="1">
      <alignment horizontal="right" vertical="center" wrapText="1"/>
    </xf>
    <xf numFmtId="0" fontId="17" fillId="3" borderId="2" xfId="0" applyFont="1" applyFill="1" applyBorder="1" applyAlignment="1">
      <alignment horizontal="center" vertical="center" wrapText="1"/>
    </xf>
    <xf numFmtId="0" fontId="17" fillId="0" borderId="0" xfId="0" applyFont="1"/>
    <xf numFmtId="0" fontId="18" fillId="0" borderId="0" xfId="0" applyFont="1"/>
    <xf numFmtId="3" fontId="19" fillId="0" borderId="0" xfId="0" applyNumberFormat="1" applyFont="1"/>
    <xf numFmtId="0" fontId="0" fillId="3" borderId="2" xfId="0" applyFill="1" applyBorder="1"/>
    <xf numFmtId="0" fontId="17" fillId="3" borderId="0" xfId="0" applyFont="1" applyFill="1" applyBorder="1" applyAlignment="1">
      <alignment horizontal="center" vertical="center" wrapText="1"/>
    </xf>
    <xf numFmtId="0" fontId="17" fillId="3" borderId="0" xfId="0" applyFont="1" applyFill="1" applyBorder="1" applyAlignment="1">
      <alignment vertical="center" wrapText="1"/>
    </xf>
    <xf numFmtId="0" fontId="12" fillId="3" borderId="0" xfId="0" applyFont="1" applyFill="1" applyAlignment="1">
      <alignment wrapText="1"/>
    </xf>
    <xf numFmtId="6" fontId="12" fillId="3" borderId="0" xfId="0" applyNumberFormat="1" applyFont="1" applyFill="1" applyAlignment="1">
      <alignment horizontal="right" wrapText="1"/>
    </xf>
    <xf numFmtId="14" fontId="12" fillId="3" borderId="0" xfId="0" applyNumberFormat="1" applyFont="1" applyFill="1" applyAlignment="1">
      <alignment wrapText="1"/>
    </xf>
    <xf numFmtId="0" fontId="2" fillId="3" borderId="0" xfId="1" applyFill="1" applyAlignment="1" applyProtection="1">
      <alignment wrapText="1"/>
    </xf>
    <xf numFmtId="0" fontId="12" fillId="4" borderId="0" xfId="0" applyFont="1" applyFill="1" applyAlignment="1">
      <alignment wrapText="1"/>
    </xf>
    <xf numFmtId="6" fontId="12" fillId="4" borderId="0" xfId="0" applyNumberFormat="1" applyFont="1" applyFill="1" applyAlignment="1">
      <alignment horizontal="right" wrapText="1"/>
    </xf>
    <xf numFmtId="14" fontId="12" fillId="4" borderId="0" xfId="0" applyNumberFormat="1" applyFont="1" applyFill="1" applyAlignment="1">
      <alignment wrapText="1"/>
    </xf>
    <xf numFmtId="0" fontId="2" fillId="4" borderId="0" xfId="1" applyFill="1" applyAlignment="1" applyProtection="1">
      <alignment wrapText="1"/>
    </xf>
    <xf numFmtId="0" fontId="11" fillId="2" borderId="0" xfId="0" applyFont="1" applyFill="1" applyAlignment="1">
      <alignment wrapText="1"/>
    </xf>
    <xf numFmtId="15" fontId="20" fillId="0" borderId="0" xfId="0" applyNumberFormat="1" applyFont="1"/>
    <xf numFmtId="0" fontId="20" fillId="0" borderId="0" xfId="0" applyFont="1"/>
    <xf numFmtId="0" fontId="22" fillId="0" borderId="0" xfId="0" applyFont="1"/>
    <xf numFmtId="0" fontId="0" fillId="0" borderId="0" xfId="0" applyFont="1"/>
    <xf numFmtId="0" fontId="0" fillId="0" borderId="0" xfId="0" applyNumberFormat="1" applyFont="1"/>
    <xf numFmtId="0" fontId="23" fillId="3" borderId="2" xfId="1" applyFont="1" applyFill="1" applyBorder="1" applyAlignment="1" applyProtection="1">
      <alignment vertical="center" wrapText="1"/>
    </xf>
    <xf numFmtId="0" fontId="24" fillId="3" borderId="2" xfId="0" applyFont="1" applyFill="1" applyBorder="1" applyAlignment="1">
      <alignment vertical="center" wrapText="1"/>
    </xf>
    <xf numFmtId="14" fontId="24" fillId="3" borderId="2" xfId="0" applyNumberFormat="1" applyFont="1" applyFill="1" applyBorder="1" applyAlignment="1">
      <alignment vertical="center" wrapText="1"/>
    </xf>
    <xf numFmtId="8" fontId="24" fillId="3" borderId="2" xfId="0" applyNumberFormat="1" applyFont="1" applyFill="1" applyBorder="1" applyAlignment="1">
      <alignment horizontal="right" vertical="center" wrapText="1"/>
    </xf>
    <xf numFmtId="0" fontId="0" fillId="3" borderId="0" xfId="0" applyFont="1" applyFill="1"/>
    <xf numFmtId="14" fontId="0" fillId="0" borderId="0" xfId="0" applyNumberFormat="1" applyFont="1"/>
    <xf numFmtId="8" fontId="0" fillId="0" borderId="0" xfId="0" applyNumberFormat="1" applyFont="1"/>
    <xf numFmtId="0" fontId="22" fillId="3" borderId="2" xfId="1" applyFont="1" applyFill="1" applyBorder="1" applyAlignment="1" applyProtection="1">
      <alignment vertical="center" wrapText="1"/>
    </xf>
    <xf numFmtId="15" fontId="18" fillId="0" borderId="0" xfId="0" applyNumberFormat="1" applyFont="1"/>
    <xf numFmtId="0" fontId="25" fillId="0" borderId="0" xfId="0" applyFont="1"/>
    <xf numFmtId="15" fontId="26" fillId="0" borderId="0" xfId="0" applyNumberFormat="1" applyFont="1"/>
    <xf numFmtId="0" fontId="26" fillId="0" borderId="0" xfId="0" applyFont="1"/>
    <xf numFmtId="0" fontId="17" fillId="0" borderId="0" xfId="0" applyFont="1" applyAlignment="1">
      <alignment vertical="top" wrapText="1"/>
    </xf>
    <xf numFmtId="0" fontId="27" fillId="3" borderId="3" xfId="0" applyFont="1" applyFill="1" applyBorder="1" applyAlignment="1">
      <alignment horizontal="left" vertical="center" wrapText="1"/>
    </xf>
    <xf numFmtId="0" fontId="27" fillId="3" borderId="4" xfId="0" applyFont="1" applyFill="1" applyBorder="1" applyAlignment="1">
      <alignment horizontal="left" vertical="center" wrapText="1"/>
    </xf>
    <xf numFmtId="0" fontId="27" fillId="5" borderId="4" xfId="0" applyFont="1" applyFill="1" applyBorder="1" applyAlignment="1">
      <alignment horizontal="left" vertical="center" wrapText="1"/>
    </xf>
    <xf numFmtId="0" fontId="28" fillId="3" borderId="4" xfId="0" applyFont="1" applyFill="1" applyBorder="1" applyAlignment="1">
      <alignment horizontal="left" vertical="center" wrapText="1"/>
    </xf>
    <xf numFmtId="0" fontId="27" fillId="3" borderId="3" xfId="0" applyFont="1" applyFill="1" applyBorder="1" applyAlignment="1">
      <alignment horizontal="center" vertical="center" wrapText="1"/>
    </xf>
    <xf numFmtId="0" fontId="29" fillId="0" borderId="0" xfId="0" applyFont="1"/>
    <xf numFmtId="15" fontId="30" fillId="0" borderId="0" xfId="0" applyNumberFormat="1" applyFont="1"/>
    <xf numFmtId="15" fontId="31" fillId="0" borderId="0" xfId="0" applyNumberFormat="1" applyFont="1"/>
    <xf numFmtId="8" fontId="7" fillId="0" borderId="0" xfId="0" applyNumberFormat="1" applyFont="1"/>
    <xf numFmtId="15" fontId="32" fillId="0" borderId="0" xfId="0" applyNumberFormat="1" applyFont="1"/>
    <xf numFmtId="15" fontId="17" fillId="0" borderId="0" xfId="0" applyNumberFormat="1" applyFont="1" applyAlignment="1">
      <alignment vertical="top" wrapText="1"/>
    </xf>
  </cellXfs>
  <cellStyles count="7">
    <cellStyle name="Comma" xfId="2" builtinId="3"/>
    <cellStyle name="Currency" xfId="3" builtinId="4"/>
    <cellStyle name="Hyperlink" xfId="1" builtinId="8"/>
    <cellStyle name="Normal" xfId="0" builtinId="0"/>
    <cellStyle name="Normal 2" xfId="5" xr:uid="{3CE5D19E-E165-4894-8F30-F34BE3AA5E6D}"/>
    <cellStyle name="Normal 3" xfId="6" xr:uid="{2E9DDD1C-B4C1-4285-BF5A-B95A82B8BE77}"/>
    <cellStyle name="Normal 5" xfId="4" xr:uid="{78826CB6-88A2-4AA6-B78F-6AACF9E3680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ec.gov/data/committee/C0032448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6" Type="http://schemas.openxmlformats.org/officeDocument/2006/relationships/hyperlink" Target="about:blank" TargetMode="External"/><Relationship Id="rId21" Type="http://schemas.openxmlformats.org/officeDocument/2006/relationships/hyperlink" Target="about:blank" TargetMode="External"/><Relationship Id="rId42" Type="http://schemas.openxmlformats.org/officeDocument/2006/relationships/hyperlink" Target="about:blank" TargetMode="External"/><Relationship Id="rId47" Type="http://schemas.openxmlformats.org/officeDocument/2006/relationships/hyperlink" Target="about:blank" TargetMode="External"/><Relationship Id="rId63" Type="http://schemas.openxmlformats.org/officeDocument/2006/relationships/hyperlink" Target="about:blank" TargetMode="External"/><Relationship Id="rId68" Type="http://schemas.openxmlformats.org/officeDocument/2006/relationships/hyperlink" Target="about:blank" TargetMode="External"/><Relationship Id="rId7" Type="http://schemas.openxmlformats.org/officeDocument/2006/relationships/hyperlink" Target="about:blank" TargetMode="External"/><Relationship Id="rId2" Type="http://schemas.openxmlformats.org/officeDocument/2006/relationships/hyperlink" Target="about:blank" TargetMode="External"/><Relationship Id="rId16" Type="http://schemas.openxmlformats.org/officeDocument/2006/relationships/hyperlink" Target="about:blank" TargetMode="External"/><Relationship Id="rId29" Type="http://schemas.openxmlformats.org/officeDocument/2006/relationships/hyperlink" Target="about:blank" TargetMode="External"/><Relationship Id="rId11" Type="http://schemas.openxmlformats.org/officeDocument/2006/relationships/hyperlink" Target="about:blank" TargetMode="External"/><Relationship Id="rId24" Type="http://schemas.openxmlformats.org/officeDocument/2006/relationships/hyperlink" Target="about:blank" TargetMode="External"/><Relationship Id="rId32" Type="http://schemas.openxmlformats.org/officeDocument/2006/relationships/hyperlink" Target="about:blank" TargetMode="External"/><Relationship Id="rId37" Type="http://schemas.openxmlformats.org/officeDocument/2006/relationships/hyperlink" Target="about:blank" TargetMode="External"/><Relationship Id="rId40" Type="http://schemas.openxmlformats.org/officeDocument/2006/relationships/hyperlink" Target="about:blank" TargetMode="External"/><Relationship Id="rId45" Type="http://schemas.openxmlformats.org/officeDocument/2006/relationships/hyperlink" Target="about:blank" TargetMode="External"/><Relationship Id="rId53" Type="http://schemas.openxmlformats.org/officeDocument/2006/relationships/hyperlink" Target="about:blank" TargetMode="External"/><Relationship Id="rId58" Type="http://schemas.openxmlformats.org/officeDocument/2006/relationships/hyperlink" Target="about:blank" TargetMode="External"/><Relationship Id="rId66" Type="http://schemas.openxmlformats.org/officeDocument/2006/relationships/hyperlink" Target="about:blank" TargetMode="External"/><Relationship Id="rId5" Type="http://schemas.openxmlformats.org/officeDocument/2006/relationships/hyperlink" Target="about:blank" TargetMode="External"/><Relationship Id="rId61" Type="http://schemas.openxmlformats.org/officeDocument/2006/relationships/hyperlink" Target="about:blank" TargetMode="External"/><Relationship Id="rId19" Type="http://schemas.openxmlformats.org/officeDocument/2006/relationships/hyperlink" Target="about:blank" TargetMode="External"/><Relationship Id="rId14" Type="http://schemas.openxmlformats.org/officeDocument/2006/relationships/hyperlink" Target="about:blank" TargetMode="External"/><Relationship Id="rId22" Type="http://schemas.openxmlformats.org/officeDocument/2006/relationships/hyperlink" Target="about:blank" TargetMode="External"/><Relationship Id="rId27" Type="http://schemas.openxmlformats.org/officeDocument/2006/relationships/hyperlink" Target="about:blank" TargetMode="External"/><Relationship Id="rId30" Type="http://schemas.openxmlformats.org/officeDocument/2006/relationships/hyperlink" Target="about:blank" TargetMode="External"/><Relationship Id="rId35" Type="http://schemas.openxmlformats.org/officeDocument/2006/relationships/hyperlink" Target="about:blank" TargetMode="External"/><Relationship Id="rId43" Type="http://schemas.openxmlformats.org/officeDocument/2006/relationships/hyperlink" Target="about:blank" TargetMode="External"/><Relationship Id="rId48" Type="http://schemas.openxmlformats.org/officeDocument/2006/relationships/hyperlink" Target="about:blank" TargetMode="External"/><Relationship Id="rId56" Type="http://schemas.openxmlformats.org/officeDocument/2006/relationships/hyperlink" Target="about:blank" TargetMode="External"/><Relationship Id="rId64" Type="http://schemas.openxmlformats.org/officeDocument/2006/relationships/hyperlink" Target="about:blank" TargetMode="External"/><Relationship Id="rId69" Type="http://schemas.openxmlformats.org/officeDocument/2006/relationships/printerSettings" Target="../printerSettings/printerSettings3.bin"/><Relationship Id="rId8" Type="http://schemas.openxmlformats.org/officeDocument/2006/relationships/hyperlink" Target="about:blank" TargetMode="External"/><Relationship Id="rId51" Type="http://schemas.openxmlformats.org/officeDocument/2006/relationships/hyperlink" Target="about:blank" TargetMode="External"/><Relationship Id="rId3" Type="http://schemas.openxmlformats.org/officeDocument/2006/relationships/hyperlink" Target="about:blank" TargetMode="External"/><Relationship Id="rId12" Type="http://schemas.openxmlformats.org/officeDocument/2006/relationships/hyperlink" Target="about:blank" TargetMode="External"/><Relationship Id="rId17" Type="http://schemas.openxmlformats.org/officeDocument/2006/relationships/hyperlink" Target="about:blank" TargetMode="External"/><Relationship Id="rId25" Type="http://schemas.openxmlformats.org/officeDocument/2006/relationships/hyperlink" Target="about:blank" TargetMode="External"/><Relationship Id="rId33" Type="http://schemas.openxmlformats.org/officeDocument/2006/relationships/hyperlink" Target="about:blank" TargetMode="External"/><Relationship Id="rId38" Type="http://schemas.openxmlformats.org/officeDocument/2006/relationships/hyperlink" Target="about:blank" TargetMode="External"/><Relationship Id="rId46" Type="http://schemas.openxmlformats.org/officeDocument/2006/relationships/hyperlink" Target="about:blank" TargetMode="External"/><Relationship Id="rId59" Type="http://schemas.openxmlformats.org/officeDocument/2006/relationships/hyperlink" Target="about:blank" TargetMode="External"/><Relationship Id="rId67" Type="http://schemas.openxmlformats.org/officeDocument/2006/relationships/hyperlink" Target="about:blank" TargetMode="External"/><Relationship Id="rId20" Type="http://schemas.openxmlformats.org/officeDocument/2006/relationships/hyperlink" Target="about:blank" TargetMode="External"/><Relationship Id="rId41" Type="http://schemas.openxmlformats.org/officeDocument/2006/relationships/hyperlink" Target="about:blank" TargetMode="External"/><Relationship Id="rId54" Type="http://schemas.openxmlformats.org/officeDocument/2006/relationships/hyperlink" Target="about:blank" TargetMode="External"/><Relationship Id="rId6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about:blank" TargetMode="External"/><Relationship Id="rId15" Type="http://schemas.openxmlformats.org/officeDocument/2006/relationships/hyperlink" Target="about:blank" TargetMode="External"/><Relationship Id="rId23" Type="http://schemas.openxmlformats.org/officeDocument/2006/relationships/hyperlink" Target="about:blank" TargetMode="External"/><Relationship Id="rId28" Type="http://schemas.openxmlformats.org/officeDocument/2006/relationships/hyperlink" Target="about:blank" TargetMode="External"/><Relationship Id="rId36" Type="http://schemas.openxmlformats.org/officeDocument/2006/relationships/hyperlink" Target="about:blank" TargetMode="External"/><Relationship Id="rId49" Type="http://schemas.openxmlformats.org/officeDocument/2006/relationships/hyperlink" Target="about:blank" TargetMode="External"/><Relationship Id="rId57" Type="http://schemas.openxmlformats.org/officeDocument/2006/relationships/hyperlink" Target="about:blank" TargetMode="External"/><Relationship Id="rId10" Type="http://schemas.openxmlformats.org/officeDocument/2006/relationships/hyperlink" Target="about:blank" TargetMode="External"/><Relationship Id="rId31" Type="http://schemas.openxmlformats.org/officeDocument/2006/relationships/hyperlink" Target="about:blank" TargetMode="External"/><Relationship Id="rId44" Type="http://schemas.openxmlformats.org/officeDocument/2006/relationships/hyperlink" Target="about:blank" TargetMode="External"/><Relationship Id="rId52" Type="http://schemas.openxmlformats.org/officeDocument/2006/relationships/hyperlink" Target="about:blank" TargetMode="External"/><Relationship Id="rId60" Type="http://schemas.openxmlformats.org/officeDocument/2006/relationships/hyperlink" Target="about:blank" TargetMode="External"/><Relationship Id="rId6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 Id="rId13" Type="http://schemas.openxmlformats.org/officeDocument/2006/relationships/hyperlink" Target="about:blank" TargetMode="External"/><Relationship Id="rId18" Type="http://schemas.openxmlformats.org/officeDocument/2006/relationships/hyperlink" Target="about:blank" TargetMode="External"/><Relationship Id="rId39" Type="http://schemas.openxmlformats.org/officeDocument/2006/relationships/hyperlink" Target="about:blank" TargetMode="External"/><Relationship Id="rId34" Type="http://schemas.openxmlformats.org/officeDocument/2006/relationships/hyperlink" Target="about:blank" TargetMode="External"/><Relationship Id="rId50" Type="http://schemas.openxmlformats.org/officeDocument/2006/relationships/hyperlink" Target="about:blank" TargetMode="External"/><Relationship Id="rId55" Type="http://schemas.openxmlformats.org/officeDocument/2006/relationships/hyperlink" Target="about:blank"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about:blank" TargetMode="External"/><Relationship Id="rId13" Type="http://schemas.openxmlformats.org/officeDocument/2006/relationships/hyperlink" Target="about:blank" TargetMode="External"/><Relationship Id="rId18" Type="http://schemas.openxmlformats.org/officeDocument/2006/relationships/hyperlink" Target="about:blank" TargetMode="External"/><Relationship Id="rId3" Type="http://schemas.openxmlformats.org/officeDocument/2006/relationships/hyperlink" Target="about:blank" TargetMode="External"/><Relationship Id="rId21" Type="http://schemas.openxmlformats.org/officeDocument/2006/relationships/printerSettings" Target="../printerSettings/printerSettings4.bin"/><Relationship Id="rId7" Type="http://schemas.openxmlformats.org/officeDocument/2006/relationships/hyperlink" Target="about:blank" TargetMode="External"/><Relationship Id="rId12" Type="http://schemas.openxmlformats.org/officeDocument/2006/relationships/hyperlink" Target="about:blank" TargetMode="External"/><Relationship Id="rId17" Type="http://schemas.openxmlformats.org/officeDocument/2006/relationships/hyperlink" Target="about:blank" TargetMode="External"/><Relationship Id="rId2" Type="http://schemas.openxmlformats.org/officeDocument/2006/relationships/hyperlink" Target="about:blank" TargetMode="External"/><Relationship Id="rId16" Type="http://schemas.openxmlformats.org/officeDocument/2006/relationships/hyperlink" Target="about:blank" TargetMode="External"/><Relationship Id="rId20"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about:blank" TargetMode="External"/><Relationship Id="rId11" Type="http://schemas.openxmlformats.org/officeDocument/2006/relationships/hyperlink" Target="about:blank" TargetMode="External"/><Relationship Id="rId5" Type="http://schemas.openxmlformats.org/officeDocument/2006/relationships/hyperlink" Target="about:blank" TargetMode="External"/><Relationship Id="rId15" Type="http://schemas.openxmlformats.org/officeDocument/2006/relationships/hyperlink" Target="about:blank" TargetMode="External"/><Relationship Id="rId10" Type="http://schemas.openxmlformats.org/officeDocument/2006/relationships/hyperlink" Target="about:blank" TargetMode="External"/><Relationship Id="rId19"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 Id="rId14" Type="http://schemas.openxmlformats.org/officeDocument/2006/relationships/hyperlink" Target="about:bla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fec.gov/data/committee/C00703975/"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www.fec.gov/data/committee/C00744946/" TargetMode="External"/><Relationship Id="rId1" Type="http://schemas.openxmlformats.org/officeDocument/2006/relationships/hyperlink" Target="https://www.fec.gov/data/committee/C00703975/"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fec.gov/data/committee/C00703975/" TargetMode="External"/><Relationship Id="rId2" Type="http://schemas.openxmlformats.org/officeDocument/2006/relationships/hyperlink" Target="https://www.fec.gov/data/committee/C00155952/" TargetMode="External"/><Relationship Id="rId1" Type="http://schemas.openxmlformats.org/officeDocument/2006/relationships/hyperlink" Target="https://www.fec.gov/data/committee/C00005561/" TargetMode="External"/><Relationship Id="rId4" Type="http://schemas.openxmlformats.org/officeDocument/2006/relationships/hyperlink" Target="https://www.fec.gov/data/committee/C00703975/"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fec.gov/data/committee/C00010603/" TargetMode="External"/><Relationship Id="rId7" Type="http://schemas.openxmlformats.org/officeDocument/2006/relationships/hyperlink" Target="https://www.fec.gov/data/committee/C00457325/" TargetMode="External"/><Relationship Id="rId2" Type="http://schemas.openxmlformats.org/officeDocument/2006/relationships/hyperlink" Target="https://www.fec.gov/data/committee/C00709410/" TargetMode="External"/><Relationship Id="rId1" Type="http://schemas.openxmlformats.org/officeDocument/2006/relationships/hyperlink" Target="https://www.fec.gov/data/committee/C00721290/" TargetMode="External"/><Relationship Id="rId6" Type="http://schemas.openxmlformats.org/officeDocument/2006/relationships/hyperlink" Target="https://www.fec.gov/data/committee/C00672295/" TargetMode="External"/><Relationship Id="rId5" Type="http://schemas.openxmlformats.org/officeDocument/2006/relationships/hyperlink" Target="https://www.fec.gov/data/committee/C00694455/" TargetMode="External"/><Relationship Id="rId4" Type="http://schemas.openxmlformats.org/officeDocument/2006/relationships/hyperlink" Target="https://www.fec.gov/data/committee/C00556506/" TargetMode="External"/></Relationships>
</file>

<file path=xl/worksheets/_rels/sheet11.xml.rels><?xml version="1.0" encoding="UTF-8" standalone="yes"?>
<Relationships xmlns="http://schemas.openxmlformats.org/package/2006/relationships"><Relationship Id="rId8" Type="http://schemas.openxmlformats.org/officeDocument/2006/relationships/printerSettings" Target="../printerSettings/printerSettings5.bin"/><Relationship Id="rId3" Type="http://schemas.openxmlformats.org/officeDocument/2006/relationships/hyperlink" Target="https://www.fec.gov/data/committee/C00401224/" TargetMode="External"/><Relationship Id="rId7" Type="http://schemas.openxmlformats.org/officeDocument/2006/relationships/hyperlink" Target="https://www.fec.gov/data/committee/C00401224/" TargetMode="External"/><Relationship Id="rId2" Type="http://schemas.openxmlformats.org/officeDocument/2006/relationships/hyperlink" Target="https://www.fec.gov/data/committee/C00401224/" TargetMode="External"/><Relationship Id="rId1" Type="http://schemas.openxmlformats.org/officeDocument/2006/relationships/hyperlink" Target="https://www.fec.gov/data/committee/C00401224/" TargetMode="External"/><Relationship Id="rId6" Type="http://schemas.openxmlformats.org/officeDocument/2006/relationships/hyperlink" Target="https://www.fec.gov/data/committee/C00401224/" TargetMode="External"/><Relationship Id="rId5" Type="http://schemas.openxmlformats.org/officeDocument/2006/relationships/hyperlink" Target="https://www.fec.gov/data/committee/C00401224/" TargetMode="External"/><Relationship Id="rId4" Type="http://schemas.openxmlformats.org/officeDocument/2006/relationships/hyperlink" Target="https://www.fec.gov/data/committee/C00401224/"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www.fec.gov/data/committee/C00694778/" TargetMode="External"/><Relationship Id="rId2" Type="http://schemas.openxmlformats.org/officeDocument/2006/relationships/hyperlink" Target="https://www.fec.gov/data/committee/C00618371/" TargetMode="External"/><Relationship Id="rId1" Type="http://schemas.openxmlformats.org/officeDocument/2006/relationships/hyperlink" Target="https://www.fec.gov/data/committee/C00694323/" TargetMode="External"/><Relationship Id="rId4" Type="http://schemas.openxmlformats.org/officeDocument/2006/relationships/hyperlink" Target="https://www.fec.gov/data/committee/C00694323/"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fec.gov/data/committee/C00000935/" TargetMode="External"/><Relationship Id="rId2" Type="http://schemas.openxmlformats.org/officeDocument/2006/relationships/hyperlink" Target="https://www.fec.gov/data/committee/C00000935/" TargetMode="External"/><Relationship Id="rId1" Type="http://schemas.openxmlformats.org/officeDocument/2006/relationships/hyperlink" Target="https://www.fec.gov/data/committee/C00000935/" TargetMode="External"/><Relationship Id="rId6" Type="http://schemas.openxmlformats.org/officeDocument/2006/relationships/hyperlink" Target="https://www.fec.gov/data/committee/C00696526/" TargetMode="External"/><Relationship Id="rId5" Type="http://schemas.openxmlformats.org/officeDocument/2006/relationships/hyperlink" Target="https://www.fec.gov/data/committee/C00696526/" TargetMode="External"/><Relationship Id="rId4" Type="http://schemas.openxmlformats.org/officeDocument/2006/relationships/hyperlink" Target="https://www.fec.gov/data/committee/C00000935/"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fec.gov/data/committee/C00081273/" TargetMode="External"/><Relationship Id="rId2" Type="http://schemas.openxmlformats.org/officeDocument/2006/relationships/hyperlink" Target="https://www.fec.gov/data/committee/C00324483/" TargetMode="External"/><Relationship Id="rId1" Type="http://schemas.openxmlformats.org/officeDocument/2006/relationships/hyperlink" Target="https://www.fec.gov/data/committee/C00324483/" TargetMode="External"/><Relationship Id="rId6" Type="http://schemas.openxmlformats.org/officeDocument/2006/relationships/hyperlink" Target="https://www.fec.gov/data/committee/C00081273/" TargetMode="External"/><Relationship Id="rId5" Type="http://schemas.openxmlformats.org/officeDocument/2006/relationships/hyperlink" Target="https://www.fec.gov/data/committee/C00324483/" TargetMode="External"/><Relationship Id="rId4" Type="http://schemas.openxmlformats.org/officeDocument/2006/relationships/hyperlink" Target="https://www.fec.gov/data/committee/C00081273/"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hyperlink" Target="https://www.fec.gov/data/committee/C004012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35"/>
  <sheetViews>
    <sheetView workbookViewId="0">
      <selection activeCell="E3" sqref="E3"/>
    </sheetView>
  </sheetViews>
  <sheetFormatPr defaultRowHeight="15"/>
  <cols>
    <col min="2" max="2" width="41.42578125" customWidth="1"/>
    <col min="7" max="7" width="8.85546875" style="2"/>
    <col min="8" max="8" width="15.28515625" customWidth="1"/>
    <col min="11" max="11" width="22.140625" customWidth="1"/>
    <col min="17" max="17" width="8.85546875" style="2"/>
    <col min="18" max="18" width="16" customWidth="1"/>
  </cols>
  <sheetData>
    <row r="1" spans="1:18">
      <c r="A1" t="s">
        <v>9</v>
      </c>
      <c r="D1">
        <v>2020</v>
      </c>
    </row>
    <row r="2" spans="1:18">
      <c r="A2" t="s">
        <v>13</v>
      </c>
      <c r="D2" s="10" t="s">
        <v>8</v>
      </c>
      <c r="E2" t="s">
        <v>4</v>
      </c>
      <c r="F2" s="2" t="s">
        <v>6</v>
      </c>
      <c r="G2" t="s">
        <v>5</v>
      </c>
      <c r="H2" s="10" t="s">
        <v>11</v>
      </c>
      <c r="I2" s="10" t="s">
        <v>12</v>
      </c>
      <c r="R2" s="1"/>
    </row>
    <row r="3" spans="1:18" ht="15.75">
      <c r="A3" t="s">
        <v>113</v>
      </c>
      <c r="B3" s="18" t="s">
        <v>191</v>
      </c>
      <c r="F3" s="2"/>
      <c r="G3"/>
      <c r="H3" s="5"/>
      <c r="I3" s="5"/>
      <c r="R3" s="1"/>
    </row>
    <row r="4" spans="1:18">
      <c r="H4" s="1"/>
      <c r="R4" s="1"/>
    </row>
    <row r="5" spans="1:18">
      <c r="H5" s="1"/>
      <c r="R5" s="1"/>
    </row>
    <row r="6" spans="1:18" ht="15.75">
      <c r="B6" s="7"/>
      <c r="C6" s="9"/>
      <c r="E6" s="5"/>
      <c r="F6" s="5"/>
      <c r="H6" s="1"/>
      <c r="R6" s="1"/>
    </row>
    <row r="7" spans="1:18">
      <c r="H7" s="1"/>
      <c r="R7" s="1"/>
    </row>
    <row r="8" spans="1:18">
      <c r="H8" s="1"/>
      <c r="R8" s="1"/>
    </row>
    <row r="9" spans="1:18">
      <c r="H9" s="1"/>
      <c r="R9" s="1"/>
    </row>
    <row r="10" spans="1:18">
      <c r="H10" s="1"/>
      <c r="R10" s="1"/>
    </row>
    <row r="11" spans="1:18">
      <c r="H11" s="1"/>
      <c r="R11" s="1"/>
    </row>
    <row r="12" spans="1:18">
      <c r="H12" s="1"/>
      <c r="R12" s="1"/>
    </row>
    <row r="13" spans="1:18">
      <c r="H13" s="1"/>
      <c r="R13" s="1"/>
    </row>
    <row r="14" spans="1:18">
      <c r="H14" s="1"/>
      <c r="R14" s="1"/>
    </row>
    <row r="15" spans="1:18">
      <c r="H15" s="1"/>
      <c r="R15" s="1"/>
    </row>
    <row r="16" spans="1:18">
      <c r="H16" s="1"/>
      <c r="R16" s="1"/>
    </row>
    <row r="17" spans="8:18">
      <c r="H17" s="1"/>
      <c r="R17" s="1"/>
    </row>
    <row r="18" spans="8:18">
      <c r="H18" s="1"/>
      <c r="R18" s="1"/>
    </row>
    <row r="19" spans="8:18">
      <c r="H19" s="1"/>
      <c r="R19" s="1"/>
    </row>
    <row r="20" spans="8:18">
      <c r="H20" s="1"/>
      <c r="R20" s="1"/>
    </row>
    <row r="21" spans="8:18">
      <c r="H21" s="1"/>
      <c r="R21" s="1"/>
    </row>
    <row r="22" spans="8:18">
      <c r="H22" s="1"/>
      <c r="R22" s="1"/>
    </row>
    <row r="23" spans="8:18">
      <c r="H23" s="1"/>
      <c r="R23" s="1"/>
    </row>
    <row r="24" spans="8:18">
      <c r="H24" s="1"/>
      <c r="R24" s="1"/>
    </row>
    <row r="25" spans="8:18">
      <c r="H25" s="1"/>
      <c r="R25" s="1"/>
    </row>
    <row r="26" spans="8:18">
      <c r="H26" s="1"/>
      <c r="R26" s="1"/>
    </row>
    <row r="27" spans="8:18">
      <c r="H27" s="1"/>
      <c r="R27" s="1"/>
    </row>
    <row r="28" spans="8:18">
      <c r="H28" s="1"/>
      <c r="R28" s="1"/>
    </row>
    <row r="29" spans="8:18">
      <c r="H29" s="1"/>
      <c r="R29" s="1"/>
    </row>
    <row r="30" spans="8:18">
      <c r="H30" s="1"/>
      <c r="R30" s="1"/>
    </row>
    <row r="31" spans="8:18">
      <c r="H31" s="1"/>
      <c r="R31" s="1"/>
    </row>
    <row r="32" spans="8:18">
      <c r="H32" s="1"/>
      <c r="R32" s="1"/>
    </row>
    <row r="33" spans="8:18">
      <c r="H33" s="1"/>
      <c r="R33" s="1"/>
    </row>
    <row r="34" spans="8:18">
      <c r="H34" s="1"/>
      <c r="R34" s="1"/>
    </row>
    <row r="35" spans="8:18">
      <c r="H35" s="1"/>
      <c r="R35" s="1"/>
    </row>
    <row r="36" spans="8:18">
      <c r="H36" s="1"/>
      <c r="R36" s="1"/>
    </row>
    <row r="37" spans="8:18">
      <c r="H37" s="1"/>
      <c r="R37" s="1"/>
    </row>
    <row r="38" spans="8:18">
      <c r="H38" s="1"/>
      <c r="R38" s="1"/>
    </row>
    <row r="39" spans="8:18">
      <c r="H39" s="1"/>
      <c r="R39" s="1"/>
    </row>
    <row r="40" spans="8:18">
      <c r="H40" s="1"/>
      <c r="R40" s="1"/>
    </row>
    <row r="41" spans="8:18">
      <c r="H41" s="1"/>
      <c r="R41" s="1"/>
    </row>
    <row r="42" spans="8:18">
      <c r="H42" s="1"/>
      <c r="R42" s="1"/>
    </row>
    <row r="43" spans="8:18">
      <c r="H43" s="1"/>
      <c r="R43" s="1"/>
    </row>
    <row r="44" spans="8:18">
      <c r="H44" s="1"/>
      <c r="R44" s="1"/>
    </row>
    <row r="45" spans="8:18">
      <c r="H45" s="1"/>
      <c r="R45" s="1"/>
    </row>
    <row r="46" spans="8:18">
      <c r="H46" s="1"/>
      <c r="R46" s="1"/>
    </row>
    <row r="47" spans="8:18">
      <c r="H47" s="1"/>
      <c r="R47" s="1"/>
    </row>
    <row r="48" spans="8:18">
      <c r="H48" s="1"/>
      <c r="R48" s="1"/>
    </row>
    <row r="49" spans="8:18">
      <c r="H49" s="1"/>
      <c r="R49" s="1"/>
    </row>
    <row r="50" spans="8:18">
      <c r="H50" s="1"/>
      <c r="R50" s="1"/>
    </row>
    <row r="51" spans="8:18">
      <c r="H51" s="1"/>
      <c r="R51" s="1"/>
    </row>
    <row r="52" spans="8:18">
      <c r="H52" s="1"/>
      <c r="R52" s="1"/>
    </row>
    <row r="53" spans="8:18">
      <c r="H53" s="1"/>
      <c r="R53" s="1"/>
    </row>
    <row r="54" spans="8:18">
      <c r="H54" s="1"/>
      <c r="R54" s="1"/>
    </row>
    <row r="55" spans="8:18">
      <c r="H55" s="1"/>
      <c r="R55" s="1"/>
    </row>
    <row r="56" spans="8:18">
      <c r="H56" s="1"/>
      <c r="R56" s="1"/>
    </row>
    <row r="57" spans="8:18">
      <c r="H57" s="1"/>
      <c r="R57" s="1"/>
    </row>
    <row r="58" spans="8:18">
      <c r="H58" s="1"/>
      <c r="R58" s="1"/>
    </row>
    <row r="59" spans="8:18">
      <c r="H59" s="1"/>
      <c r="R59" s="1"/>
    </row>
    <row r="60" spans="8:18">
      <c r="H60" s="1"/>
      <c r="R60" s="1"/>
    </row>
    <row r="61" spans="8:18">
      <c r="H61" s="1"/>
      <c r="R61" s="1"/>
    </row>
    <row r="62" spans="8:18">
      <c r="H62" s="1"/>
      <c r="R62" s="1"/>
    </row>
    <row r="63" spans="8:18">
      <c r="H63" s="1"/>
      <c r="R63" s="1"/>
    </row>
    <row r="64" spans="8:18">
      <c r="H64" s="1"/>
      <c r="R64" s="1"/>
    </row>
    <row r="65" spans="8:18">
      <c r="H65" s="1"/>
      <c r="R65" s="1"/>
    </row>
    <row r="66" spans="8:18">
      <c r="H66" s="1"/>
      <c r="R66" s="1"/>
    </row>
    <row r="67" spans="8:18">
      <c r="H67" s="1"/>
      <c r="R67" s="1"/>
    </row>
    <row r="68" spans="8:18">
      <c r="H68" s="1"/>
      <c r="R68" s="1"/>
    </row>
    <row r="69" spans="8:18">
      <c r="H69" s="1"/>
      <c r="R69" s="1"/>
    </row>
    <row r="70" spans="8:18">
      <c r="H70" s="1"/>
      <c r="R70" s="1"/>
    </row>
    <row r="71" spans="8:18">
      <c r="H71" s="1"/>
      <c r="R71" s="1"/>
    </row>
    <row r="72" spans="8:18">
      <c r="H72" s="1"/>
      <c r="R72" s="1"/>
    </row>
    <row r="73" spans="8:18">
      <c r="H73" s="1"/>
      <c r="R73" s="1"/>
    </row>
    <row r="74" spans="8:18">
      <c r="H74" s="1"/>
      <c r="R74" s="1"/>
    </row>
    <row r="75" spans="8:18">
      <c r="H75" s="1"/>
      <c r="R75" s="1"/>
    </row>
    <row r="76" spans="8:18">
      <c r="H76" s="1"/>
      <c r="R76" s="1"/>
    </row>
    <row r="77" spans="8:18">
      <c r="H77" s="1"/>
      <c r="R77" s="1"/>
    </row>
    <row r="78" spans="8:18">
      <c r="H78" s="1"/>
      <c r="R78" s="1"/>
    </row>
    <row r="79" spans="8:18">
      <c r="H79" s="1"/>
      <c r="R79" s="1"/>
    </row>
    <row r="80" spans="8:18">
      <c r="H80" s="1"/>
      <c r="R80" s="1"/>
    </row>
    <row r="81" spans="8:18">
      <c r="H81" s="1"/>
      <c r="R81" s="1"/>
    </row>
    <row r="82" spans="8:18">
      <c r="H82" s="1"/>
      <c r="R82" s="1"/>
    </row>
    <row r="83" spans="8:18">
      <c r="H83" s="1"/>
      <c r="R83" s="1"/>
    </row>
    <row r="84" spans="8:18">
      <c r="H84" s="1"/>
      <c r="R84" s="1"/>
    </row>
    <row r="85" spans="8:18">
      <c r="H85" s="1"/>
      <c r="R85" s="1"/>
    </row>
    <row r="86" spans="8:18">
      <c r="H86" s="1"/>
      <c r="R86" s="1"/>
    </row>
    <row r="87" spans="8:18">
      <c r="H87" s="1"/>
      <c r="R87" s="1"/>
    </row>
    <row r="88" spans="8:18">
      <c r="H88" s="1"/>
      <c r="R88" s="1"/>
    </row>
    <row r="89" spans="8:18">
      <c r="H89" s="1"/>
      <c r="R89" s="1"/>
    </row>
    <row r="90" spans="8:18">
      <c r="H90" s="1"/>
      <c r="R90" s="1"/>
    </row>
    <row r="91" spans="8:18">
      <c r="H91" s="1"/>
      <c r="R91" s="1"/>
    </row>
    <row r="92" spans="8:18">
      <c r="H92" s="1"/>
      <c r="R92" s="1"/>
    </row>
    <row r="93" spans="8:18">
      <c r="H93" s="1"/>
      <c r="R93" s="1"/>
    </row>
    <row r="94" spans="8:18">
      <c r="H94" s="1"/>
      <c r="R94" s="1"/>
    </row>
    <row r="95" spans="8:18">
      <c r="H95" s="1"/>
      <c r="R95" s="1"/>
    </row>
    <row r="96" spans="8:18">
      <c r="H96" s="1"/>
      <c r="R96" s="1"/>
    </row>
    <row r="97" spans="8:18">
      <c r="H97" s="1"/>
      <c r="R97" s="1"/>
    </row>
    <row r="98" spans="8:18">
      <c r="H98" s="1"/>
      <c r="R98" s="1"/>
    </row>
    <row r="99" spans="8:18">
      <c r="H99" s="1"/>
      <c r="R99" s="1"/>
    </row>
    <row r="100" spans="8:18">
      <c r="H100" s="1"/>
      <c r="R100" s="1"/>
    </row>
    <row r="101" spans="8:18">
      <c r="H101" s="1"/>
      <c r="R101" s="1"/>
    </row>
    <row r="102" spans="8:18">
      <c r="H102" s="1"/>
      <c r="R102" s="1"/>
    </row>
    <row r="103" spans="8:18">
      <c r="H103" s="1"/>
      <c r="R103" s="1"/>
    </row>
    <row r="104" spans="8:18">
      <c r="H104" s="1"/>
      <c r="R104" s="1"/>
    </row>
    <row r="105" spans="8:18">
      <c r="H105" s="1"/>
      <c r="R105" s="1"/>
    </row>
    <row r="106" spans="8:18">
      <c r="H106" s="1"/>
      <c r="R106" s="1"/>
    </row>
    <row r="107" spans="8:18">
      <c r="H107" s="1"/>
      <c r="R107" s="1"/>
    </row>
    <row r="108" spans="8:18">
      <c r="H108" s="1"/>
      <c r="R108" s="1"/>
    </row>
    <row r="109" spans="8:18">
      <c r="H109" s="1"/>
      <c r="R109" s="1"/>
    </row>
    <row r="110" spans="8:18">
      <c r="H110" s="1"/>
      <c r="R110" s="1"/>
    </row>
    <row r="111" spans="8:18">
      <c r="H111" s="1"/>
      <c r="R111" s="1"/>
    </row>
    <row r="112" spans="8:18">
      <c r="H112" s="1"/>
      <c r="R112" s="1"/>
    </row>
    <row r="113" spans="8:18">
      <c r="H113" s="1"/>
      <c r="R113" s="1"/>
    </row>
    <row r="114" spans="8:18">
      <c r="H114" s="1"/>
      <c r="R114" s="1"/>
    </row>
    <row r="115" spans="8:18">
      <c r="H115" s="1"/>
      <c r="R115" s="1"/>
    </row>
    <row r="116" spans="8:18">
      <c r="H116" s="1"/>
      <c r="R116" s="1"/>
    </row>
    <row r="117" spans="8:18">
      <c r="H117" s="1"/>
      <c r="R117" s="1"/>
    </row>
    <row r="118" spans="8:18">
      <c r="H118" s="1"/>
      <c r="R118" s="1"/>
    </row>
    <row r="119" spans="8:18">
      <c r="H119" s="1"/>
      <c r="R119" s="1"/>
    </row>
    <row r="120" spans="8:18">
      <c r="H120" s="1"/>
      <c r="R120" s="1"/>
    </row>
    <row r="121" spans="8:18">
      <c r="H121" s="1"/>
      <c r="R121" s="1"/>
    </row>
    <row r="122" spans="8:18">
      <c r="H122" s="1"/>
      <c r="R122" s="1"/>
    </row>
    <row r="123" spans="8:18">
      <c r="H123" s="1"/>
      <c r="R123" s="1"/>
    </row>
    <row r="124" spans="8:18">
      <c r="H124" s="1"/>
      <c r="R124" s="1"/>
    </row>
    <row r="125" spans="8:18">
      <c r="H125" s="1"/>
      <c r="R125" s="1"/>
    </row>
    <row r="126" spans="8:18">
      <c r="H126" s="1"/>
      <c r="R126" s="1"/>
    </row>
    <row r="127" spans="8:18">
      <c r="H127" s="1"/>
      <c r="R127" s="1"/>
    </row>
    <row r="128" spans="8:18">
      <c r="H128" s="1"/>
      <c r="R128" s="1"/>
    </row>
    <row r="129" spans="8:18">
      <c r="H129" s="1"/>
      <c r="R129" s="1"/>
    </row>
    <row r="130" spans="8:18">
      <c r="H130" s="1"/>
      <c r="R130" s="1"/>
    </row>
    <row r="131" spans="8:18">
      <c r="H131" s="1"/>
      <c r="R131" s="1"/>
    </row>
    <row r="132" spans="8:18">
      <c r="H132" s="1"/>
      <c r="R132" s="1"/>
    </row>
    <row r="133" spans="8:18">
      <c r="H133" s="1"/>
      <c r="R133" s="1"/>
    </row>
    <row r="134" spans="8:18">
      <c r="H134" s="1"/>
      <c r="R134" s="1"/>
    </row>
    <row r="135" spans="8:18">
      <c r="H135" s="1"/>
      <c r="R135" s="1"/>
    </row>
    <row r="136" spans="8:18">
      <c r="H136" s="1"/>
      <c r="R136" s="1"/>
    </row>
    <row r="137" spans="8:18">
      <c r="H137" s="1"/>
      <c r="R137" s="1"/>
    </row>
    <row r="138" spans="8:18">
      <c r="H138" s="1"/>
      <c r="R138" s="1"/>
    </row>
    <row r="139" spans="8:18">
      <c r="H139" s="1"/>
      <c r="R139" s="1"/>
    </row>
    <row r="140" spans="8:18">
      <c r="H140" s="1"/>
      <c r="R140" s="1"/>
    </row>
    <row r="141" spans="8:18">
      <c r="H141" s="1"/>
      <c r="R141" s="1"/>
    </row>
    <row r="142" spans="8:18">
      <c r="H142" s="1"/>
      <c r="R142" s="1"/>
    </row>
    <row r="143" spans="8:18">
      <c r="H143" s="1"/>
      <c r="R143" s="1"/>
    </row>
    <row r="144" spans="8:18">
      <c r="H144" s="1"/>
      <c r="R144" s="1"/>
    </row>
    <row r="145" spans="8:18">
      <c r="H145" s="1"/>
      <c r="R145" s="1"/>
    </row>
    <row r="146" spans="8:18">
      <c r="H146" s="1"/>
      <c r="R146" s="1"/>
    </row>
    <row r="147" spans="8:18">
      <c r="H147" s="1"/>
      <c r="R147" s="1"/>
    </row>
    <row r="148" spans="8:18">
      <c r="H148" s="1"/>
      <c r="R148" s="1"/>
    </row>
    <row r="149" spans="8:18">
      <c r="H149" s="1"/>
      <c r="R149" s="1"/>
    </row>
    <row r="150" spans="8:18">
      <c r="H150" s="1"/>
      <c r="R150" s="1"/>
    </row>
    <row r="151" spans="8:18">
      <c r="H151" s="1"/>
      <c r="R151" s="1"/>
    </row>
    <row r="152" spans="8:18">
      <c r="H152" s="1"/>
      <c r="R152" s="1"/>
    </row>
    <row r="153" spans="8:18">
      <c r="H153" s="1"/>
      <c r="R153" s="1"/>
    </row>
    <row r="154" spans="8:18">
      <c r="H154" s="1"/>
      <c r="R154" s="1"/>
    </row>
    <row r="155" spans="8:18">
      <c r="H155" s="1"/>
      <c r="R155" s="1"/>
    </row>
    <row r="156" spans="8:18">
      <c r="H156" s="1"/>
      <c r="R156" s="1"/>
    </row>
    <row r="157" spans="8:18">
      <c r="H157" s="1"/>
      <c r="R157" s="1"/>
    </row>
    <row r="158" spans="8:18">
      <c r="H158" s="1"/>
      <c r="R158" s="1"/>
    </row>
    <row r="159" spans="8:18">
      <c r="H159" s="1"/>
      <c r="R159" s="1"/>
    </row>
    <row r="160" spans="8:18">
      <c r="H160" s="1"/>
      <c r="R160" s="1"/>
    </row>
    <row r="161" spans="8:18">
      <c r="H161" s="1"/>
      <c r="R161" s="1"/>
    </row>
    <row r="162" spans="8:18">
      <c r="H162" s="1"/>
      <c r="R162" s="1"/>
    </row>
    <row r="163" spans="8:18">
      <c r="H163" s="1"/>
      <c r="R163" s="1"/>
    </row>
    <row r="164" spans="8:18">
      <c r="H164" s="1"/>
      <c r="R164" s="1"/>
    </row>
    <row r="165" spans="8:18">
      <c r="H165" s="1"/>
      <c r="R165" s="1"/>
    </row>
    <row r="166" spans="8:18">
      <c r="H166" s="1"/>
      <c r="R166" s="1"/>
    </row>
    <row r="167" spans="8:18">
      <c r="H167" s="1"/>
      <c r="R167" s="1"/>
    </row>
    <row r="168" spans="8:18">
      <c r="H168" s="1"/>
      <c r="R168" s="1"/>
    </row>
    <row r="169" spans="8:18">
      <c r="H169" s="1"/>
      <c r="R169" s="1"/>
    </row>
    <row r="170" spans="8:18">
      <c r="H170" s="1"/>
      <c r="R170" s="1"/>
    </row>
    <row r="171" spans="8:18">
      <c r="H171" s="1"/>
      <c r="R171" s="1"/>
    </row>
    <row r="172" spans="8:18">
      <c r="H172" s="1"/>
      <c r="R172" s="1"/>
    </row>
    <row r="173" spans="8:18">
      <c r="H173" s="1"/>
      <c r="R173" s="1"/>
    </row>
    <row r="174" spans="8:18">
      <c r="H174" s="1"/>
      <c r="R174" s="1"/>
    </row>
    <row r="175" spans="8:18">
      <c r="H175" s="1"/>
      <c r="R175" s="1"/>
    </row>
    <row r="176" spans="8:18">
      <c r="H176" s="1"/>
      <c r="R176" s="1"/>
    </row>
    <row r="177" spans="8:18">
      <c r="H177" s="1"/>
      <c r="R177" s="1"/>
    </row>
    <row r="178" spans="8:18">
      <c r="H178" s="1"/>
      <c r="R178" s="1"/>
    </row>
    <row r="179" spans="8:18">
      <c r="H179" s="1"/>
      <c r="R179" s="1"/>
    </row>
    <row r="180" spans="8:18">
      <c r="H180" s="1"/>
      <c r="R180" s="1"/>
    </row>
    <row r="181" spans="8:18">
      <c r="H181" s="1"/>
      <c r="R181" s="1"/>
    </row>
    <row r="182" spans="8:18">
      <c r="H182" s="1"/>
      <c r="R182" s="1"/>
    </row>
    <row r="183" spans="8:18">
      <c r="H183" s="1"/>
      <c r="R183" s="1"/>
    </row>
    <row r="184" spans="8:18">
      <c r="H184" s="1"/>
      <c r="R184" s="1"/>
    </row>
    <row r="185" spans="8:18">
      <c r="H185" s="1"/>
      <c r="R185" s="1"/>
    </row>
    <row r="186" spans="8:18">
      <c r="H186" s="1"/>
      <c r="R186" s="1"/>
    </row>
    <row r="187" spans="8:18">
      <c r="H187" s="1"/>
      <c r="R187" s="1"/>
    </row>
    <row r="188" spans="8:18">
      <c r="H188" s="1"/>
      <c r="R188" s="1"/>
    </row>
    <row r="189" spans="8:18">
      <c r="H189" s="1"/>
      <c r="R189" s="1"/>
    </row>
    <row r="190" spans="8:18">
      <c r="H190" s="1"/>
      <c r="R190" s="1"/>
    </row>
    <row r="191" spans="8:18">
      <c r="H191" s="1"/>
      <c r="R191" s="1"/>
    </row>
    <row r="192" spans="8:18">
      <c r="H192" s="1"/>
      <c r="R192" s="1"/>
    </row>
    <row r="193" spans="8:18">
      <c r="H193" s="1"/>
      <c r="R193" s="1"/>
    </row>
    <row r="194" spans="8:18">
      <c r="H194" s="1"/>
      <c r="R194" s="1"/>
    </row>
    <row r="195" spans="8:18">
      <c r="H195" s="1"/>
      <c r="R195" s="1"/>
    </row>
    <row r="196" spans="8:18">
      <c r="H196" s="1"/>
      <c r="R196" s="1"/>
    </row>
    <row r="197" spans="8:18">
      <c r="H197" s="1"/>
      <c r="R197" s="1"/>
    </row>
    <row r="198" spans="8:18">
      <c r="H198" s="1"/>
      <c r="R198" s="1"/>
    </row>
    <row r="199" spans="8:18">
      <c r="H199" s="1"/>
      <c r="R199" s="1"/>
    </row>
    <row r="200" spans="8:18">
      <c r="H200" s="1"/>
      <c r="R200" s="1"/>
    </row>
    <row r="201" spans="8:18">
      <c r="H201" s="1"/>
      <c r="R201" s="1"/>
    </row>
    <row r="202" spans="8:18">
      <c r="H202" s="1"/>
      <c r="R202" s="1"/>
    </row>
    <row r="203" spans="8:18">
      <c r="H203" s="1"/>
      <c r="R203" s="1"/>
    </row>
    <row r="204" spans="8:18">
      <c r="H204" s="1"/>
      <c r="R204" s="1"/>
    </row>
    <row r="205" spans="8:18">
      <c r="H205" s="1"/>
      <c r="R205" s="1"/>
    </row>
    <row r="206" spans="8:18">
      <c r="H206" s="1"/>
      <c r="R206" s="1"/>
    </row>
    <row r="207" spans="8:18">
      <c r="H207" s="1"/>
      <c r="R207" s="1"/>
    </row>
    <row r="208" spans="8:18">
      <c r="H208" s="1"/>
      <c r="R208" s="1"/>
    </row>
    <row r="209" spans="8:18">
      <c r="H209" s="1"/>
      <c r="R209" s="1"/>
    </row>
    <row r="210" spans="8:18">
      <c r="H210" s="1"/>
      <c r="R210" s="1"/>
    </row>
    <row r="211" spans="8:18">
      <c r="H211" s="1"/>
      <c r="R211" s="1"/>
    </row>
    <row r="212" spans="8:18">
      <c r="H212" s="1"/>
      <c r="R212" s="1"/>
    </row>
    <row r="213" spans="8:18">
      <c r="H213" s="1"/>
      <c r="R213" s="1"/>
    </row>
    <row r="214" spans="8:18">
      <c r="H214" s="1"/>
      <c r="R214" s="1"/>
    </row>
    <row r="215" spans="8:18">
      <c r="H215" s="1"/>
      <c r="R215" s="1"/>
    </row>
    <row r="216" spans="8:18">
      <c r="H216" s="1"/>
      <c r="R216" s="1"/>
    </row>
    <row r="217" spans="8:18">
      <c r="H217" s="1"/>
      <c r="R217" s="1"/>
    </row>
    <row r="218" spans="8:18">
      <c r="H218" s="1"/>
      <c r="R218" s="1"/>
    </row>
    <row r="219" spans="8:18">
      <c r="H219" s="1"/>
      <c r="R219" s="1"/>
    </row>
    <row r="220" spans="8:18">
      <c r="H220" s="1"/>
      <c r="R220" s="1"/>
    </row>
    <row r="221" spans="8:18">
      <c r="H221" s="1"/>
      <c r="R221" s="1"/>
    </row>
    <row r="222" spans="8:18">
      <c r="H222" s="1"/>
      <c r="R222" s="1"/>
    </row>
    <row r="223" spans="8:18">
      <c r="H223" s="1"/>
      <c r="R223" s="1"/>
    </row>
    <row r="224" spans="8:18">
      <c r="H224" s="1"/>
      <c r="R224" s="1"/>
    </row>
    <row r="225" spans="8:18">
      <c r="H225" s="1"/>
      <c r="R225" s="1"/>
    </row>
    <row r="226" spans="8:18">
      <c r="H226" s="1"/>
      <c r="R226" s="1"/>
    </row>
    <row r="227" spans="8:18">
      <c r="H227" s="1"/>
      <c r="R227" s="1"/>
    </row>
    <row r="228" spans="8:18">
      <c r="H228" s="1"/>
      <c r="R228" s="1"/>
    </row>
    <row r="229" spans="8:18">
      <c r="H229" s="1"/>
      <c r="R229" s="1"/>
    </row>
    <row r="230" spans="8:18">
      <c r="H230" s="1"/>
      <c r="R230" s="1"/>
    </row>
    <row r="231" spans="8:18">
      <c r="H231" s="1"/>
      <c r="R231" s="1"/>
    </row>
    <row r="232" spans="8:18">
      <c r="H232" s="1"/>
      <c r="R232" s="1"/>
    </row>
    <row r="233" spans="8:18">
      <c r="H233" s="1"/>
      <c r="R233" s="1"/>
    </row>
    <row r="234" spans="8:18">
      <c r="H234" s="1"/>
      <c r="R234" s="1"/>
    </row>
    <row r="235" spans="8:18">
      <c r="H235" s="1"/>
      <c r="R235" s="1"/>
    </row>
    <row r="236" spans="8:18">
      <c r="H236" s="1"/>
      <c r="R236" s="1"/>
    </row>
    <row r="237" spans="8:18">
      <c r="H237" s="1"/>
      <c r="R237" s="1"/>
    </row>
    <row r="238" spans="8:18">
      <c r="H238" s="1"/>
      <c r="R238" s="1"/>
    </row>
    <row r="239" spans="8:18">
      <c r="H239" s="1"/>
      <c r="R239" s="1"/>
    </row>
    <row r="240" spans="8:18">
      <c r="H240" s="1"/>
      <c r="R240" s="1"/>
    </row>
    <row r="241" spans="8:18">
      <c r="H241" s="1"/>
      <c r="R241" s="1"/>
    </row>
    <row r="242" spans="8:18">
      <c r="H242" s="1"/>
      <c r="R242" s="1"/>
    </row>
    <row r="243" spans="8:18">
      <c r="H243" s="1"/>
      <c r="R243" s="1"/>
    </row>
    <row r="244" spans="8:18">
      <c r="H244" s="1"/>
      <c r="R244" s="1"/>
    </row>
    <row r="245" spans="8:18">
      <c r="H245" s="1"/>
      <c r="R245" s="1"/>
    </row>
    <row r="246" spans="8:18">
      <c r="H246" s="1"/>
      <c r="R246" s="1"/>
    </row>
    <row r="247" spans="8:18">
      <c r="H247" s="1"/>
      <c r="R247" s="1"/>
    </row>
    <row r="248" spans="8:18">
      <c r="H248" s="1"/>
      <c r="R248" s="1"/>
    </row>
    <row r="249" spans="8:18">
      <c r="H249" s="1"/>
      <c r="R249" s="1"/>
    </row>
    <row r="250" spans="8:18">
      <c r="H250" s="1"/>
      <c r="R250" s="1"/>
    </row>
    <row r="251" spans="8:18">
      <c r="H251" s="1"/>
      <c r="R251" s="1"/>
    </row>
    <row r="252" spans="8:18">
      <c r="H252" s="1"/>
      <c r="R252" s="1"/>
    </row>
    <row r="253" spans="8:18">
      <c r="H253" s="1"/>
      <c r="R253" s="1"/>
    </row>
    <row r="254" spans="8:18">
      <c r="H254" s="1"/>
      <c r="R254" s="1"/>
    </row>
    <row r="255" spans="8:18">
      <c r="H255" s="1"/>
      <c r="R255" s="1"/>
    </row>
    <row r="256" spans="8:18">
      <c r="H256" s="1"/>
      <c r="R256" s="1"/>
    </row>
    <row r="257" spans="8:18">
      <c r="H257" s="1"/>
      <c r="R257" s="1"/>
    </row>
    <row r="258" spans="8:18">
      <c r="H258" s="1"/>
      <c r="R258" s="1"/>
    </row>
    <row r="259" spans="8:18">
      <c r="H259" s="1"/>
      <c r="R259" s="1"/>
    </row>
    <row r="260" spans="8:18">
      <c r="H260" s="1"/>
      <c r="R260" s="1"/>
    </row>
    <row r="261" spans="8:18">
      <c r="H261" s="1"/>
      <c r="R261" s="1"/>
    </row>
    <row r="262" spans="8:18">
      <c r="H262" s="1"/>
      <c r="R262" s="1"/>
    </row>
    <row r="263" spans="8:18">
      <c r="H263" s="1"/>
      <c r="R263" s="1"/>
    </row>
    <row r="264" spans="8:18">
      <c r="H264" s="1"/>
      <c r="R264" s="1"/>
    </row>
    <row r="265" spans="8:18">
      <c r="H265" s="1"/>
      <c r="R265" s="1"/>
    </row>
    <row r="266" spans="8:18">
      <c r="H266" s="1"/>
      <c r="R266" s="1"/>
    </row>
    <row r="267" spans="8:18">
      <c r="H267" s="1"/>
      <c r="R267" s="1"/>
    </row>
    <row r="268" spans="8:18">
      <c r="H268" s="1"/>
      <c r="R268" s="1"/>
    </row>
    <row r="269" spans="8:18">
      <c r="H269" s="1"/>
      <c r="R269" s="1"/>
    </row>
    <row r="270" spans="8:18">
      <c r="H270" s="1"/>
      <c r="R270" s="1"/>
    </row>
    <row r="271" spans="8:18">
      <c r="H271" s="1"/>
      <c r="R271" s="1"/>
    </row>
    <row r="272" spans="8:18">
      <c r="H272" s="1"/>
      <c r="R272" s="1"/>
    </row>
    <row r="273" spans="8:18">
      <c r="H273" s="1"/>
      <c r="R273" s="1"/>
    </row>
    <row r="274" spans="8:18">
      <c r="H274" s="1"/>
      <c r="R274" s="1"/>
    </row>
    <row r="275" spans="8:18">
      <c r="H275" s="1"/>
      <c r="R275" s="1"/>
    </row>
    <row r="276" spans="8:18">
      <c r="H276" s="1"/>
      <c r="R276" s="1"/>
    </row>
    <row r="277" spans="8:18">
      <c r="H277" s="1"/>
      <c r="R277" s="1"/>
    </row>
    <row r="278" spans="8:18">
      <c r="H278" s="1"/>
      <c r="R278" s="1"/>
    </row>
    <row r="279" spans="8:18">
      <c r="H279" s="1"/>
      <c r="R279" s="1"/>
    </row>
    <row r="280" spans="8:18">
      <c r="H280" s="1"/>
      <c r="R280" s="1"/>
    </row>
    <row r="281" spans="8:18">
      <c r="H281" s="1"/>
      <c r="R281" s="1"/>
    </row>
    <row r="282" spans="8:18">
      <c r="H282" s="1"/>
      <c r="R282" s="1"/>
    </row>
    <row r="283" spans="8:18">
      <c r="H283" s="1"/>
      <c r="R283" s="1"/>
    </row>
    <row r="284" spans="8:18">
      <c r="H284" s="1"/>
      <c r="R284" s="1"/>
    </row>
    <row r="285" spans="8:18">
      <c r="H285" s="1"/>
      <c r="R285" s="1"/>
    </row>
    <row r="286" spans="8:18">
      <c r="H286" s="1"/>
      <c r="R286" s="1"/>
    </row>
    <row r="287" spans="8:18">
      <c r="H287" s="1"/>
      <c r="R287" s="1"/>
    </row>
    <row r="288" spans="8:18">
      <c r="H288" s="1"/>
      <c r="R288" s="1"/>
    </row>
    <row r="289" spans="8:18">
      <c r="H289" s="1"/>
      <c r="R289" s="1"/>
    </row>
    <row r="290" spans="8:18">
      <c r="H290" s="1"/>
      <c r="R290" s="1"/>
    </row>
    <row r="291" spans="8:18">
      <c r="H291" s="1"/>
      <c r="R291" s="1"/>
    </row>
    <row r="292" spans="8:18">
      <c r="H292" s="1"/>
      <c r="R292" s="1"/>
    </row>
    <row r="293" spans="8:18">
      <c r="H293" s="1"/>
      <c r="R293" s="1"/>
    </row>
    <row r="294" spans="8:18">
      <c r="H294" s="1"/>
      <c r="R294" s="1"/>
    </row>
    <row r="295" spans="8:18">
      <c r="H295" s="1"/>
      <c r="R295" s="1"/>
    </row>
    <row r="296" spans="8:18">
      <c r="H296" s="1"/>
      <c r="R296" s="1"/>
    </row>
    <row r="297" spans="8:18">
      <c r="H297" s="1"/>
      <c r="R297" s="1"/>
    </row>
    <row r="298" spans="8:18">
      <c r="H298" s="1"/>
      <c r="R298" s="1"/>
    </row>
    <row r="299" spans="8:18">
      <c r="H299" s="1"/>
      <c r="R299" s="1"/>
    </row>
    <row r="300" spans="8:18">
      <c r="H300" s="1"/>
      <c r="R300" s="1"/>
    </row>
    <row r="301" spans="8:18">
      <c r="H301" s="1"/>
      <c r="R301" s="1"/>
    </row>
    <row r="302" spans="8:18">
      <c r="H302" s="1"/>
      <c r="R302" s="1"/>
    </row>
    <row r="303" spans="8:18">
      <c r="H303" s="1"/>
      <c r="R303" s="1"/>
    </row>
    <row r="304" spans="8:18">
      <c r="H304" s="1"/>
      <c r="R304" s="1"/>
    </row>
    <row r="305" spans="8:18">
      <c r="H305" s="1"/>
      <c r="R305" s="1"/>
    </row>
    <row r="306" spans="8:18">
      <c r="H306" s="1"/>
      <c r="R306" s="1"/>
    </row>
    <row r="307" spans="8:18">
      <c r="H307" s="1"/>
      <c r="R307" s="1"/>
    </row>
    <row r="308" spans="8:18">
      <c r="H308" s="1"/>
      <c r="R308" s="1"/>
    </row>
    <row r="309" spans="8:18">
      <c r="H309" s="1"/>
      <c r="R309" s="1"/>
    </row>
    <row r="310" spans="8:18">
      <c r="H310" s="1"/>
      <c r="R310" s="1"/>
    </row>
    <row r="311" spans="8:18">
      <c r="H311" s="1"/>
      <c r="R311" s="1"/>
    </row>
    <row r="312" spans="8:18">
      <c r="H312" s="1"/>
      <c r="R312" s="1"/>
    </row>
    <row r="313" spans="8:18">
      <c r="H313" s="1"/>
      <c r="R313" s="1"/>
    </row>
    <row r="314" spans="8:18">
      <c r="H314" s="1"/>
      <c r="R314" s="1"/>
    </row>
    <row r="315" spans="8:18">
      <c r="H315" s="1"/>
      <c r="R315" s="1"/>
    </row>
    <row r="316" spans="8:18">
      <c r="H316" s="1"/>
      <c r="R316" s="1"/>
    </row>
    <row r="317" spans="8:18">
      <c r="H317" s="1"/>
      <c r="R317" s="1"/>
    </row>
    <row r="318" spans="8:18">
      <c r="H318" s="1"/>
      <c r="R318" s="1"/>
    </row>
    <row r="319" spans="8:18">
      <c r="H319" s="1"/>
      <c r="R319" s="1"/>
    </row>
    <row r="320" spans="8:18">
      <c r="H320" s="1"/>
      <c r="R320" s="1"/>
    </row>
    <row r="321" spans="8:18">
      <c r="H321" s="1"/>
      <c r="R321" s="1"/>
    </row>
    <row r="322" spans="8:18">
      <c r="H322" s="1"/>
      <c r="R322" s="1"/>
    </row>
    <row r="323" spans="8:18">
      <c r="H323" s="1"/>
      <c r="R323" s="1"/>
    </row>
    <row r="324" spans="8:18">
      <c r="H324" s="1"/>
      <c r="R324" s="1"/>
    </row>
    <row r="325" spans="8:18">
      <c r="H325" s="1"/>
      <c r="R325" s="1"/>
    </row>
    <row r="326" spans="8:18">
      <c r="H326" s="1"/>
      <c r="R326" s="1"/>
    </row>
    <row r="327" spans="8:18">
      <c r="H327" s="1"/>
      <c r="R327" s="1"/>
    </row>
    <row r="328" spans="8:18">
      <c r="H328" s="1"/>
      <c r="R328" s="1"/>
    </row>
    <row r="329" spans="8:18">
      <c r="H329" s="1"/>
      <c r="R329" s="1"/>
    </row>
    <row r="330" spans="8:18">
      <c r="H330" s="1"/>
      <c r="R330" s="1"/>
    </row>
    <row r="331" spans="8:18">
      <c r="H331" s="1"/>
      <c r="R331" s="1"/>
    </row>
    <row r="332" spans="8:18">
      <c r="H332" s="1"/>
      <c r="R332" s="1"/>
    </row>
    <row r="333" spans="8:18">
      <c r="H333" s="1"/>
      <c r="R333" s="1"/>
    </row>
    <row r="334" spans="8:18">
      <c r="H334" s="1"/>
      <c r="R334" s="1"/>
    </row>
    <row r="335" spans="8:18">
      <c r="H335" s="1"/>
      <c r="R335" s="1"/>
    </row>
    <row r="336" spans="8:18">
      <c r="H336" s="1"/>
      <c r="R336" s="1"/>
    </row>
    <row r="337" spans="8:18">
      <c r="H337" s="1"/>
      <c r="R337" s="1"/>
    </row>
    <row r="338" spans="8:18">
      <c r="H338" s="1"/>
      <c r="R338" s="1"/>
    </row>
    <row r="339" spans="8:18">
      <c r="H339" s="1"/>
      <c r="R339" s="1"/>
    </row>
    <row r="340" spans="8:18">
      <c r="H340" s="1"/>
      <c r="R340" s="1"/>
    </row>
    <row r="341" spans="8:18">
      <c r="H341" s="1"/>
      <c r="R341" s="1"/>
    </row>
    <row r="342" spans="8:18">
      <c r="H342" s="1"/>
      <c r="R342" s="1"/>
    </row>
    <row r="343" spans="8:18">
      <c r="H343" s="1"/>
      <c r="R343" s="1"/>
    </row>
    <row r="344" spans="8:18">
      <c r="H344" s="1"/>
      <c r="R344" s="1"/>
    </row>
    <row r="345" spans="8:18">
      <c r="H345" s="1"/>
      <c r="R345" s="1"/>
    </row>
    <row r="346" spans="8:18">
      <c r="H346" s="1"/>
      <c r="R346" s="1"/>
    </row>
    <row r="347" spans="8:18">
      <c r="H347" s="1"/>
      <c r="R347" s="1"/>
    </row>
    <row r="348" spans="8:18">
      <c r="H348" s="1"/>
      <c r="R348" s="1"/>
    </row>
    <row r="349" spans="8:18">
      <c r="H349" s="1"/>
      <c r="R349" s="1"/>
    </row>
    <row r="350" spans="8:18">
      <c r="H350" s="1"/>
      <c r="R350" s="1"/>
    </row>
    <row r="351" spans="8:18">
      <c r="H351" s="1"/>
      <c r="R351" s="1"/>
    </row>
    <row r="352" spans="8:18">
      <c r="H352" s="1"/>
      <c r="R352" s="1"/>
    </row>
    <row r="353" spans="8:18">
      <c r="H353" s="1"/>
      <c r="R353" s="1"/>
    </row>
    <row r="354" spans="8:18">
      <c r="H354" s="1"/>
      <c r="R354" s="1"/>
    </row>
    <row r="355" spans="8:18">
      <c r="H355" s="1"/>
      <c r="R355" s="1"/>
    </row>
    <row r="356" spans="8:18">
      <c r="H356" s="1"/>
      <c r="R356" s="1"/>
    </row>
    <row r="357" spans="8:18">
      <c r="H357" s="1"/>
      <c r="R357" s="1"/>
    </row>
    <row r="358" spans="8:18">
      <c r="H358" s="1"/>
      <c r="R358" s="1"/>
    </row>
    <row r="359" spans="8:18">
      <c r="H359" s="1"/>
      <c r="R359" s="1"/>
    </row>
    <row r="360" spans="8:18">
      <c r="H360" s="1"/>
      <c r="R360" s="1"/>
    </row>
    <row r="361" spans="8:18">
      <c r="H361" s="1"/>
      <c r="R361" s="1"/>
    </row>
    <row r="362" spans="8:18">
      <c r="H362" s="1"/>
      <c r="R362" s="1"/>
    </row>
    <row r="363" spans="8:18">
      <c r="H363" s="1"/>
      <c r="R363" s="1"/>
    </row>
    <row r="364" spans="8:18">
      <c r="H364" s="1"/>
      <c r="R364" s="1"/>
    </row>
    <row r="365" spans="8:18">
      <c r="H365" s="1"/>
      <c r="R365" s="1"/>
    </row>
    <row r="366" spans="8:18">
      <c r="H366" s="1"/>
      <c r="R366" s="1"/>
    </row>
    <row r="367" spans="8:18">
      <c r="H367" s="1"/>
      <c r="R367" s="1"/>
    </row>
    <row r="368" spans="8:18">
      <c r="H368" s="1"/>
      <c r="R368" s="1"/>
    </row>
    <row r="369" spans="8:18">
      <c r="H369" s="1"/>
      <c r="R369" s="1"/>
    </row>
    <row r="370" spans="8:18">
      <c r="H370" s="1"/>
      <c r="R370" s="1"/>
    </row>
    <row r="371" spans="8:18">
      <c r="H371" s="1"/>
      <c r="R371" s="1"/>
    </row>
    <row r="372" spans="8:18">
      <c r="H372" s="1"/>
      <c r="R372" s="1"/>
    </row>
    <row r="373" spans="8:18">
      <c r="H373" s="1"/>
      <c r="R373" s="1"/>
    </row>
    <row r="374" spans="8:18">
      <c r="H374" s="1"/>
      <c r="R374" s="1"/>
    </row>
    <row r="375" spans="8:18">
      <c r="H375" s="1"/>
      <c r="R375" s="1"/>
    </row>
    <row r="376" spans="8:18">
      <c r="H376" s="1"/>
      <c r="R376" s="1"/>
    </row>
    <row r="377" spans="8:18">
      <c r="H377" s="1"/>
      <c r="R377" s="1"/>
    </row>
    <row r="378" spans="8:18">
      <c r="H378" s="1"/>
      <c r="R378" s="1"/>
    </row>
    <row r="379" spans="8:18">
      <c r="H379" s="1"/>
      <c r="R379" s="1"/>
    </row>
    <row r="380" spans="8:18">
      <c r="H380" s="1"/>
      <c r="R380" s="1"/>
    </row>
    <row r="381" spans="8:18">
      <c r="H381" s="1"/>
      <c r="R381" s="1"/>
    </row>
    <row r="382" spans="8:18">
      <c r="H382" s="1"/>
      <c r="R382" s="1"/>
    </row>
    <row r="383" spans="8:18">
      <c r="H383" s="1"/>
      <c r="R383" s="1"/>
    </row>
    <row r="384" spans="8:18">
      <c r="H384" s="1"/>
      <c r="R384" s="1"/>
    </row>
    <row r="385" spans="8:18">
      <c r="H385" s="1"/>
      <c r="R385" s="1"/>
    </row>
    <row r="386" spans="8:18">
      <c r="H386" s="1"/>
      <c r="R386" s="1"/>
    </row>
    <row r="387" spans="8:18">
      <c r="H387" s="1"/>
      <c r="R387" s="1"/>
    </row>
    <row r="388" spans="8:18">
      <c r="H388" s="1"/>
      <c r="R388" s="1"/>
    </row>
    <row r="389" spans="8:18">
      <c r="H389" s="1"/>
      <c r="R389" s="1"/>
    </row>
    <row r="390" spans="8:18">
      <c r="H390" s="1"/>
      <c r="R390" s="1"/>
    </row>
    <row r="391" spans="8:18">
      <c r="H391" s="1"/>
      <c r="R391" s="1"/>
    </row>
    <row r="392" spans="8:18">
      <c r="H392" s="1"/>
      <c r="R392" s="1"/>
    </row>
    <row r="393" spans="8:18">
      <c r="H393" s="1"/>
      <c r="R393" s="1"/>
    </row>
    <row r="394" spans="8:18">
      <c r="H394" s="1"/>
      <c r="R394" s="1"/>
    </row>
    <row r="395" spans="8:18">
      <c r="H395" s="1"/>
      <c r="R395" s="1"/>
    </row>
    <row r="396" spans="8:18">
      <c r="H396" s="1"/>
      <c r="R396" s="1"/>
    </row>
    <row r="397" spans="8:18">
      <c r="H397" s="1"/>
      <c r="R397" s="1"/>
    </row>
    <row r="398" spans="8:18">
      <c r="H398" s="1"/>
      <c r="R398" s="1"/>
    </row>
    <row r="399" spans="8:18">
      <c r="H399" s="1"/>
      <c r="R399" s="1"/>
    </row>
    <row r="400" spans="8:18">
      <c r="H400" s="1"/>
      <c r="R400" s="1"/>
    </row>
    <row r="401" spans="8:18">
      <c r="H401" s="1"/>
      <c r="R401" s="1"/>
    </row>
    <row r="402" spans="8:18">
      <c r="H402" s="1"/>
      <c r="R402" s="1"/>
    </row>
    <row r="403" spans="8:18">
      <c r="H403" s="1"/>
      <c r="R403" s="1"/>
    </row>
    <row r="404" spans="8:18">
      <c r="H404" s="1"/>
      <c r="R404" s="1"/>
    </row>
    <row r="405" spans="8:18">
      <c r="H405" s="1"/>
      <c r="R405" s="1"/>
    </row>
    <row r="406" spans="8:18">
      <c r="H406" s="1"/>
      <c r="R406" s="1"/>
    </row>
    <row r="407" spans="8:18">
      <c r="H407" s="1"/>
      <c r="R407" s="1"/>
    </row>
    <row r="408" spans="8:18">
      <c r="H408" s="1"/>
      <c r="R408" s="1"/>
    </row>
    <row r="409" spans="8:18">
      <c r="H409" s="1"/>
      <c r="R409" s="1"/>
    </row>
    <row r="410" spans="8:18">
      <c r="H410" s="1"/>
      <c r="R410" s="1"/>
    </row>
    <row r="411" spans="8:18">
      <c r="H411" s="1"/>
      <c r="R411" s="1"/>
    </row>
    <row r="412" spans="8:18">
      <c r="H412" s="1"/>
      <c r="R412" s="1"/>
    </row>
    <row r="413" spans="8:18">
      <c r="H413" s="1"/>
      <c r="R413" s="1"/>
    </row>
    <row r="414" spans="8:18">
      <c r="H414" s="1"/>
      <c r="R414" s="1"/>
    </row>
    <row r="415" spans="8:18">
      <c r="H415" s="1"/>
      <c r="R415" s="1"/>
    </row>
    <row r="416" spans="8:18">
      <c r="H416" s="1"/>
      <c r="R416" s="1"/>
    </row>
    <row r="417" spans="8:18">
      <c r="H417" s="1"/>
      <c r="R417" s="1"/>
    </row>
    <row r="418" spans="8:18">
      <c r="H418" s="1"/>
      <c r="R418" s="1"/>
    </row>
    <row r="419" spans="8:18">
      <c r="H419" s="1"/>
      <c r="R419" s="1"/>
    </row>
    <row r="420" spans="8:18">
      <c r="H420" s="1"/>
      <c r="R420" s="1"/>
    </row>
    <row r="421" spans="8:18">
      <c r="H421" s="1"/>
      <c r="R421" s="1"/>
    </row>
    <row r="422" spans="8:18">
      <c r="H422" s="1"/>
      <c r="R422" s="1"/>
    </row>
    <row r="423" spans="8:18">
      <c r="H423" s="1"/>
      <c r="R423" s="1"/>
    </row>
    <row r="424" spans="8:18">
      <c r="H424" s="1"/>
      <c r="R424" s="1"/>
    </row>
    <row r="425" spans="8:18">
      <c r="H425" s="1"/>
      <c r="R425" s="1"/>
    </row>
    <row r="426" spans="8:18">
      <c r="H426" s="1"/>
      <c r="R426" s="1"/>
    </row>
    <row r="427" spans="8:18">
      <c r="H427" s="1"/>
      <c r="R427" s="1"/>
    </row>
    <row r="428" spans="8:18">
      <c r="H428" s="1"/>
      <c r="R428" s="1"/>
    </row>
    <row r="429" spans="8:18">
      <c r="H429" s="1"/>
      <c r="R429" s="1"/>
    </row>
    <row r="430" spans="8:18">
      <c r="H430" s="1"/>
      <c r="R430" s="1"/>
    </row>
    <row r="431" spans="8:18">
      <c r="H431" s="1"/>
      <c r="R431" s="1"/>
    </row>
    <row r="432" spans="8:18">
      <c r="H432" s="1"/>
      <c r="R432" s="1"/>
    </row>
    <row r="433" spans="8:18">
      <c r="H433" s="1"/>
      <c r="R433" s="1"/>
    </row>
    <row r="434" spans="8:18">
      <c r="H434" s="1"/>
      <c r="R434" s="1"/>
    </row>
    <row r="435" spans="8:18">
      <c r="H435" s="1"/>
      <c r="R435" s="1"/>
    </row>
    <row r="436" spans="8:18">
      <c r="H436" s="1"/>
      <c r="R436" s="1"/>
    </row>
    <row r="437" spans="8:18">
      <c r="H437" s="1"/>
      <c r="R437" s="1"/>
    </row>
    <row r="438" spans="8:18">
      <c r="H438" s="1"/>
      <c r="R438" s="1"/>
    </row>
    <row r="439" spans="8:18">
      <c r="H439" s="1"/>
      <c r="R439" s="1"/>
    </row>
    <row r="440" spans="8:18">
      <c r="H440" s="1"/>
      <c r="R440" s="1"/>
    </row>
    <row r="441" spans="8:18">
      <c r="H441" s="1"/>
      <c r="R441" s="1"/>
    </row>
    <row r="442" spans="8:18">
      <c r="H442" s="1"/>
      <c r="R442" s="1"/>
    </row>
    <row r="443" spans="8:18">
      <c r="H443" s="1"/>
      <c r="R443" s="1"/>
    </row>
    <row r="444" spans="8:18">
      <c r="H444" s="1"/>
      <c r="R444" s="1"/>
    </row>
    <row r="445" spans="8:18">
      <c r="H445" s="1"/>
      <c r="R445" s="1"/>
    </row>
    <row r="446" spans="8:18">
      <c r="H446" s="1"/>
      <c r="R446" s="1"/>
    </row>
    <row r="447" spans="8:18">
      <c r="H447" s="1"/>
      <c r="R447" s="1"/>
    </row>
    <row r="448" spans="8:18">
      <c r="H448" s="1"/>
      <c r="R448" s="1"/>
    </row>
    <row r="449" spans="8:18">
      <c r="H449" s="1"/>
      <c r="R449" s="1"/>
    </row>
    <row r="450" spans="8:18">
      <c r="H450" s="1"/>
      <c r="R450" s="1"/>
    </row>
    <row r="451" spans="8:18">
      <c r="H451" s="1"/>
      <c r="R451" s="1"/>
    </row>
    <row r="452" spans="8:18">
      <c r="H452" s="1"/>
      <c r="R452" s="1"/>
    </row>
    <row r="453" spans="8:18">
      <c r="H453" s="1"/>
      <c r="R453" s="1"/>
    </row>
    <row r="454" spans="8:18">
      <c r="H454" s="1"/>
      <c r="R454" s="1"/>
    </row>
    <row r="455" spans="8:18">
      <c r="H455" s="1"/>
      <c r="R455" s="1"/>
    </row>
    <row r="456" spans="8:18">
      <c r="H456" s="1"/>
      <c r="R456" s="1"/>
    </row>
    <row r="457" spans="8:18">
      <c r="H457" s="1"/>
      <c r="R457" s="1"/>
    </row>
    <row r="458" spans="8:18">
      <c r="H458" s="1"/>
      <c r="R458" s="1"/>
    </row>
    <row r="459" spans="8:18">
      <c r="H459" s="1"/>
      <c r="R459" s="1"/>
    </row>
    <row r="460" spans="8:18">
      <c r="H460" s="1"/>
      <c r="R460" s="1"/>
    </row>
    <row r="461" spans="8:18">
      <c r="H461" s="1"/>
      <c r="R461" s="1"/>
    </row>
    <row r="462" spans="8:18">
      <c r="H462" s="1"/>
      <c r="R462" s="1"/>
    </row>
    <row r="463" spans="8:18">
      <c r="H463" s="1"/>
      <c r="R463" s="1"/>
    </row>
    <row r="464" spans="8:18">
      <c r="H464" s="1"/>
      <c r="R464" s="1"/>
    </row>
    <row r="465" spans="8:18">
      <c r="H465" s="1"/>
      <c r="R465" s="1"/>
    </row>
    <row r="466" spans="8:18">
      <c r="H466" s="1"/>
      <c r="R466" s="1"/>
    </row>
    <row r="467" spans="8:18">
      <c r="H467" s="1"/>
      <c r="R467" s="1"/>
    </row>
    <row r="468" spans="8:18">
      <c r="H468" s="1"/>
      <c r="R468" s="1"/>
    </row>
    <row r="469" spans="8:18">
      <c r="H469" s="1"/>
      <c r="R469" s="1"/>
    </row>
    <row r="470" spans="8:18">
      <c r="H470" s="1"/>
      <c r="R470" s="1"/>
    </row>
    <row r="471" spans="8:18">
      <c r="H471" s="1"/>
      <c r="R471" s="1"/>
    </row>
    <row r="472" spans="8:18">
      <c r="H472" s="1"/>
      <c r="R472" s="1"/>
    </row>
    <row r="473" spans="8:18">
      <c r="H473" s="1"/>
      <c r="R473" s="1"/>
    </row>
    <row r="474" spans="8:18">
      <c r="H474" s="1"/>
      <c r="R474" s="1"/>
    </row>
    <row r="475" spans="8:18">
      <c r="H475" s="1"/>
      <c r="R475" s="1"/>
    </row>
    <row r="476" spans="8:18">
      <c r="H476" s="1"/>
      <c r="R476" s="1"/>
    </row>
    <row r="477" spans="8:18">
      <c r="H477" s="1"/>
      <c r="R477" s="1"/>
    </row>
    <row r="478" spans="8:18">
      <c r="H478" s="1"/>
      <c r="R478" s="1"/>
    </row>
    <row r="479" spans="8:18">
      <c r="H479" s="1"/>
      <c r="R479" s="1"/>
    </row>
    <row r="480" spans="8:18">
      <c r="H480" s="1"/>
      <c r="R480" s="1"/>
    </row>
    <row r="481" spans="8:18">
      <c r="H481" s="1"/>
      <c r="R481" s="1"/>
    </row>
    <row r="482" spans="8:18">
      <c r="H482" s="1"/>
      <c r="R482" s="1"/>
    </row>
    <row r="483" spans="8:18">
      <c r="H483" s="1"/>
      <c r="R483" s="1"/>
    </row>
    <row r="484" spans="8:18">
      <c r="H484" s="1"/>
      <c r="R484" s="1"/>
    </row>
    <row r="485" spans="8:18">
      <c r="H485" s="1"/>
      <c r="R485" s="1"/>
    </row>
    <row r="486" spans="8:18">
      <c r="H486" s="1"/>
      <c r="R486" s="1"/>
    </row>
    <row r="487" spans="8:18">
      <c r="H487" s="1"/>
      <c r="R487" s="1"/>
    </row>
    <row r="488" spans="8:18">
      <c r="H488" s="1"/>
      <c r="R488" s="1"/>
    </row>
    <row r="489" spans="8:18">
      <c r="H489" s="1"/>
      <c r="R489" s="1"/>
    </row>
    <row r="490" spans="8:18">
      <c r="H490" s="1"/>
      <c r="R490" s="1"/>
    </row>
    <row r="491" spans="8:18">
      <c r="H491" s="1"/>
      <c r="R491" s="1"/>
    </row>
    <row r="492" spans="8:18">
      <c r="H492" s="1"/>
      <c r="R492" s="1"/>
    </row>
    <row r="493" spans="8:18">
      <c r="H493" s="1"/>
      <c r="R493" s="1"/>
    </row>
    <row r="494" spans="8:18">
      <c r="H494" s="1"/>
      <c r="R494" s="1"/>
    </row>
    <row r="495" spans="8:18">
      <c r="H495" s="1"/>
      <c r="R495" s="1"/>
    </row>
    <row r="496" spans="8:18">
      <c r="H496" s="1"/>
      <c r="R496" s="1"/>
    </row>
    <row r="497" spans="8:18">
      <c r="H497" s="1"/>
      <c r="R497" s="1"/>
    </row>
    <row r="498" spans="8:18">
      <c r="H498" s="1"/>
      <c r="R498" s="1"/>
    </row>
    <row r="499" spans="8:18">
      <c r="H499" s="1"/>
      <c r="R499" s="1"/>
    </row>
    <row r="500" spans="8:18">
      <c r="H500" s="1"/>
      <c r="R500" s="1"/>
    </row>
    <row r="501" spans="8:18">
      <c r="H501" s="1"/>
      <c r="R501" s="1"/>
    </row>
    <row r="502" spans="8:18">
      <c r="H502" s="1"/>
      <c r="R502" s="1"/>
    </row>
    <row r="503" spans="8:18">
      <c r="H503" s="1"/>
      <c r="R503" s="1"/>
    </row>
    <row r="504" spans="8:18">
      <c r="H504" s="1"/>
      <c r="R504" s="1"/>
    </row>
    <row r="505" spans="8:18">
      <c r="H505" s="1"/>
      <c r="R505" s="1"/>
    </row>
    <row r="506" spans="8:18">
      <c r="H506" s="1"/>
      <c r="R506" s="1"/>
    </row>
    <row r="507" spans="8:18">
      <c r="H507" s="1"/>
      <c r="R507" s="1"/>
    </row>
    <row r="508" spans="8:18">
      <c r="H508" s="1"/>
      <c r="R508" s="1"/>
    </row>
    <row r="509" spans="8:18">
      <c r="H509" s="1"/>
      <c r="R509" s="1"/>
    </row>
    <row r="510" spans="8:18">
      <c r="H510" s="1"/>
      <c r="R510" s="1"/>
    </row>
    <row r="511" spans="8:18">
      <c r="H511" s="1"/>
      <c r="R511" s="1"/>
    </row>
    <row r="512" spans="8:18">
      <c r="H512" s="1"/>
      <c r="R512" s="1"/>
    </row>
    <row r="513" spans="8:18">
      <c r="H513" s="1"/>
      <c r="R513" s="1"/>
    </row>
    <row r="514" spans="8:18">
      <c r="H514" s="1"/>
      <c r="R514" s="1"/>
    </row>
    <row r="515" spans="8:18">
      <c r="H515" s="1"/>
      <c r="R515" s="1"/>
    </row>
    <row r="516" spans="8:18">
      <c r="H516" s="1"/>
      <c r="R516" s="1"/>
    </row>
    <row r="517" spans="8:18">
      <c r="H517" s="1"/>
      <c r="R517" s="1"/>
    </row>
    <row r="518" spans="8:18">
      <c r="H518" s="1"/>
      <c r="R518" s="1"/>
    </row>
    <row r="519" spans="8:18">
      <c r="H519" s="1"/>
      <c r="R519" s="1"/>
    </row>
    <row r="520" spans="8:18">
      <c r="H520" s="1"/>
      <c r="R520" s="1"/>
    </row>
    <row r="521" spans="8:18">
      <c r="H521" s="1"/>
      <c r="R521" s="1"/>
    </row>
    <row r="522" spans="8:18">
      <c r="H522" s="1"/>
      <c r="R522" s="1"/>
    </row>
    <row r="523" spans="8:18">
      <c r="H523" s="1"/>
      <c r="R523" s="1"/>
    </row>
    <row r="524" spans="8:18">
      <c r="H524" s="1"/>
      <c r="R524" s="1"/>
    </row>
    <row r="525" spans="8:18">
      <c r="H525" s="1"/>
      <c r="R525" s="1"/>
    </row>
    <row r="526" spans="8:18">
      <c r="H526" s="1"/>
      <c r="R526" s="1"/>
    </row>
    <row r="527" spans="8:18">
      <c r="H527" s="1"/>
      <c r="R527" s="1"/>
    </row>
    <row r="528" spans="8:18">
      <c r="H528" s="1"/>
      <c r="R528" s="1"/>
    </row>
    <row r="529" spans="8:18">
      <c r="H529" s="1"/>
      <c r="R529" s="1"/>
    </row>
    <row r="530" spans="8:18">
      <c r="H530" s="1"/>
      <c r="R530" s="1"/>
    </row>
    <row r="531" spans="8:18">
      <c r="H531" s="1"/>
      <c r="R531" s="1"/>
    </row>
    <row r="532" spans="8:18">
      <c r="H532" s="1"/>
      <c r="R532" s="1"/>
    </row>
    <row r="533" spans="8:18">
      <c r="H533" s="1"/>
      <c r="R533" s="1"/>
    </row>
    <row r="534" spans="8:18">
      <c r="H534" s="1"/>
      <c r="R534" s="1"/>
    </row>
    <row r="535" spans="8:18">
      <c r="H535" s="1"/>
      <c r="R535" s="1"/>
    </row>
    <row r="536" spans="8:18">
      <c r="H536" s="1"/>
      <c r="R536" s="1"/>
    </row>
    <row r="537" spans="8:18">
      <c r="H537" s="1"/>
      <c r="R537" s="1"/>
    </row>
    <row r="538" spans="8:18">
      <c r="H538" s="1"/>
      <c r="R538" s="1"/>
    </row>
    <row r="539" spans="8:18">
      <c r="H539" s="1"/>
      <c r="R539" s="1"/>
    </row>
    <row r="540" spans="8:18">
      <c r="H540" s="1"/>
      <c r="R540" s="1"/>
    </row>
    <row r="541" spans="8:18">
      <c r="H541" s="1"/>
      <c r="R541" s="1"/>
    </row>
    <row r="542" spans="8:18">
      <c r="H542" s="1"/>
      <c r="R542" s="1"/>
    </row>
    <row r="543" spans="8:18">
      <c r="H543" s="1"/>
      <c r="R543" s="1"/>
    </row>
    <row r="544" spans="8:18">
      <c r="H544" s="1"/>
      <c r="R544" s="1"/>
    </row>
    <row r="545" spans="8:18">
      <c r="H545" s="1"/>
      <c r="R545" s="1"/>
    </row>
    <row r="546" spans="8:18">
      <c r="H546" s="1"/>
      <c r="R546" s="1"/>
    </row>
    <row r="547" spans="8:18">
      <c r="H547" s="1"/>
      <c r="R547" s="1"/>
    </row>
    <row r="548" spans="8:18">
      <c r="H548" s="1"/>
      <c r="R548" s="1"/>
    </row>
    <row r="549" spans="8:18">
      <c r="H549" s="1"/>
      <c r="R549" s="1"/>
    </row>
    <row r="550" spans="8:18">
      <c r="H550" s="1"/>
      <c r="R550" s="1"/>
    </row>
    <row r="551" spans="8:18">
      <c r="H551" s="1"/>
      <c r="R551" s="1"/>
    </row>
    <row r="552" spans="8:18">
      <c r="H552" s="1"/>
      <c r="R552" s="1"/>
    </row>
    <row r="553" spans="8:18">
      <c r="H553" s="1"/>
      <c r="R553" s="1"/>
    </row>
    <row r="554" spans="8:18">
      <c r="H554" s="1"/>
      <c r="R554" s="1"/>
    </row>
    <row r="555" spans="8:18">
      <c r="H555" s="1"/>
      <c r="R555" s="1"/>
    </row>
    <row r="556" spans="8:18">
      <c r="H556" s="1"/>
      <c r="R556" s="1"/>
    </row>
    <row r="557" spans="8:18">
      <c r="H557" s="1"/>
      <c r="R557" s="1"/>
    </row>
    <row r="558" spans="8:18">
      <c r="H558" s="1"/>
      <c r="R558" s="1"/>
    </row>
    <row r="559" spans="8:18">
      <c r="H559" s="1"/>
      <c r="R559" s="1"/>
    </row>
    <row r="560" spans="8:18">
      <c r="H560" s="1"/>
      <c r="R560" s="1"/>
    </row>
    <row r="561" spans="8:18">
      <c r="H561" s="1"/>
      <c r="R561" s="1"/>
    </row>
    <row r="562" spans="8:18">
      <c r="H562" s="1"/>
      <c r="R562" s="1"/>
    </row>
    <row r="563" spans="8:18">
      <c r="H563" s="1"/>
      <c r="R563" s="1"/>
    </row>
    <row r="564" spans="8:18">
      <c r="H564" s="1"/>
      <c r="R564" s="1"/>
    </row>
    <row r="565" spans="8:18">
      <c r="H565" s="1"/>
      <c r="R565" s="1"/>
    </row>
    <row r="566" spans="8:18">
      <c r="H566" s="1"/>
      <c r="R566" s="1"/>
    </row>
    <row r="567" spans="8:18">
      <c r="H567" s="1"/>
      <c r="R567" s="1"/>
    </row>
    <row r="568" spans="8:18">
      <c r="H568" s="1"/>
      <c r="R568" s="1"/>
    </row>
    <row r="569" spans="8:18">
      <c r="H569" s="1"/>
      <c r="R569" s="1"/>
    </row>
    <row r="570" spans="8:18">
      <c r="H570" s="1"/>
      <c r="R570" s="1"/>
    </row>
    <row r="571" spans="8:18">
      <c r="H571" s="1"/>
      <c r="R571" s="1"/>
    </row>
    <row r="572" spans="8:18">
      <c r="H572" s="1"/>
      <c r="R572" s="1"/>
    </row>
    <row r="573" spans="8:18">
      <c r="H573" s="1"/>
      <c r="R573" s="1"/>
    </row>
    <row r="574" spans="8:18">
      <c r="H574" s="1"/>
      <c r="R574" s="1"/>
    </row>
    <row r="575" spans="8:18">
      <c r="H575" s="1"/>
      <c r="R575" s="1"/>
    </row>
    <row r="576" spans="8:18">
      <c r="H576" s="1"/>
      <c r="R576" s="1"/>
    </row>
    <row r="577" spans="8:18">
      <c r="H577" s="1"/>
      <c r="R577" s="1"/>
    </row>
    <row r="578" spans="8:18">
      <c r="H578" s="1"/>
      <c r="R578" s="1"/>
    </row>
    <row r="579" spans="8:18">
      <c r="H579" s="1"/>
      <c r="R579" s="1"/>
    </row>
    <row r="580" spans="8:18">
      <c r="H580" s="1"/>
      <c r="R580" s="1"/>
    </row>
    <row r="581" spans="8:18">
      <c r="H581" s="1"/>
      <c r="R581" s="1"/>
    </row>
    <row r="582" spans="8:18">
      <c r="H582" s="1"/>
      <c r="R582" s="1"/>
    </row>
    <row r="583" spans="8:18">
      <c r="H583" s="1"/>
      <c r="R583" s="1"/>
    </row>
    <row r="584" spans="8:18">
      <c r="H584" s="1"/>
      <c r="R584" s="1"/>
    </row>
    <row r="585" spans="8:18">
      <c r="H585" s="1"/>
      <c r="R585" s="1"/>
    </row>
    <row r="586" spans="8:18">
      <c r="H586" s="1"/>
      <c r="R586" s="1"/>
    </row>
    <row r="587" spans="8:18">
      <c r="H587" s="1"/>
      <c r="R587" s="1"/>
    </row>
    <row r="588" spans="8:18">
      <c r="H588" s="1"/>
      <c r="R588" s="1"/>
    </row>
    <row r="589" spans="8:18">
      <c r="H589" s="1"/>
      <c r="R589" s="1"/>
    </row>
    <row r="590" spans="8:18">
      <c r="H590" s="1"/>
      <c r="R590" s="1"/>
    </row>
    <row r="591" spans="8:18">
      <c r="H591" s="1"/>
      <c r="R591" s="1"/>
    </row>
    <row r="592" spans="8:18">
      <c r="H592" s="1"/>
      <c r="R592" s="1"/>
    </row>
    <row r="593" spans="8:18">
      <c r="H593" s="1"/>
      <c r="R593" s="1"/>
    </row>
    <row r="594" spans="8:18">
      <c r="H594" s="1"/>
      <c r="R594" s="1"/>
    </row>
    <row r="595" spans="8:18">
      <c r="H595" s="1"/>
      <c r="R595" s="1"/>
    </row>
    <row r="596" spans="8:18">
      <c r="H596" s="1"/>
      <c r="R596" s="1"/>
    </row>
    <row r="597" spans="8:18">
      <c r="H597" s="1"/>
    </row>
    <row r="598" spans="8:18">
      <c r="H598" s="1"/>
    </row>
    <row r="599" spans="8:18">
      <c r="H599" s="1"/>
    </row>
    <row r="600" spans="8:18">
      <c r="H600" s="1"/>
    </row>
    <row r="601" spans="8:18">
      <c r="H601" s="1"/>
    </row>
    <row r="602" spans="8:18">
      <c r="H602" s="1"/>
    </row>
    <row r="603" spans="8:18">
      <c r="H603" s="1"/>
    </row>
    <row r="604" spans="8:18">
      <c r="H604" s="1"/>
    </row>
    <row r="605" spans="8:18">
      <c r="H605" s="1"/>
    </row>
    <row r="606" spans="8:18">
      <c r="H606" s="1"/>
    </row>
    <row r="607" spans="8:18">
      <c r="H607" s="1"/>
    </row>
    <row r="608" spans="8:18">
      <c r="H608" s="1"/>
    </row>
    <row r="609" spans="8:8">
      <c r="H609" s="1"/>
    </row>
    <row r="610" spans="8:8">
      <c r="H610" s="1"/>
    </row>
    <row r="611" spans="8:8">
      <c r="H611" s="1"/>
    </row>
    <row r="612" spans="8:8">
      <c r="H612" s="1"/>
    </row>
    <row r="613" spans="8:8">
      <c r="H613" s="1"/>
    </row>
    <row r="614" spans="8:8">
      <c r="H614" s="1"/>
    </row>
    <row r="615" spans="8:8">
      <c r="H615" s="1"/>
    </row>
    <row r="616" spans="8:8">
      <c r="H616" s="1"/>
    </row>
    <row r="617" spans="8:8">
      <c r="H617" s="1"/>
    </row>
    <row r="618" spans="8:8">
      <c r="H618" s="1"/>
    </row>
    <row r="619" spans="8:8">
      <c r="H619" s="1"/>
    </row>
    <row r="620" spans="8:8">
      <c r="H620" s="1"/>
    </row>
    <row r="621" spans="8:8">
      <c r="H621" s="1"/>
    </row>
    <row r="622" spans="8:8">
      <c r="H622" s="1"/>
    </row>
    <row r="623" spans="8:8">
      <c r="H623" s="1"/>
    </row>
    <row r="624" spans="8:8">
      <c r="H624" s="1"/>
    </row>
    <row r="625" spans="8:8">
      <c r="H625" s="1"/>
    </row>
    <row r="626" spans="8:8">
      <c r="H626" s="1"/>
    </row>
    <row r="627" spans="8:8">
      <c r="H627" s="1"/>
    </row>
    <row r="628" spans="8:8">
      <c r="H628" s="1"/>
    </row>
    <row r="629" spans="8:8">
      <c r="H629" s="1"/>
    </row>
    <row r="630" spans="8:8">
      <c r="H630" s="1"/>
    </row>
    <row r="631" spans="8:8">
      <c r="H631" s="1"/>
    </row>
    <row r="632" spans="8:8">
      <c r="H632" s="1"/>
    </row>
    <row r="633" spans="8:8">
      <c r="H633" s="1"/>
    </row>
    <row r="634" spans="8:8">
      <c r="H634" s="1"/>
    </row>
    <row r="635" spans="8:8">
      <c r="H635" s="1"/>
    </row>
    <row r="636" spans="8:8">
      <c r="H636" s="1"/>
    </row>
    <row r="637" spans="8:8">
      <c r="H637" s="1"/>
    </row>
    <row r="638" spans="8:8">
      <c r="H638" s="1"/>
    </row>
    <row r="639" spans="8:8">
      <c r="H639" s="1"/>
    </row>
    <row r="640" spans="8:8">
      <c r="H640" s="1"/>
    </row>
    <row r="641" spans="8:8">
      <c r="H641" s="1"/>
    </row>
    <row r="642" spans="8:8">
      <c r="H642" s="1"/>
    </row>
    <row r="643" spans="8:8">
      <c r="H643" s="1"/>
    </row>
    <row r="644" spans="8:8">
      <c r="H644" s="1"/>
    </row>
    <row r="645" spans="8:8">
      <c r="H645" s="1"/>
    </row>
    <row r="646" spans="8:8">
      <c r="H646" s="1"/>
    </row>
    <row r="647" spans="8:8">
      <c r="H647" s="1"/>
    </row>
    <row r="648" spans="8:8">
      <c r="H648" s="1"/>
    </row>
    <row r="649" spans="8:8">
      <c r="H649" s="1"/>
    </row>
    <row r="650" spans="8:8">
      <c r="H650" s="1"/>
    </row>
    <row r="651" spans="8:8">
      <c r="H651" s="1"/>
    </row>
    <row r="652" spans="8:8">
      <c r="H652" s="1"/>
    </row>
    <row r="653" spans="8:8">
      <c r="H653" s="1"/>
    </row>
    <row r="654" spans="8:8">
      <c r="H654" s="1"/>
    </row>
    <row r="655" spans="8:8">
      <c r="H655" s="1"/>
    </row>
    <row r="656" spans="8:8">
      <c r="H656" s="1"/>
    </row>
    <row r="657" spans="8:8">
      <c r="H657" s="1"/>
    </row>
    <row r="658" spans="8:8">
      <c r="H658" s="1"/>
    </row>
    <row r="659" spans="8:8">
      <c r="H659" s="1"/>
    </row>
    <row r="660" spans="8:8">
      <c r="H660" s="1"/>
    </row>
    <row r="661" spans="8:8">
      <c r="H661" s="1"/>
    </row>
    <row r="662" spans="8:8">
      <c r="H662" s="1"/>
    </row>
    <row r="663" spans="8:8">
      <c r="H663" s="1"/>
    </row>
    <row r="664" spans="8:8">
      <c r="H664" s="1"/>
    </row>
    <row r="665" spans="8:8">
      <c r="H665" s="1"/>
    </row>
    <row r="666" spans="8:8">
      <c r="H666" s="1"/>
    </row>
    <row r="667" spans="8:8">
      <c r="H667" s="1"/>
    </row>
    <row r="668" spans="8:8">
      <c r="H668" s="1"/>
    </row>
    <row r="669" spans="8:8">
      <c r="H669" s="1"/>
    </row>
    <row r="670" spans="8:8">
      <c r="H670" s="1"/>
    </row>
    <row r="671" spans="8:8">
      <c r="H671" s="1"/>
    </row>
    <row r="672" spans="8:8">
      <c r="H672" s="1"/>
    </row>
    <row r="673" spans="8:8">
      <c r="H673" s="1"/>
    </row>
    <row r="674" spans="8:8">
      <c r="H674" s="1"/>
    </row>
    <row r="675" spans="8:8">
      <c r="H675" s="1"/>
    </row>
    <row r="676" spans="8:8">
      <c r="H676" s="1"/>
    </row>
    <row r="677" spans="8:8">
      <c r="H677" s="1"/>
    </row>
    <row r="678" spans="8:8">
      <c r="H678" s="1"/>
    </row>
    <row r="679" spans="8:8">
      <c r="H679" s="1"/>
    </row>
    <row r="680" spans="8:8">
      <c r="H680" s="1"/>
    </row>
    <row r="681" spans="8:8">
      <c r="H681" s="1"/>
    </row>
    <row r="682" spans="8:8">
      <c r="H682" s="1"/>
    </row>
    <row r="683" spans="8:8">
      <c r="H683" s="1"/>
    </row>
    <row r="684" spans="8:8">
      <c r="H684" s="1"/>
    </row>
    <row r="685" spans="8:8">
      <c r="H685" s="1"/>
    </row>
    <row r="686" spans="8:8">
      <c r="H686" s="1"/>
    </row>
    <row r="687" spans="8:8">
      <c r="H687" s="1"/>
    </row>
    <row r="688" spans="8:8">
      <c r="H688" s="1"/>
    </row>
    <row r="689" spans="8:8">
      <c r="H689" s="1"/>
    </row>
    <row r="690" spans="8:8">
      <c r="H690" s="1"/>
    </row>
    <row r="691" spans="8:8">
      <c r="H691" s="1"/>
    </row>
    <row r="692" spans="8:8">
      <c r="H692" s="1"/>
    </row>
    <row r="693" spans="8:8">
      <c r="H693" s="1"/>
    </row>
    <row r="694" spans="8:8">
      <c r="H694" s="1"/>
    </row>
    <row r="695" spans="8:8">
      <c r="H695" s="1"/>
    </row>
    <row r="696" spans="8:8">
      <c r="H696" s="1"/>
    </row>
    <row r="697" spans="8:8">
      <c r="H697" s="1"/>
    </row>
    <row r="698" spans="8:8">
      <c r="H698" s="1"/>
    </row>
    <row r="699" spans="8:8">
      <c r="H699" s="1"/>
    </row>
    <row r="700" spans="8:8">
      <c r="H700" s="1"/>
    </row>
    <row r="701" spans="8:8">
      <c r="H701" s="1"/>
    </row>
    <row r="702" spans="8:8">
      <c r="H702" s="1"/>
    </row>
    <row r="703" spans="8:8">
      <c r="H703" s="1"/>
    </row>
    <row r="704" spans="8:8">
      <c r="H704" s="1"/>
    </row>
    <row r="705" spans="8:8">
      <c r="H705" s="1"/>
    </row>
    <row r="706" spans="8:8">
      <c r="H706" s="1"/>
    </row>
    <row r="707" spans="8:8">
      <c r="H707" s="1"/>
    </row>
    <row r="708" spans="8:8">
      <c r="H708" s="1"/>
    </row>
    <row r="709" spans="8:8">
      <c r="H709" s="1"/>
    </row>
    <row r="710" spans="8:8">
      <c r="H710" s="1"/>
    </row>
    <row r="711" spans="8:8">
      <c r="H711" s="1"/>
    </row>
    <row r="712" spans="8:8">
      <c r="H712" s="1"/>
    </row>
    <row r="713" spans="8:8">
      <c r="H713" s="1"/>
    </row>
    <row r="714" spans="8:8">
      <c r="H714" s="1"/>
    </row>
    <row r="715" spans="8:8">
      <c r="H715" s="1"/>
    </row>
    <row r="716" spans="8:8">
      <c r="H716" s="1"/>
    </row>
    <row r="717" spans="8:8">
      <c r="H717" s="1"/>
    </row>
    <row r="718" spans="8:8">
      <c r="H718" s="1"/>
    </row>
    <row r="719" spans="8:8">
      <c r="H719" s="1"/>
    </row>
    <row r="720" spans="8:8">
      <c r="H720" s="1"/>
    </row>
    <row r="721" spans="8:8">
      <c r="H721" s="1"/>
    </row>
    <row r="722" spans="8:8">
      <c r="H722" s="1"/>
    </row>
    <row r="723" spans="8:8">
      <c r="H723" s="1"/>
    </row>
    <row r="724" spans="8:8">
      <c r="H724" s="1"/>
    </row>
    <row r="725" spans="8:8">
      <c r="H725" s="1"/>
    </row>
    <row r="726" spans="8:8">
      <c r="H726" s="1"/>
    </row>
    <row r="727" spans="8:8">
      <c r="H727" s="1"/>
    </row>
    <row r="728" spans="8:8">
      <c r="H728" s="1"/>
    </row>
    <row r="729" spans="8:8">
      <c r="H729" s="1"/>
    </row>
    <row r="730" spans="8:8">
      <c r="H730" s="1"/>
    </row>
    <row r="731" spans="8:8">
      <c r="H731" s="1"/>
    </row>
    <row r="732" spans="8:8">
      <c r="H732" s="1"/>
    </row>
    <row r="733" spans="8:8">
      <c r="H733" s="1"/>
    </row>
    <row r="734" spans="8:8">
      <c r="H734" s="1"/>
    </row>
    <row r="735" spans="8:8">
      <c r="H735" s="1"/>
    </row>
    <row r="736" spans="8:8">
      <c r="H736" s="1"/>
    </row>
    <row r="737" spans="8:8">
      <c r="H737" s="1"/>
    </row>
    <row r="738" spans="8:8">
      <c r="H738" s="1"/>
    </row>
    <row r="739" spans="8:8">
      <c r="H739" s="1"/>
    </row>
    <row r="740" spans="8:8">
      <c r="H740" s="1"/>
    </row>
    <row r="741" spans="8:8">
      <c r="H741" s="1"/>
    </row>
    <row r="742" spans="8:8">
      <c r="H742" s="1"/>
    </row>
    <row r="743" spans="8:8">
      <c r="H743" s="1"/>
    </row>
    <row r="744" spans="8:8">
      <c r="H744" s="1"/>
    </row>
    <row r="745" spans="8:8">
      <c r="H745" s="1"/>
    </row>
    <row r="746" spans="8:8">
      <c r="H746" s="1"/>
    </row>
    <row r="747" spans="8:8">
      <c r="H747" s="1"/>
    </row>
    <row r="748" spans="8:8">
      <c r="H748" s="1"/>
    </row>
    <row r="749" spans="8:8">
      <c r="H749" s="1"/>
    </row>
    <row r="750" spans="8:8">
      <c r="H750" s="1"/>
    </row>
    <row r="751" spans="8:8">
      <c r="H751" s="1"/>
    </row>
    <row r="752" spans="8:8">
      <c r="H752" s="1"/>
    </row>
    <row r="753" spans="8:8">
      <c r="H753" s="1"/>
    </row>
    <row r="754" spans="8:8">
      <c r="H754" s="1"/>
    </row>
    <row r="755" spans="8:8">
      <c r="H755" s="1"/>
    </row>
    <row r="756" spans="8:8">
      <c r="H756" s="1"/>
    </row>
    <row r="757" spans="8:8">
      <c r="H757" s="1"/>
    </row>
    <row r="758" spans="8:8">
      <c r="H758" s="1"/>
    </row>
    <row r="759" spans="8:8">
      <c r="H759" s="1"/>
    </row>
    <row r="760" spans="8:8">
      <c r="H760" s="1"/>
    </row>
    <row r="761" spans="8:8">
      <c r="H761" s="1"/>
    </row>
    <row r="762" spans="8:8">
      <c r="H762" s="1"/>
    </row>
    <row r="763" spans="8:8">
      <c r="H763" s="1"/>
    </row>
    <row r="764" spans="8:8">
      <c r="H764" s="1"/>
    </row>
    <row r="765" spans="8:8">
      <c r="H765" s="1"/>
    </row>
    <row r="766" spans="8:8">
      <c r="H766" s="1"/>
    </row>
    <row r="767" spans="8:8">
      <c r="H767" s="1"/>
    </row>
    <row r="768" spans="8:8">
      <c r="H768" s="1"/>
    </row>
    <row r="769" spans="8:8">
      <c r="H769" s="1"/>
    </row>
    <row r="770" spans="8:8">
      <c r="H770" s="1"/>
    </row>
    <row r="771" spans="8:8">
      <c r="H771" s="1"/>
    </row>
    <row r="772" spans="8:8">
      <c r="H772" s="1"/>
    </row>
    <row r="773" spans="8:8">
      <c r="H773" s="1"/>
    </row>
    <row r="774" spans="8:8">
      <c r="H774" s="1"/>
    </row>
    <row r="775" spans="8:8">
      <c r="H775" s="1"/>
    </row>
    <row r="776" spans="8:8">
      <c r="H776" s="1"/>
    </row>
    <row r="777" spans="8:8">
      <c r="H777" s="1"/>
    </row>
    <row r="778" spans="8:8">
      <c r="H778" s="1"/>
    </row>
    <row r="779" spans="8:8">
      <c r="H779" s="1"/>
    </row>
    <row r="780" spans="8:8">
      <c r="H780" s="1"/>
    </row>
    <row r="781" spans="8:8">
      <c r="H781" s="1"/>
    </row>
    <row r="782" spans="8:8">
      <c r="H782" s="1"/>
    </row>
    <row r="783" spans="8:8">
      <c r="H783" s="1"/>
    </row>
    <row r="784" spans="8:8">
      <c r="H784" s="1"/>
    </row>
    <row r="785" spans="8:8">
      <c r="H785" s="1"/>
    </row>
    <row r="786" spans="8:8">
      <c r="H786" s="1"/>
    </row>
    <row r="787" spans="8:8">
      <c r="H787" s="1"/>
    </row>
    <row r="788" spans="8:8">
      <c r="H788" s="1"/>
    </row>
    <row r="789" spans="8:8">
      <c r="H789" s="1"/>
    </row>
    <row r="790" spans="8:8">
      <c r="H790" s="1"/>
    </row>
    <row r="791" spans="8:8">
      <c r="H791" s="1"/>
    </row>
    <row r="792" spans="8:8">
      <c r="H792" s="1"/>
    </row>
    <row r="793" spans="8:8">
      <c r="H793" s="1"/>
    </row>
    <row r="794" spans="8:8">
      <c r="H794" s="1"/>
    </row>
    <row r="795" spans="8:8">
      <c r="H795" s="1"/>
    </row>
    <row r="796" spans="8:8">
      <c r="H796" s="1"/>
    </row>
    <row r="797" spans="8:8">
      <c r="H797" s="1"/>
    </row>
    <row r="798" spans="8:8">
      <c r="H798" s="1"/>
    </row>
    <row r="799" spans="8:8">
      <c r="H799" s="1"/>
    </row>
    <row r="800" spans="8:8">
      <c r="H800" s="1"/>
    </row>
    <row r="801" spans="8:8">
      <c r="H801" s="1"/>
    </row>
    <row r="802" spans="8:8">
      <c r="H802" s="1"/>
    </row>
    <row r="803" spans="8:8">
      <c r="H803" s="1"/>
    </row>
    <row r="804" spans="8:8">
      <c r="H804" s="1"/>
    </row>
    <row r="805" spans="8:8">
      <c r="H805" s="1"/>
    </row>
    <row r="806" spans="8:8">
      <c r="H806" s="1"/>
    </row>
    <row r="807" spans="8:8">
      <c r="H807" s="1"/>
    </row>
    <row r="808" spans="8:8">
      <c r="H808" s="1"/>
    </row>
    <row r="809" spans="8:8">
      <c r="H809" s="1"/>
    </row>
    <row r="810" spans="8:8">
      <c r="H810" s="1"/>
    </row>
    <row r="811" spans="8:8">
      <c r="H811" s="1"/>
    </row>
    <row r="812" spans="8:8">
      <c r="H812" s="1"/>
    </row>
    <row r="813" spans="8:8">
      <c r="H813" s="1"/>
    </row>
    <row r="814" spans="8:8">
      <c r="H814" s="1"/>
    </row>
    <row r="815" spans="8:8">
      <c r="H815" s="1"/>
    </row>
    <row r="816" spans="8:8">
      <c r="H816" s="1"/>
    </row>
    <row r="817" spans="8:8">
      <c r="H817" s="1"/>
    </row>
    <row r="818" spans="8:8">
      <c r="H818" s="1"/>
    </row>
    <row r="819" spans="8:8">
      <c r="H819" s="1"/>
    </row>
    <row r="820" spans="8:8">
      <c r="H820" s="1"/>
    </row>
    <row r="821" spans="8:8">
      <c r="H821" s="1"/>
    </row>
    <row r="822" spans="8:8">
      <c r="H822" s="1"/>
    </row>
    <row r="823" spans="8:8">
      <c r="H823" s="1"/>
    </row>
    <row r="824" spans="8:8">
      <c r="H824" s="1"/>
    </row>
    <row r="825" spans="8:8">
      <c r="H825" s="1"/>
    </row>
    <row r="826" spans="8:8">
      <c r="H826" s="1"/>
    </row>
    <row r="827" spans="8:8">
      <c r="H827" s="1"/>
    </row>
    <row r="828" spans="8:8">
      <c r="H828" s="1"/>
    </row>
    <row r="829" spans="8:8">
      <c r="H829" s="1"/>
    </row>
    <row r="830" spans="8:8">
      <c r="H830" s="1"/>
    </row>
    <row r="831" spans="8:8">
      <c r="H831" s="1"/>
    </row>
    <row r="832" spans="8:8">
      <c r="H832" s="1"/>
    </row>
    <row r="833" spans="8:8">
      <c r="H833" s="1"/>
    </row>
    <row r="834" spans="8:8">
      <c r="H834" s="1"/>
    </row>
    <row r="835" spans="8:8">
      <c r="H835" s="1"/>
    </row>
    <row r="836" spans="8:8">
      <c r="H836" s="1"/>
    </row>
    <row r="837" spans="8:8">
      <c r="H837" s="1"/>
    </row>
    <row r="838" spans="8:8">
      <c r="H838" s="1"/>
    </row>
    <row r="839" spans="8:8">
      <c r="H839" s="1"/>
    </row>
    <row r="840" spans="8:8">
      <c r="H840" s="1"/>
    </row>
    <row r="841" spans="8:8">
      <c r="H841" s="1"/>
    </row>
    <row r="842" spans="8:8">
      <c r="H842" s="1"/>
    </row>
    <row r="843" spans="8:8">
      <c r="H843" s="1"/>
    </row>
    <row r="844" spans="8:8">
      <c r="H844" s="1"/>
    </row>
    <row r="845" spans="8:8">
      <c r="H845" s="1"/>
    </row>
    <row r="846" spans="8:8">
      <c r="H846" s="1"/>
    </row>
    <row r="847" spans="8:8">
      <c r="H847" s="1"/>
    </row>
    <row r="848" spans="8:8">
      <c r="H848" s="1"/>
    </row>
    <row r="849" spans="8:8">
      <c r="H849" s="1"/>
    </row>
    <row r="850" spans="8:8">
      <c r="H850" s="1"/>
    </row>
    <row r="851" spans="8:8">
      <c r="H851" s="1"/>
    </row>
    <row r="852" spans="8:8">
      <c r="H852" s="1"/>
    </row>
    <row r="853" spans="8:8">
      <c r="H853" s="1"/>
    </row>
    <row r="854" spans="8:8">
      <c r="H854" s="1"/>
    </row>
    <row r="855" spans="8:8">
      <c r="H855" s="1"/>
    </row>
    <row r="856" spans="8:8">
      <c r="H856" s="1"/>
    </row>
    <row r="857" spans="8:8">
      <c r="H857" s="1"/>
    </row>
    <row r="858" spans="8:8">
      <c r="H858" s="1"/>
    </row>
    <row r="859" spans="8:8">
      <c r="H859" s="1"/>
    </row>
    <row r="860" spans="8:8">
      <c r="H860" s="1"/>
    </row>
    <row r="861" spans="8:8">
      <c r="H861" s="1"/>
    </row>
    <row r="862" spans="8:8">
      <c r="H862" s="1"/>
    </row>
    <row r="863" spans="8:8">
      <c r="H863" s="1"/>
    </row>
    <row r="864" spans="8:8">
      <c r="H864" s="1"/>
    </row>
    <row r="865" spans="8:8">
      <c r="H865" s="1"/>
    </row>
    <row r="866" spans="8:8">
      <c r="H866" s="1"/>
    </row>
    <row r="867" spans="8:8">
      <c r="H867" s="1"/>
    </row>
    <row r="868" spans="8:8">
      <c r="H868" s="1"/>
    </row>
    <row r="869" spans="8:8">
      <c r="H869" s="1"/>
    </row>
    <row r="870" spans="8:8">
      <c r="H870" s="1"/>
    </row>
    <row r="871" spans="8:8">
      <c r="H871" s="1"/>
    </row>
    <row r="872" spans="8:8">
      <c r="H872" s="1"/>
    </row>
    <row r="873" spans="8:8">
      <c r="H873" s="1"/>
    </row>
    <row r="874" spans="8:8">
      <c r="H874" s="1"/>
    </row>
    <row r="875" spans="8:8">
      <c r="H875" s="1"/>
    </row>
    <row r="876" spans="8:8">
      <c r="H876" s="1"/>
    </row>
    <row r="877" spans="8:8">
      <c r="H877" s="1"/>
    </row>
    <row r="878" spans="8:8">
      <c r="H878" s="1"/>
    </row>
    <row r="879" spans="8:8">
      <c r="H879" s="1"/>
    </row>
    <row r="880" spans="8:8">
      <c r="H880" s="1"/>
    </row>
    <row r="881" spans="8:8">
      <c r="H881" s="1"/>
    </row>
    <row r="882" spans="8:8">
      <c r="H882" s="1"/>
    </row>
    <row r="883" spans="8:8">
      <c r="H883" s="1"/>
    </row>
    <row r="884" spans="8:8">
      <c r="H884" s="1"/>
    </row>
    <row r="885" spans="8:8">
      <c r="H885" s="1"/>
    </row>
    <row r="886" spans="8:8">
      <c r="H886" s="1"/>
    </row>
    <row r="887" spans="8:8">
      <c r="H887" s="1"/>
    </row>
    <row r="888" spans="8:8">
      <c r="H888" s="1"/>
    </row>
    <row r="889" spans="8:8">
      <c r="H889" s="1"/>
    </row>
    <row r="890" spans="8:8">
      <c r="H890" s="1"/>
    </row>
    <row r="891" spans="8:8">
      <c r="H891" s="1"/>
    </row>
    <row r="892" spans="8:8">
      <c r="H892" s="1"/>
    </row>
    <row r="893" spans="8:8">
      <c r="H893" s="1"/>
    </row>
    <row r="894" spans="8:8">
      <c r="H894" s="1"/>
    </row>
    <row r="895" spans="8:8">
      <c r="H895" s="1"/>
    </row>
    <row r="896" spans="8:8">
      <c r="H896" s="1"/>
    </row>
    <row r="897" spans="8:8">
      <c r="H897" s="1"/>
    </row>
    <row r="898" spans="8:8">
      <c r="H898" s="1"/>
    </row>
    <row r="899" spans="8:8">
      <c r="H899" s="1"/>
    </row>
    <row r="900" spans="8:8">
      <c r="H900" s="1"/>
    </row>
    <row r="901" spans="8:8">
      <c r="H901" s="1"/>
    </row>
    <row r="902" spans="8:8">
      <c r="H902" s="1"/>
    </row>
    <row r="903" spans="8:8">
      <c r="H903" s="1"/>
    </row>
    <row r="904" spans="8:8">
      <c r="H904" s="1"/>
    </row>
    <row r="905" spans="8:8">
      <c r="H905" s="1"/>
    </row>
    <row r="906" spans="8:8">
      <c r="H906" s="1"/>
    </row>
    <row r="907" spans="8:8">
      <c r="H907" s="1"/>
    </row>
    <row r="908" spans="8:8">
      <c r="H908" s="1"/>
    </row>
    <row r="909" spans="8:8">
      <c r="H909" s="1"/>
    </row>
    <row r="910" spans="8:8">
      <c r="H910" s="1"/>
    </row>
    <row r="911" spans="8:8">
      <c r="H911" s="1"/>
    </row>
    <row r="912" spans="8:8">
      <c r="H912" s="1"/>
    </row>
    <row r="913" spans="8:8">
      <c r="H913" s="1"/>
    </row>
    <row r="914" spans="8:8">
      <c r="H914" s="1"/>
    </row>
    <row r="915" spans="8:8">
      <c r="H915" s="1"/>
    </row>
    <row r="916" spans="8:8">
      <c r="H916" s="1"/>
    </row>
    <row r="917" spans="8:8">
      <c r="H917" s="1"/>
    </row>
    <row r="918" spans="8:8">
      <c r="H918" s="1"/>
    </row>
    <row r="919" spans="8:8">
      <c r="H919" s="1"/>
    </row>
    <row r="920" spans="8:8">
      <c r="H920" s="1"/>
    </row>
    <row r="921" spans="8:8">
      <c r="H921" s="1"/>
    </row>
    <row r="922" spans="8:8">
      <c r="H922" s="1"/>
    </row>
    <row r="923" spans="8:8">
      <c r="H923" s="1"/>
    </row>
    <row r="924" spans="8:8">
      <c r="H924" s="1"/>
    </row>
    <row r="925" spans="8:8">
      <c r="H925" s="1"/>
    </row>
    <row r="926" spans="8:8">
      <c r="H926" s="1"/>
    </row>
    <row r="927" spans="8:8">
      <c r="H927" s="1"/>
    </row>
    <row r="928" spans="8:8">
      <c r="H928" s="1"/>
    </row>
    <row r="929" spans="8:8">
      <c r="H929" s="1"/>
    </row>
    <row r="930" spans="8:8">
      <c r="H930" s="1"/>
    </row>
    <row r="931" spans="8:8">
      <c r="H931" s="1"/>
    </row>
    <row r="932" spans="8:8">
      <c r="H932" s="1"/>
    </row>
    <row r="933" spans="8:8">
      <c r="H933" s="1"/>
    </row>
    <row r="934" spans="8:8">
      <c r="H934" s="1"/>
    </row>
    <row r="935" spans="8:8">
      <c r="H935" s="1"/>
    </row>
  </sheetData>
  <sortState xmlns:xlrd2="http://schemas.microsoft.com/office/spreadsheetml/2017/richdata2" ref="K2:R594">
    <sortCondition ref="M2:M594"/>
  </sortState>
  <hyperlinks>
    <hyperlink ref="B3" r:id="rId1" tooltip="BERKSHIRE HATHAWAY ENERGY COMPANY PAC" display="https://www.fec.gov/data/committee/C00324483/" xr:uid="{89D4AC06-C62E-4A00-9AAC-2E1118B1CC9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9"/>
  <sheetViews>
    <sheetView topLeftCell="D1" zoomScale="82" zoomScaleNormal="82" workbookViewId="0">
      <selection activeCell="L17" sqref="L17"/>
    </sheetView>
  </sheetViews>
  <sheetFormatPr defaultColWidth="8.85546875" defaultRowHeight="15"/>
  <cols>
    <col min="1" max="1" width="8.28515625" style="3" customWidth="1"/>
    <col min="2" max="2" width="26.28515625" style="3" customWidth="1"/>
    <col min="3" max="3" width="37.7109375" style="3" customWidth="1"/>
    <col min="4" max="4" width="23.140625" style="3" customWidth="1"/>
    <col min="5" max="5" width="14" style="3" customWidth="1"/>
    <col min="6" max="6" width="16.5703125" style="3" customWidth="1"/>
    <col min="7" max="7" width="16.5703125" style="3" bestFit="1" customWidth="1"/>
    <col min="8" max="8" width="25.85546875" style="3" bestFit="1" customWidth="1"/>
    <col min="9" max="9" width="23.28515625" style="3" bestFit="1" customWidth="1"/>
    <col min="10" max="10" width="8.85546875" style="3"/>
    <col min="11" max="11" width="11.7109375" style="3" customWidth="1"/>
    <col min="12" max="16384" width="8.85546875" style="3"/>
  </cols>
  <sheetData>
    <row r="1" spans="1:16" customFormat="1">
      <c r="A1" s="3" t="s">
        <v>66</v>
      </c>
      <c r="B1" s="3" t="s">
        <v>67</v>
      </c>
      <c r="C1" s="3" t="s">
        <v>68</v>
      </c>
      <c r="D1" s="3" t="s">
        <v>16</v>
      </c>
      <c r="E1" s="3" t="s">
        <v>69</v>
      </c>
      <c r="F1" s="3" t="s">
        <v>70</v>
      </c>
      <c r="G1" s="3" t="s">
        <v>71</v>
      </c>
      <c r="H1" s="3" t="s">
        <v>72</v>
      </c>
      <c r="I1" s="3" t="s">
        <v>10</v>
      </c>
      <c r="J1" s="3" t="s">
        <v>7</v>
      </c>
      <c r="K1" s="3" t="s">
        <v>73</v>
      </c>
      <c r="L1" s="3" t="s">
        <v>74</v>
      </c>
      <c r="M1" s="3" t="s">
        <v>75</v>
      </c>
      <c r="N1" s="3" t="s">
        <v>76</v>
      </c>
      <c r="O1" s="3" t="s">
        <v>77</v>
      </c>
      <c r="P1" s="3" t="s">
        <v>78</v>
      </c>
    </row>
    <row r="2" spans="1:16" customFormat="1">
      <c r="A2" s="3" t="s">
        <v>113</v>
      </c>
      <c r="B2" s="3" t="s">
        <v>81</v>
      </c>
      <c r="C2" s="3" t="s">
        <v>1</v>
      </c>
      <c r="D2" s="55" t="s">
        <v>135</v>
      </c>
      <c r="E2" s="3" t="s">
        <v>114</v>
      </c>
      <c r="F2" s="3" t="s">
        <v>95</v>
      </c>
      <c r="G2" s="3" t="s">
        <v>105</v>
      </c>
      <c r="H2" s="3" t="s">
        <v>80</v>
      </c>
      <c r="I2" s="3"/>
      <c r="J2" s="3">
        <v>66</v>
      </c>
      <c r="K2" s="54">
        <v>20074</v>
      </c>
      <c r="L2" s="3"/>
      <c r="M2" s="3"/>
      <c r="N2" s="3"/>
      <c r="O2" s="3"/>
      <c r="P2" s="3"/>
    </row>
    <row r="3" spans="1:16" customFormat="1">
      <c r="A3" s="3" t="s">
        <v>113</v>
      </c>
      <c r="B3" s="3" t="s">
        <v>81</v>
      </c>
      <c r="C3" s="3" t="s">
        <v>1</v>
      </c>
      <c r="D3" s="3" t="s">
        <v>142</v>
      </c>
      <c r="E3" s="3" t="s">
        <v>115</v>
      </c>
      <c r="F3" s="3" t="s">
        <v>79</v>
      </c>
      <c r="G3" s="3" t="s">
        <v>116</v>
      </c>
      <c r="H3" s="3" t="s">
        <v>80</v>
      </c>
      <c r="I3" s="3" t="s">
        <v>157</v>
      </c>
      <c r="J3" s="3">
        <v>62</v>
      </c>
      <c r="K3" s="54">
        <v>21411</v>
      </c>
      <c r="L3" s="3">
        <v>1000</v>
      </c>
      <c r="M3" s="3"/>
      <c r="N3" s="3">
        <v>10000</v>
      </c>
      <c r="O3" s="3"/>
      <c r="P3" s="3"/>
    </row>
    <row r="4" spans="1:16" customFormat="1" ht="21">
      <c r="A4" s="3" t="s">
        <v>113</v>
      </c>
      <c r="B4" s="3" t="s">
        <v>81</v>
      </c>
      <c r="C4" s="3" t="s">
        <v>1</v>
      </c>
      <c r="D4" s="68" t="s">
        <v>149</v>
      </c>
      <c r="E4" s="3" t="s">
        <v>117</v>
      </c>
      <c r="F4" s="3" t="s">
        <v>118</v>
      </c>
      <c r="G4" s="3" t="s">
        <v>119</v>
      </c>
      <c r="H4" s="3" t="s">
        <v>80</v>
      </c>
      <c r="I4" s="3" t="s">
        <v>158</v>
      </c>
      <c r="J4" s="3">
        <v>70</v>
      </c>
      <c r="K4" s="67">
        <v>18781</v>
      </c>
      <c r="L4" s="3">
        <v>7150</v>
      </c>
      <c r="M4" s="3"/>
      <c r="N4" s="3"/>
      <c r="O4" s="3"/>
      <c r="P4" s="39"/>
    </row>
    <row r="5" spans="1:16" customFormat="1">
      <c r="A5" s="3" t="s">
        <v>113</v>
      </c>
      <c r="B5" s="3" t="s">
        <v>81</v>
      </c>
      <c r="C5" s="3" t="s">
        <v>1</v>
      </c>
      <c r="D5" s="70" t="s">
        <v>155</v>
      </c>
      <c r="E5" s="3" t="s">
        <v>120</v>
      </c>
      <c r="F5" s="3" t="s">
        <v>121</v>
      </c>
      <c r="G5" s="3" t="s">
        <v>122</v>
      </c>
      <c r="H5" s="3" t="s">
        <v>82</v>
      </c>
      <c r="I5" s="3" t="s">
        <v>167</v>
      </c>
      <c r="J5" s="3">
        <v>58</v>
      </c>
      <c r="K5" s="69">
        <v>22967</v>
      </c>
      <c r="L5" s="3">
        <v>1000</v>
      </c>
      <c r="M5" s="3"/>
      <c r="N5" s="3"/>
      <c r="O5" s="3"/>
      <c r="P5" s="3" t="s">
        <v>156</v>
      </c>
    </row>
    <row r="6" spans="1:16" customFormat="1" ht="15.75">
      <c r="A6" s="3" t="s">
        <v>113</v>
      </c>
      <c r="B6" s="3" t="s">
        <v>81</v>
      </c>
      <c r="C6" s="3" t="s">
        <v>1</v>
      </c>
      <c r="D6" s="77" t="s">
        <v>165</v>
      </c>
      <c r="E6" s="3" t="s">
        <v>96</v>
      </c>
      <c r="F6" s="3" t="s">
        <v>83</v>
      </c>
      <c r="G6" s="3" t="s">
        <v>123</v>
      </c>
      <c r="H6" s="3" t="s">
        <v>80</v>
      </c>
      <c r="I6" s="3" t="s">
        <v>88</v>
      </c>
      <c r="J6" s="3">
        <v>90</v>
      </c>
      <c r="K6" s="69">
        <v>9613</v>
      </c>
      <c r="L6" s="3"/>
      <c r="M6" s="3"/>
      <c r="N6" s="3"/>
      <c r="O6" s="3"/>
      <c r="P6" s="3" t="s">
        <v>159</v>
      </c>
    </row>
    <row r="7" spans="1:16" customFormat="1">
      <c r="A7" s="3" t="s">
        <v>113</v>
      </c>
      <c r="B7" s="3" t="s">
        <v>81</v>
      </c>
      <c r="C7" s="3" t="s">
        <v>1</v>
      </c>
      <c r="D7" s="71" t="s">
        <v>160</v>
      </c>
      <c r="E7" s="3" t="s">
        <v>124</v>
      </c>
      <c r="F7" s="3"/>
      <c r="G7" s="3" t="s">
        <v>125</v>
      </c>
      <c r="H7" s="3" t="s">
        <v>82</v>
      </c>
      <c r="I7" s="3" t="s">
        <v>166</v>
      </c>
      <c r="J7" s="3">
        <v>65</v>
      </c>
      <c r="K7" s="3">
        <v>56</v>
      </c>
      <c r="L7" s="3">
        <v>1000</v>
      </c>
      <c r="M7" s="3"/>
      <c r="N7" s="3"/>
      <c r="O7" s="3"/>
      <c r="P7" s="3" t="s">
        <v>161</v>
      </c>
    </row>
    <row r="8" spans="1:16" customFormat="1">
      <c r="A8" s="3" t="s">
        <v>113</v>
      </c>
      <c r="B8" s="3" t="s">
        <v>81</v>
      </c>
      <c r="C8" s="3" t="s">
        <v>1</v>
      </c>
      <c r="D8" s="3" t="s">
        <v>142</v>
      </c>
      <c r="E8" s="3" t="s">
        <v>126</v>
      </c>
      <c r="F8" s="3" t="s">
        <v>83</v>
      </c>
      <c r="G8" s="3" t="s">
        <v>127</v>
      </c>
      <c r="H8" s="3" t="s">
        <v>80</v>
      </c>
      <c r="I8" s="3" t="s">
        <v>172</v>
      </c>
      <c r="J8" s="3">
        <v>91</v>
      </c>
      <c r="K8" s="78">
        <v>9283</v>
      </c>
      <c r="L8" s="3">
        <v>18930</v>
      </c>
      <c r="M8" s="3"/>
      <c r="N8" s="3"/>
      <c r="O8" s="3"/>
      <c r="P8" s="3" t="s">
        <v>168</v>
      </c>
    </row>
    <row r="9" spans="1:16" customFormat="1">
      <c r="A9" s="3" t="s">
        <v>113</v>
      </c>
      <c r="B9" s="3" t="s">
        <v>81</v>
      </c>
      <c r="C9" s="3" t="s">
        <v>1</v>
      </c>
      <c r="D9" s="3"/>
      <c r="E9" s="3" t="s">
        <v>128</v>
      </c>
      <c r="F9" s="3" t="s">
        <v>84</v>
      </c>
      <c r="G9" s="3" t="s">
        <v>129</v>
      </c>
      <c r="H9" s="3" t="s">
        <v>80</v>
      </c>
      <c r="I9" s="3" t="s">
        <v>167</v>
      </c>
      <c r="J9" s="3">
        <v>80</v>
      </c>
      <c r="K9" s="78">
        <v>15166</v>
      </c>
      <c r="L9" s="3">
        <v>17000</v>
      </c>
      <c r="M9" s="3"/>
      <c r="N9" s="3"/>
      <c r="O9" s="3"/>
      <c r="P9" s="3" t="s">
        <v>173</v>
      </c>
    </row>
    <row r="10" spans="1:16" customFormat="1">
      <c r="A10" s="3" t="s">
        <v>113</v>
      </c>
      <c r="B10" s="3" t="s">
        <v>81</v>
      </c>
      <c r="C10" s="3" t="s">
        <v>81</v>
      </c>
      <c r="D10" s="3"/>
      <c r="E10" s="3" t="s">
        <v>130</v>
      </c>
      <c r="F10" s="3"/>
      <c r="G10" s="3" t="s">
        <v>131</v>
      </c>
      <c r="H10" s="3" t="s">
        <v>80</v>
      </c>
      <c r="I10" s="3" t="s">
        <v>167</v>
      </c>
      <c r="J10" s="3">
        <v>90</v>
      </c>
      <c r="K10" s="79">
        <v>11464</v>
      </c>
      <c r="L10" s="3">
        <v>105</v>
      </c>
      <c r="M10" s="3"/>
      <c r="N10" s="3"/>
      <c r="O10" s="3"/>
      <c r="P10" s="39" t="s">
        <v>24</v>
      </c>
    </row>
    <row r="11" spans="1:16" customFormat="1">
      <c r="A11" s="3" t="s">
        <v>113</v>
      </c>
      <c r="B11" s="3" t="s">
        <v>81</v>
      </c>
      <c r="C11" s="3" t="s">
        <v>81</v>
      </c>
      <c r="D11" s="40" t="s">
        <v>134</v>
      </c>
      <c r="E11" s="3" t="s">
        <v>132</v>
      </c>
      <c r="F11" s="3" t="s">
        <v>79</v>
      </c>
      <c r="G11" s="3" t="s">
        <v>133</v>
      </c>
      <c r="H11" s="3" t="s">
        <v>82</v>
      </c>
      <c r="I11" s="3" t="s">
        <v>189</v>
      </c>
      <c r="J11" s="3">
        <v>60</v>
      </c>
      <c r="K11" s="3"/>
      <c r="L11" s="3"/>
      <c r="M11" s="3">
        <v>2000</v>
      </c>
      <c r="N11" s="3"/>
      <c r="O11" s="3"/>
      <c r="P11" s="39" t="s">
        <v>168</v>
      </c>
    </row>
    <row r="12" spans="1:16" customFormat="1">
      <c r="A12" s="3" t="s">
        <v>113</v>
      </c>
      <c r="B12" s="3" t="s">
        <v>81</v>
      </c>
      <c r="C12" s="3" t="s">
        <v>81</v>
      </c>
      <c r="D12" s="3" t="s">
        <v>113</v>
      </c>
      <c r="E12" s="3" t="s">
        <v>104</v>
      </c>
      <c r="F12" s="3" t="s">
        <v>93</v>
      </c>
      <c r="G12" s="3" t="s">
        <v>105</v>
      </c>
      <c r="H12" s="3" t="s">
        <v>80</v>
      </c>
      <c r="I12" s="3" t="s">
        <v>85</v>
      </c>
      <c r="J12" s="3">
        <v>90</v>
      </c>
      <c r="K12" s="79">
        <v>11200</v>
      </c>
      <c r="L12" s="3">
        <v>254100</v>
      </c>
      <c r="M12" s="3"/>
      <c r="N12" s="3"/>
      <c r="O12" s="3"/>
      <c r="P12" s="3" t="s">
        <v>190</v>
      </c>
    </row>
    <row r="13" spans="1:16" customFormat="1">
      <c r="A13" s="3" t="s">
        <v>113</v>
      </c>
      <c r="B13" s="3" t="s">
        <v>81</v>
      </c>
      <c r="C13" s="3" t="s">
        <v>81</v>
      </c>
      <c r="D13" s="3" t="s">
        <v>113</v>
      </c>
      <c r="E13" s="3" t="s">
        <v>106</v>
      </c>
      <c r="F13" s="3" t="s">
        <v>107</v>
      </c>
      <c r="G13" s="3" t="s">
        <v>108</v>
      </c>
      <c r="H13" s="3" t="s">
        <v>80</v>
      </c>
      <c r="I13" s="3" t="s">
        <v>85</v>
      </c>
      <c r="J13" s="3">
        <v>97</v>
      </c>
      <c r="K13" s="79">
        <v>8767</v>
      </c>
      <c r="L13" s="3"/>
      <c r="M13" s="3"/>
      <c r="N13" s="3"/>
      <c r="O13" s="3"/>
      <c r="P13" s="3" t="s">
        <v>190</v>
      </c>
    </row>
    <row r="14" spans="1:16" customFormat="1">
      <c r="A14" s="3" t="s">
        <v>113</v>
      </c>
      <c r="B14" s="3" t="s">
        <v>81</v>
      </c>
      <c r="C14" s="3" t="s">
        <v>81</v>
      </c>
      <c r="D14" s="3" t="s">
        <v>113</v>
      </c>
      <c r="E14" s="3" t="s">
        <v>110</v>
      </c>
      <c r="F14" s="3" t="s">
        <v>93</v>
      </c>
      <c r="G14" s="3" t="s">
        <v>111</v>
      </c>
      <c r="H14" s="3" t="s">
        <v>80</v>
      </c>
      <c r="I14" s="3"/>
      <c r="J14" s="3">
        <v>59</v>
      </c>
      <c r="K14" s="79">
        <v>22798</v>
      </c>
      <c r="L14" s="3"/>
      <c r="M14" s="3">
        <v>595.20000000000005</v>
      </c>
      <c r="N14" s="3">
        <v>5356.8</v>
      </c>
      <c r="O14" s="3"/>
      <c r="P14" s="3"/>
    </row>
    <row r="15" spans="1:16" customFormat="1" ht="15.75">
      <c r="A15" s="3" t="s">
        <v>113</v>
      </c>
      <c r="B15" s="3" t="s">
        <v>81</v>
      </c>
      <c r="C15" s="3" t="s">
        <v>81</v>
      </c>
      <c r="D15" s="3" t="s">
        <v>113</v>
      </c>
      <c r="E15" s="3" t="s">
        <v>102</v>
      </c>
      <c r="F15" s="3" t="s">
        <v>2</v>
      </c>
      <c r="G15" s="3" t="s">
        <v>103</v>
      </c>
      <c r="H15" s="3" t="s">
        <v>80</v>
      </c>
      <c r="I15" s="3"/>
      <c r="J15" s="3">
        <v>70</v>
      </c>
      <c r="K15" s="81"/>
      <c r="L15" s="3"/>
      <c r="M15" s="3"/>
      <c r="N15" s="3"/>
      <c r="O15" s="3"/>
      <c r="P15" s="3" t="s">
        <v>190</v>
      </c>
    </row>
    <row r="16" spans="1:16" customFormat="1" ht="15.75">
      <c r="A16" s="3"/>
      <c r="B16" s="3"/>
      <c r="C16" s="3"/>
      <c r="D16" s="3" t="s">
        <v>113</v>
      </c>
      <c r="E16" s="3" t="s">
        <v>109</v>
      </c>
      <c r="F16" s="3"/>
      <c r="G16" s="3" t="s">
        <v>112</v>
      </c>
      <c r="H16" s="3"/>
      <c r="I16" s="3"/>
      <c r="J16" s="3">
        <v>70</v>
      </c>
      <c r="K16" s="81">
        <v>18832</v>
      </c>
      <c r="L16" s="3">
        <v>50</v>
      </c>
      <c r="M16" s="3"/>
      <c r="N16" s="3"/>
      <c r="O16" s="3"/>
      <c r="P16" s="3" t="s">
        <v>99</v>
      </c>
    </row>
    <row r="17" spans="1:16" customFormat="1">
      <c r="A17" s="3" t="s">
        <v>113</v>
      </c>
      <c r="B17" s="3" t="s">
        <v>81</v>
      </c>
      <c r="C17" s="3" t="s">
        <v>81</v>
      </c>
      <c r="D17" s="3"/>
      <c r="E17" s="3"/>
      <c r="F17" s="3"/>
      <c r="G17" s="3"/>
      <c r="H17" s="3"/>
      <c r="I17" s="3"/>
      <c r="J17" s="3"/>
      <c r="K17" s="3"/>
      <c r="L17" s="3">
        <f>SUM(L2:L15)</f>
        <v>300285</v>
      </c>
      <c r="M17" s="3">
        <f>SUM(M2:M15)</f>
        <v>2595.1999999999998</v>
      </c>
      <c r="N17" s="3">
        <f>SUM(N3:N15)</f>
        <v>15356.8</v>
      </c>
      <c r="O17" s="3"/>
      <c r="P17" s="3"/>
    </row>
    <row r="18" spans="1:16" customFormat="1">
      <c r="A18" s="3"/>
      <c r="B18" s="3"/>
      <c r="C18" s="3"/>
      <c r="D18" s="3"/>
      <c r="E18" s="3"/>
      <c r="F18" s="3"/>
      <c r="G18" s="3"/>
      <c r="H18" s="3"/>
      <c r="I18" s="3"/>
      <c r="J18" s="3"/>
      <c r="K18" s="3"/>
      <c r="L18" s="3"/>
      <c r="M18" s="3"/>
      <c r="N18" s="3"/>
      <c r="O18" s="3"/>
      <c r="P18" s="3"/>
    </row>
    <row r="19" spans="1:16" customFormat="1">
      <c r="A19" s="3"/>
      <c r="B19" s="3"/>
      <c r="C19" s="3"/>
      <c r="D19" s="3"/>
      <c r="E19" s="3"/>
      <c r="F19" s="3"/>
      <c r="G19" s="3"/>
      <c r="H19" s="3"/>
      <c r="I19" s="3"/>
      <c r="J19" s="3"/>
      <c r="K19" s="3"/>
      <c r="L19" s="3"/>
      <c r="M19" s="3"/>
      <c r="N19" s="3"/>
      <c r="O19" s="3"/>
      <c r="P19" s="3"/>
    </row>
  </sheetData>
  <pageMargins left="0.7" right="0.7" top="0.75" bottom="0.75" header="0.3" footer="0.3"/>
  <pageSetup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7"/>
  <sheetViews>
    <sheetView workbookViewId="0">
      <selection activeCell="A2" sqref="A2:XFD35"/>
    </sheetView>
  </sheetViews>
  <sheetFormatPr defaultRowHeight="15"/>
  <cols>
    <col min="1" max="1" width="27.42578125" customWidth="1"/>
    <col min="2" max="2" width="23.140625" customWidth="1"/>
    <col min="3" max="3" width="8.28515625" customWidth="1"/>
    <col min="4" max="4" width="25.7109375" customWidth="1"/>
    <col min="5" max="5" width="11.28515625" customWidth="1"/>
    <col min="6" max="6" width="11.85546875" style="2" customWidth="1"/>
    <col min="7" max="7" width="11.85546875" customWidth="1"/>
    <col min="8" max="8" width="10.85546875" bestFit="1" customWidth="1"/>
    <col min="9" max="9" width="11.5703125" style="2" bestFit="1" customWidth="1"/>
    <col min="10" max="10" width="12.5703125" bestFit="1" customWidth="1"/>
    <col min="12" max="12" width="14.5703125" bestFit="1" customWidth="1"/>
    <col min="13" max="13" width="17.85546875" bestFit="1" customWidth="1"/>
  </cols>
  <sheetData>
    <row r="1" spans="1:14">
      <c r="A1" t="s">
        <v>14</v>
      </c>
      <c r="B1" t="s">
        <v>15</v>
      </c>
      <c r="C1" t="s">
        <v>10</v>
      </c>
      <c r="D1" t="s">
        <v>16</v>
      </c>
      <c r="E1" t="s">
        <v>17</v>
      </c>
      <c r="F1" t="s">
        <v>18</v>
      </c>
      <c r="G1" s="10" t="s">
        <v>21</v>
      </c>
      <c r="H1" t="s">
        <v>4</v>
      </c>
      <c r="I1" s="2" t="s">
        <v>6</v>
      </c>
      <c r="J1" t="s">
        <v>5</v>
      </c>
      <c r="K1" s="10" t="s">
        <v>11</v>
      </c>
      <c r="L1" s="10" t="s">
        <v>12</v>
      </c>
      <c r="M1" s="10" t="s">
        <v>22</v>
      </c>
    </row>
    <row r="2" spans="1:14" ht="16.5" thickBot="1">
      <c r="A2" s="33"/>
      <c r="B2" s="35"/>
      <c r="C2" s="34"/>
      <c r="D2" s="34"/>
      <c r="E2" s="36"/>
      <c r="F2" s="37"/>
      <c r="G2" s="32"/>
      <c r="K2" s="5"/>
      <c r="L2" s="5"/>
    </row>
    <row r="3" spans="1:14" ht="16.5" thickBot="1">
      <c r="A3" s="33"/>
      <c r="B3" s="35"/>
      <c r="C3" s="34"/>
      <c r="D3" s="34"/>
      <c r="E3" s="36"/>
      <c r="F3" s="37"/>
      <c r="G3" s="32"/>
      <c r="K3" s="5"/>
      <c r="L3" s="5"/>
    </row>
    <row r="4" spans="1:14" ht="15.75">
      <c r="D4" s="2"/>
      <c r="E4" s="1"/>
      <c r="F4" s="12"/>
      <c r="K4" s="5"/>
      <c r="L4" s="5"/>
    </row>
    <row r="5" spans="1:14" ht="15.75">
      <c r="D5" s="2"/>
      <c r="E5" s="1"/>
      <c r="H5" s="7"/>
      <c r="I5" s="9"/>
      <c r="K5" s="5"/>
      <c r="L5" s="5"/>
    </row>
    <row r="6" spans="1:14" ht="15.75">
      <c r="D6" s="2"/>
      <c r="E6" s="1"/>
      <c r="K6" s="5"/>
      <c r="L6" s="5"/>
    </row>
    <row r="7" spans="1:14" ht="15.75">
      <c r="D7" s="2"/>
      <c r="E7" s="1"/>
      <c r="K7" s="5"/>
      <c r="L7" s="5"/>
    </row>
    <row r="8" spans="1:14" ht="15.75">
      <c r="D8" s="2"/>
      <c r="E8" s="1"/>
      <c r="K8" s="5"/>
      <c r="L8" s="5"/>
    </row>
    <row r="9" spans="1:14" ht="15.75">
      <c r="D9" s="2"/>
      <c r="E9" s="1"/>
      <c r="K9" s="5"/>
      <c r="L9" s="5"/>
    </row>
    <row r="10" spans="1:14" ht="15.75">
      <c r="E10" s="1"/>
      <c r="K10" s="5"/>
      <c r="L10" s="5"/>
    </row>
    <row r="11" spans="1:14" ht="15.75">
      <c r="E11" s="1"/>
      <c r="K11" s="5"/>
      <c r="L11" s="5"/>
      <c r="M11" s="7"/>
      <c r="N11" s="7"/>
    </row>
    <row r="12" spans="1:14" ht="15.75">
      <c r="D12" s="2"/>
      <c r="E12" s="1"/>
      <c r="K12" s="5"/>
      <c r="L12" s="5"/>
    </row>
    <row r="13" spans="1:14" ht="15.75">
      <c r="D13" s="2"/>
      <c r="E13" s="1"/>
      <c r="H13" s="11"/>
      <c r="I13" s="8"/>
      <c r="K13" s="5"/>
      <c r="L13" s="5"/>
    </row>
    <row r="14" spans="1:14" ht="15.75">
      <c r="D14" s="2"/>
      <c r="E14" s="1"/>
      <c r="K14" s="5"/>
      <c r="L14" s="5"/>
      <c r="N14" s="7"/>
    </row>
    <row r="15" spans="1:14" ht="15.75">
      <c r="E15" s="1"/>
      <c r="K15" s="5"/>
      <c r="L15" s="5"/>
    </row>
    <row r="16" spans="1:14" ht="15.75">
      <c r="E16" s="1"/>
      <c r="K16" s="5"/>
      <c r="L16" s="5"/>
    </row>
    <row r="17" spans="4:14" ht="15.75">
      <c r="D17" s="2"/>
      <c r="E17" s="1"/>
      <c r="H17" s="2"/>
      <c r="K17" s="5"/>
      <c r="L17" s="5"/>
      <c r="M17" s="6"/>
      <c r="N17" s="6"/>
    </row>
    <row r="18" spans="4:14">
      <c r="M18" s="6"/>
    </row>
    <row r="19" spans="4:14">
      <c r="M19" s="6"/>
    </row>
    <row r="20" spans="4:14">
      <c r="J20" s="4"/>
      <c r="M20" s="6"/>
    </row>
    <row r="22" spans="4:14">
      <c r="E22" s="2"/>
      <c r="F22" s="1"/>
      <c r="G22" s="12"/>
      <c r="H22" s="12"/>
    </row>
    <row r="23" spans="4:14">
      <c r="E23" s="1"/>
      <c r="F23" s="12"/>
      <c r="G23" s="12"/>
      <c r="H23" s="12"/>
    </row>
    <row r="24" spans="4:14">
      <c r="E24" s="1"/>
      <c r="F24" s="12"/>
      <c r="G24" s="12"/>
      <c r="H24" s="12"/>
    </row>
    <row r="25" spans="4:14">
      <c r="E25" s="1"/>
      <c r="F25" s="12"/>
      <c r="G25" s="12"/>
      <c r="H25" s="12"/>
    </row>
    <row r="26" spans="4:14">
      <c r="E26" s="1"/>
      <c r="F26" s="12"/>
      <c r="G26" s="12"/>
      <c r="H26" s="12"/>
    </row>
    <row r="27" spans="4:14">
      <c r="E27" s="1"/>
      <c r="F27" s="12"/>
      <c r="G27" s="12"/>
      <c r="H27" s="12"/>
    </row>
    <row r="28" spans="4:14">
      <c r="E28" s="1"/>
      <c r="F28" s="12"/>
      <c r="G28" s="12"/>
      <c r="H28" s="12"/>
    </row>
    <row r="29" spans="4:14">
      <c r="E29" s="1"/>
      <c r="F29" s="12"/>
      <c r="G29" s="12"/>
      <c r="H29" s="12"/>
    </row>
    <row r="30" spans="4:14">
      <c r="E30" s="1"/>
      <c r="F30" s="12"/>
      <c r="G30" s="12"/>
      <c r="H30" s="12"/>
    </row>
    <row r="31" spans="4:14">
      <c r="E31" s="1"/>
      <c r="F31" s="12"/>
      <c r="G31" s="12"/>
      <c r="H31" s="12"/>
    </row>
    <row r="32" spans="4:14">
      <c r="E32" s="1"/>
      <c r="F32" s="12"/>
      <c r="G32" s="12"/>
      <c r="H32" s="12"/>
    </row>
    <row r="33" spans="3:8">
      <c r="E33" s="1"/>
      <c r="F33" s="12"/>
      <c r="G33" s="12"/>
      <c r="H33" s="12"/>
    </row>
    <row r="34" spans="3:8">
      <c r="E34" s="1"/>
      <c r="F34" s="12"/>
      <c r="G34" s="12"/>
      <c r="H34" s="12"/>
    </row>
    <row r="35" spans="3:8">
      <c r="E35" s="1"/>
      <c r="F35" s="12"/>
      <c r="G35" s="12"/>
      <c r="H35" s="12"/>
    </row>
    <row r="36" spans="3:8">
      <c r="E36" s="1"/>
      <c r="F36" s="12"/>
    </row>
    <row r="37" spans="3:8">
      <c r="C37">
        <v>100</v>
      </c>
    </row>
  </sheetData>
  <sortState xmlns:xlrd2="http://schemas.microsoft.com/office/spreadsheetml/2017/richdata2" ref="A1:G14">
    <sortCondition ref="G1:G14"/>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28"/>
  <sheetViews>
    <sheetView tabSelected="1" workbookViewId="0">
      <selection activeCell="B8" sqref="B8"/>
    </sheetView>
  </sheetViews>
  <sheetFormatPr defaultRowHeight="15"/>
  <cols>
    <col min="1" max="1" width="29.85546875" customWidth="1"/>
    <col min="2" max="2" width="68.42578125" customWidth="1"/>
    <col min="4" max="4" width="25.5703125" customWidth="1"/>
    <col min="5" max="5" width="17.42578125" customWidth="1"/>
    <col min="6" max="6" width="12.7109375" customWidth="1"/>
    <col min="7" max="7" width="18.42578125" customWidth="1"/>
  </cols>
  <sheetData>
    <row r="1" spans="1:13" s="57" customFormat="1">
      <c r="A1" s="57" t="s">
        <v>14</v>
      </c>
      <c r="B1" s="57" t="s">
        <v>15</v>
      </c>
      <c r="C1" s="57" t="s">
        <v>10</v>
      </c>
      <c r="D1" s="57" t="s">
        <v>16</v>
      </c>
      <c r="E1" s="57" t="s">
        <v>17</v>
      </c>
      <c r="F1" s="57" t="s">
        <v>18</v>
      </c>
      <c r="G1" s="10" t="s">
        <v>21</v>
      </c>
      <c r="H1" s="57" t="s">
        <v>4</v>
      </c>
      <c r="I1" s="58" t="s">
        <v>6</v>
      </c>
      <c r="J1" s="57" t="s">
        <v>5</v>
      </c>
      <c r="K1" s="10" t="s">
        <v>11</v>
      </c>
      <c r="L1" s="10" t="s">
        <v>12</v>
      </c>
      <c r="M1" s="10" t="s">
        <v>22</v>
      </c>
    </row>
    <row r="2" spans="1:13" s="57" customFormat="1" ht="15.75" thickBot="1">
      <c r="A2" s="57" t="s">
        <v>143</v>
      </c>
      <c r="B2" s="59" t="s">
        <v>144</v>
      </c>
      <c r="C2" s="60" t="s">
        <v>88</v>
      </c>
      <c r="D2" s="60" t="s">
        <v>145</v>
      </c>
      <c r="E2" s="61">
        <v>43901</v>
      </c>
      <c r="F2" s="62">
        <v>1000</v>
      </c>
      <c r="G2" s="63" t="s">
        <v>2</v>
      </c>
      <c r="H2" s="57">
        <v>0</v>
      </c>
      <c r="I2" s="58">
        <v>100</v>
      </c>
      <c r="J2" s="10"/>
      <c r="K2" s="10">
        <f>(+H2/(H2+I2))*100</f>
        <v>0</v>
      </c>
      <c r="L2" s="10">
        <f>(+I2/(H2+I2))*100</f>
        <v>100</v>
      </c>
    </row>
    <row r="3" spans="1:13" s="57" customFormat="1" ht="15.75" thickBot="1">
      <c r="A3" s="57" t="s">
        <v>143</v>
      </c>
      <c r="B3" s="66" t="s">
        <v>148</v>
      </c>
      <c r="C3" s="60" t="s">
        <v>89</v>
      </c>
      <c r="D3" s="60" t="s">
        <v>145</v>
      </c>
      <c r="E3" s="61">
        <v>43671</v>
      </c>
      <c r="F3" s="62">
        <v>5000</v>
      </c>
      <c r="G3" s="63" t="s">
        <v>1</v>
      </c>
      <c r="H3" s="57">
        <v>1440000</v>
      </c>
      <c r="I3" s="58">
        <v>1220000</v>
      </c>
      <c r="K3" s="10">
        <f>(+H3/(H3+I3))*100</f>
        <v>54.13533834586466</v>
      </c>
      <c r="L3" s="10">
        <f>(+I3/(H3+I3))*100</f>
        <v>45.864661654135332</v>
      </c>
    </row>
    <row r="4" spans="1:13" s="57" customFormat="1" ht="15.75" thickBot="1">
      <c r="A4" s="57" t="s">
        <v>146</v>
      </c>
      <c r="B4" s="56" t="s">
        <v>147</v>
      </c>
      <c r="C4" s="57" t="s">
        <v>88</v>
      </c>
      <c r="D4" s="60" t="s">
        <v>145</v>
      </c>
      <c r="E4" s="64">
        <v>43559</v>
      </c>
      <c r="F4" s="65">
        <v>5000</v>
      </c>
      <c r="G4" s="57" t="s">
        <v>1</v>
      </c>
      <c r="H4" s="57">
        <v>493500</v>
      </c>
      <c r="I4" s="57">
        <v>479000</v>
      </c>
      <c r="K4" s="10">
        <f>(+H4/(H4+I4))*100</f>
        <v>50.745501285347039</v>
      </c>
      <c r="L4" s="10">
        <f>(+I4/(H4+I4))*100</f>
        <v>49.254498714652954</v>
      </c>
    </row>
    <row r="5" spans="1:13" ht="15.75">
      <c r="E5" s="1"/>
      <c r="F5" s="12">
        <f>SUM(F2:F4)</f>
        <v>11000</v>
      </c>
      <c r="K5" s="5"/>
      <c r="L5" s="5"/>
    </row>
    <row r="6" spans="1:13" ht="15.75">
      <c r="E6" s="1"/>
      <c r="F6" s="12"/>
      <c r="K6" s="5"/>
      <c r="L6" s="5"/>
    </row>
    <row r="7" spans="1:13" ht="15.75">
      <c r="E7" s="1"/>
      <c r="F7" s="12"/>
      <c r="K7" s="5"/>
      <c r="L7" s="5"/>
    </row>
    <row r="8" spans="1:13">
      <c r="E8" s="1"/>
      <c r="F8" s="12"/>
    </row>
    <row r="9" spans="1:13">
      <c r="E9" s="1"/>
      <c r="F9" s="12"/>
    </row>
    <row r="10" spans="1:13" ht="15.75">
      <c r="E10" s="1"/>
      <c r="F10" s="12"/>
      <c r="K10" s="5"/>
      <c r="L10" s="5"/>
    </row>
    <row r="11" spans="1:13" ht="15.75">
      <c r="E11" s="1"/>
      <c r="F11" s="12"/>
      <c r="K11" s="5"/>
      <c r="L11" s="5"/>
    </row>
    <row r="12" spans="1:13" ht="15.75">
      <c r="E12" s="1"/>
      <c r="F12" s="12"/>
      <c r="K12" s="5"/>
      <c r="L12" s="5"/>
    </row>
    <row r="13" spans="1:13" ht="15.75">
      <c r="D13" t="s">
        <v>97</v>
      </c>
      <c r="E13" s="1"/>
      <c r="F13" s="12"/>
      <c r="K13" s="5"/>
      <c r="L13" s="5"/>
    </row>
    <row r="14" spans="1:13" ht="15.75">
      <c r="E14" s="1"/>
      <c r="F14" s="12"/>
      <c r="K14" s="5"/>
      <c r="L14" s="5"/>
    </row>
    <row r="15" spans="1:13" ht="15.75">
      <c r="E15" s="1"/>
      <c r="F15" s="12"/>
      <c r="K15" s="5"/>
      <c r="L15" s="5"/>
    </row>
    <row r="16" spans="1:13" ht="15.75">
      <c r="E16" s="1"/>
      <c r="F16" s="12"/>
      <c r="K16" s="5"/>
      <c r="L16" s="5"/>
    </row>
    <row r="17" spans="1:12" ht="15.75">
      <c r="E17" s="1"/>
      <c r="F17" s="12"/>
      <c r="K17" s="5"/>
      <c r="L17" s="5"/>
    </row>
    <row r="18" spans="1:12" ht="15.75">
      <c r="E18" s="1"/>
      <c r="F18" s="12"/>
      <c r="K18" s="5"/>
      <c r="L18" s="5"/>
    </row>
    <row r="19" spans="1:12" ht="15.75">
      <c r="E19" s="1"/>
      <c r="F19" s="12"/>
      <c r="K19" s="5"/>
      <c r="L19" s="5"/>
    </row>
    <row r="20" spans="1:12">
      <c r="E20" s="1"/>
      <c r="F20" s="12"/>
    </row>
    <row r="22" spans="1:12">
      <c r="C22" t="s">
        <v>25</v>
      </c>
    </row>
    <row r="23" spans="1:12">
      <c r="A23" s="2" t="s">
        <v>26</v>
      </c>
      <c r="C23" s="17"/>
    </row>
    <row r="24" spans="1:12">
      <c r="A24" s="21" t="s">
        <v>27</v>
      </c>
    </row>
    <row r="25" spans="1:12">
      <c r="A25" s="53" t="s">
        <v>28</v>
      </c>
      <c r="B25" s="53" t="s">
        <v>29</v>
      </c>
      <c r="C25" s="23" t="s">
        <v>30</v>
      </c>
      <c r="D25" s="53" t="s">
        <v>31</v>
      </c>
      <c r="E25" s="22" t="s">
        <v>32</v>
      </c>
      <c r="F25" s="53" t="s">
        <v>34</v>
      </c>
    </row>
    <row r="26" spans="1:12">
      <c r="A26" s="53"/>
      <c r="B26" s="53"/>
      <c r="C26" s="23" t="s">
        <v>18</v>
      </c>
      <c r="D26" s="53"/>
      <c r="E26" s="22" t="s">
        <v>33</v>
      </c>
      <c r="F26" s="53"/>
    </row>
    <row r="27" spans="1:12" ht="129.6" customHeight="1">
      <c r="A27" s="24" t="s">
        <v>19</v>
      </c>
      <c r="B27" s="45" t="s">
        <v>36</v>
      </c>
      <c r="C27" s="46">
        <v>2500</v>
      </c>
      <c r="D27" s="47">
        <v>41949</v>
      </c>
      <c r="E27" s="45" t="s">
        <v>37</v>
      </c>
      <c r="F27" s="48" t="s">
        <v>38</v>
      </c>
    </row>
    <row r="28" spans="1:12">
      <c r="A28" s="25" t="s">
        <v>35</v>
      </c>
      <c r="B28" s="45"/>
      <c r="C28" s="46"/>
      <c r="D28" s="47"/>
      <c r="E28" s="45"/>
      <c r="F28" s="48"/>
    </row>
    <row r="29" spans="1:12">
      <c r="A29" s="25">
        <v>10112</v>
      </c>
      <c r="B29" s="45"/>
      <c r="C29" s="46"/>
      <c r="D29" s="47"/>
      <c r="E29" s="45"/>
      <c r="F29" s="48"/>
    </row>
    <row r="30" spans="1:12" ht="100.9" customHeight="1">
      <c r="A30" s="26" t="s">
        <v>19</v>
      </c>
      <c r="B30" s="49" t="s">
        <v>40</v>
      </c>
      <c r="C30" s="50">
        <v>208</v>
      </c>
      <c r="D30" s="51">
        <v>41530</v>
      </c>
      <c r="E30" s="49" t="s">
        <v>37</v>
      </c>
      <c r="F30" s="52" t="s">
        <v>41</v>
      </c>
    </row>
    <row r="31" spans="1:12">
      <c r="A31" s="27" t="s">
        <v>39</v>
      </c>
      <c r="B31" s="49"/>
      <c r="C31" s="50"/>
      <c r="D31" s="51"/>
      <c r="E31" s="49"/>
      <c r="F31" s="52"/>
    </row>
    <row r="32" spans="1:12">
      <c r="A32" s="27">
        <v>90045</v>
      </c>
      <c r="B32" s="49"/>
      <c r="C32" s="50"/>
      <c r="D32" s="51"/>
      <c r="E32" s="49"/>
      <c r="F32" s="52"/>
    </row>
    <row r="33" spans="1:6" ht="100.9" customHeight="1">
      <c r="A33" s="24" t="s">
        <v>19</v>
      </c>
      <c r="B33" s="45" t="s">
        <v>40</v>
      </c>
      <c r="C33" s="46">
        <v>208</v>
      </c>
      <c r="D33" s="47">
        <v>41516</v>
      </c>
      <c r="E33" s="45" t="s">
        <v>37</v>
      </c>
      <c r="F33" s="48" t="s">
        <v>41</v>
      </c>
    </row>
    <row r="34" spans="1:6">
      <c r="A34" s="25" t="s">
        <v>39</v>
      </c>
      <c r="B34" s="45"/>
      <c r="C34" s="46"/>
      <c r="D34" s="47"/>
      <c r="E34" s="45"/>
      <c r="F34" s="48"/>
    </row>
    <row r="35" spans="1:6">
      <c r="A35" s="25">
        <v>90045</v>
      </c>
      <c r="B35" s="45"/>
      <c r="C35" s="46"/>
      <c r="D35" s="47"/>
      <c r="E35" s="45"/>
      <c r="F35" s="48"/>
    </row>
    <row r="36" spans="1:6" ht="100.9" customHeight="1">
      <c r="A36" s="26" t="s">
        <v>19</v>
      </c>
      <c r="B36" s="49" t="s">
        <v>40</v>
      </c>
      <c r="C36" s="50">
        <v>208</v>
      </c>
      <c r="D36" s="51">
        <v>41501</v>
      </c>
      <c r="E36" s="49" t="s">
        <v>37</v>
      </c>
      <c r="F36" s="52" t="s">
        <v>41</v>
      </c>
    </row>
    <row r="37" spans="1:6">
      <c r="A37" s="27" t="s">
        <v>39</v>
      </c>
      <c r="B37" s="49"/>
      <c r="C37" s="50"/>
      <c r="D37" s="51"/>
      <c r="E37" s="49"/>
      <c r="F37" s="52"/>
    </row>
    <row r="38" spans="1:6">
      <c r="A38" s="27">
        <v>90045</v>
      </c>
      <c r="B38" s="49"/>
      <c r="C38" s="50"/>
      <c r="D38" s="51"/>
      <c r="E38" s="49"/>
      <c r="F38" s="52"/>
    </row>
    <row r="39" spans="1:6" ht="100.9" customHeight="1">
      <c r="A39" s="24" t="s">
        <v>19</v>
      </c>
      <c r="B39" s="45" t="s">
        <v>40</v>
      </c>
      <c r="C39" s="46">
        <v>208</v>
      </c>
      <c r="D39" s="47">
        <v>41486</v>
      </c>
      <c r="E39" s="45" t="s">
        <v>37</v>
      </c>
      <c r="F39" s="48" t="s">
        <v>41</v>
      </c>
    </row>
    <row r="40" spans="1:6">
      <c r="A40" s="25" t="s">
        <v>39</v>
      </c>
      <c r="B40" s="45"/>
      <c r="C40" s="46"/>
      <c r="D40" s="47"/>
      <c r="E40" s="45"/>
      <c r="F40" s="48"/>
    </row>
    <row r="41" spans="1:6">
      <c r="A41" s="25">
        <v>90045</v>
      </c>
      <c r="B41" s="45"/>
      <c r="C41" s="46"/>
      <c r="D41" s="47"/>
      <c r="E41" s="45"/>
      <c r="F41" s="48"/>
    </row>
    <row r="42" spans="1:6" ht="100.9" customHeight="1">
      <c r="A42" s="26" t="s">
        <v>19</v>
      </c>
      <c r="B42" s="49" t="s">
        <v>40</v>
      </c>
      <c r="C42" s="50">
        <v>208</v>
      </c>
      <c r="D42" s="51">
        <v>41470</v>
      </c>
      <c r="E42" s="49" t="s">
        <v>37</v>
      </c>
      <c r="F42" s="52" t="s">
        <v>41</v>
      </c>
    </row>
    <row r="43" spans="1:6">
      <c r="A43" s="27" t="s">
        <v>39</v>
      </c>
      <c r="B43" s="49"/>
      <c r="C43" s="50"/>
      <c r="D43" s="51"/>
      <c r="E43" s="49"/>
      <c r="F43" s="52"/>
    </row>
    <row r="44" spans="1:6">
      <c r="A44" s="27">
        <v>90045</v>
      </c>
      <c r="B44" s="49"/>
      <c r="C44" s="50"/>
      <c r="D44" s="51"/>
      <c r="E44" s="49"/>
      <c r="F44" s="52"/>
    </row>
    <row r="45" spans="1:6" ht="100.9" customHeight="1">
      <c r="A45" s="24" t="s">
        <v>19</v>
      </c>
      <c r="B45" s="45" t="s">
        <v>40</v>
      </c>
      <c r="C45" s="46">
        <v>208</v>
      </c>
      <c r="D45" s="47">
        <v>41453</v>
      </c>
      <c r="E45" s="45" t="s">
        <v>37</v>
      </c>
      <c r="F45" s="48" t="s">
        <v>41</v>
      </c>
    </row>
    <row r="46" spans="1:6">
      <c r="A46" s="25" t="s">
        <v>39</v>
      </c>
      <c r="B46" s="45"/>
      <c r="C46" s="46"/>
      <c r="D46" s="47"/>
      <c r="E46" s="45"/>
      <c r="F46" s="48"/>
    </row>
    <row r="47" spans="1:6">
      <c r="A47" s="25">
        <v>90045</v>
      </c>
      <c r="B47" s="45"/>
      <c r="C47" s="46"/>
      <c r="D47" s="47"/>
      <c r="E47" s="45"/>
      <c r="F47" s="48"/>
    </row>
    <row r="48" spans="1:6" ht="100.9" customHeight="1">
      <c r="A48" s="26" t="s">
        <v>19</v>
      </c>
      <c r="B48" s="49" t="s">
        <v>40</v>
      </c>
      <c r="C48" s="50">
        <v>208</v>
      </c>
      <c r="D48" s="51">
        <v>41439</v>
      </c>
      <c r="E48" s="49" t="s">
        <v>37</v>
      </c>
      <c r="F48" s="52" t="s">
        <v>41</v>
      </c>
    </row>
    <row r="49" spans="1:6">
      <c r="A49" s="27" t="s">
        <v>39</v>
      </c>
      <c r="B49" s="49"/>
      <c r="C49" s="50"/>
      <c r="D49" s="51"/>
      <c r="E49" s="49"/>
      <c r="F49" s="52"/>
    </row>
    <row r="50" spans="1:6">
      <c r="A50" s="27">
        <v>90045</v>
      </c>
      <c r="B50" s="49"/>
      <c r="C50" s="50"/>
      <c r="D50" s="51"/>
      <c r="E50" s="49"/>
      <c r="F50" s="52"/>
    </row>
    <row r="51" spans="1:6" ht="100.9" customHeight="1">
      <c r="A51" s="24" t="s">
        <v>19</v>
      </c>
      <c r="B51" s="45" t="s">
        <v>40</v>
      </c>
      <c r="C51" s="46">
        <v>208</v>
      </c>
      <c r="D51" s="47">
        <v>41425</v>
      </c>
      <c r="E51" s="45" t="s">
        <v>37</v>
      </c>
      <c r="F51" s="48" t="s">
        <v>41</v>
      </c>
    </row>
    <row r="52" spans="1:6">
      <c r="A52" s="25" t="s">
        <v>39</v>
      </c>
      <c r="B52" s="45"/>
      <c r="C52" s="46"/>
      <c r="D52" s="47"/>
      <c r="E52" s="45"/>
      <c r="F52" s="48"/>
    </row>
    <row r="53" spans="1:6">
      <c r="A53" s="25">
        <v>90045</v>
      </c>
      <c r="B53" s="45"/>
      <c r="C53" s="46"/>
      <c r="D53" s="47"/>
      <c r="E53" s="45"/>
      <c r="F53" s="48"/>
    </row>
    <row r="54" spans="1:6" ht="100.9" customHeight="1">
      <c r="A54" s="26" t="s">
        <v>19</v>
      </c>
      <c r="B54" s="49" t="s">
        <v>40</v>
      </c>
      <c r="C54" s="50">
        <v>208</v>
      </c>
      <c r="D54" s="51">
        <v>41409</v>
      </c>
      <c r="E54" s="49" t="s">
        <v>37</v>
      </c>
      <c r="F54" s="52" t="s">
        <v>41</v>
      </c>
    </row>
    <row r="55" spans="1:6">
      <c r="A55" s="27" t="s">
        <v>39</v>
      </c>
      <c r="B55" s="49"/>
      <c r="C55" s="50"/>
      <c r="D55" s="51"/>
      <c r="E55" s="49"/>
      <c r="F55" s="52"/>
    </row>
    <row r="56" spans="1:6">
      <c r="A56" s="27">
        <v>90045</v>
      </c>
      <c r="B56" s="49"/>
      <c r="C56" s="50"/>
      <c r="D56" s="51"/>
      <c r="E56" s="49"/>
      <c r="F56" s="52"/>
    </row>
    <row r="57" spans="1:6" ht="100.9" customHeight="1">
      <c r="A57" s="24" t="s">
        <v>19</v>
      </c>
      <c r="B57" s="45" t="s">
        <v>40</v>
      </c>
      <c r="C57" s="46">
        <v>208</v>
      </c>
      <c r="D57" s="47">
        <v>41394</v>
      </c>
      <c r="E57" s="45"/>
      <c r="F57" s="48" t="s">
        <v>41</v>
      </c>
    </row>
    <row r="58" spans="1:6">
      <c r="A58" s="25" t="s">
        <v>39</v>
      </c>
      <c r="B58" s="45"/>
      <c r="C58" s="46"/>
      <c r="D58" s="47"/>
      <c r="E58" s="45"/>
      <c r="F58" s="48"/>
    </row>
    <row r="59" spans="1:6">
      <c r="A59" s="25">
        <v>90045</v>
      </c>
      <c r="B59" s="45"/>
      <c r="C59" s="46"/>
      <c r="D59" s="47"/>
      <c r="E59" s="45"/>
      <c r="F59" s="48"/>
    </row>
    <row r="60" spans="1:6" ht="100.9" customHeight="1">
      <c r="A60" s="26" t="s">
        <v>19</v>
      </c>
      <c r="B60" s="49" t="s">
        <v>40</v>
      </c>
      <c r="C60" s="50">
        <v>208</v>
      </c>
      <c r="D60" s="51">
        <v>41379</v>
      </c>
      <c r="E60" s="49"/>
      <c r="F60" s="52" t="s">
        <v>41</v>
      </c>
    </row>
    <row r="61" spans="1:6">
      <c r="A61" s="27" t="s">
        <v>39</v>
      </c>
      <c r="B61" s="49"/>
      <c r="C61" s="50"/>
      <c r="D61" s="51"/>
      <c r="E61" s="49"/>
      <c r="F61" s="52"/>
    </row>
    <row r="62" spans="1:6">
      <c r="A62" s="27">
        <v>90045</v>
      </c>
      <c r="B62" s="49"/>
      <c r="C62" s="50"/>
      <c r="D62" s="51"/>
      <c r="E62" s="49"/>
      <c r="F62" s="52"/>
    </row>
    <row r="63" spans="1:6" ht="100.9" customHeight="1">
      <c r="A63" s="24" t="s">
        <v>19</v>
      </c>
      <c r="B63" s="45" t="s">
        <v>40</v>
      </c>
      <c r="C63" s="46">
        <v>208</v>
      </c>
      <c r="D63" s="47">
        <v>41362</v>
      </c>
      <c r="E63" s="45"/>
      <c r="F63" s="48" t="s">
        <v>41</v>
      </c>
    </row>
    <row r="64" spans="1:6">
      <c r="A64" s="25" t="s">
        <v>39</v>
      </c>
      <c r="B64" s="45"/>
      <c r="C64" s="46"/>
      <c r="D64" s="47"/>
      <c r="E64" s="45"/>
      <c r="F64" s="48"/>
    </row>
    <row r="65" spans="1:6">
      <c r="A65" s="25">
        <v>90045</v>
      </c>
      <c r="B65" s="45"/>
      <c r="C65" s="46"/>
      <c r="D65" s="47"/>
      <c r="E65" s="45"/>
      <c r="F65" s="48"/>
    </row>
    <row r="66" spans="1:6" ht="100.9" customHeight="1">
      <c r="A66" s="26" t="s">
        <v>19</v>
      </c>
      <c r="B66" s="49" t="s">
        <v>40</v>
      </c>
      <c r="C66" s="50">
        <v>208</v>
      </c>
      <c r="D66" s="51">
        <v>41348</v>
      </c>
      <c r="E66" s="49"/>
      <c r="F66" s="52" t="s">
        <v>41</v>
      </c>
    </row>
    <row r="67" spans="1:6">
      <c r="A67" s="27" t="s">
        <v>39</v>
      </c>
      <c r="B67" s="49"/>
      <c r="C67" s="50"/>
      <c r="D67" s="51"/>
      <c r="E67" s="49"/>
      <c r="F67" s="52"/>
    </row>
    <row r="68" spans="1:6">
      <c r="A68" s="27">
        <v>90045</v>
      </c>
      <c r="B68" s="49"/>
      <c r="C68" s="50"/>
      <c r="D68" s="51"/>
      <c r="E68" s="49"/>
      <c r="F68" s="52"/>
    </row>
    <row r="69" spans="1:6" ht="100.9" customHeight="1">
      <c r="A69" s="24" t="s">
        <v>19</v>
      </c>
      <c r="B69" s="45" t="s">
        <v>40</v>
      </c>
      <c r="C69" s="46">
        <v>208</v>
      </c>
      <c r="D69" s="47">
        <v>41333</v>
      </c>
      <c r="E69" s="45"/>
      <c r="F69" s="48" t="s">
        <v>41</v>
      </c>
    </row>
    <row r="70" spans="1:6">
      <c r="A70" s="25" t="s">
        <v>39</v>
      </c>
      <c r="B70" s="45"/>
      <c r="C70" s="46"/>
      <c r="D70" s="47"/>
      <c r="E70" s="45"/>
      <c r="F70" s="48"/>
    </row>
    <row r="71" spans="1:6">
      <c r="A71" s="25">
        <v>90045</v>
      </c>
      <c r="B71" s="45"/>
      <c r="C71" s="46"/>
      <c r="D71" s="47"/>
      <c r="E71" s="45"/>
      <c r="F71" s="48"/>
    </row>
    <row r="72" spans="1:6" ht="100.9" customHeight="1">
      <c r="A72" s="26" t="s">
        <v>19</v>
      </c>
      <c r="B72" s="49" t="s">
        <v>40</v>
      </c>
      <c r="C72" s="50">
        <v>208</v>
      </c>
      <c r="D72" s="51">
        <v>41320</v>
      </c>
      <c r="E72" s="49"/>
      <c r="F72" s="52" t="s">
        <v>41</v>
      </c>
    </row>
    <row r="73" spans="1:6">
      <c r="A73" s="27" t="s">
        <v>39</v>
      </c>
      <c r="B73" s="49"/>
      <c r="C73" s="50"/>
      <c r="D73" s="51"/>
      <c r="E73" s="49"/>
      <c r="F73" s="52"/>
    </row>
    <row r="74" spans="1:6">
      <c r="A74" s="27">
        <v>90045</v>
      </c>
      <c r="B74" s="49"/>
      <c r="C74" s="50"/>
      <c r="D74" s="51"/>
      <c r="E74" s="49"/>
      <c r="F74" s="52"/>
    </row>
    <row r="75" spans="1:6" ht="100.9" customHeight="1">
      <c r="A75" s="24" t="s">
        <v>19</v>
      </c>
      <c r="B75" s="45" t="s">
        <v>40</v>
      </c>
      <c r="C75" s="46">
        <v>208</v>
      </c>
      <c r="D75" s="47">
        <v>41305</v>
      </c>
      <c r="E75" s="45"/>
      <c r="F75" s="48" t="s">
        <v>41</v>
      </c>
    </row>
    <row r="76" spans="1:6">
      <c r="A76" s="25" t="s">
        <v>39</v>
      </c>
      <c r="B76" s="45"/>
      <c r="C76" s="46"/>
      <c r="D76" s="47"/>
      <c r="E76" s="45"/>
      <c r="F76" s="48"/>
    </row>
    <row r="77" spans="1:6">
      <c r="A77" s="25">
        <v>90045</v>
      </c>
      <c r="B77" s="45"/>
      <c r="C77" s="46"/>
      <c r="D77" s="47"/>
      <c r="E77" s="45"/>
      <c r="F77" s="48"/>
    </row>
    <row r="78" spans="1:6" ht="100.9" customHeight="1">
      <c r="A78" s="26" t="s">
        <v>19</v>
      </c>
      <c r="B78" s="49" t="s">
        <v>40</v>
      </c>
      <c r="C78" s="50">
        <v>208</v>
      </c>
      <c r="D78" s="51">
        <v>41289</v>
      </c>
      <c r="E78" s="49"/>
      <c r="F78" s="52" t="s">
        <v>41</v>
      </c>
    </row>
    <row r="79" spans="1:6">
      <c r="A79" s="27" t="s">
        <v>39</v>
      </c>
      <c r="B79" s="49"/>
      <c r="C79" s="50"/>
      <c r="D79" s="51"/>
      <c r="E79" s="49"/>
      <c r="F79" s="52"/>
    </row>
    <row r="80" spans="1:6">
      <c r="A80" s="27">
        <v>90045</v>
      </c>
      <c r="B80" s="49"/>
      <c r="C80" s="50"/>
      <c r="D80" s="51"/>
      <c r="E80" s="49"/>
      <c r="F80" s="52"/>
    </row>
    <row r="81" spans="1:6" ht="129.6" customHeight="1">
      <c r="A81" s="24" t="s">
        <v>19</v>
      </c>
      <c r="B81" s="45" t="s">
        <v>43</v>
      </c>
      <c r="C81" s="46">
        <v>2000</v>
      </c>
      <c r="D81" s="47">
        <v>42300</v>
      </c>
      <c r="E81" s="45" t="s">
        <v>37</v>
      </c>
      <c r="F81" s="48" t="s">
        <v>38</v>
      </c>
    </row>
    <row r="82" spans="1:6">
      <c r="A82" s="25" t="s">
        <v>42</v>
      </c>
      <c r="B82" s="45"/>
      <c r="C82" s="46"/>
      <c r="D82" s="47"/>
      <c r="E82" s="45"/>
      <c r="F82" s="48"/>
    </row>
    <row r="83" spans="1:6">
      <c r="A83" s="25">
        <v>33010</v>
      </c>
      <c r="B83" s="45"/>
      <c r="C83" s="46"/>
      <c r="D83" s="47"/>
      <c r="E83" s="45"/>
      <c r="F83" s="48"/>
    </row>
    <row r="84" spans="1:6" ht="100.9" customHeight="1">
      <c r="A84" s="24" t="s">
        <v>44</v>
      </c>
      <c r="B84" s="45" t="s">
        <v>45</v>
      </c>
      <c r="C84" s="46">
        <v>208</v>
      </c>
      <c r="D84" s="47">
        <v>40543</v>
      </c>
      <c r="E84" s="45" t="s">
        <v>37</v>
      </c>
      <c r="F84" s="48" t="s">
        <v>41</v>
      </c>
    </row>
    <row r="85" spans="1:6">
      <c r="A85" s="25" t="s">
        <v>39</v>
      </c>
      <c r="B85" s="45"/>
      <c r="C85" s="46"/>
      <c r="D85" s="47"/>
      <c r="E85" s="45"/>
      <c r="F85" s="48"/>
    </row>
    <row r="86" spans="1:6">
      <c r="A86" s="25">
        <v>90045</v>
      </c>
      <c r="B86" s="45"/>
      <c r="C86" s="46"/>
      <c r="D86" s="47"/>
      <c r="E86" s="45"/>
      <c r="F86" s="48"/>
    </row>
    <row r="87" spans="1:6" ht="100.9" customHeight="1">
      <c r="A87" s="26" t="s">
        <v>44</v>
      </c>
      <c r="B87" s="49" t="s">
        <v>45</v>
      </c>
      <c r="C87" s="50">
        <v>208</v>
      </c>
      <c r="D87" s="51">
        <v>40527</v>
      </c>
      <c r="E87" s="49" t="s">
        <v>37</v>
      </c>
      <c r="F87" s="52" t="s">
        <v>41</v>
      </c>
    </row>
    <row r="88" spans="1:6">
      <c r="A88" s="27" t="s">
        <v>39</v>
      </c>
      <c r="B88" s="49"/>
      <c r="C88" s="50"/>
      <c r="D88" s="51"/>
      <c r="E88" s="49"/>
      <c r="F88" s="52"/>
    </row>
    <row r="89" spans="1:6">
      <c r="A89" s="27">
        <v>90045</v>
      </c>
      <c r="B89" s="49"/>
      <c r="C89" s="50"/>
      <c r="D89" s="51"/>
      <c r="E89" s="49"/>
      <c r="F89" s="52"/>
    </row>
    <row r="90" spans="1:6" ht="100.9" customHeight="1">
      <c r="A90" s="24" t="s">
        <v>44</v>
      </c>
      <c r="B90" s="45" t="s">
        <v>45</v>
      </c>
      <c r="C90" s="46">
        <v>208</v>
      </c>
      <c r="D90" s="47">
        <v>40512</v>
      </c>
      <c r="E90" s="45" t="s">
        <v>37</v>
      </c>
      <c r="F90" s="48" t="s">
        <v>41</v>
      </c>
    </row>
    <row r="91" spans="1:6">
      <c r="A91" s="25" t="s">
        <v>39</v>
      </c>
      <c r="B91" s="45"/>
      <c r="C91" s="46"/>
      <c r="D91" s="47"/>
      <c r="E91" s="45"/>
      <c r="F91" s="48"/>
    </row>
    <row r="92" spans="1:6">
      <c r="A92" s="25">
        <v>90045</v>
      </c>
      <c r="B92" s="45"/>
      <c r="C92" s="46"/>
      <c r="D92" s="47"/>
      <c r="E92" s="45"/>
      <c r="F92" s="48"/>
    </row>
    <row r="93" spans="1:6" ht="100.9" customHeight="1">
      <c r="A93" s="26" t="s">
        <v>44</v>
      </c>
      <c r="B93" s="49" t="s">
        <v>46</v>
      </c>
      <c r="C93" s="50">
        <v>208</v>
      </c>
      <c r="D93" s="51">
        <v>40497</v>
      </c>
      <c r="E93" s="49" t="s">
        <v>37</v>
      </c>
      <c r="F93" s="52" t="s">
        <v>41</v>
      </c>
    </row>
    <row r="94" spans="1:6">
      <c r="A94" s="27" t="s">
        <v>39</v>
      </c>
      <c r="B94" s="49"/>
      <c r="C94" s="50"/>
      <c r="D94" s="51"/>
      <c r="E94" s="49"/>
      <c r="F94" s="52"/>
    </row>
    <row r="95" spans="1:6">
      <c r="A95" s="27">
        <v>90045</v>
      </c>
      <c r="B95" s="49"/>
      <c r="C95" s="50"/>
      <c r="D95" s="51"/>
      <c r="E95" s="49"/>
      <c r="F95" s="52"/>
    </row>
    <row r="96" spans="1:6" ht="100.9" customHeight="1">
      <c r="A96" s="24" t="s">
        <v>44</v>
      </c>
      <c r="B96" s="45" t="s">
        <v>46</v>
      </c>
      <c r="C96" s="46">
        <v>208</v>
      </c>
      <c r="D96" s="47">
        <v>40480</v>
      </c>
      <c r="E96" s="45" t="s">
        <v>37</v>
      </c>
      <c r="F96" s="48" t="s">
        <v>41</v>
      </c>
    </row>
    <row r="97" spans="1:6">
      <c r="A97" s="25" t="s">
        <v>39</v>
      </c>
      <c r="B97" s="45"/>
      <c r="C97" s="46"/>
      <c r="D97" s="47"/>
      <c r="E97" s="45"/>
      <c r="F97" s="48"/>
    </row>
    <row r="98" spans="1:6">
      <c r="A98" s="25">
        <v>90045</v>
      </c>
      <c r="B98" s="45"/>
      <c r="C98" s="46"/>
      <c r="D98" s="47"/>
      <c r="E98" s="45"/>
      <c r="F98" s="48"/>
    </row>
    <row r="99" spans="1:6" ht="100.9" customHeight="1">
      <c r="A99" s="26" t="s">
        <v>44</v>
      </c>
      <c r="B99" s="49" t="s">
        <v>46</v>
      </c>
      <c r="C99" s="50">
        <v>208</v>
      </c>
      <c r="D99" s="51">
        <v>40466</v>
      </c>
      <c r="E99" s="49" t="s">
        <v>37</v>
      </c>
      <c r="F99" s="52" t="s">
        <v>41</v>
      </c>
    </row>
    <row r="100" spans="1:6">
      <c r="A100" s="27" t="s">
        <v>39</v>
      </c>
      <c r="B100" s="49"/>
      <c r="C100" s="50"/>
      <c r="D100" s="51"/>
      <c r="E100" s="49"/>
      <c r="F100" s="52"/>
    </row>
    <row r="101" spans="1:6">
      <c r="A101" s="27">
        <v>90045</v>
      </c>
      <c r="B101" s="49"/>
      <c r="C101" s="50"/>
      <c r="D101" s="51"/>
      <c r="E101" s="49"/>
      <c r="F101" s="52"/>
    </row>
    <row r="102" spans="1:6" ht="100.9" customHeight="1">
      <c r="A102" s="24" t="s">
        <v>44</v>
      </c>
      <c r="B102" s="45" t="s">
        <v>46</v>
      </c>
      <c r="C102" s="46">
        <v>208</v>
      </c>
      <c r="D102" s="47">
        <v>40451</v>
      </c>
      <c r="E102" s="45" t="s">
        <v>37</v>
      </c>
      <c r="F102" s="48" t="s">
        <v>41</v>
      </c>
    </row>
    <row r="103" spans="1:6">
      <c r="A103" s="25" t="s">
        <v>39</v>
      </c>
      <c r="B103" s="45"/>
      <c r="C103" s="46"/>
      <c r="D103" s="47"/>
      <c r="E103" s="45"/>
      <c r="F103" s="48"/>
    </row>
    <row r="104" spans="1:6">
      <c r="A104" s="25">
        <v>90045</v>
      </c>
      <c r="B104" s="45"/>
      <c r="C104" s="46"/>
      <c r="D104" s="47"/>
      <c r="E104" s="45"/>
      <c r="F104" s="48"/>
    </row>
    <row r="105" spans="1:6" ht="100.9" customHeight="1">
      <c r="A105" s="26" t="s">
        <v>44</v>
      </c>
      <c r="B105" s="49" t="s">
        <v>46</v>
      </c>
      <c r="C105" s="50">
        <v>208</v>
      </c>
      <c r="D105" s="51">
        <v>40436</v>
      </c>
      <c r="E105" s="49" t="s">
        <v>37</v>
      </c>
      <c r="F105" s="52" t="s">
        <v>41</v>
      </c>
    </row>
    <row r="106" spans="1:6">
      <c r="A106" s="27" t="s">
        <v>39</v>
      </c>
      <c r="B106" s="49"/>
      <c r="C106" s="50"/>
      <c r="D106" s="51"/>
      <c r="E106" s="49"/>
      <c r="F106" s="52"/>
    </row>
    <row r="107" spans="1:6">
      <c r="A107" s="27">
        <v>90045</v>
      </c>
      <c r="B107" s="49"/>
      <c r="C107" s="50"/>
      <c r="D107" s="51"/>
      <c r="E107" s="49"/>
      <c r="F107" s="52"/>
    </row>
    <row r="108" spans="1:6" ht="100.9" customHeight="1">
      <c r="A108" s="24" t="s">
        <v>44</v>
      </c>
      <c r="B108" s="45" t="s">
        <v>46</v>
      </c>
      <c r="C108" s="46">
        <v>208</v>
      </c>
      <c r="D108" s="47">
        <v>40421</v>
      </c>
      <c r="E108" s="45" t="s">
        <v>37</v>
      </c>
      <c r="F108" s="48" t="s">
        <v>41</v>
      </c>
    </row>
    <row r="109" spans="1:6">
      <c r="A109" s="25" t="s">
        <v>39</v>
      </c>
      <c r="B109" s="45"/>
      <c r="C109" s="46"/>
      <c r="D109" s="47"/>
      <c r="E109" s="45"/>
      <c r="F109" s="48"/>
    </row>
    <row r="110" spans="1:6">
      <c r="A110" s="25">
        <v>90045</v>
      </c>
      <c r="B110" s="45"/>
      <c r="C110" s="46"/>
      <c r="D110" s="47"/>
      <c r="E110" s="45"/>
      <c r="F110" s="48"/>
    </row>
    <row r="111" spans="1:6" ht="100.9" customHeight="1">
      <c r="A111" s="26" t="s">
        <v>44</v>
      </c>
      <c r="B111" s="49" t="s">
        <v>46</v>
      </c>
      <c r="C111" s="50">
        <v>208</v>
      </c>
      <c r="D111" s="51">
        <v>40405</v>
      </c>
      <c r="E111" s="49" t="s">
        <v>37</v>
      </c>
      <c r="F111" s="52" t="s">
        <v>41</v>
      </c>
    </row>
    <row r="112" spans="1:6">
      <c r="A112" s="27" t="s">
        <v>39</v>
      </c>
      <c r="B112" s="49"/>
      <c r="C112" s="50"/>
      <c r="D112" s="51"/>
      <c r="E112" s="49"/>
      <c r="F112" s="52"/>
    </row>
    <row r="113" spans="1:6">
      <c r="A113" s="27">
        <v>90045</v>
      </c>
      <c r="B113" s="49"/>
      <c r="C113" s="50"/>
      <c r="D113" s="51"/>
      <c r="E113" s="49"/>
      <c r="F113" s="52"/>
    </row>
    <row r="114" spans="1:6" ht="100.9" customHeight="1">
      <c r="A114" s="24" t="s">
        <v>44</v>
      </c>
      <c r="B114" s="45" t="s">
        <v>46</v>
      </c>
      <c r="C114" s="46">
        <v>208</v>
      </c>
      <c r="D114" s="47">
        <v>40390</v>
      </c>
      <c r="E114" s="45" t="s">
        <v>37</v>
      </c>
      <c r="F114" s="48" t="s">
        <v>41</v>
      </c>
    </row>
    <row r="115" spans="1:6">
      <c r="A115" s="25" t="s">
        <v>39</v>
      </c>
      <c r="B115" s="45"/>
      <c r="C115" s="46"/>
      <c r="D115" s="47"/>
      <c r="E115" s="45"/>
      <c r="F115" s="48"/>
    </row>
    <row r="116" spans="1:6">
      <c r="A116" s="25">
        <v>90045</v>
      </c>
      <c r="B116" s="45"/>
      <c r="C116" s="46"/>
      <c r="D116" s="47"/>
      <c r="E116" s="45"/>
      <c r="F116" s="48"/>
    </row>
    <row r="117" spans="1:6" ht="100.9" customHeight="1">
      <c r="A117" s="26" t="s">
        <v>44</v>
      </c>
      <c r="B117" s="49" t="s">
        <v>46</v>
      </c>
      <c r="C117" s="50">
        <v>208</v>
      </c>
      <c r="D117" s="51">
        <v>40374</v>
      </c>
      <c r="E117" s="49" t="s">
        <v>37</v>
      </c>
      <c r="F117" s="52" t="s">
        <v>41</v>
      </c>
    </row>
    <row r="118" spans="1:6">
      <c r="A118" s="27" t="s">
        <v>39</v>
      </c>
      <c r="B118" s="49"/>
      <c r="C118" s="50"/>
      <c r="D118" s="51"/>
      <c r="E118" s="49"/>
      <c r="F118" s="52"/>
    </row>
    <row r="119" spans="1:6">
      <c r="A119" s="27">
        <v>90045</v>
      </c>
      <c r="B119" s="49"/>
      <c r="C119" s="50"/>
      <c r="D119" s="51"/>
      <c r="E119" s="49"/>
      <c r="F119" s="52"/>
    </row>
    <row r="120" spans="1:6" ht="100.9" customHeight="1">
      <c r="A120" s="24" t="s">
        <v>44</v>
      </c>
      <c r="B120" s="45" t="s">
        <v>46</v>
      </c>
      <c r="C120" s="46">
        <v>208</v>
      </c>
      <c r="D120" s="47">
        <v>40359</v>
      </c>
      <c r="E120" s="45" t="s">
        <v>37</v>
      </c>
      <c r="F120" s="48" t="s">
        <v>41</v>
      </c>
    </row>
    <row r="121" spans="1:6">
      <c r="A121" s="25" t="s">
        <v>39</v>
      </c>
      <c r="B121" s="45"/>
      <c r="C121" s="46"/>
      <c r="D121" s="47"/>
      <c r="E121" s="45"/>
      <c r="F121" s="48"/>
    </row>
    <row r="122" spans="1:6">
      <c r="A122" s="25">
        <v>90045</v>
      </c>
      <c r="B122" s="45"/>
      <c r="C122" s="46"/>
      <c r="D122" s="47"/>
      <c r="E122" s="45"/>
      <c r="F122" s="48"/>
    </row>
    <row r="123" spans="1:6" ht="100.9" customHeight="1">
      <c r="A123" s="26" t="s">
        <v>44</v>
      </c>
      <c r="B123" s="49" t="s">
        <v>46</v>
      </c>
      <c r="C123" s="50">
        <v>208</v>
      </c>
      <c r="D123" s="51">
        <v>40344</v>
      </c>
      <c r="E123" s="49" t="s">
        <v>37</v>
      </c>
      <c r="F123" s="52" t="s">
        <v>41</v>
      </c>
    </row>
    <row r="124" spans="1:6">
      <c r="A124" s="27" t="s">
        <v>39</v>
      </c>
      <c r="B124" s="49"/>
      <c r="C124" s="50"/>
      <c r="D124" s="51"/>
      <c r="E124" s="49"/>
      <c r="F124" s="52"/>
    </row>
    <row r="125" spans="1:6">
      <c r="A125" s="27">
        <v>90045</v>
      </c>
      <c r="B125" s="49"/>
      <c r="C125" s="50"/>
      <c r="D125" s="51"/>
      <c r="E125" s="49"/>
      <c r="F125" s="52"/>
    </row>
    <row r="126" spans="1:6" ht="100.9" customHeight="1">
      <c r="A126" s="24" t="s">
        <v>44</v>
      </c>
      <c r="B126" s="45" t="s">
        <v>46</v>
      </c>
      <c r="C126" s="46">
        <v>208</v>
      </c>
      <c r="D126" s="47">
        <v>40329</v>
      </c>
      <c r="E126" s="45" t="s">
        <v>37</v>
      </c>
      <c r="F126" s="48" t="s">
        <v>41</v>
      </c>
    </row>
    <row r="127" spans="1:6">
      <c r="A127" s="25" t="s">
        <v>39</v>
      </c>
      <c r="B127" s="45"/>
      <c r="C127" s="46"/>
      <c r="D127" s="47"/>
      <c r="E127" s="45"/>
      <c r="F127" s="48"/>
    </row>
    <row r="128" spans="1:6">
      <c r="A128" s="25">
        <v>90045</v>
      </c>
      <c r="B128" s="45"/>
      <c r="C128" s="46"/>
      <c r="D128" s="47"/>
      <c r="E128" s="45"/>
      <c r="F128" s="48"/>
    </row>
  </sheetData>
  <mergeCells count="174">
    <mergeCell ref="A25:A26"/>
    <mergeCell ref="B25:B26"/>
    <mergeCell ref="D25:D26"/>
    <mergeCell ref="F25:F26"/>
    <mergeCell ref="B27:B29"/>
    <mergeCell ref="C27:C29"/>
    <mergeCell ref="D27:D29"/>
    <mergeCell ref="E27:E29"/>
    <mergeCell ref="F27:F29"/>
    <mergeCell ref="B30:B32"/>
    <mergeCell ref="C30:C32"/>
    <mergeCell ref="D30:D32"/>
    <mergeCell ref="E30:E32"/>
    <mergeCell ref="F30:F32"/>
    <mergeCell ref="B33:B35"/>
    <mergeCell ref="C33:C35"/>
    <mergeCell ref="D33:D35"/>
    <mergeCell ref="E33:E35"/>
    <mergeCell ref="F33:F35"/>
    <mergeCell ref="B36:B38"/>
    <mergeCell ref="C36:C38"/>
    <mergeCell ref="D36:D38"/>
    <mergeCell ref="E36:E38"/>
    <mergeCell ref="F36:F38"/>
    <mergeCell ref="B39:B41"/>
    <mergeCell ref="C39:C41"/>
    <mergeCell ref="D39:D41"/>
    <mergeCell ref="E39:E41"/>
    <mergeCell ref="F39:F41"/>
    <mergeCell ref="B42:B44"/>
    <mergeCell ref="C42:C44"/>
    <mergeCell ref="D42:D44"/>
    <mergeCell ref="E42:E44"/>
    <mergeCell ref="F42:F44"/>
    <mergeCell ref="B45:B47"/>
    <mergeCell ref="C45:C47"/>
    <mergeCell ref="D45:D47"/>
    <mergeCell ref="E45:E47"/>
    <mergeCell ref="F45:F47"/>
    <mergeCell ref="B48:B50"/>
    <mergeCell ref="C48:C50"/>
    <mergeCell ref="D48:D50"/>
    <mergeCell ref="E48:E50"/>
    <mergeCell ref="F48:F50"/>
    <mergeCell ref="B51:B53"/>
    <mergeCell ref="C51:C53"/>
    <mergeCell ref="D51:D53"/>
    <mergeCell ref="E51:E53"/>
    <mergeCell ref="F51:F53"/>
    <mergeCell ref="B54:B56"/>
    <mergeCell ref="C54:C56"/>
    <mergeCell ref="D54:D56"/>
    <mergeCell ref="E54:E56"/>
    <mergeCell ref="F54:F56"/>
    <mergeCell ref="B57:B59"/>
    <mergeCell ref="C57:C59"/>
    <mergeCell ref="D57:D59"/>
    <mergeCell ref="E57:E59"/>
    <mergeCell ref="F57:F59"/>
    <mergeCell ref="B60:B62"/>
    <mergeCell ref="C60:C62"/>
    <mergeCell ref="D60:D62"/>
    <mergeCell ref="E60:E62"/>
    <mergeCell ref="F60:F62"/>
    <mergeCell ref="B63:B65"/>
    <mergeCell ref="C63:C65"/>
    <mergeCell ref="D63:D65"/>
    <mergeCell ref="E63:E65"/>
    <mergeCell ref="F63:F65"/>
    <mergeCell ref="B66:B68"/>
    <mergeCell ref="C66:C68"/>
    <mergeCell ref="D66:D68"/>
    <mergeCell ref="E66:E68"/>
    <mergeCell ref="F66:F68"/>
    <mergeCell ref="B69:B71"/>
    <mergeCell ref="C69:C71"/>
    <mergeCell ref="D69:D71"/>
    <mergeCell ref="E69:E71"/>
    <mergeCell ref="F69:F71"/>
    <mergeCell ref="B72:B74"/>
    <mergeCell ref="C72:C74"/>
    <mergeCell ref="D72:D74"/>
    <mergeCell ref="E72:E74"/>
    <mergeCell ref="F72:F74"/>
    <mergeCell ref="B75:B77"/>
    <mergeCell ref="C75:C77"/>
    <mergeCell ref="D75:D77"/>
    <mergeCell ref="E75:E77"/>
    <mergeCell ref="F75:F77"/>
    <mergeCell ref="B78:B80"/>
    <mergeCell ref="C78:C80"/>
    <mergeCell ref="D78:D80"/>
    <mergeCell ref="E78:E80"/>
    <mergeCell ref="F78:F80"/>
    <mergeCell ref="B81:B83"/>
    <mergeCell ref="C81:C83"/>
    <mergeCell ref="D81:D83"/>
    <mergeCell ref="E81:E83"/>
    <mergeCell ref="F81:F83"/>
    <mergeCell ref="B84:B86"/>
    <mergeCell ref="C84:C86"/>
    <mergeCell ref="D84:D86"/>
    <mergeCell ref="E84:E86"/>
    <mergeCell ref="F84:F86"/>
    <mergeCell ref="B87:B89"/>
    <mergeCell ref="C87:C89"/>
    <mergeCell ref="D87:D89"/>
    <mergeCell ref="E87:E89"/>
    <mergeCell ref="F87:F89"/>
    <mergeCell ref="B90:B92"/>
    <mergeCell ref="C90:C92"/>
    <mergeCell ref="D90:D92"/>
    <mergeCell ref="E90:E92"/>
    <mergeCell ref="F90:F92"/>
    <mergeCell ref="B93:B95"/>
    <mergeCell ref="C93:C95"/>
    <mergeCell ref="D93:D95"/>
    <mergeCell ref="E93:E95"/>
    <mergeCell ref="F93:F95"/>
    <mergeCell ref="B96:B98"/>
    <mergeCell ref="C96:C98"/>
    <mergeCell ref="D96:D98"/>
    <mergeCell ref="E96:E98"/>
    <mergeCell ref="F96:F98"/>
    <mergeCell ref="B99:B101"/>
    <mergeCell ref="C99:C101"/>
    <mergeCell ref="D99:D101"/>
    <mergeCell ref="E99:E101"/>
    <mergeCell ref="F99:F101"/>
    <mergeCell ref="B102:B104"/>
    <mergeCell ref="C102:C104"/>
    <mergeCell ref="D102:D104"/>
    <mergeCell ref="E102:E104"/>
    <mergeCell ref="F102:F104"/>
    <mergeCell ref="B105:B107"/>
    <mergeCell ref="C105:C107"/>
    <mergeCell ref="D105:D107"/>
    <mergeCell ref="E105:E107"/>
    <mergeCell ref="F105:F107"/>
    <mergeCell ref="B108:B110"/>
    <mergeCell ref="C108:C110"/>
    <mergeCell ref="D108:D110"/>
    <mergeCell ref="E108:E110"/>
    <mergeCell ref="F108:F110"/>
    <mergeCell ref="B111:B113"/>
    <mergeCell ref="C111:C113"/>
    <mergeCell ref="D111:D113"/>
    <mergeCell ref="E111:E113"/>
    <mergeCell ref="F111:F113"/>
    <mergeCell ref="B114:B116"/>
    <mergeCell ref="C114:C116"/>
    <mergeCell ref="D114:D116"/>
    <mergeCell ref="E114:E116"/>
    <mergeCell ref="F114:F116"/>
    <mergeCell ref="B117:B119"/>
    <mergeCell ref="C117:C119"/>
    <mergeCell ref="D117:D119"/>
    <mergeCell ref="E117:E119"/>
    <mergeCell ref="F117:F119"/>
    <mergeCell ref="B126:B128"/>
    <mergeCell ref="C126:C128"/>
    <mergeCell ref="D126:D128"/>
    <mergeCell ref="E126:E128"/>
    <mergeCell ref="F126:F128"/>
    <mergeCell ref="B120:B122"/>
    <mergeCell ref="C120:C122"/>
    <mergeCell ref="D120:D122"/>
    <mergeCell ref="E120:E122"/>
    <mergeCell ref="F120:F122"/>
    <mergeCell ref="B123:B125"/>
    <mergeCell ref="C123:C125"/>
    <mergeCell ref="D123:D125"/>
    <mergeCell ref="E123:E125"/>
    <mergeCell ref="F123:F125"/>
  </mergeCells>
  <hyperlinks>
    <hyperlink ref="A27" r:id="rId1" display="javascript:CenterPopup('http://docquery.fec.gov/cgi-bin/fecimg/?14952808283','700','800')" xr:uid="{00000000-0004-0000-0300-000000000000}"/>
    <hyperlink ref="F27" r:id="rId2" display="https://www.campaignmoney.com/political/committees/comcast-corporation-nbcuniversal-political-action-committee-federal.asp?cycle=14" xr:uid="{00000000-0004-0000-0300-000001000000}"/>
    <hyperlink ref="A30" r:id="rId3" display="javascript:CenterPopup('http://docquery.fec.gov/cgi-bin/fecimg/?13942117439','700','800')" xr:uid="{00000000-0004-0000-0300-000002000000}"/>
    <hyperlink ref="F30" r:id="rId4" display="https://www.campaignmoney.com/political/committees/univision-communications-inc-political-action-committee.asp?cycle=14" xr:uid="{00000000-0004-0000-0300-000003000000}"/>
    <hyperlink ref="A33" r:id="rId5" display="javascript:CenterPopup('http://docquery.fec.gov/cgi-bin/fecimg/?13941595877','700','800')" xr:uid="{00000000-0004-0000-0300-000004000000}"/>
    <hyperlink ref="F33" r:id="rId6" display="https://www.campaignmoney.com/political/committees/univision-communications-inc-political-action-committee.asp?cycle=14" xr:uid="{00000000-0004-0000-0300-000005000000}"/>
    <hyperlink ref="A36" r:id="rId7" display="javascript:CenterPopup('http://docquery.fec.gov/cgi-bin/fecimg/?13941595877','700','800')" xr:uid="{00000000-0004-0000-0300-000006000000}"/>
    <hyperlink ref="F36" r:id="rId8" display="https://www.campaignmoney.com/political/committees/univision-communications-inc-political-action-committee.asp?cycle=14" xr:uid="{00000000-0004-0000-0300-000007000000}"/>
    <hyperlink ref="A39" r:id="rId9" display="javascript:CenterPopup('http://docquery.fec.gov/cgi-bin/fecimg/?13964542711','700','800')" xr:uid="{00000000-0004-0000-0300-000008000000}"/>
    <hyperlink ref="F39" r:id="rId10" display="https://www.campaignmoney.com/political/committees/univision-communications-inc-political-action-committee.asp?cycle=14" xr:uid="{00000000-0004-0000-0300-000009000000}"/>
    <hyperlink ref="A42" r:id="rId11" display="javascript:CenterPopup('http://docquery.fec.gov/cgi-bin/fecimg/?13964542711','700','800')" xr:uid="{00000000-0004-0000-0300-00000A000000}"/>
    <hyperlink ref="F42" r:id="rId12" display="https://www.campaignmoney.com/political/committees/univision-communications-inc-political-action-committee.asp?cycle=14" xr:uid="{00000000-0004-0000-0300-00000B000000}"/>
    <hyperlink ref="A45" r:id="rId13" display="javascript:CenterPopup('http://docquery.fec.gov/cgi-bin/fecimg/?13941159738','700','800')" xr:uid="{00000000-0004-0000-0300-00000C000000}"/>
    <hyperlink ref="F45" r:id="rId14" display="https://www.campaignmoney.com/political/committees/univision-communications-inc-political-action-committee.asp?cycle=14" xr:uid="{00000000-0004-0000-0300-00000D000000}"/>
    <hyperlink ref="A48" r:id="rId15" display="javascript:CenterPopup('http://docquery.fec.gov/cgi-bin/fecimg/?13941159738','700','800')" xr:uid="{00000000-0004-0000-0300-00000E000000}"/>
    <hyperlink ref="F48" r:id="rId16" display="https://www.campaignmoney.com/political/committees/univision-communications-inc-political-action-committee.asp?cycle=14" xr:uid="{00000000-0004-0000-0300-00000F000000}"/>
    <hyperlink ref="A51" r:id="rId17" display="javascript:CenterPopup('http://docquery.fec.gov/cgi-bin/fecimg/?13940924169','700','800')" xr:uid="{00000000-0004-0000-0300-000010000000}"/>
    <hyperlink ref="F51" r:id="rId18" display="https://www.campaignmoney.com/political/committees/univision-communications-inc-political-action-committee.asp?cycle=14" xr:uid="{00000000-0004-0000-0300-000011000000}"/>
    <hyperlink ref="A54" r:id="rId19" display="javascript:CenterPopup('http://docquery.fec.gov/cgi-bin/fecimg/?13940924169','700','800')" xr:uid="{00000000-0004-0000-0300-000012000000}"/>
    <hyperlink ref="F54" r:id="rId20" display="https://www.campaignmoney.com/political/committees/univision-communications-inc-political-action-committee.asp?cycle=14" xr:uid="{00000000-0004-0000-0300-000013000000}"/>
    <hyperlink ref="A57" r:id="rId21" display="javascript:CenterPopup('http://docquery.fec.gov/cgi-bin/fecimg/?13962483617','700','800')" xr:uid="{00000000-0004-0000-0300-000014000000}"/>
    <hyperlink ref="F57" r:id="rId22" display="https://www.campaignmoney.com/political/committees/univision-communications-inc-political-action-committee.asp?cycle=14" xr:uid="{00000000-0004-0000-0300-000015000000}"/>
    <hyperlink ref="A60" r:id="rId23" display="javascript:CenterPopup('http://docquery.fec.gov/cgi-bin/fecimg/?13962483617','700','800')" xr:uid="{00000000-0004-0000-0300-000016000000}"/>
    <hyperlink ref="F60" r:id="rId24" display="https://www.campaignmoney.com/political/committees/univision-communications-inc-political-action-committee.asp?cycle=14" xr:uid="{00000000-0004-0000-0300-000017000000}"/>
    <hyperlink ref="A63" r:id="rId25" display="javascript:CenterPopup('http://docquery.fec.gov/cgi-bin/fecimg/?13940607831','700','800')" xr:uid="{00000000-0004-0000-0300-000018000000}"/>
    <hyperlink ref="F63" r:id="rId26" display="https://www.campaignmoney.com/political/committees/univision-communications-inc-political-action-committee.asp?cycle=14" xr:uid="{00000000-0004-0000-0300-000019000000}"/>
    <hyperlink ref="A66" r:id="rId27" display="javascript:CenterPopup('http://docquery.fec.gov/cgi-bin/fecimg/?13940607831','700','800')" xr:uid="{00000000-0004-0000-0300-00001A000000}"/>
    <hyperlink ref="F66" r:id="rId28" display="https://www.campaignmoney.com/political/committees/univision-communications-inc-political-action-committee.asp?cycle=14" xr:uid="{00000000-0004-0000-0300-00001B000000}"/>
    <hyperlink ref="A69" r:id="rId29" display="javascript:CenterPopup('http://docquery.fec.gov/cgi-bin/fecimg/?13940484198','700','800')" xr:uid="{00000000-0004-0000-0300-00001C000000}"/>
    <hyperlink ref="F69" r:id="rId30" display="https://www.campaignmoney.com/political/committees/univision-communications-inc-political-action-committee.asp?cycle=14" xr:uid="{00000000-0004-0000-0300-00001D000000}"/>
    <hyperlink ref="A72" r:id="rId31" display="javascript:CenterPopup('http://docquery.fec.gov/cgi-bin/fecimg/?13940484198','700','800')" xr:uid="{00000000-0004-0000-0300-00001E000000}"/>
    <hyperlink ref="F72" r:id="rId32" display="https://www.campaignmoney.com/political/committees/univision-communications-inc-political-action-committee.asp?cycle=14" xr:uid="{00000000-0004-0000-0300-00001F000000}"/>
    <hyperlink ref="A75" r:id="rId33" display="javascript:CenterPopup('http://docquery.fec.gov/cgi-bin/fecimg/?13960954630','700','800')" xr:uid="{00000000-0004-0000-0300-000020000000}"/>
    <hyperlink ref="F75" r:id="rId34" display="https://www.campaignmoney.com/political/committees/univision-communications-inc-political-action-committee.asp?cycle=14" xr:uid="{00000000-0004-0000-0300-000021000000}"/>
    <hyperlink ref="A78" r:id="rId35" display="javascript:CenterPopup('http://docquery.fec.gov/cgi-bin/fecimg/?13960954630','700','800')" xr:uid="{00000000-0004-0000-0300-000022000000}"/>
    <hyperlink ref="F78" r:id="rId36" display="https://www.campaignmoney.com/political/committees/univision-communications-inc-political-action-committee.asp?cycle=14" xr:uid="{00000000-0004-0000-0300-000023000000}"/>
    <hyperlink ref="A81" r:id="rId37" display="javascript:CenterPopup('http://docquery.fec.gov/cgi-bin/fecimg/?201511199003389894','700','800')" xr:uid="{00000000-0004-0000-0300-000024000000}"/>
    <hyperlink ref="F81" r:id="rId38" display="https://www.campaignmoney.com/political/committees/comcast-corporation-nbcuniversal-political-action-committee-federal.asp?cycle=16" xr:uid="{00000000-0004-0000-0300-000025000000}"/>
    <hyperlink ref="A84" r:id="rId39" display="javascript:CenterPopup('http://docquery.fec.gov/cgi-bin/fecimg/?11990095718','700','800')" xr:uid="{00000000-0004-0000-0300-000026000000}"/>
    <hyperlink ref="F84" r:id="rId40" display="https://www.campaignmoney.com/political/committees/univision-communications-inc-political-action-committee.asp?cycle=10" xr:uid="{00000000-0004-0000-0300-000027000000}"/>
    <hyperlink ref="A87" r:id="rId41" display="javascript:CenterPopup('http://docquery.fec.gov/cgi-bin/fecimg/?11990095718','700','800')" xr:uid="{00000000-0004-0000-0300-000028000000}"/>
    <hyperlink ref="F87" r:id="rId42" display="https://www.campaignmoney.com/political/committees/univision-communications-inc-political-action-committee.asp?cycle=10" xr:uid="{00000000-0004-0000-0300-000029000000}"/>
    <hyperlink ref="A90" r:id="rId43" display="javascript:CenterPopup('http://docquery.fec.gov/cgi-bin/fecimg/?11990095718','700','800')" xr:uid="{00000000-0004-0000-0300-00002A000000}"/>
    <hyperlink ref="F90" r:id="rId44" display="https://www.campaignmoney.com/political/committees/univision-communications-inc-political-action-committee.asp?cycle=10" xr:uid="{00000000-0004-0000-0300-00002B000000}"/>
    <hyperlink ref="A93" r:id="rId45" display="javascript:CenterPopup('http://docquery.fec.gov/cgi-bin/fecimg/?10992418308','700','800')" xr:uid="{00000000-0004-0000-0300-00002C000000}"/>
    <hyperlink ref="F93" r:id="rId46" display="https://www.campaignmoney.com/political/committees/univision-communications-inc-political-action-committee.asp?cycle=10" xr:uid="{00000000-0004-0000-0300-00002D000000}"/>
    <hyperlink ref="A96" r:id="rId47" display="javascript:CenterPopup('http://docquery.fec.gov/cgi-bin/fecimg/?10992418308','700','800')" xr:uid="{00000000-0004-0000-0300-00002E000000}"/>
    <hyperlink ref="F96" r:id="rId48" display="https://www.campaignmoney.com/political/committees/univision-communications-inc-political-action-committee.asp?cycle=10" xr:uid="{00000000-0004-0000-0300-00002F000000}"/>
    <hyperlink ref="A99" r:id="rId49" display="javascript:CenterPopup('http://docquery.fec.gov/cgi-bin/fecimg/?10992418308','700','800')" xr:uid="{00000000-0004-0000-0300-000030000000}"/>
    <hyperlink ref="F99" r:id="rId50" display="https://www.campaignmoney.com/political/committees/univision-communications-inc-political-action-committee.asp?cycle=10" xr:uid="{00000000-0004-0000-0300-000031000000}"/>
    <hyperlink ref="A102" r:id="rId51" display="javascript:CenterPopup('http://docquery.fec.gov/cgi-bin/fecimg/?10991466269','700','800')" xr:uid="{00000000-0004-0000-0300-000032000000}"/>
    <hyperlink ref="F102" r:id="rId52" display="https://www.campaignmoney.com/political/committees/univision-communications-inc-political-action-committee.asp?cycle=10" xr:uid="{00000000-0004-0000-0300-000033000000}"/>
    <hyperlink ref="A105" r:id="rId53" display="javascript:CenterPopup('http://docquery.fec.gov/cgi-bin/fecimg/?10991466269','700','800')" xr:uid="{00000000-0004-0000-0300-000034000000}"/>
    <hyperlink ref="F105" r:id="rId54" display="https://www.campaignmoney.com/political/committees/univision-communications-inc-political-action-committee.asp?cycle=10" xr:uid="{00000000-0004-0000-0300-000035000000}"/>
    <hyperlink ref="A108" r:id="rId55" display="javascript:CenterPopup('http://docquery.fec.gov/cgi-bin/fecimg/?10991190770','700','800')" xr:uid="{00000000-0004-0000-0300-000036000000}"/>
    <hyperlink ref="F108" r:id="rId56" display="https://www.campaignmoney.com/political/committees/univision-communications-inc-political-action-committee.asp?cycle=10" xr:uid="{00000000-0004-0000-0300-000037000000}"/>
    <hyperlink ref="A111" r:id="rId57" display="javascript:CenterPopup('http://docquery.fec.gov/cgi-bin/fecimg/?10991190770','700','800')" xr:uid="{00000000-0004-0000-0300-000038000000}"/>
    <hyperlink ref="F111" r:id="rId58" display="https://www.campaignmoney.com/political/committees/univision-communications-inc-political-action-committee.asp?cycle=10" xr:uid="{00000000-0004-0000-0300-000039000000}"/>
    <hyperlink ref="A114" r:id="rId59" display="javascript:CenterPopup('http://docquery.fec.gov/cgi-bin/fecimg/?10931135408','700','800')" xr:uid="{00000000-0004-0000-0300-00003A000000}"/>
    <hyperlink ref="F114" r:id="rId60" display="https://www.campaignmoney.com/political/committees/univision-communications-inc-political-action-committee.asp?cycle=10" xr:uid="{00000000-0004-0000-0300-00003B000000}"/>
    <hyperlink ref="A117" r:id="rId61" display="javascript:CenterPopup('http://docquery.fec.gov/cgi-bin/fecimg/?10931135408','700','800')" xr:uid="{00000000-0004-0000-0300-00003C000000}"/>
    <hyperlink ref="F117" r:id="rId62" display="https://www.campaignmoney.com/political/committees/univision-communications-inc-political-action-committee.asp?cycle=10" xr:uid="{00000000-0004-0000-0300-00003D000000}"/>
    <hyperlink ref="A120" r:id="rId63" display="javascript:CenterPopup('http://docquery.fec.gov/cgi-bin/fecimg/?10990978645','700','800')" xr:uid="{00000000-0004-0000-0300-00003E000000}"/>
    <hyperlink ref="F120" r:id="rId64" display="https://www.campaignmoney.com/political/committees/univision-communications-inc-political-action-committee.asp?cycle=10" xr:uid="{00000000-0004-0000-0300-00003F000000}"/>
    <hyperlink ref="A123" r:id="rId65" display="javascript:CenterPopup('http://docquery.fec.gov/cgi-bin/fecimg/?10990978644','700','800')" xr:uid="{00000000-0004-0000-0300-000040000000}"/>
    <hyperlink ref="F123" r:id="rId66" display="https://www.campaignmoney.com/political/committees/univision-communications-inc-political-action-committee.asp?cycle=10" xr:uid="{00000000-0004-0000-0300-000041000000}"/>
    <hyperlink ref="A126" r:id="rId67" display="javascript:CenterPopup('http://docquery.fec.gov/cgi-bin/fecimg/?10990793024','700','800')" xr:uid="{00000000-0004-0000-0300-000042000000}"/>
    <hyperlink ref="F126" r:id="rId68" display="https://www.campaignmoney.com/political/committees/univision-communications-inc-political-action-committee.asp?cycle=10" xr:uid="{00000000-0004-0000-0300-000043000000}"/>
  </hyperlinks>
  <pageMargins left="0.7" right="0.7" top="0.75" bottom="0.75" header="0.3" footer="0.3"/>
  <pageSetup orientation="portrait" r:id="rId6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5"/>
  <sheetViews>
    <sheetView workbookViewId="0">
      <selection activeCell="F2" sqref="F2:F6"/>
    </sheetView>
  </sheetViews>
  <sheetFormatPr defaultColWidth="8.85546875" defaultRowHeight="15"/>
  <cols>
    <col min="1" max="1" width="54.28515625" style="10" customWidth="1"/>
    <col min="2" max="2" width="48.42578125" style="10" customWidth="1"/>
    <col min="3" max="3" width="9.5703125" style="10" customWidth="1"/>
    <col min="4" max="4" width="21.85546875" style="10" customWidth="1"/>
    <col min="5" max="5" width="12.7109375" style="10" customWidth="1"/>
    <col min="6" max="6" width="11.42578125" style="10" customWidth="1"/>
    <col min="7" max="7" width="10.7109375" style="10" bestFit="1" customWidth="1"/>
    <col min="8" max="16384" width="8.85546875" style="10"/>
  </cols>
  <sheetData>
    <row r="1" spans="1:13">
      <c r="A1" s="10" t="s">
        <v>14</v>
      </c>
      <c r="B1" s="10" t="s">
        <v>15</v>
      </c>
      <c r="C1" s="10" t="s">
        <v>10</v>
      </c>
      <c r="D1" s="10" t="s">
        <v>16</v>
      </c>
      <c r="E1" s="10" t="s">
        <v>17</v>
      </c>
      <c r="F1" s="10" t="s">
        <v>18</v>
      </c>
      <c r="G1" s="10" t="s">
        <v>21</v>
      </c>
      <c r="H1" s="10" t="s">
        <v>4</v>
      </c>
      <c r="I1" s="13" t="s">
        <v>6</v>
      </c>
      <c r="J1" s="10" t="s">
        <v>5</v>
      </c>
      <c r="K1" s="10" t="s">
        <v>11</v>
      </c>
      <c r="L1" s="10" t="s">
        <v>12</v>
      </c>
      <c r="M1" s="10" t="s">
        <v>22</v>
      </c>
    </row>
    <row r="2" spans="1:13" ht="29.25" thickBot="1">
      <c r="A2" s="33" t="s">
        <v>150</v>
      </c>
      <c r="B2" s="35" t="s">
        <v>151</v>
      </c>
      <c r="C2" s="34" t="s">
        <v>88</v>
      </c>
      <c r="D2" s="34" t="s">
        <v>152</v>
      </c>
      <c r="E2" s="36">
        <v>44137</v>
      </c>
      <c r="F2" s="37">
        <v>2800</v>
      </c>
      <c r="G2" s="37" t="s">
        <v>2</v>
      </c>
      <c r="H2" s="38">
        <v>0</v>
      </c>
      <c r="I2" s="2">
        <v>100</v>
      </c>
      <c r="K2" s="16">
        <f>(+H2/(H2+I2))*100</f>
        <v>0</v>
      </c>
      <c r="L2" s="16">
        <f>(+I2/(H2+I2))*100</f>
        <v>100</v>
      </c>
    </row>
    <row r="3" spans="1:13" ht="29.25" thickBot="1">
      <c r="A3" s="33" t="s">
        <v>153</v>
      </c>
      <c r="B3" s="35" t="s">
        <v>0</v>
      </c>
      <c r="C3" s="34" t="s">
        <v>88</v>
      </c>
      <c r="D3" s="34" t="s">
        <v>152</v>
      </c>
      <c r="E3" s="36">
        <v>44104</v>
      </c>
      <c r="F3" s="37">
        <v>1500</v>
      </c>
      <c r="G3" s="37" t="s">
        <v>2</v>
      </c>
      <c r="H3" s="38">
        <v>0</v>
      </c>
      <c r="I3" s="2">
        <v>100</v>
      </c>
      <c r="K3" s="16">
        <f>(+H3/(H3+I3))*100</f>
        <v>0</v>
      </c>
      <c r="L3" s="16">
        <f>(+I3/(H3+I3))*100</f>
        <v>100</v>
      </c>
    </row>
    <row r="4" spans="1:13" ht="29.25" thickBot="1">
      <c r="A4" s="33" t="s">
        <v>150</v>
      </c>
      <c r="B4" s="35" t="s">
        <v>20</v>
      </c>
      <c r="C4" s="34" t="s">
        <v>88</v>
      </c>
      <c r="D4" s="34" t="s">
        <v>152</v>
      </c>
      <c r="E4" s="36">
        <v>44104</v>
      </c>
      <c r="F4" s="37">
        <v>50</v>
      </c>
      <c r="G4" s="37" t="s">
        <v>2</v>
      </c>
      <c r="H4" s="38">
        <v>0</v>
      </c>
      <c r="I4" s="2">
        <v>100</v>
      </c>
      <c r="K4" s="16">
        <f>(+H4/(H4+I4))*100</f>
        <v>0</v>
      </c>
      <c r="L4" s="16">
        <f>(+I4/(H4+I4))*100</f>
        <v>100</v>
      </c>
    </row>
    <row r="5" spans="1:13" ht="29.25" thickBot="1">
      <c r="A5" s="33" t="s">
        <v>150</v>
      </c>
      <c r="B5" s="35" t="s">
        <v>154</v>
      </c>
      <c r="C5" s="34" t="s">
        <v>88</v>
      </c>
      <c r="D5" s="34" t="s">
        <v>152</v>
      </c>
      <c r="E5" s="36">
        <v>44004</v>
      </c>
      <c r="F5" s="37">
        <v>2800</v>
      </c>
      <c r="G5" s="37" t="s">
        <v>2</v>
      </c>
      <c r="H5" s="38">
        <v>0</v>
      </c>
      <c r="I5" s="2">
        <v>100</v>
      </c>
      <c r="K5" s="16">
        <f>(+H5/(H5+I5))*100</f>
        <v>0</v>
      </c>
      <c r="L5" s="16">
        <f>(+I5/(H5+I5))*100</f>
        <v>100</v>
      </c>
    </row>
    <row r="6" spans="1:13">
      <c r="E6" s="14"/>
      <c r="F6" s="15">
        <f>SUM(F2:F5)</f>
        <v>7150</v>
      </c>
    </row>
    <row r="7" spans="1:13" ht="15.75">
      <c r="E7" s="14"/>
      <c r="F7" s="15"/>
      <c r="K7" s="16"/>
      <c r="L7" s="16"/>
    </row>
    <row r="8" spans="1:13" ht="15.75">
      <c r="B8" s="18"/>
      <c r="E8" s="14"/>
      <c r="F8" s="15"/>
      <c r="K8" s="16"/>
      <c r="L8" s="16"/>
    </row>
    <row r="9" spans="1:13" ht="15.75">
      <c r="B9" s="18"/>
      <c r="K9" s="16"/>
      <c r="L9" s="16"/>
    </row>
    <row r="10" spans="1:13" ht="15.75">
      <c r="B10" s="18"/>
      <c r="K10" s="16"/>
      <c r="L10" s="16"/>
    </row>
    <row r="11" spans="1:13" ht="15.75">
      <c r="B11" s="18"/>
      <c r="F11" s="15"/>
      <c r="K11" s="16"/>
      <c r="L11" s="16"/>
    </row>
    <row r="12" spans="1:13" ht="15.75">
      <c r="B12" s="18"/>
      <c r="K12" s="16"/>
      <c r="L12" s="16"/>
    </row>
    <row r="13" spans="1:13" ht="15.75">
      <c r="B13" s="18"/>
      <c r="K13" s="16"/>
      <c r="L13" s="16"/>
    </row>
    <row r="14" spans="1:13" ht="15.75">
      <c r="B14" s="18"/>
      <c r="E14" s="14"/>
      <c r="F14" s="15"/>
      <c r="K14" s="16"/>
      <c r="L14" s="16"/>
    </row>
    <row r="15" spans="1:13" ht="15.75">
      <c r="B15" s="18"/>
      <c r="K15" s="16"/>
      <c r="L15" s="16"/>
    </row>
    <row r="16" spans="1:13" ht="15.75">
      <c r="B16" s="18"/>
      <c r="F16" s="15"/>
      <c r="K16" s="16"/>
      <c r="L16" s="16"/>
    </row>
    <row r="17" spans="1:1">
      <c r="A17" s="13"/>
    </row>
    <row r="18" spans="1:1" ht="16.5">
      <c r="A18" s="28"/>
    </row>
    <row r="19" spans="1:1">
      <c r="A19" s="29"/>
    </row>
    <row r="20" spans="1:1">
      <c r="A20" s="29"/>
    </row>
    <row r="21" spans="1:1">
      <c r="A21" s="29"/>
    </row>
    <row r="22" spans="1:1">
      <c r="A22" s="29"/>
    </row>
    <row r="23" spans="1:1">
      <c r="A23" s="29"/>
    </row>
    <row r="24" spans="1:1">
      <c r="A24" s="29"/>
    </row>
    <row r="25" spans="1:1">
      <c r="A25" s="29"/>
    </row>
    <row r="26" spans="1:1">
      <c r="A26" s="29"/>
    </row>
    <row r="27" spans="1:1">
      <c r="A27" s="29"/>
    </row>
    <row r="28" spans="1:1">
      <c r="A28" s="29"/>
    </row>
    <row r="29" spans="1:1">
      <c r="A29" s="29"/>
    </row>
    <row r="30" spans="1:1">
      <c r="A30" s="29"/>
    </row>
    <row r="31" spans="1:1">
      <c r="A31" s="29"/>
    </row>
    <row r="32" spans="1:1">
      <c r="A32" s="29"/>
    </row>
    <row r="33" spans="1:1" ht="16.5">
      <c r="A33" s="28"/>
    </row>
    <row r="34" spans="1:1">
      <c r="A34" s="29"/>
    </row>
    <row r="35" spans="1:1">
      <c r="A35" s="29"/>
    </row>
    <row r="36" spans="1:1" ht="16.5">
      <c r="A36" s="28"/>
    </row>
    <row r="37" spans="1:1">
      <c r="A37" s="29"/>
    </row>
    <row r="38" spans="1:1">
      <c r="A38" s="29" t="s">
        <v>47</v>
      </c>
    </row>
    <row r="39" spans="1:1" ht="16.5">
      <c r="A39" s="28" t="s">
        <v>48</v>
      </c>
    </row>
    <row r="40" spans="1:1">
      <c r="A40" s="29" t="s">
        <v>49</v>
      </c>
    </row>
    <row r="41" spans="1:1">
      <c r="A41" s="29" t="s">
        <v>50</v>
      </c>
    </row>
    <row r="42" spans="1:1" ht="30">
      <c r="A42" s="29" t="s">
        <v>51</v>
      </c>
    </row>
    <row r="43" spans="1:1">
      <c r="A43" s="29" t="s">
        <v>50</v>
      </c>
    </row>
    <row r="44" spans="1:1" ht="16.5">
      <c r="A44" s="28" t="s">
        <v>52</v>
      </c>
    </row>
    <row r="45" spans="1:1" ht="30">
      <c r="A45" s="29" t="s">
        <v>53</v>
      </c>
    </row>
    <row r="46" spans="1:1">
      <c r="A46" s="29" t="s">
        <v>54</v>
      </c>
    </row>
    <row r="47" spans="1:1" ht="30">
      <c r="A47" s="29" t="s">
        <v>55</v>
      </c>
    </row>
    <row r="48" spans="1:1">
      <c r="A48" s="29" t="s">
        <v>56</v>
      </c>
    </row>
    <row r="49" spans="1:2" ht="30">
      <c r="A49" s="29" t="s">
        <v>57</v>
      </c>
    </row>
    <row r="50" spans="1:2">
      <c r="A50" s="29" t="s">
        <v>58</v>
      </c>
    </row>
    <row r="51" spans="1:2" ht="30">
      <c r="A51" s="29" t="s">
        <v>59</v>
      </c>
    </row>
    <row r="52" spans="1:2">
      <c r="A52" s="29" t="s">
        <v>60</v>
      </c>
    </row>
    <row r="53" spans="1:2" ht="30">
      <c r="A53" s="29" t="s">
        <v>61</v>
      </c>
    </row>
    <row r="54" spans="1:2">
      <c r="A54" s="29" t="s">
        <v>60</v>
      </c>
    </row>
    <row r="55" spans="1:2" ht="30">
      <c r="A55" s="29" t="s">
        <v>62</v>
      </c>
    </row>
    <row r="56" spans="1:2">
      <c r="A56" s="29" t="s">
        <v>63</v>
      </c>
    </row>
    <row r="57" spans="1:2" ht="30">
      <c r="A57" s="29" t="s">
        <v>64</v>
      </c>
    </row>
    <row r="58" spans="1:2">
      <c r="A58" s="29" t="s">
        <v>65</v>
      </c>
    </row>
    <row r="62" spans="1:2">
      <c r="A62" s="18" t="s">
        <v>53</v>
      </c>
    </row>
    <row r="64" spans="1:2">
      <c r="A64" s="10">
        <v>678000</v>
      </c>
      <c r="B64" s="10" t="s">
        <v>4</v>
      </c>
    </row>
    <row r="65" spans="1:2">
      <c r="A65" s="10">
        <v>514000</v>
      </c>
      <c r="B65" s="10" t="s">
        <v>6</v>
      </c>
    </row>
  </sheetData>
  <sortState xmlns:xlrd2="http://schemas.microsoft.com/office/spreadsheetml/2017/richdata2" ref="A2:M715">
    <sortCondition ref="D2:D715"/>
  </sortState>
  <hyperlinks>
    <hyperlink ref="A38" r:id="rId1" display="https://littlesis.org/relationships/372801" xr:uid="{00000000-0004-0000-0400-000011000000}"/>
    <hyperlink ref="A40" r:id="rId2" display="https://littlesis.org/org/40361-World_Economic_Forum_-_International_Business_Council" xr:uid="{00000000-0004-0000-0400-000012000000}"/>
    <hyperlink ref="A41" r:id="rId3" display="https://littlesis.org/relationships/722687" xr:uid="{00000000-0004-0000-0400-000013000000}"/>
    <hyperlink ref="A42" r:id="rId4" display="https://littlesis.org/org/33791-Business_Roundtable" xr:uid="{00000000-0004-0000-0400-000014000000}"/>
    <hyperlink ref="A43" r:id="rId5" display="https://littlesis.org/relationships/93125" xr:uid="{00000000-0004-0000-0400-000015000000}"/>
    <hyperlink ref="A45" r:id="rId6" display="https://littlesis.org/org/30787-KPMG_Partners_&amp;_Principals_&amp;_Employees_Political_Action_Committee" xr:uid="{00000000-0004-0000-0400-000016000000}"/>
    <hyperlink ref="A46" r:id="rId7" display="https://littlesis.org/relationships/198419" xr:uid="{00000000-0004-0000-0400-000017000000}"/>
    <hyperlink ref="A47" r:id="rId8" display="https://littlesis.org/person/13248-Chris_Dodd" xr:uid="{00000000-0004-0000-0400-000018000000}"/>
    <hyperlink ref="A48" r:id="rId9" display="https://littlesis.org/relationships/198420" xr:uid="{00000000-0004-0000-0400-000019000000}"/>
    <hyperlink ref="A49" r:id="rId10" display="https://littlesis.org/person/13575-Chuck_Schumer" xr:uid="{00000000-0004-0000-0400-00001A000000}"/>
    <hyperlink ref="A50" r:id="rId11" display="https://littlesis.org/relationships/198423" xr:uid="{00000000-0004-0000-0400-00001B000000}"/>
    <hyperlink ref="A51" r:id="rId12" display="https://littlesis.org/person/28801-Rudy_Giuliani" xr:uid="{00000000-0004-0000-0400-00001C000000}"/>
    <hyperlink ref="A52" r:id="rId13" display="https://littlesis.org/relationships/198421" xr:uid="{00000000-0004-0000-0400-00001D000000}"/>
    <hyperlink ref="A53" r:id="rId14" display="https://littlesis.org/person/29484-Michael_Ciresi_V" xr:uid="{00000000-0004-0000-0400-00001E000000}"/>
    <hyperlink ref="A54" r:id="rId15" display="https://littlesis.org/relationships/198422" xr:uid="{00000000-0004-0000-0400-00001F000000}"/>
    <hyperlink ref="A55" r:id="rId16" display="https://littlesis.org/person/13587-Richard_Shelby" xr:uid="{00000000-0004-0000-0400-000020000000}"/>
    <hyperlink ref="A56" r:id="rId17" display="https://littlesis.org/relationships/198424" xr:uid="{00000000-0004-0000-0400-000021000000}"/>
    <hyperlink ref="A57" r:id="rId18" display="https://littlesis.org/person/39051-Max_Baucus" xr:uid="{00000000-0004-0000-0400-000022000000}"/>
    <hyperlink ref="A58" r:id="rId19" display="https://littlesis.org/relationships/198425" xr:uid="{00000000-0004-0000-0400-000023000000}"/>
    <hyperlink ref="A62" r:id="rId20" display="https://littlesis.org/org/30787-KPMG_Partners_&amp;_Principals_&amp;_Employees_Political_Action_Committee" xr:uid="{00000000-0004-0000-0400-000024000000}"/>
  </hyperlinks>
  <pageMargins left="0.7" right="0.7" top="0.75" bottom="0.75" header="0.3" footer="0.3"/>
  <pageSetup orientation="portrait" r:id="rId2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4"/>
  <sheetViews>
    <sheetView topLeftCell="A10" workbookViewId="0">
      <selection activeCell="A17" sqref="A17:XFD30"/>
    </sheetView>
  </sheetViews>
  <sheetFormatPr defaultRowHeight="15"/>
  <cols>
    <col min="1" max="1" width="15.28515625" customWidth="1"/>
    <col min="2" max="2" width="14.85546875" customWidth="1"/>
    <col min="3" max="3" width="14.5703125" customWidth="1"/>
    <col min="4" max="4" width="23.5703125" customWidth="1"/>
    <col min="5" max="5" width="12.5703125" customWidth="1"/>
    <col min="6" max="6" width="12.140625" customWidth="1"/>
  </cols>
  <sheetData>
    <row r="1" spans="1:13" ht="29.25" thickBot="1">
      <c r="A1" s="72" t="s">
        <v>14</v>
      </c>
      <c r="B1" s="73" t="s">
        <v>15</v>
      </c>
      <c r="C1" s="73" t="s">
        <v>10</v>
      </c>
      <c r="D1" s="73" t="s">
        <v>16</v>
      </c>
      <c r="E1" s="74" t="s">
        <v>17</v>
      </c>
      <c r="F1" s="75" t="s">
        <v>18</v>
      </c>
      <c r="G1" s="76"/>
      <c r="H1" t="s">
        <v>4</v>
      </c>
      <c r="I1" s="2" t="s">
        <v>6</v>
      </c>
      <c r="J1" t="s">
        <v>5</v>
      </c>
      <c r="K1" s="10" t="s">
        <v>11</v>
      </c>
      <c r="L1" s="10" t="s">
        <v>12</v>
      </c>
      <c r="M1" s="10" t="s">
        <v>22</v>
      </c>
    </row>
    <row r="2" spans="1:13" ht="30.75" thickBot="1">
      <c r="A2" s="33" t="s">
        <v>163</v>
      </c>
      <c r="B2" s="35" t="s">
        <v>0</v>
      </c>
      <c r="C2" s="34" t="s">
        <v>24</v>
      </c>
      <c r="D2" s="34" t="s">
        <v>164</v>
      </c>
      <c r="E2" s="36">
        <v>43725</v>
      </c>
      <c r="F2" s="37">
        <v>1000</v>
      </c>
      <c r="G2" s="32" t="s">
        <v>2</v>
      </c>
      <c r="H2">
        <v>0</v>
      </c>
      <c r="I2">
        <v>100</v>
      </c>
      <c r="K2" s="16">
        <f>(+H2/(H2+I2))*100</f>
        <v>0</v>
      </c>
      <c r="L2" s="16">
        <f>(+I2/(H2+I2))*100</f>
        <v>100</v>
      </c>
    </row>
    <row r="3" spans="1:13" ht="16.5" thickBot="1">
      <c r="A3" s="33"/>
      <c r="B3" s="35"/>
      <c r="C3" s="34"/>
      <c r="D3" s="34"/>
      <c r="E3" s="36"/>
      <c r="F3" s="37"/>
      <c r="G3" s="32" t="s">
        <v>2</v>
      </c>
      <c r="H3">
        <v>0</v>
      </c>
      <c r="I3">
        <v>100</v>
      </c>
      <c r="K3" s="16">
        <f>(+H3/(H3+I3))*100</f>
        <v>0</v>
      </c>
      <c r="L3" s="16">
        <f>(+I3/(H3+I3))*100</f>
        <v>100</v>
      </c>
    </row>
    <row r="4" spans="1:13">
      <c r="F4" s="12">
        <f>SUM(F2:F3)</f>
        <v>1000</v>
      </c>
    </row>
    <row r="5" spans="1:13">
      <c r="K5" t="s">
        <v>98</v>
      </c>
    </row>
    <row r="8" spans="1:13">
      <c r="A8" s="40"/>
    </row>
    <row r="20" spans="1:1">
      <c r="A20" s="2"/>
    </row>
    <row r="24" spans="1:1">
      <c r="A24" s="2"/>
    </row>
  </sheetData>
  <hyperlinks>
    <hyperlink ref="B2" r:id="rId1" tooltip="BIDEN FOR PRESIDENT" display="https://www.fec.gov/data/committee/C00703975/" xr:uid="{169438E9-5406-4437-9154-170692E3E82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1"/>
  <sheetViews>
    <sheetView workbookViewId="0">
      <selection activeCell="D12" sqref="D12"/>
    </sheetView>
  </sheetViews>
  <sheetFormatPr defaultRowHeight="15"/>
  <cols>
    <col min="1" max="1" width="19.140625" customWidth="1"/>
    <col min="2" max="2" width="20.28515625" customWidth="1"/>
    <col min="3" max="3" width="15.7109375" customWidth="1"/>
    <col min="4" max="4" width="43.140625" customWidth="1"/>
    <col min="5" max="5" width="11.7109375" customWidth="1"/>
    <col min="6" max="6" width="20.28515625" customWidth="1"/>
    <col min="8" max="8" width="13.85546875" customWidth="1"/>
  </cols>
  <sheetData>
    <row r="1" spans="1:13">
      <c r="A1" t="s">
        <v>14</v>
      </c>
      <c r="B1" t="s">
        <v>15</v>
      </c>
      <c r="C1" t="s">
        <v>10</v>
      </c>
      <c r="D1" t="s">
        <v>16</v>
      </c>
      <c r="E1" t="s">
        <v>17</v>
      </c>
      <c r="F1" t="s">
        <v>18</v>
      </c>
      <c r="G1" s="10" t="s">
        <v>21</v>
      </c>
      <c r="H1" t="s">
        <v>4</v>
      </c>
      <c r="I1" s="2" t="s">
        <v>6</v>
      </c>
      <c r="J1" t="s">
        <v>5</v>
      </c>
      <c r="K1" s="10" t="s">
        <v>11</v>
      </c>
      <c r="L1" s="10" t="s">
        <v>12</v>
      </c>
      <c r="M1" s="10" t="s">
        <v>22</v>
      </c>
    </row>
    <row r="2" spans="1:13" ht="16.5" thickBot="1">
      <c r="A2" s="33"/>
      <c r="B2" s="35"/>
      <c r="C2" s="34"/>
      <c r="D2" s="34"/>
      <c r="E2" s="36"/>
      <c r="F2" s="37"/>
      <c r="H2" s="41"/>
      <c r="I2" s="10"/>
      <c r="K2" s="16" t="e">
        <f>(+H2/(H2+I2))*100</f>
        <v>#DIV/0!</v>
      </c>
      <c r="L2" s="16" t="e">
        <f>(+I2/(H2+I2))*100</f>
        <v>#DIV/0!</v>
      </c>
    </row>
    <row r="3" spans="1:13" ht="16.5" thickBot="1">
      <c r="A3" s="33"/>
      <c r="B3" s="35"/>
      <c r="C3" s="34"/>
      <c r="D3" s="34"/>
      <c r="E3" s="36"/>
      <c r="F3" s="37"/>
      <c r="H3" s="41"/>
      <c r="I3" s="10"/>
      <c r="K3" s="16" t="e">
        <f>(+H3/(H3+I3))*100</f>
        <v>#DIV/0!</v>
      </c>
      <c r="L3" s="16" t="e">
        <f>(+I3/(H3+I3))*100</f>
        <v>#DIV/0!</v>
      </c>
    </row>
    <row r="4" spans="1:13" ht="16.5" thickBot="1">
      <c r="A4" s="33"/>
      <c r="B4" s="35"/>
      <c r="C4" s="34"/>
      <c r="D4" s="34"/>
      <c r="E4" s="36"/>
      <c r="F4" s="37"/>
      <c r="H4" s="41"/>
      <c r="I4" s="10"/>
      <c r="K4" s="16" t="e">
        <f>(+H4/(H4+I4))*100</f>
        <v>#DIV/0!</v>
      </c>
      <c r="L4" s="16" t="e">
        <f>(+I4/(H4+I4))*100</f>
        <v>#DIV/0!</v>
      </c>
    </row>
    <row r="5" spans="1:13" ht="16.5" thickBot="1">
      <c r="A5" s="33"/>
      <c r="B5" s="35"/>
      <c r="C5" s="34"/>
      <c r="D5" s="34"/>
      <c r="E5" s="36"/>
      <c r="F5" s="37"/>
      <c r="H5" s="41"/>
      <c r="I5" s="10"/>
    </row>
    <row r="6" spans="1:13" ht="16.5" thickBot="1">
      <c r="A6" s="33"/>
      <c r="B6" s="35"/>
      <c r="C6" s="34"/>
      <c r="D6" s="34"/>
      <c r="E6" s="36"/>
      <c r="F6" s="37"/>
      <c r="H6" s="41"/>
      <c r="I6" s="10"/>
    </row>
    <row r="7" spans="1:13" ht="16.5" thickBot="1">
      <c r="A7" s="33"/>
      <c r="B7" s="35"/>
      <c r="C7" s="34"/>
      <c r="D7" s="34"/>
      <c r="E7" s="36"/>
      <c r="F7" s="37"/>
      <c r="H7" s="41"/>
      <c r="I7" s="10"/>
    </row>
    <row r="8" spans="1:13" ht="16.5" thickBot="1">
      <c r="A8" s="33"/>
      <c r="B8" s="35"/>
      <c r="C8" s="34"/>
      <c r="D8" s="34"/>
      <c r="E8" s="36"/>
      <c r="F8" s="37"/>
      <c r="H8" s="41"/>
      <c r="I8" s="10"/>
    </row>
    <row r="9" spans="1:13" ht="16.5" thickBot="1">
      <c r="A9" s="33"/>
      <c r="B9" s="35"/>
      <c r="C9" s="34"/>
      <c r="D9" s="34"/>
      <c r="E9" s="36"/>
      <c r="F9" s="37"/>
      <c r="H9" s="41"/>
      <c r="I9" s="10"/>
    </row>
    <row r="10" spans="1:13" ht="16.5" thickBot="1">
      <c r="A10" s="33"/>
      <c r="B10" s="35"/>
      <c r="C10" s="34"/>
      <c r="D10" s="34"/>
      <c r="E10" s="36"/>
      <c r="F10" s="37"/>
      <c r="H10" s="41"/>
      <c r="I10" s="10"/>
      <c r="K10">
        <v>192000</v>
      </c>
      <c r="L10">
        <v>0</v>
      </c>
    </row>
    <row r="11" spans="1:13">
      <c r="F11" s="12"/>
    </row>
  </sheetData>
  <sortState xmlns:xlrd2="http://schemas.microsoft.com/office/spreadsheetml/2017/richdata2" ref="A22:F350">
    <sortCondition ref="A22:A350"/>
    <sortCondition ref="D22:D350"/>
    <sortCondition ref="B22:B350"/>
    <sortCondition ref="C22:C350"/>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5"/>
  <sheetViews>
    <sheetView workbookViewId="0">
      <selection activeCell="I13" sqref="I13"/>
    </sheetView>
  </sheetViews>
  <sheetFormatPr defaultRowHeight="15"/>
  <cols>
    <col min="2" max="2" width="23" customWidth="1"/>
    <col min="4" max="4" width="19.5703125" customWidth="1"/>
    <col min="5" max="5" width="10.42578125" customWidth="1"/>
    <col min="6" max="6" width="11.85546875" customWidth="1"/>
  </cols>
  <sheetData>
    <row r="1" spans="1:13">
      <c r="A1" t="s">
        <v>14</v>
      </c>
      <c r="B1" t="s">
        <v>15</v>
      </c>
      <c r="C1" t="s">
        <v>10</v>
      </c>
      <c r="D1" t="s">
        <v>16</v>
      </c>
      <c r="E1" t="s">
        <v>17</v>
      </c>
      <c r="F1" t="s">
        <v>18</v>
      </c>
      <c r="G1" s="10" t="s">
        <v>21</v>
      </c>
      <c r="H1" t="s">
        <v>4</v>
      </c>
      <c r="I1" s="2" t="s">
        <v>6</v>
      </c>
      <c r="J1" t="s">
        <v>5</v>
      </c>
      <c r="K1" s="10" t="s">
        <v>11</v>
      </c>
      <c r="L1" s="10" t="s">
        <v>12</v>
      </c>
      <c r="M1" s="10" t="s">
        <v>22</v>
      </c>
    </row>
    <row r="2" spans="1:13" ht="57.75" thickBot="1">
      <c r="A2" s="33" t="s">
        <v>162</v>
      </c>
      <c r="B2" s="35" t="s">
        <v>0</v>
      </c>
      <c r="C2" s="34" t="s">
        <v>87</v>
      </c>
      <c r="D2" s="34" t="s">
        <v>160</v>
      </c>
      <c r="E2" s="36">
        <v>44059</v>
      </c>
      <c r="F2" s="37">
        <v>500</v>
      </c>
      <c r="G2" s="32" t="s">
        <v>2</v>
      </c>
      <c r="H2">
        <v>0</v>
      </c>
      <c r="I2" s="2">
        <v>100</v>
      </c>
      <c r="J2" s="10"/>
      <c r="K2" s="16">
        <f>(+H2/(H2+I2))*100</f>
        <v>0</v>
      </c>
      <c r="L2" s="16">
        <f>(+I2/(H2+I2))*100</f>
        <v>100</v>
      </c>
    </row>
    <row r="3" spans="1:13" ht="57.75" thickBot="1">
      <c r="A3" s="33" t="s">
        <v>162</v>
      </c>
      <c r="B3" s="35" t="s">
        <v>91</v>
      </c>
      <c r="C3" s="34" t="s">
        <v>87</v>
      </c>
      <c r="D3" s="34" t="s">
        <v>160</v>
      </c>
      <c r="E3" s="36">
        <v>44055</v>
      </c>
      <c r="F3" s="37">
        <v>500</v>
      </c>
      <c r="G3" s="32" t="s">
        <v>2</v>
      </c>
      <c r="H3">
        <v>0</v>
      </c>
      <c r="I3" s="2">
        <v>100</v>
      </c>
      <c r="K3" s="16">
        <f>(+H3/(H3+I3))*100</f>
        <v>0</v>
      </c>
      <c r="L3" s="16">
        <f>(+I3/(H3+I3))*100</f>
        <v>100</v>
      </c>
    </row>
    <row r="4" spans="1:13">
      <c r="F4" s="12"/>
    </row>
    <row r="5" spans="1:13">
      <c r="A5" s="18"/>
      <c r="F5" s="12">
        <f>SUM(F2:F4)</f>
        <v>1000</v>
      </c>
    </row>
  </sheetData>
  <hyperlinks>
    <hyperlink ref="B2" r:id="rId1" tooltip="BIDEN FOR PRESIDENT" display="https://www.fec.gov/data/committee/C00703975/" xr:uid="{B1947F66-001C-42A5-83DB-5C72D783AC7B}"/>
    <hyperlink ref="B3" r:id="rId2" tooltip="BIDEN VICTORY FUND" display="https://www.fec.gov/data/committee/C00744946/" xr:uid="{ABA411DE-4759-4BF0-87E4-45DDC6BDDC1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52"/>
  <sheetViews>
    <sheetView workbookViewId="0">
      <selection activeCell="B18" sqref="B18"/>
    </sheetView>
  </sheetViews>
  <sheetFormatPr defaultColWidth="8.85546875" defaultRowHeight="15"/>
  <cols>
    <col min="1" max="1" width="24" style="10" customWidth="1"/>
    <col min="2" max="2" width="41.140625" style="10" customWidth="1"/>
    <col min="3" max="4" width="8.85546875" style="10"/>
    <col min="5" max="5" width="12.7109375" style="10" customWidth="1"/>
    <col min="6" max="6" width="12.42578125" style="10" customWidth="1"/>
    <col min="7" max="16384" width="8.85546875" style="10"/>
  </cols>
  <sheetData>
    <row r="1" spans="1:13">
      <c r="A1" s="10" t="s">
        <v>14</v>
      </c>
      <c r="B1" s="10" t="s">
        <v>15</v>
      </c>
      <c r="C1" s="10" t="s">
        <v>10</v>
      </c>
      <c r="D1" s="10" t="s">
        <v>16</v>
      </c>
      <c r="E1" s="10" t="s">
        <v>17</v>
      </c>
      <c r="F1" s="10" t="s">
        <v>18</v>
      </c>
      <c r="G1" s="10" t="s">
        <v>21</v>
      </c>
      <c r="H1" s="10" t="s">
        <v>4</v>
      </c>
      <c r="I1" s="13" t="s">
        <v>6</v>
      </c>
      <c r="J1" s="10" t="s">
        <v>5</v>
      </c>
      <c r="K1" s="10" t="s">
        <v>11</v>
      </c>
      <c r="L1" s="10" t="s">
        <v>12</v>
      </c>
      <c r="M1" s="10" t="s">
        <v>22</v>
      </c>
    </row>
    <row r="2" spans="1:13" ht="30.75" thickBot="1">
      <c r="A2" s="33" t="s">
        <v>169</v>
      </c>
      <c r="B2" s="35" t="s">
        <v>170</v>
      </c>
      <c r="C2" s="34" t="s">
        <v>88</v>
      </c>
      <c r="D2" s="34" t="s">
        <v>23</v>
      </c>
      <c r="E2" s="36">
        <v>44095</v>
      </c>
      <c r="F2" s="37">
        <v>6660</v>
      </c>
      <c r="G2" s="38" t="s">
        <v>2</v>
      </c>
      <c r="H2" s="10">
        <v>0</v>
      </c>
      <c r="I2" s="10">
        <v>100</v>
      </c>
      <c r="K2" s="16">
        <f>(+H2/(H2+I2))*100</f>
        <v>0</v>
      </c>
      <c r="L2" s="16">
        <f>(+I2/(H2+I2))*100</f>
        <v>100</v>
      </c>
    </row>
    <row r="3" spans="1:13" ht="29.25" thickBot="1">
      <c r="A3" s="33" t="s">
        <v>169</v>
      </c>
      <c r="B3" s="35" t="s">
        <v>171</v>
      </c>
      <c r="C3" s="34" t="s">
        <v>88</v>
      </c>
      <c r="D3" s="34" t="s">
        <v>23</v>
      </c>
      <c r="E3" s="36">
        <v>44095</v>
      </c>
      <c r="F3" s="37">
        <v>6670</v>
      </c>
      <c r="G3" s="38" t="s">
        <v>2</v>
      </c>
      <c r="H3" s="10">
        <v>0</v>
      </c>
      <c r="I3" s="10">
        <v>100</v>
      </c>
      <c r="K3" s="16">
        <f t="shared" ref="K3:K5" si="0">(+H3/(H3+I3))*100</f>
        <v>0</v>
      </c>
      <c r="L3" s="16">
        <f t="shared" ref="L3:L5" si="1">(+I3/(H3+I3))*100</f>
        <v>100</v>
      </c>
    </row>
    <row r="4" spans="1:13" ht="29.25" thickBot="1">
      <c r="A4" s="33" t="s">
        <v>169</v>
      </c>
      <c r="B4" s="35" t="s">
        <v>0</v>
      </c>
      <c r="C4" s="34" t="s">
        <v>88</v>
      </c>
      <c r="D4" s="34" t="s">
        <v>23</v>
      </c>
      <c r="E4" s="36">
        <v>44004</v>
      </c>
      <c r="F4" s="37">
        <v>2800</v>
      </c>
      <c r="G4" s="38" t="s">
        <v>2</v>
      </c>
      <c r="H4" s="10">
        <v>0</v>
      </c>
      <c r="I4" s="10">
        <v>100</v>
      </c>
      <c r="K4" s="16">
        <f t="shared" si="0"/>
        <v>0</v>
      </c>
      <c r="L4" s="16">
        <f t="shared" si="1"/>
        <v>100</v>
      </c>
    </row>
    <row r="5" spans="1:13" ht="29.25" thickBot="1">
      <c r="A5" s="33" t="s">
        <v>169</v>
      </c>
      <c r="B5" s="35" t="s">
        <v>0</v>
      </c>
      <c r="C5" s="34" t="s">
        <v>88</v>
      </c>
      <c r="D5" s="34" t="s">
        <v>23</v>
      </c>
      <c r="E5" s="36">
        <v>43630</v>
      </c>
      <c r="F5" s="37">
        <v>2800</v>
      </c>
      <c r="G5" s="38" t="s">
        <v>2</v>
      </c>
      <c r="H5" s="10">
        <v>0</v>
      </c>
      <c r="I5" s="10">
        <v>100</v>
      </c>
      <c r="K5" s="16">
        <f t="shared" si="0"/>
        <v>0</v>
      </c>
      <c r="L5" s="16">
        <f t="shared" si="1"/>
        <v>100</v>
      </c>
    </row>
    <row r="6" spans="1:13" ht="16.5" thickBot="1">
      <c r="A6" s="33"/>
      <c r="B6" s="35"/>
      <c r="C6" s="34"/>
      <c r="D6" s="34"/>
      <c r="E6" s="36"/>
      <c r="F6" s="37"/>
      <c r="K6" s="16"/>
      <c r="L6" s="16"/>
    </row>
    <row r="7" spans="1:13" ht="16.5" thickBot="1">
      <c r="A7" s="33"/>
      <c r="B7" s="35"/>
      <c r="C7" s="34"/>
      <c r="D7" s="34"/>
      <c r="E7" s="36"/>
      <c r="F7" s="37"/>
      <c r="K7" s="16"/>
      <c r="L7" s="16"/>
    </row>
    <row r="8" spans="1:13" ht="16.5" thickBot="1">
      <c r="A8" s="33"/>
      <c r="B8" s="35"/>
      <c r="C8" s="34"/>
      <c r="D8" s="34"/>
      <c r="E8" s="36"/>
      <c r="F8" s="37"/>
      <c r="K8" s="16"/>
      <c r="L8" s="16"/>
    </row>
    <row r="9" spans="1:13" ht="16.5" thickBot="1">
      <c r="A9" s="33"/>
      <c r="B9" s="35"/>
      <c r="C9" s="34"/>
      <c r="D9" s="34"/>
      <c r="E9" s="36"/>
      <c r="F9" s="37"/>
      <c r="K9" s="16"/>
      <c r="L9" s="16"/>
    </row>
    <row r="10" spans="1:13" ht="16.5" thickBot="1">
      <c r="A10" s="33"/>
      <c r="B10" s="35"/>
      <c r="C10" s="34"/>
      <c r="D10" s="34"/>
      <c r="E10" s="36"/>
      <c r="F10" s="37"/>
      <c r="K10" s="16"/>
      <c r="L10" s="16"/>
    </row>
    <row r="11" spans="1:13" ht="16.5" thickBot="1">
      <c r="A11" s="33"/>
      <c r="B11" s="35"/>
      <c r="C11" s="34"/>
      <c r="D11" s="34"/>
      <c r="E11" s="36"/>
      <c r="F11" s="37"/>
      <c r="K11" s="16"/>
      <c r="L11" s="16"/>
    </row>
    <row r="12" spans="1:13" ht="16.5" thickBot="1">
      <c r="A12" s="33"/>
      <c r="B12" s="35"/>
      <c r="C12" s="34"/>
      <c r="D12" s="34"/>
      <c r="E12" s="36"/>
      <c r="F12" s="37"/>
      <c r="K12" s="16"/>
      <c r="L12" s="16"/>
    </row>
    <row r="13" spans="1:13" ht="16.5" thickBot="1">
      <c r="A13" s="33"/>
      <c r="B13" s="35"/>
      <c r="C13" s="34"/>
      <c r="D13" s="34"/>
      <c r="E13" s="36"/>
      <c r="F13" s="37"/>
      <c r="K13" s="16"/>
      <c r="L13" s="16"/>
    </row>
    <row r="14" spans="1:13" ht="16.5" thickBot="1">
      <c r="A14" s="33"/>
      <c r="B14" s="35"/>
      <c r="C14" s="34"/>
      <c r="D14" s="34"/>
      <c r="E14" s="36"/>
      <c r="F14" s="37"/>
      <c r="K14" s="16"/>
      <c r="L14" s="16"/>
    </row>
    <row r="15" spans="1:13" ht="16.5" thickBot="1">
      <c r="A15" s="33"/>
      <c r="B15" s="35"/>
      <c r="C15" s="34"/>
      <c r="D15" s="34"/>
      <c r="E15" s="36"/>
      <c r="F15" s="37"/>
      <c r="K15" s="16"/>
      <c r="L15" s="16"/>
    </row>
    <row r="16" spans="1:13" ht="16.5" thickBot="1">
      <c r="A16" s="33"/>
      <c r="B16" s="35"/>
      <c r="C16" s="34"/>
      <c r="D16" s="34"/>
      <c r="E16" s="36"/>
      <c r="F16" s="37"/>
      <c r="K16" s="16"/>
      <c r="L16" s="16"/>
    </row>
    <row r="17" spans="1:12" ht="16.5" thickBot="1">
      <c r="A17" s="33"/>
      <c r="B17" s="35"/>
      <c r="C17" s="34"/>
      <c r="D17" s="34"/>
      <c r="E17" s="36"/>
      <c r="F17" s="37"/>
      <c r="K17" s="16"/>
      <c r="L17" s="16"/>
    </row>
    <row r="18" spans="1:12" ht="16.5" thickBot="1">
      <c r="A18" s="33"/>
      <c r="B18" s="35"/>
      <c r="C18" s="34"/>
      <c r="D18" s="34"/>
      <c r="E18" s="36"/>
      <c r="F18" s="37"/>
      <c r="K18" s="16"/>
      <c r="L18" s="16"/>
    </row>
    <row r="19" spans="1:12" ht="16.5" thickBot="1">
      <c r="A19" s="33"/>
      <c r="B19" s="35"/>
      <c r="C19" s="34"/>
      <c r="D19" s="34"/>
      <c r="E19" s="36"/>
      <c r="F19" s="37"/>
      <c r="K19" s="16"/>
      <c r="L19" s="16"/>
    </row>
    <row r="20" spans="1:12" ht="16.5" thickBot="1">
      <c r="A20" s="33"/>
      <c r="B20" s="35"/>
      <c r="C20" s="34"/>
      <c r="D20" s="34"/>
      <c r="E20" s="36"/>
      <c r="F20" s="37"/>
      <c r="K20" s="16"/>
      <c r="L20" s="16"/>
    </row>
    <row r="21" spans="1:12" ht="16.5" thickBot="1">
      <c r="A21" s="33"/>
      <c r="B21" s="35"/>
      <c r="C21" s="34"/>
      <c r="D21" s="34"/>
      <c r="E21" s="36"/>
      <c r="F21" s="37"/>
      <c r="K21" s="16"/>
      <c r="L21" s="16"/>
    </row>
    <row r="22" spans="1:12" ht="16.5" thickBot="1">
      <c r="A22" s="33"/>
      <c r="B22" s="35"/>
      <c r="C22" s="34"/>
      <c r="D22" s="34"/>
      <c r="E22" s="36"/>
      <c r="F22" s="37"/>
      <c r="K22" s="16"/>
      <c r="L22" s="16"/>
    </row>
    <row r="23" spans="1:12" ht="16.5" thickBot="1">
      <c r="A23" s="33"/>
      <c r="B23" s="35"/>
      <c r="C23" s="34"/>
      <c r="D23" s="34"/>
      <c r="E23" s="36"/>
      <c r="F23" s="37"/>
      <c r="K23" s="16"/>
      <c r="L23" s="16"/>
    </row>
    <row r="24" spans="1:12" ht="16.5" thickBot="1">
      <c r="A24" s="33"/>
      <c r="B24" s="35"/>
      <c r="C24" s="34"/>
      <c r="D24" s="34"/>
      <c r="E24" s="36"/>
      <c r="F24" s="37"/>
      <c r="K24" s="16"/>
      <c r="L24" s="16"/>
    </row>
    <row r="25" spans="1:12" ht="16.5" thickBot="1">
      <c r="A25" s="33"/>
      <c r="B25" s="35"/>
      <c r="C25" s="34"/>
      <c r="D25" s="34"/>
      <c r="E25" s="36"/>
      <c r="F25" s="37"/>
      <c r="K25" s="16"/>
      <c r="L25" s="16"/>
    </row>
    <row r="26" spans="1:12" ht="16.5" thickBot="1">
      <c r="A26" s="33"/>
      <c r="B26" s="35"/>
      <c r="C26" s="34"/>
      <c r="D26" s="34"/>
      <c r="E26" s="36"/>
      <c r="F26" s="37"/>
      <c r="K26" s="16"/>
      <c r="L26" s="16"/>
    </row>
    <row r="27" spans="1:12" ht="16.5" thickBot="1">
      <c r="A27" s="33"/>
      <c r="B27" s="35"/>
      <c r="C27" s="34"/>
      <c r="D27" s="34"/>
      <c r="E27" s="36"/>
      <c r="F27" s="37"/>
      <c r="K27" s="16"/>
      <c r="L27" s="16"/>
    </row>
    <row r="28" spans="1:12" ht="16.5" thickBot="1">
      <c r="A28" s="33"/>
      <c r="B28" s="35"/>
      <c r="C28" s="34"/>
      <c r="D28" s="34"/>
      <c r="E28" s="36"/>
      <c r="F28" s="37"/>
      <c r="K28" s="16"/>
      <c r="L28" s="16"/>
    </row>
    <row r="29" spans="1:12" ht="16.5" thickBot="1">
      <c r="A29" s="33"/>
      <c r="B29" s="35"/>
      <c r="C29" s="34"/>
      <c r="D29" s="34"/>
      <c r="E29" s="36"/>
      <c r="F29" s="37"/>
      <c r="K29" s="16"/>
      <c r="L29" s="16"/>
    </row>
    <row r="30" spans="1:12" ht="16.5" thickBot="1">
      <c r="A30" s="33"/>
      <c r="B30" s="35"/>
      <c r="C30" s="34"/>
      <c r="D30" s="34"/>
      <c r="E30" s="36"/>
      <c r="F30" s="37"/>
      <c r="K30" s="16"/>
      <c r="L30" s="16"/>
    </row>
    <row r="31" spans="1:12" ht="16.5" thickBot="1">
      <c r="A31" s="33"/>
      <c r="B31" s="35"/>
      <c r="C31" s="34"/>
      <c r="D31" s="34"/>
      <c r="E31" s="36"/>
      <c r="F31" s="37"/>
      <c r="K31" s="16"/>
      <c r="L31" s="16"/>
    </row>
    <row r="32" spans="1:12" ht="16.5" thickBot="1">
      <c r="A32" s="33"/>
      <c r="B32" s="35"/>
      <c r="C32" s="34"/>
      <c r="D32" s="34"/>
      <c r="E32" s="36"/>
      <c r="F32" s="37"/>
      <c r="K32" s="16"/>
      <c r="L32" s="16"/>
    </row>
    <row r="33" spans="1:12" ht="16.5" thickBot="1">
      <c r="A33" s="33"/>
      <c r="B33" s="35"/>
      <c r="C33" s="34"/>
      <c r="D33" s="34"/>
      <c r="E33" s="36"/>
      <c r="F33" s="37"/>
      <c r="K33" s="16"/>
      <c r="L33" s="16"/>
    </row>
    <row r="34" spans="1:12" ht="16.5" thickBot="1">
      <c r="A34" s="33"/>
      <c r="B34" s="35"/>
      <c r="C34" s="34"/>
      <c r="D34" s="34"/>
      <c r="E34" s="36"/>
      <c r="F34" s="37"/>
      <c r="K34" s="16"/>
      <c r="L34" s="16"/>
    </row>
    <row r="35" spans="1:12" ht="16.5" thickBot="1">
      <c r="A35" s="33"/>
      <c r="B35" s="35"/>
      <c r="C35" s="34"/>
      <c r="D35" s="34"/>
      <c r="E35" s="36"/>
      <c r="F35" s="37"/>
      <c r="K35" s="16"/>
      <c r="L35" s="16"/>
    </row>
    <row r="36" spans="1:12" ht="16.5" thickBot="1">
      <c r="A36" s="33"/>
      <c r="B36" s="35"/>
      <c r="C36" s="34"/>
      <c r="D36" s="34"/>
      <c r="E36" s="36"/>
      <c r="F36" s="37"/>
      <c r="K36" s="16"/>
      <c r="L36" s="16"/>
    </row>
    <row r="37" spans="1:12" ht="16.5" thickBot="1">
      <c r="A37" s="33"/>
      <c r="B37" s="35"/>
      <c r="C37" s="34"/>
      <c r="D37" s="34"/>
      <c r="E37" s="36"/>
      <c r="F37" s="37"/>
      <c r="K37" s="16"/>
      <c r="L37" s="16"/>
    </row>
    <row r="38" spans="1:12" ht="16.5" thickBot="1">
      <c r="A38" s="33"/>
      <c r="B38" s="35"/>
      <c r="C38" s="34"/>
      <c r="D38" s="34"/>
      <c r="E38" s="36"/>
      <c r="F38" s="37"/>
      <c r="K38" s="16"/>
      <c r="L38" s="16"/>
    </row>
    <row r="39" spans="1:12" ht="16.5" thickBot="1">
      <c r="A39" s="33"/>
      <c r="B39" s="35"/>
      <c r="C39" s="34"/>
      <c r="D39" s="34"/>
      <c r="E39" s="36"/>
      <c r="F39" s="37"/>
      <c r="K39" s="16"/>
      <c r="L39" s="16"/>
    </row>
    <row r="40" spans="1:12" ht="16.5" thickBot="1">
      <c r="A40" s="33"/>
      <c r="B40" s="35"/>
      <c r="C40" s="34"/>
      <c r="D40" s="34"/>
      <c r="E40" s="36"/>
      <c r="F40" s="37"/>
      <c r="K40" s="16"/>
      <c r="L40" s="16"/>
    </row>
    <row r="41" spans="1:12" ht="16.5" thickBot="1">
      <c r="A41" s="33"/>
      <c r="B41" s="35"/>
      <c r="C41" s="34"/>
      <c r="D41" s="34"/>
      <c r="E41" s="36"/>
      <c r="F41" s="37"/>
      <c r="K41" s="16"/>
      <c r="L41" s="16"/>
    </row>
    <row r="42" spans="1:12" ht="16.5" thickBot="1">
      <c r="A42" s="33"/>
      <c r="B42" s="35"/>
      <c r="C42" s="34"/>
      <c r="D42" s="34"/>
      <c r="E42" s="36"/>
      <c r="F42" s="37"/>
      <c r="K42" s="16"/>
      <c r="L42" s="16"/>
    </row>
    <row r="43" spans="1:12" ht="16.5" thickBot="1">
      <c r="A43" s="33"/>
      <c r="B43" s="35"/>
      <c r="C43" s="34"/>
      <c r="D43" s="34"/>
      <c r="E43" s="36"/>
      <c r="F43" s="37"/>
      <c r="K43" s="16"/>
      <c r="L43" s="16"/>
    </row>
    <row r="44" spans="1:12" ht="16.5" thickBot="1">
      <c r="A44" s="33"/>
      <c r="B44" s="35"/>
      <c r="C44" s="34"/>
      <c r="D44" s="34"/>
      <c r="E44" s="36"/>
      <c r="F44" s="37"/>
      <c r="K44" s="16"/>
      <c r="L44" s="16"/>
    </row>
    <row r="45" spans="1:12" ht="16.5" thickBot="1">
      <c r="A45" s="33"/>
      <c r="B45" s="35"/>
      <c r="C45" s="34"/>
      <c r="D45" s="34"/>
      <c r="E45" s="36"/>
      <c r="F45" s="37"/>
      <c r="K45" s="16"/>
      <c r="L45" s="16"/>
    </row>
    <row r="46" spans="1:12" ht="16.5" thickBot="1">
      <c r="A46" s="33"/>
      <c r="B46" s="35"/>
      <c r="C46" s="34"/>
      <c r="D46" s="34"/>
      <c r="E46" s="36"/>
      <c r="F46" s="37"/>
      <c r="K46" s="16"/>
      <c r="L46" s="16"/>
    </row>
    <row r="47" spans="1:12" ht="16.5" thickBot="1">
      <c r="A47" s="33"/>
      <c r="B47" s="35"/>
      <c r="C47" s="34"/>
      <c r="D47" s="34"/>
      <c r="E47" s="36"/>
      <c r="F47" s="37"/>
      <c r="K47" s="16"/>
      <c r="L47" s="16"/>
    </row>
    <row r="48" spans="1:12" ht="16.5" thickBot="1">
      <c r="A48" s="33"/>
      <c r="B48" s="35"/>
      <c r="C48" s="34"/>
      <c r="D48" s="34"/>
      <c r="E48" s="36"/>
      <c r="F48" s="37"/>
      <c r="K48" s="16"/>
      <c r="L48" s="16"/>
    </row>
    <row r="49" spans="1:12" ht="16.5" thickBot="1">
      <c r="A49" s="33"/>
      <c r="B49" s="35"/>
      <c r="C49" s="34"/>
      <c r="D49" s="34"/>
      <c r="E49" s="36"/>
      <c r="F49" s="37"/>
      <c r="K49" s="16"/>
      <c r="L49" s="16"/>
    </row>
    <row r="50" spans="1:12" ht="16.5" thickBot="1">
      <c r="A50" s="33"/>
      <c r="B50" s="35"/>
      <c r="C50" s="34"/>
      <c r="D50" s="34"/>
      <c r="E50" s="36"/>
      <c r="F50" s="37"/>
      <c r="K50" s="16"/>
      <c r="L50" s="16"/>
    </row>
    <row r="51" spans="1:12" ht="16.5" thickBot="1">
      <c r="A51" s="33"/>
      <c r="B51" s="35"/>
      <c r="C51" s="34"/>
      <c r="D51" s="34"/>
      <c r="E51" s="36"/>
      <c r="F51" s="37"/>
      <c r="K51" s="16"/>
      <c r="L51" s="16"/>
    </row>
    <row r="52" spans="1:12">
      <c r="F52" s="15"/>
    </row>
  </sheetData>
  <hyperlinks>
    <hyperlink ref="B2" r:id="rId1" tooltip="DEMOCRATIC EXECUTIVE COMMITTEE OF FLORIDA" display="https://www.fec.gov/data/committee/C00005561/" xr:uid="{921DE198-2012-4765-B97F-B4E2B98AD205}"/>
    <hyperlink ref="B3" r:id="rId2" tooltip="DEMOCRATIC PARTY OF VIRGINIA" display="https://www.fec.gov/data/committee/C00155952/" xr:uid="{3E14F241-747E-44EF-B9B8-4447DE4256FB}"/>
    <hyperlink ref="B4" r:id="rId3" tooltip="BIDEN FOR PRESIDENT" display="https://www.fec.gov/data/committee/C00703975/" xr:uid="{5E6B0ACA-5EFC-4B70-9A2C-8CBF6D1D96FA}"/>
    <hyperlink ref="B5" r:id="rId4" tooltip="BIDEN FOR PRESIDENT" display="https://www.fec.gov/data/committee/C00703975/" xr:uid="{3559A726-4934-4104-BE2B-DD1B1A31D2D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25"/>
  <sheetViews>
    <sheetView topLeftCell="A6" workbookViewId="0">
      <selection activeCell="A10" sqref="A10"/>
    </sheetView>
  </sheetViews>
  <sheetFormatPr defaultRowHeight="15"/>
  <cols>
    <col min="2" max="2" width="22.5703125" customWidth="1"/>
    <col min="5" max="6" width="13.7109375" customWidth="1"/>
    <col min="7" max="7" width="11.7109375" customWidth="1"/>
    <col min="12" max="12" width="13.5703125" customWidth="1"/>
  </cols>
  <sheetData>
    <row r="1" spans="1:16">
      <c r="A1" s="10" t="s">
        <v>14</v>
      </c>
      <c r="B1" s="10" t="s">
        <v>15</v>
      </c>
      <c r="C1" s="10" t="s">
        <v>10</v>
      </c>
      <c r="D1" s="10" t="s">
        <v>16</v>
      </c>
      <c r="E1" s="10" t="s">
        <v>17</v>
      </c>
      <c r="F1" s="10" t="s">
        <v>18</v>
      </c>
      <c r="G1" s="10" t="s">
        <v>21</v>
      </c>
      <c r="H1" s="10" t="s">
        <v>4</v>
      </c>
      <c r="I1" s="13" t="s">
        <v>6</v>
      </c>
      <c r="J1" s="10" t="s">
        <v>5</v>
      </c>
      <c r="K1" s="10" t="s">
        <v>11</v>
      </c>
      <c r="L1" s="10" t="s">
        <v>12</v>
      </c>
      <c r="M1" s="10" t="s">
        <v>22</v>
      </c>
      <c r="N1" s="10"/>
      <c r="O1" s="10"/>
      <c r="P1" s="10"/>
    </row>
    <row r="2" spans="1:16" ht="86.25" thickBot="1">
      <c r="A2" s="33" t="s">
        <v>174</v>
      </c>
      <c r="B2" s="35" t="s">
        <v>175</v>
      </c>
      <c r="C2" s="34" t="s">
        <v>24</v>
      </c>
      <c r="D2" s="34" t="s">
        <v>176</v>
      </c>
      <c r="E2" s="36">
        <v>44036</v>
      </c>
      <c r="F2" s="37">
        <v>500</v>
      </c>
      <c r="G2" t="s">
        <v>2</v>
      </c>
      <c r="H2">
        <v>0</v>
      </c>
      <c r="I2" s="2">
        <v>100</v>
      </c>
      <c r="J2" s="2"/>
      <c r="K2" s="16">
        <f>(+H2/(H2+I2))*100</f>
        <v>0</v>
      </c>
      <c r="L2" s="16">
        <f>(+I2/(H2+I2))*100</f>
        <v>100</v>
      </c>
      <c r="M2" s="16"/>
    </row>
    <row r="3" spans="1:16" ht="86.25" thickBot="1">
      <c r="A3" s="33" t="s">
        <v>174</v>
      </c>
      <c r="B3" s="35" t="s">
        <v>101</v>
      </c>
      <c r="C3" s="34" t="s">
        <v>24</v>
      </c>
      <c r="D3" s="34" t="s">
        <v>177</v>
      </c>
      <c r="E3" s="36">
        <v>43897</v>
      </c>
      <c r="F3" s="37">
        <v>1000</v>
      </c>
      <c r="G3" t="s">
        <v>2</v>
      </c>
      <c r="H3">
        <v>0</v>
      </c>
      <c r="I3" s="2">
        <v>100</v>
      </c>
      <c r="J3" s="2"/>
      <c r="K3" s="16">
        <f>(+H3/(H3+I3))*100</f>
        <v>0</v>
      </c>
      <c r="L3" s="16">
        <f>(+I3/(H3+I3))*100</f>
        <v>100</v>
      </c>
    </row>
    <row r="4" spans="1:16" ht="72" thickBot="1">
      <c r="A4" s="33" t="s">
        <v>178</v>
      </c>
      <c r="B4" s="35" t="s">
        <v>90</v>
      </c>
      <c r="C4" s="34" t="s">
        <v>24</v>
      </c>
      <c r="D4" s="34" t="s">
        <v>179</v>
      </c>
      <c r="E4" s="36">
        <v>43880</v>
      </c>
      <c r="F4" s="37">
        <v>10000</v>
      </c>
      <c r="G4" t="s">
        <v>2</v>
      </c>
      <c r="H4">
        <v>0</v>
      </c>
      <c r="I4" s="2">
        <v>100</v>
      </c>
    </row>
    <row r="5" spans="1:16" ht="72" thickBot="1">
      <c r="A5" s="33" t="s">
        <v>174</v>
      </c>
      <c r="B5" s="35" t="s">
        <v>180</v>
      </c>
      <c r="C5" s="34" t="s">
        <v>24</v>
      </c>
      <c r="D5" s="34" t="s">
        <v>181</v>
      </c>
      <c r="E5" s="36">
        <v>43775</v>
      </c>
      <c r="F5" s="37">
        <v>1000</v>
      </c>
      <c r="G5" t="s">
        <v>2</v>
      </c>
      <c r="H5">
        <v>0</v>
      </c>
      <c r="I5" s="2">
        <v>100</v>
      </c>
    </row>
    <row r="6" spans="1:16" ht="86.25" thickBot="1">
      <c r="A6" s="33" t="s">
        <v>174</v>
      </c>
      <c r="B6" s="35" t="s">
        <v>182</v>
      </c>
      <c r="C6" s="34" t="s">
        <v>24</v>
      </c>
      <c r="D6" s="34" t="s">
        <v>177</v>
      </c>
      <c r="E6" s="36">
        <v>43646</v>
      </c>
      <c r="F6" s="37">
        <v>2000</v>
      </c>
      <c r="G6" t="s">
        <v>2</v>
      </c>
      <c r="H6">
        <v>0</v>
      </c>
      <c r="I6" s="2">
        <v>100</v>
      </c>
    </row>
    <row r="7" spans="1:16" ht="86.25" thickBot="1">
      <c r="A7" s="33" t="s">
        <v>174</v>
      </c>
      <c r="B7" s="35" t="s">
        <v>183</v>
      </c>
      <c r="C7" s="34" t="s">
        <v>24</v>
      </c>
      <c r="D7" s="34" t="s">
        <v>184</v>
      </c>
      <c r="E7" s="36">
        <v>43546</v>
      </c>
      <c r="F7" s="37">
        <v>2000</v>
      </c>
      <c r="G7" t="s">
        <v>2</v>
      </c>
      <c r="H7">
        <v>0</v>
      </c>
      <c r="I7" s="2">
        <v>100</v>
      </c>
    </row>
    <row r="8" spans="1:16" ht="86.25" thickBot="1">
      <c r="A8" s="33" t="s">
        <v>178</v>
      </c>
      <c r="B8" s="35" t="s">
        <v>100</v>
      </c>
      <c r="C8" s="34" t="s">
        <v>24</v>
      </c>
      <c r="D8" s="34" t="s">
        <v>184</v>
      </c>
      <c r="E8" s="36">
        <v>43496</v>
      </c>
      <c r="F8" s="37">
        <v>500</v>
      </c>
      <c r="G8" t="s">
        <v>2</v>
      </c>
      <c r="H8">
        <v>0</v>
      </c>
      <c r="I8" s="2">
        <v>100</v>
      </c>
    </row>
    <row r="9" spans="1:16">
      <c r="F9" s="12">
        <f>SUM(F2:F8)</f>
        <v>17000</v>
      </c>
    </row>
    <row r="19" spans="1:1">
      <c r="A19" s="30"/>
    </row>
    <row r="20" spans="1:1">
      <c r="A20" s="30"/>
    </row>
    <row r="21" spans="1:1">
      <c r="A21" s="19"/>
    </row>
    <row r="22" spans="1:1">
      <c r="A22" s="19"/>
    </row>
    <row r="23" spans="1:1">
      <c r="A23" s="19"/>
    </row>
    <row r="25" spans="1:1">
      <c r="A25" s="2"/>
    </row>
  </sheetData>
  <hyperlinks>
    <hyperlink ref="B2" r:id="rId1" tooltip="OZ FOR CONGRESS" display="https://www.fec.gov/data/committee/C00721290/" xr:uid="{14643758-EAE6-49E9-95CD-989D53AB3FEE}"/>
    <hyperlink ref="B3" r:id="rId2" tooltip="CAL FOR NC" display="https://www.fec.gov/data/committee/C00709410/" xr:uid="{7F15BAA0-35A8-4B41-B9AD-36D9192F6EA2}"/>
    <hyperlink ref="B4" r:id="rId3" tooltip="DNC SERVICES CORP / DEMOCRATIC NATIONAL COMMITTEE" display="https://www.fec.gov/data/committee/C00010603/" xr:uid="{42D0FDFE-CA2B-43F6-BD2C-CC55211E849A}"/>
    <hyperlink ref="B5" r:id="rId4" tooltip="TED LIEU FOR CONGRESS" display="https://www.fec.gov/data/committee/C00556506/" xr:uid="{0B266F13-CA46-41ED-AEDE-2D133C143DFC}"/>
    <hyperlink ref="B6" r:id="rId5" tooltip="KAMALA HARRIS FOR THE PEOPLE" display="https://www.fec.gov/data/committee/C00694455/" xr:uid="{1A034AE4-3AC7-4A17-A9CF-F71FD5DB4382}"/>
    <hyperlink ref="B7" r:id="rId6" tooltip="FRIENDS OF LUCY MCBATH" display="https://www.fec.gov/data/committee/C00672295/" xr:uid="{2F769633-9F59-4B87-8EFC-4C9BE4AA7E32}"/>
    <hyperlink ref="B8" r:id="rId7" tooltip="SHAHEEN FOR SENATE" display="https://www.fec.gov/data/committee/C00457325/" xr:uid="{C8E08E5B-F43E-4714-814B-EA4FE5F5E358}"/>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52"/>
  <sheetViews>
    <sheetView topLeftCell="A7" workbookViewId="0">
      <selection activeCell="F2" sqref="F2:F9"/>
    </sheetView>
  </sheetViews>
  <sheetFormatPr defaultRowHeight="15"/>
  <cols>
    <col min="1" max="1" width="18.7109375" customWidth="1"/>
    <col min="2" max="2" width="19" customWidth="1"/>
    <col min="5" max="5" width="16.28515625" customWidth="1"/>
    <col min="6" max="6" width="15" customWidth="1"/>
  </cols>
  <sheetData>
    <row r="1" spans="1:16">
      <c r="A1" s="10" t="s">
        <v>14</v>
      </c>
      <c r="B1" s="10" t="s">
        <v>15</v>
      </c>
      <c r="C1" s="10" t="s">
        <v>10</v>
      </c>
      <c r="D1" s="10" t="s">
        <v>16</v>
      </c>
      <c r="E1" s="10" t="s">
        <v>17</v>
      </c>
      <c r="F1" s="10" t="s">
        <v>18</v>
      </c>
      <c r="G1" s="10" t="s">
        <v>21</v>
      </c>
      <c r="H1" s="10" t="s">
        <v>4</v>
      </c>
      <c r="I1" s="13" t="s">
        <v>6</v>
      </c>
      <c r="J1" s="10" t="s">
        <v>5</v>
      </c>
      <c r="K1" s="10" t="s">
        <v>11</v>
      </c>
      <c r="L1" s="10" t="s">
        <v>12</v>
      </c>
      <c r="M1" s="10" t="s">
        <v>22</v>
      </c>
      <c r="N1" s="10"/>
      <c r="O1" s="10"/>
      <c r="P1" s="10"/>
    </row>
    <row r="2" spans="1:16" ht="57.75" thickBot="1">
      <c r="A2" s="33" t="s">
        <v>185</v>
      </c>
      <c r="B2" s="35" t="s">
        <v>20</v>
      </c>
      <c r="C2" s="34" t="s">
        <v>24</v>
      </c>
      <c r="D2" s="34" t="s">
        <v>141</v>
      </c>
      <c r="E2" s="36">
        <v>44147</v>
      </c>
      <c r="F2" s="37">
        <v>25</v>
      </c>
      <c r="G2" s="38" t="s">
        <v>2</v>
      </c>
      <c r="H2">
        <v>0</v>
      </c>
      <c r="I2" s="2">
        <v>100</v>
      </c>
      <c r="K2" s="16">
        <f>(+H2/(H2+I2))*100</f>
        <v>0</v>
      </c>
      <c r="L2" s="16">
        <f>(+I2/(H2+I2))*100</f>
        <v>100</v>
      </c>
    </row>
    <row r="3" spans="1:16" ht="57.75" thickBot="1">
      <c r="A3" s="33" t="s">
        <v>185</v>
      </c>
      <c r="B3" s="35" t="s">
        <v>20</v>
      </c>
      <c r="C3" s="34" t="s">
        <v>24</v>
      </c>
      <c r="D3" s="34" t="s">
        <v>141</v>
      </c>
      <c r="E3" s="36">
        <v>43902</v>
      </c>
      <c r="F3" s="37">
        <v>5</v>
      </c>
      <c r="G3" s="38" t="s">
        <v>2</v>
      </c>
      <c r="H3">
        <v>0</v>
      </c>
      <c r="I3" s="2">
        <v>100</v>
      </c>
      <c r="K3" s="16">
        <f t="shared" ref="K3:K23" si="0">(+H3/(H3+I3))*100</f>
        <v>0</v>
      </c>
      <c r="L3" s="16">
        <f t="shared" ref="L3:L23" si="1">(+I3/(H3+I3))*100</f>
        <v>100</v>
      </c>
    </row>
    <row r="4" spans="1:16" ht="57.75" thickBot="1">
      <c r="A4" s="33" t="s">
        <v>185</v>
      </c>
      <c r="B4" s="35" t="s">
        <v>20</v>
      </c>
      <c r="C4" s="34" t="s">
        <v>24</v>
      </c>
      <c r="D4" s="34" t="s">
        <v>141</v>
      </c>
      <c r="E4" s="36">
        <v>43902</v>
      </c>
      <c r="F4" s="37">
        <v>15</v>
      </c>
      <c r="G4" s="38" t="s">
        <v>2</v>
      </c>
      <c r="H4">
        <v>0</v>
      </c>
      <c r="I4" s="2">
        <v>100</v>
      </c>
      <c r="K4" s="16">
        <f t="shared" si="0"/>
        <v>0</v>
      </c>
      <c r="L4" s="16">
        <f t="shared" si="1"/>
        <v>100</v>
      </c>
    </row>
    <row r="5" spans="1:16" ht="57.75" thickBot="1">
      <c r="A5" s="33" t="s">
        <v>185</v>
      </c>
      <c r="B5" s="35" t="s">
        <v>20</v>
      </c>
      <c r="C5" s="34" t="s">
        <v>24</v>
      </c>
      <c r="D5" s="34" t="s">
        <v>141</v>
      </c>
      <c r="E5" s="36">
        <v>43873</v>
      </c>
      <c r="F5" s="37">
        <v>15</v>
      </c>
      <c r="G5" s="38" t="s">
        <v>2</v>
      </c>
      <c r="H5">
        <v>0</v>
      </c>
      <c r="I5" s="2">
        <v>100</v>
      </c>
      <c r="K5" s="16">
        <f t="shared" si="0"/>
        <v>0</v>
      </c>
      <c r="L5" s="16">
        <f t="shared" si="1"/>
        <v>100</v>
      </c>
    </row>
    <row r="6" spans="1:16" ht="57.75" thickBot="1">
      <c r="A6" s="33" t="s">
        <v>185</v>
      </c>
      <c r="B6" s="35" t="s">
        <v>20</v>
      </c>
      <c r="C6" s="34" t="s">
        <v>24</v>
      </c>
      <c r="D6" s="34" t="s">
        <v>141</v>
      </c>
      <c r="E6" s="36">
        <v>43873</v>
      </c>
      <c r="F6" s="37">
        <v>15</v>
      </c>
      <c r="G6" s="38" t="s">
        <v>2</v>
      </c>
      <c r="H6">
        <v>0</v>
      </c>
      <c r="I6" s="2">
        <v>100</v>
      </c>
      <c r="K6" s="16">
        <f t="shared" si="0"/>
        <v>0</v>
      </c>
      <c r="L6" s="16">
        <f t="shared" si="1"/>
        <v>100</v>
      </c>
    </row>
    <row r="7" spans="1:16" ht="57.75" thickBot="1">
      <c r="A7" s="33" t="s">
        <v>185</v>
      </c>
      <c r="B7" s="35" t="s">
        <v>20</v>
      </c>
      <c r="C7" s="34" t="s">
        <v>24</v>
      </c>
      <c r="D7" s="34" t="s">
        <v>141</v>
      </c>
      <c r="E7" s="36">
        <v>43865</v>
      </c>
      <c r="F7" s="37">
        <v>15</v>
      </c>
      <c r="G7" s="38" t="s">
        <v>2</v>
      </c>
      <c r="H7">
        <v>0</v>
      </c>
      <c r="I7" s="2">
        <v>100</v>
      </c>
      <c r="K7" s="16">
        <f t="shared" si="0"/>
        <v>0</v>
      </c>
      <c r="L7" s="16">
        <f t="shared" si="1"/>
        <v>100</v>
      </c>
    </row>
    <row r="8" spans="1:16" ht="57.75" thickBot="1">
      <c r="A8" s="33" t="s">
        <v>185</v>
      </c>
      <c r="B8" s="35" t="s">
        <v>20</v>
      </c>
      <c r="C8" s="34" t="s">
        <v>24</v>
      </c>
      <c r="D8" s="34" t="s">
        <v>141</v>
      </c>
      <c r="E8" s="36">
        <v>43834</v>
      </c>
      <c r="F8" s="37">
        <v>15</v>
      </c>
      <c r="G8" s="38" t="s">
        <v>2</v>
      </c>
      <c r="H8">
        <v>0</v>
      </c>
      <c r="I8" s="2">
        <v>100</v>
      </c>
      <c r="K8" s="16">
        <f t="shared" si="0"/>
        <v>0</v>
      </c>
      <c r="L8" s="16">
        <f t="shared" si="1"/>
        <v>100</v>
      </c>
    </row>
    <row r="9" spans="1:16" ht="16.5" thickBot="1">
      <c r="A9" s="33"/>
      <c r="B9" s="35"/>
      <c r="C9" s="34"/>
      <c r="D9" s="34"/>
      <c r="E9" s="36"/>
      <c r="F9" s="37">
        <f>SUM(F2:F8)</f>
        <v>105</v>
      </c>
      <c r="G9" s="32"/>
      <c r="I9" s="2"/>
      <c r="K9" s="16"/>
      <c r="L9" s="16"/>
    </row>
    <row r="10" spans="1:16" ht="16.5" thickBot="1">
      <c r="A10" s="33"/>
      <c r="B10" s="35"/>
      <c r="C10" s="34"/>
      <c r="D10" s="34"/>
      <c r="E10" s="36"/>
      <c r="F10" s="37"/>
      <c r="G10" s="32"/>
      <c r="I10" s="2"/>
      <c r="K10" s="16"/>
      <c r="L10" s="16"/>
    </row>
    <row r="11" spans="1:16" ht="16.5" thickBot="1">
      <c r="A11" s="33"/>
      <c r="B11" s="35"/>
      <c r="C11" s="34"/>
      <c r="D11" s="34"/>
      <c r="E11" s="36"/>
      <c r="F11" s="37"/>
      <c r="G11" s="32"/>
      <c r="I11" s="2"/>
      <c r="K11" s="16"/>
      <c r="L11" s="16"/>
    </row>
    <row r="12" spans="1:16" ht="16.5" thickBot="1">
      <c r="A12" s="33"/>
      <c r="B12" s="35"/>
      <c r="C12" s="34"/>
      <c r="D12" s="34"/>
      <c r="E12" s="36"/>
      <c r="F12" s="37"/>
      <c r="G12" s="32"/>
      <c r="I12" s="2"/>
      <c r="K12" s="16"/>
      <c r="L12" s="16"/>
    </row>
    <row r="13" spans="1:16" ht="16.5" thickBot="1">
      <c r="A13" s="33"/>
      <c r="B13" s="35"/>
      <c r="C13" s="34"/>
      <c r="D13" s="34"/>
      <c r="E13" s="36"/>
      <c r="F13" s="37"/>
      <c r="G13" s="32"/>
      <c r="I13" s="2"/>
      <c r="K13" s="16"/>
      <c r="L13" s="16"/>
    </row>
    <row r="14" spans="1:16" ht="16.5" thickBot="1">
      <c r="A14" s="33"/>
      <c r="B14" s="35"/>
      <c r="C14" s="34"/>
      <c r="D14" s="34"/>
      <c r="E14" s="36"/>
      <c r="F14" s="37"/>
      <c r="G14" s="32"/>
      <c r="I14" s="2"/>
      <c r="K14" s="16"/>
      <c r="L14" s="16"/>
    </row>
    <row r="15" spans="1:16" ht="16.5" thickBot="1">
      <c r="A15" s="33"/>
      <c r="B15" s="35"/>
      <c r="C15" s="34"/>
      <c r="D15" s="34"/>
      <c r="E15" s="36"/>
      <c r="F15" s="37"/>
      <c r="G15" s="32"/>
      <c r="I15" s="2"/>
      <c r="K15" s="16"/>
      <c r="L15" s="16"/>
    </row>
    <row r="16" spans="1:16" ht="16.5" thickBot="1">
      <c r="A16" s="33"/>
      <c r="B16" s="35"/>
      <c r="C16" s="34"/>
      <c r="D16" s="34"/>
      <c r="E16" s="36"/>
      <c r="F16" s="37"/>
      <c r="G16" s="32"/>
      <c r="I16" s="2"/>
      <c r="K16" s="16"/>
      <c r="L16" s="16"/>
    </row>
    <row r="17" spans="1:12" ht="16.5" thickBot="1">
      <c r="A17" s="33"/>
      <c r="B17" s="35"/>
      <c r="C17" s="34"/>
      <c r="D17" s="34"/>
      <c r="E17" s="36"/>
      <c r="F17" s="37"/>
      <c r="G17" s="32"/>
      <c r="I17" s="2"/>
      <c r="K17" s="16"/>
      <c r="L17" s="16"/>
    </row>
    <row r="18" spans="1:12" ht="16.5" thickBot="1">
      <c r="A18" s="33"/>
      <c r="B18" s="35"/>
      <c r="C18" s="34"/>
      <c r="D18" s="34"/>
      <c r="E18" s="36"/>
      <c r="F18" s="37"/>
      <c r="G18" s="32"/>
      <c r="I18" s="2"/>
      <c r="K18" s="16"/>
      <c r="L18" s="16"/>
    </row>
    <row r="19" spans="1:12" ht="16.5" thickBot="1">
      <c r="A19" s="33"/>
      <c r="B19" s="35"/>
      <c r="C19" s="34"/>
      <c r="D19" s="34"/>
      <c r="E19" s="36"/>
      <c r="F19" s="37"/>
      <c r="G19" s="32"/>
      <c r="I19" s="2"/>
      <c r="K19" s="16"/>
      <c r="L19" s="16"/>
    </row>
    <row r="20" spans="1:12" ht="16.5" thickBot="1">
      <c r="A20" s="33"/>
      <c r="B20" s="35"/>
      <c r="C20" s="34"/>
      <c r="D20" s="34"/>
      <c r="E20" s="36"/>
      <c r="F20" s="37"/>
      <c r="G20" s="32"/>
      <c r="I20" s="2"/>
      <c r="K20" s="16"/>
      <c r="L20" s="16"/>
    </row>
    <row r="21" spans="1:12" ht="16.5" thickBot="1">
      <c r="A21" s="33"/>
      <c r="B21" s="35"/>
      <c r="C21" s="34"/>
      <c r="D21" s="34"/>
      <c r="E21" s="36"/>
      <c r="F21" s="37"/>
      <c r="G21" s="32"/>
      <c r="I21" s="2"/>
      <c r="K21" s="16"/>
      <c r="L21" s="16"/>
    </row>
    <row r="22" spans="1:12" ht="16.5" thickBot="1">
      <c r="A22" s="33"/>
      <c r="B22" s="35"/>
      <c r="C22" s="34"/>
      <c r="D22" s="34"/>
      <c r="E22" s="36"/>
      <c r="F22" s="37"/>
      <c r="G22" s="32"/>
      <c r="I22" s="2"/>
      <c r="K22" s="16"/>
      <c r="L22" s="16"/>
    </row>
    <row r="23" spans="1:12" ht="16.5" thickBot="1">
      <c r="A23" s="33"/>
      <c r="B23" s="35"/>
      <c r="C23" s="34"/>
      <c r="D23" s="34"/>
      <c r="E23" s="36"/>
      <c r="F23" s="37"/>
      <c r="G23" s="32"/>
      <c r="I23" s="2"/>
      <c r="K23" s="16"/>
      <c r="L23" s="16"/>
    </row>
    <row r="24" spans="1:12" ht="15.75">
      <c r="A24" s="19"/>
      <c r="E24" s="1"/>
      <c r="F24" s="12"/>
      <c r="H24" s="31"/>
      <c r="I24" s="31"/>
      <c r="K24" s="16"/>
      <c r="L24" s="16"/>
    </row>
    <row r="25" spans="1:12" ht="15.75">
      <c r="A25" s="19"/>
      <c r="E25" s="1"/>
      <c r="F25" s="12"/>
      <c r="H25" s="31"/>
      <c r="I25" s="31"/>
      <c r="K25" s="16"/>
      <c r="L25" s="16"/>
    </row>
    <row r="26" spans="1:12" ht="15.75">
      <c r="A26" s="19"/>
      <c r="E26" s="1"/>
      <c r="F26" s="12"/>
      <c r="H26" s="31"/>
      <c r="I26" s="31"/>
      <c r="K26" s="16"/>
      <c r="L26" s="16"/>
    </row>
    <row r="27" spans="1:12" ht="15.75">
      <c r="E27" s="1"/>
      <c r="F27" s="12"/>
      <c r="H27" s="31"/>
      <c r="I27" s="31"/>
      <c r="K27" s="16"/>
      <c r="L27" s="16"/>
    </row>
    <row r="28" spans="1:12" ht="15.75">
      <c r="E28" s="1"/>
      <c r="F28" s="12"/>
      <c r="H28" s="31"/>
      <c r="I28" s="31"/>
      <c r="K28" s="16"/>
      <c r="L28" s="16"/>
    </row>
    <row r="29" spans="1:12" ht="15.75">
      <c r="A29" s="19"/>
      <c r="E29" s="1"/>
      <c r="F29" s="12"/>
      <c r="H29" s="31"/>
      <c r="I29" s="31"/>
      <c r="K29" s="16"/>
      <c r="L29" s="16"/>
    </row>
    <row r="30" spans="1:12" ht="15.75">
      <c r="A30" s="19"/>
      <c r="E30" s="1"/>
      <c r="F30" s="12"/>
      <c r="H30" s="31"/>
      <c r="I30" s="31"/>
      <c r="K30" s="16"/>
      <c r="L30" s="16"/>
    </row>
    <row r="31" spans="1:12" ht="15.75">
      <c r="A31" s="20"/>
      <c r="E31" s="1"/>
      <c r="F31" s="12"/>
      <c r="H31" s="31"/>
      <c r="I31" s="31"/>
      <c r="K31" s="16"/>
      <c r="L31" s="16"/>
    </row>
    <row r="32" spans="1:12" ht="15.75">
      <c r="A32" s="19"/>
      <c r="E32" s="1"/>
      <c r="F32" s="12"/>
      <c r="H32" s="31"/>
      <c r="I32" s="31"/>
      <c r="K32" s="16"/>
      <c r="L32" s="16"/>
    </row>
    <row r="33" spans="1:12" ht="15.75">
      <c r="A33" s="18"/>
      <c r="E33" s="1"/>
      <c r="F33" s="12"/>
      <c r="H33" s="31"/>
      <c r="I33" s="31"/>
      <c r="K33" s="16"/>
      <c r="L33" s="16"/>
    </row>
    <row r="34" spans="1:12" ht="15.75">
      <c r="E34" s="1"/>
      <c r="F34" s="12"/>
      <c r="H34" s="31"/>
      <c r="I34" s="31"/>
      <c r="K34" s="16"/>
      <c r="L34" s="16"/>
    </row>
    <row r="35" spans="1:12" ht="15.75">
      <c r="E35" s="1"/>
      <c r="F35" s="12"/>
      <c r="H35" s="31"/>
      <c r="I35" s="31"/>
      <c r="K35" s="16"/>
      <c r="L35" s="16"/>
    </row>
    <row r="36" spans="1:12" ht="15.75">
      <c r="E36" s="1"/>
      <c r="F36" s="12"/>
      <c r="H36" s="31"/>
      <c r="I36" s="31"/>
      <c r="K36" s="16"/>
      <c r="L36" s="16"/>
    </row>
    <row r="37" spans="1:12" ht="15.75">
      <c r="E37" s="1"/>
      <c r="F37" s="12"/>
      <c r="H37" s="31"/>
      <c r="I37" s="31"/>
      <c r="K37" s="16"/>
      <c r="L37" s="16"/>
    </row>
    <row r="38" spans="1:12" ht="15.75">
      <c r="E38" s="1"/>
      <c r="F38" s="12"/>
      <c r="H38" s="31"/>
      <c r="I38" s="31"/>
      <c r="K38" s="16"/>
      <c r="L38" s="16"/>
    </row>
    <row r="39" spans="1:12" ht="15.75">
      <c r="E39" s="1"/>
      <c r="F39" s="12"/>
      <c r="H39" s="31"/>
      <c r="I39" s="31"/>
      <c r="K39" s="16"/>
      <c r="L39" s="16"/>
    </row>
    <row r="40" spans="1:12" ht="15.75">
      <c r="E40" s="1"/>
      <c r="F40" s="12"/>
      <c r="H40" s="31"/>
      <c r="I40" s="31"/>
      <c r="K40" s="16"/>
      <c r="L40" s="16"/>
    </row>
    <row r="41" spans="1:12" ht="15.75">
      <c r="E41" s="1"/>
      <c r="F41" s="12"/>
      <c r="H41" s="31"/>
      <c r="I41" s="31"/>
      <c r="K41" s="16"/>
      <c r="L41" s="16"/>
    </row>
    <row r="42" spans="1:12" ht="15.75">
      <c r="E42" s="1"/>
      <c r="F42" s="12"/>
      <c r="H42" s="31"/>
      <c r="I42" s="31"/>
      <c r="K42" s="16"/>
      <c r="L42" s="16"/>
    </row>
    <row r="43" spans="1:12" ht="15.75">
      <c r="E43" s="1"/>
      <c r="F43" s="12"/>
      <c r="H43" s="31"/>
      <c r="I43" s="31"/>
      <c r="K43" s="16"/>
      <c r="L43" s="16"/>
    </row>
    <row r="44" spans="1:12" ht="15.75">
      <c r="E44" s="1"/>
      <c r="F44" s="12"/>
      <c r="H44" s="31"/>
      <c r="I44" s="31"/>
      <c r="K44" s="16"/>
      <c r="L44" s="16"/>
    </row>
    <row r="45" spans="1:12" ht="15.75">
      <c r="E45" s="1"/>
      <c r="F45" s="12"/>
      <c r="H45" s="31"/>
      <c r="I45" s="31"/>
      <c r="K45" s="16"/>
      <c r="L45" s="16"/>
    </row>
    <row r="46" spans="1:12" ht="15.75">
      <c r="E46" s="1"/>
      <c r="F46" s="12"/>
      <c r="H46" s="31"/>
      <c r="I46" s="31"/>
      <c r="K46" s="16"/>
      <c r="L46" s="16"/>
    </row>
    <row r="47" spans="1:12" ht="15.75">
      <c r="E47" s="1"/>
      <c r="F47" s="12"/>
      <c r="H47" s="31"/>
      <c r="I47" s="31"/>
      <c r="K47" s="16"/>
      <c r="L47" s="16"/>
    </row>
    <row r="48" spans="1:12" ht="15.75">
      <c r="E48" s="1"/>
      <c r="F48" s="12"/>
      <c r="H48" s="31"/>
      <c r="I48" s="31"/>
      <c r="K48" s="16"/>
      <c r="L48" s="16"/>
    </row>
    <row r="49" spans="5:12" ht="15.75">
      <c r="E49" s="1"/>
      <c r="F49" s="12"/>
      <c r="H49" s="31"/>
      <c r="I49" s="31"/>
      <c r="K49" s="16"/>
      <c r="L49" s="16"/>
    </row>
    <row r="50" spans="5:12" ht="15.75">
      <c r="E50" s="1"/>
      <c r="F50" s="12"/>
      <c r="H50" s="31"/>
      <c r="I50" s="31"/>
      <c r="K50" s="16"/>
      <c r="L50" s="16"/>
    </row>
    <row r="51" spans="5:12" ht="15.75">
      <c r="E51" s="1"/>
      <c r="F51" s="12"/>
      <c r="H51" s="31"/>
      <c r="I51" s="31"/>
      <c r="K51" s="16"/>
      <c r="L51" s="16"/>
    </row>
    <row r="52" spans="5:12">
      <c r="F52" s="12"/>
    </row>
  </sheetData>
  <hyperlinks>
    <hyperlink ref="B2" r:id="rId1" tooltip="ACTBLUE" display="https://www.fec.gov/data/committee/C00401224/" xr:uid="{ED556840-3A3C-42B2-A47C-6B76FBF99BE8}"/>
    <hyperlink ref="B3" r:id="rId2" tooltip="ACTBLUE" display="https://www.fec.gov/data/committee/C00401224/" xr:uid="{BFC888C3-65F1-4246-BA07-414511A361AC}"/>
    <hyperlink ref="B4" r:id="rId3" tooltip="ACTBLUE" display="https://www.fec.gov/data/committee/C00401224/" xr:uid="{F3BFE93A-08DA-44EA-A2EC-32E4EBB05802}"/>
    <hyperlink ref="B5" r:id="rId4" tooltip="ACTBLUE" display="https://www.fec.gov/data/committee/C00401224/" xr:uid="{862FBB15-503D-4077-808E-B2330811660A}"/>
    <hyperlink ref="B6" r:id="rId5" tooltip="ACTBLUE" display="https://www.fec.gov/data/committee/C00401224/" xr:uid="{0C74A025-11DE-4F14-B52A-E37B604ACBF1}"/>
    <hyperlink ref="B7" r:id="rId6" tooltip="ACTBLUE" display="https://www.fec.gov/data/committee/C00401224/" xr:uid="{206842D7-C793-47B3-B692-7EE92F30AFF4}"/>
    <hyperlink ref="B8" r:id="rId7" tooltip="ACTBLUE" display="https://www.fec.gov/data/committee/C00401224/" xr:uid="{1CF14503-3D85-4F52-8A8E-04FA4DD16DB4}"/>
  </hyperlinks>
  <pageMargins left="0.7" right="0.7" top="0.75" bottom="0.75" header="0.3" footer="0.3"/>
  <pageSetup orientation="portrait" r:id="rId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21"/>
  <sheetViews>
    <sheetView topLeftCell="C1" workbookViewId="0">
      <selection activeCell="F2" sqref="F2:F6"/>
    </sheetView>
  </sheetViews>
  <sheetFormatPr defaultRowHeight="15"/>
  <cols>
    <col min="2" max="2" width="79.28515625" customWidth="1"/>
    <col min="4" max="4" width="38.42578125" customWidth="1"/>
    <col min="5" max="5" width="17" customWidth="1"/>
    <col min="6" max="6" width="14.5703125" customWidth="1"/>
  </cols>
  <sheetData>
    <row r="1" spans="1:16">
      <c r="A1" s="10" t="s">
        <v>14</v>
      </c>
      <c r="B1" s="10" t="s">
        <v>15</v>
      </c>
      <c r="C1" s="10" t="s">
        <v>10</v>
      </c>
      <c r="D1" s="10" t="s">
        <v>16</v>
      </c>
      <c r="E1" s="10" t="s">
        <v>17</v>
      </c>
      <c r="F1" s="10" t="s">
        <v>18</v>
      </c>
      <c r="G1" s="10" t="s">
        <v>21</v>
      </c>
      <c r="H1" s="10" t="s">
        <v>4</v>
      </c>
      <c r="I1" s="13" t="s">
        <v>6</v>
      </c>
      <c r="J1" s="10" t="s">
        <v>5</v>
      </c>
      <c r="K1" s="10" t="s">
        <v>11</v>
      </c>
      <c r="L1" s="10" t="s">
        <v>12</v>
      </c>
      <c r="M1" s="10" t="s">
        <v>22</v>
      </c>
      <c r="N1" s="10"/>
      <c r="O1" s="10"/>
      <c r="P1" s="10"/>
    </row>
    <row r="2" spans="1:16" ht="43.5" thickBot="1">
      <c r="A2" s="33" t="s">
        <v>186</v>
      </c>
      <c r="B2" s="35" t="s">
        <v>86</v>
      </c>
      <c r="C2" s="34" t="s">
        <v>94</v>
      </c>
      <c r="D2" s="34" t="s">
        <v>187</v>
      </c>
      <c r="E2" s="36">
        <v>44140</v>
      </c>
      <c r="F2" s="37">
        <v>500</v>
      </c>
      <c r="G2" s="38" t="s">
        <v>3</v>
      </c>
      <c r="H2">
        <v>100</v>
      </c>
      <c r="I2" s="2">
        <v>0</v>
      </c>
      <c r="K2" s="16">
        <f>(+H2/(H2+I2))*100</f>
        <v>100</v>
      </c>
      <c r="L2" s="16">
        <f>(+I2/(H2+I2))*100</f>
        <v>0</v>
      </c>
    </row>
    <row r="3" spans="1:16" ht="43.5" thickBot="1">
      <c r="A3" s="33" t="s">
        <v>186</v>
      </c>
      <c r="B3" s="35" t="s">
        <v>92</v>
      </c>
      <c r="C3" s="34" t="s">
        <v>94</v>
      </c>
      <c r="D3" s="34" t="s">
        <v>187</v>
      </c>
      <c r="E3" s="36">
        <v>44140</v>
      </c>
      <c r="F3" s="37">
        <v>500</v>
      </c>
      <c r="G3" s="38" t="s">
        <v>3</v>
      </c>
      <c r="H3">
        <v>100</v>
      </c>
      <c r="I3" s="2">
        <v>0</v>
      </c>
      <c r="K3" s="16">
        <f>(+H3/(H3+I3))*100</f>
        <v>100</v>
      </c>
      <c r="L3" s="16">
        <f>(+I3/(H3+I3))*100</f>
        <v>0</v>
      </c>
    </row>
    <row r="4" spans="1:16" ht="43.5" thickBot="1">
      <c r="A4" s="33" t="s">
        <v>186</v>
      </c>
      <c r="B4" s="35" t="s">
        <v>188</v>
      </c>
      <c r="C4" s="34" t="s">
        <v>94</v>
      </c>
      <c r="D4" s="34" t="s">
        <v>187</v>
      </c>
      <c r="E4" s="36">
        <v>44102</v>
      </c>
      <c r="F4" s="37">
        <v>500</v>
      </c>
      <c r="G4" s="38" t="s">
        <v>3</v>
      </c>
      <c r="H4">
        <v>100</v>
      </c>
      <c r="I4" s="2">
        <v>0</v>
      </c>
      <c r="K4" s="16"/>
      <c r="L4" s="16"/>
    </row>
    <row r="5" spans="1:16" ht="43.5" thickBot="1">
      <c r="A5" s="33" t="s">
        <v>186</v>
      </c>
      <c r="B5" s="35" t="s">
        <v>86</v>
      </c>
      <c r="C5" s="34" t="s">
        <v>94</v>
      </c>
      <c r="D5" s="34" t="s">
        <v>187</v>
      </c>
      <c r="E5" s="36">
        <v>44102</v>
      </c>
      <c r="F5" s="37">
        <v>500</v>
      </c>
      <c r="G5" s="32" t="s">
        <v>3</v>
      </c>
      <c r="H5">
        <v>100</v>
      </c>
      <c r="I5" s="2">
        <v>0</v>
      </c>
      <c r="K5" s="16"/>
      <c r="L5" s="16"/>
    </row>
    <row r="6" spans="1:16" ht="15.75">
      <c r="E6" s="1"/>
      <c r="F6" s="12">
        <f>SUM(F2:F5)</f>
        <v>2000</v>
      </c>
      <c r="K6" s="16"/>
      <c r="L6" s="16"/>
    </row>
    <row r="7" spans="1:16" ht="15.75">
      <c r="E7" s="1"/>
      <c r="F7" s="12"/>
      <c r="K7" s="16"/>
      <c r="L7" s="16"/>
    </row>
    <row r="8" spans="1:16" ht="15.75">
      <c r="E8" s="1"/>
      <c r="F8" s="12"/>
      <c r="K8" s="16"/>
      <c r="L8" s="16"/>
    </row>
    <row r="9" spans="1:16" ht="15.75">
      <c r="E9" s="1"/>
      <c r="F9" s="12"/>
      <c r="K9" s="16"/>
      <c r="L9" s="16"/>
    </row>
    <row r="10" spans="1:16" ht="15.75">
      <c r="E10" s="1"/>
      <c r="F10" s="12"/>
      <c r="K10" s="16"/>
      <c r="L10" s="16"/>
    </row>
    <row r="11" spans="1:16" ht="15.75">
      <c r="E11" s="1"/>
      <c r="F11" s="12"/>
      <c r="K11" s="16"/>
      <c r="L11" s="16"/>
    </row>
    <row r="12" spans="1:16" ht="15.75">
      <c r="E12" s="1"/>
      <c r="F12" s="12"/>
      <c r="K12" s="16"/>
      <c r="L12" s="16"/>
    </row>
    <row r="13" spans="1:16" ht="15.75">
      <c r="E13" s="1"/>
      <c r="F13" s="12"/>
      <c r="K13" s="16"/>
      <c r="L13" s="16"/>
    </row>
    <row r="14" spans="1:16" ht="15.75">
      <c r="E14" s="1"/>
      <c r="F14" s="12"/>
      <c r="K14" s="16"/>
      <c r="L14" s="16"/>
    </row>
    <row r="15" spans="1:16" ht="15.75">
      <c r="E15" s="1"/>
      <c r="F15" s="12"/>
      <c r="K15" s="16"/>
      <c r="L15" s="16"/>
    </row>
    <row r="16" spans="1:16" ht="15.75">
      <c r="E16" s="1"/>
      <c r="F16" s="12"/>
      <c r="K16" s="16"/>
      <c r="L16" s="16"/>
    </row>
    <row r="17" spans="5:12" ht="15.75">
      <c r="E17" s="1"/>
      <c r="F17" s="12"/>
      <c r="K17" s="16"/>
      <c r="L17" s="16"/>
    </row>
    <row r="18" spans="5:12" ht="15.75">
      <c r="E18" s="1"/>
      <c r="F18" s="12"/>
      <c r="K18" s="16"/>
      <c r="L18" s="16"/>
    </row>
    <row r="19" spans="5:12" ht="15.75">
      <c r="E19" s="1"/>
      <c r="F19" s="12"/>
      <c r="K19" s="16"/>
      <c r="L19" s="16"/>
    </row>
    <row r="20" spans="5:12" ht="15.75">
      <c r="E20" s="1"/>
      <c r="F20" s="12"/>
      <c r="K20" s="16"/>
      <c r="L20" s="16"/>
    </row>
    <row r="21" spans="5:12">
      <c r="F21" s="12"/>
    </row>
  </sheetData>
  <hyperlinks>
    <hyperlink ref="B2" r:id="rId1" tooltip="WINRED" display="https://www.fec.gov/data/committee/C00694323/" xr:uid="{99059DB0-7FB5-4F45-9B80-130F55A577CC}"/>
    <hyperlink ref="B3" r:id="rId2" tooltip="TRUMP MAKE AMERICA GREAT AGAIN COMMITTEE" display="https://www.fec.gov/data/committee/C00618371/" xr:uid="{A177D584-B31B-4EA3-AAF8-AEBCE9CFA939}"/>
    <hyperlink ref="B4" r:id="rId3" tooltip="NICOLE FOR NEW YORK" display="https://www.fec.gov/data/committee/C00694778/" xr:uid="{8C6DB0D4-FB42-492A-80B3-7468E6C5A450}"/>
    <hyperlink ref="B5" r:id="rId4" tooltip="WINRED" display="https://www.fec.gov/data/committee/C00694323/" xr:uid="{CC1FE3D3-DE8C-4C3C-9A2E-EBDF418AC24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5"/>
  <sheetViews>
    <sheetView topLeftCell="A6" workbookViewId="0">
      <selection activeCell="F2" sqref="F2:F8"/>
    </sheetView>
  </sheetViews>
  <sheetFormatPr defaultRowHeight="15"/>
  <cols>
    <col min="2" max="2" width="36.5703125" customWidth="1"/>
    <col min="5" max="5" width="19.85546875" customWidth="1"/>
    <col min="6" max="6" width="17.42578125" customWidth="1"/>
    <col min="11" max="11" width="10.85546875" customWidth="1"/>
  </cols>
  <sheetData>
    <row r="1" spans="1:16">
      <c r="A1" s="10" t="s">
        <v>14</v>
      </c>
      <c r="B1" s="10" t="s">
        <v>15</v>
      </c>
      <c r="C1" s="10" t="s">
        <v>10</v>
      </c>
      <c r="D1" s="10" t="s">
        <v>16</v>
      </c>
      <c r="E1" s="10" t="s">
        <v>17</v>
      </c>
      <c r="F1" s="10" t="s">
        <v>18</v>
      </c>
      <c r="G1" s="10" t="s">
        <v>21</v>
      </c>
      <c r="H1" s="10" t="s">
        <v>4</v>
      </c>
      <c r="I1" s="13" t="s">
        <v>6</v>
      </c>
      <c r="J1" s="10" t="s">
        <v>5</v>
      </c>
      <c r="K1" s="10" t="s">
        <v>11</v>
      </c>
      <c r="L1" s="10" t="s">
        <v>12</v>
      </c>
      <c r="M1" s="10" t="s">
        <v>22</v>
      </c>
      <c r="N1" s="10"/>
      <c r="O1" s="10"/>
      <c r="P1" s="10"/>
    </row>
    <row r="2" spans="1:16" ht="72" thickBot="1">
      <c r="A2" s="33" t="s">
        <v>136</v>
      </c>
      <c r="B2" s="35" t="s">
        <v>137</v>
      </c>
      <c r="C2" s="34" t="s">
        <v>85</v>
      </c>
      <c r="D2" s="34" t="s">
        <v>138</v>
      </c>
      <c r="E2" s="36">
        <v>43770</v>
      </c>
      <c r="F2" s="37">
        <v>106500</v>
      </c>
      <c r="G2" t="s">
        <v>2</v>
      </c>
      <c r="H2">
        <v>0</v>
      </c>
      <c r="I2">
        <v>100</v>
      </c>
      <c r="K2" s="16">
        <f t="shared" ref="K2:K9" si="0">(+H2/(H2+I2))*100</f>
        <v>0</v>
      </c>
      <c r="L2" s="16">
        <f t="shared" ref="L2:L9" si="1">(+I2/(H2+I2))*100</f>
        <v>100</v>
      </c>
    </row>
    <row r="3" spans="1:16" ht="72" thickBot="1">
      <c r="A3" s="33" t="s">
        <v>136</v>
      </c>
      <c r="B3" s="35" t="s">
        <v>137</v>
      </c>
      <c r="C3" s="34" t="s">
        <v>85</v>
      </c>
      <c r="D3" s="34" t="s">
        <v>138</v>
      </c>
      <c r="E3" s="36">
        <v>43770</v>
      </c>
      <c r="F3" s="37">
        <v>106500</v>
      </c>
      <c r="G3" t="s">
        <v>2</v>
      </c>
      <c r="H3">
        <v>0</v>
      </c>
      <c r="I3">
        <v>100</v>
      </c>
      <c r="K3" s="16">
        <f t="shared" si="0"/>
        <v>0</v>
      </c>
      <c r="L3" s="16">
        <f t="shared" si="1"/>
        <v>100</v>
      </c>
    </row>
    <row r="4" spans="1:16" ht="72" thickBot="1">
      <c r="A4" s="33" t="s">
        <v>136</v>
      </c>
      <c r="B4" s="35" t="s">
        <v>137</v>
      </c>
      <c r="C4" s="34" t="s">
        <v>85</v>
      </c>
      <c r="D4" s="34" t="s">
        <v>138</v>
      </c>
      <c r="E4" s="36">
        <v>43770</v>
      </c>
      <c r="F4" s="37">
        <v>-213000</v>
      </c>
      <c r="G4" t="s">
        <v>2</v>
      </c>
      <c r="H4">
        <v>0</v>
      </c>
      <c r="I4">
        <v>100</v>
      </c>
      <c r="K4" s="16">
        <f t="shared" si="0"/>
        <v>0</v>
      </c>
      <c r="L4" s="16">
        <f t="shared" si="1"/>
        <v>100</v>
      </c>
    </row>
    <row r="5" spans="1:16" ht="72" thickBot="1">
      <c r="A5" s="33" t="s">
        <v>136</v>
      </c>
      <c r="B5" s="35" t="s">
        <v>137</v>
      </c>
      <c r="C5" s="34" t="s">
        <v>85</v>
      </c>
      <c r="D5" s="34" t="s">
        <v>138</v>
      </c>
      <c r="E5" s="36">
        <v>43769</v>
      </c>
      <c r="F5" s="37">
        <v>248500</v>
      </c>
      <c r="G5" t="s">
        <v>2</v>
      </c>
      <c r="H5">
        <v>0</v>
      </c>
      <c r="I5">
        <v>100</v>
      </c>
      <c r="K5" s="16">
        <f t="shared" si="0"/>
        <v>0</v>
      </c>
      <c r="L5" s="16">
        <f t="shared" si="1"/>
        <v>100</v>
      </c>
    </row>
    <row r="6" spans="1:16" ht="57.75" thickBot="1">
      <c r="A6" s="33" t="s">
        <v>139</v>
      </c>
      <c r="B6" s="35" t="s">
        <v>140</v>
      </c>
      <c r="C6" s="34" t="s">
        <v>85</v>
      </c>
      <c r="D6" s="34" t="s">
        <v>141</v>
      </c>
      <c r="E6" s="36">
        <v>43520</v>
      </c>
      <c r="F6" s="37">
        <v>2800</v>
      </c>
      <c r="G6" t="s">
        <v>2</v>
      </c>
      <c r="H6">
        <v>0</v>
      </c>
      <c r="I6">
        <v>100</v>
      </c>
      <c r="K6" s="16">
        <f t="shared" si="0"/>
        <v>0</v>
      </c>
      <c r="L6" s="16">
        <f t="shared" si="1"/>
        <v>100</v>
      </c>
    </row>
    <row r="7" spans="1:16" ht="57.75" thickBot="1">
      <c r="A7" s="33" t="s">
        <v>139</v>
      </c>
      <c r="B7" s="35" t="s">
        <v>140</v>
      </c>
      <c r="C7" s="34" t="s">
        <v>85</v>
      </c>
      <c r="D7" s="34" t="s">
        <v>141</v>
      </c>
      <c r="E7" s="36">
        <v>43520</v>
      </c>
      <c r="F7" s="37">
        <v>2800</v>
      </c>
      <c r="G7" t="s">
        <v>2</v>
      </c>
      <c r="H7">
        <v>0</v>
      </c>
      <c r="I7">
        <v>100</v>
      </c>
      <c r="K7" s="16">
        <f t="shared" si="0"/>
        <v>0</v>
      </c>
      <c r="L7" s="16">
        <f t="shared" si="1"/>
        <v>100</v>
      </c>
    </row>
    <row r="8" spans="1:16" ht="16.5" thickBot="1">
      <c r="A8" s="33"/>
      <c r="B8" s="35"/>
      <c r="C8" s="34"/>
      <c r="D8" s="34"/>
      <c r="E8" s="36"/>
      <c r="F8" s="37">
        <f>SUM(F2:F7)</f>
        <v>254100</v>
      </c>
      <c r="K8" s="16"/>
      <c r="L8" s="16"/>
    </row>
    <row r="9" spans="1:16" ht="16.5" thickBot="1">
      <c r="A9" s="33"/>
      <c r="B9" s="35"/>
      <c r="C9" s="34"/>
      <c r="D9" s="34"/>
      <c r="E9" s="36"/>
      <c r="F9" s="37"/>
      <c r="K9" s="16"/>
      <c r="L9" s="16"/>
    </row>
    <row r="10" spans="1:16" ht="15.75" thickBot="1">
      <c r="A10" s="33"/>
      <c r="B10" s="35"/>
      <c r="C10" s="34"/>
      <c r="D10" s="34"/>
      <c r="E10" s="36"/>
      <c r="F10" s="37"/>
    </row>
    <row r="11" spans="1:16" ht="15.75" thickBot="1">
      <c r="A11" s="33"/>
      <c r="B11" s="35"/>
      <c r="C11" s="34"/>
      <c r="D11" s="34"/>
      <c r="E11" s="36"/>
      <c r="F11" s="37"/>
    </row>
    <row r="12" spans="1:16" ht="15.75" thickBot="1">
      <c r="A12" s="33"/>
      <c r="B12" s="35"/>
      <c r="C12" s="34"/>
      <c r="D12" s="34"/>
      <c r="E12" s="36"/>
      <c r="F12" s="37"/>
    </row>
    <row r="13" spans="1:16" ht="15.75" thickBot="1">
      <c r="A13" s="33"/>
      <c r="B13" s="35"/>
      <c r="C13" s="34"/>
      <c r="D13" s="34"/>
      <c r="E13" s="36"/>
      <c r="F13" s="37"/>
    </row>
    <row r="14" spans="1:16" ht="15.75" thickBot="1">
      <c r="A14" s="33"/>
      <c r="B14" s="35"/>
      <c r="C14" s="34"/>
      <c r="D14" s="34"/>
      <c r="E14" s="36"/>
      <c r="F14" s="37"/>
    </row>
    <row r="15" spans="1:16">
      <c r="F15" s="12"/>
    </row>
  </sheetData>
  <hyperlinks>
    <hyperlink ref="B2" r:id="rId1" tooltip="DCCC" display="https://www.fec.gov/data/committee/C00000935/" xr:uid="{AB88D919-69E0-42F7-8017-A432C8B5109B}"/>
    <hyperlink ref="B3" r:id="rId2" tooltip="DCCC" display="https://www.fec.gov/data/committee/C00000935/" xr:uid="{973AB987-3AA8-460C-BB4E-508FE23D6ED4}"/>
    <hyperlink ref="B4" r:id="rId3" tooltip="DCCC" display="https://www.fec.gov/data/committee/C00000935/" xr:uid="{B353269E-A38C-4F39-9E09-1DE73DE6E468}"/>
    <hyperlink ref="B5" r:id="rId4" tooltip="DCCC" display="https://www.fec.gov/data/committee/C00000935/" xr:uid="{506A6DA7-E1FE-47CC-9200-6CE0700B7902}"/>
    <hyperlink ref="B6" r:id="rId5" tooltip="MARK KELLY FOR SENATE" display="https://www.fec.gov/data/committee/C00696526/" xr:uid="{FB2182A5-87C8-49E4-A3A8-5ABD2D86D508}"/>
    <hyperlink ref="B7" r:id="rId6" tooltip="MARK KELLY FOR SENATE" display="https://www.fec.gov/data/committee/C00696526/" xr:uid="{237028B4-3C67-4D2E-A715-D2AB91C954ED}"/>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
  <sheetViews>
    <sheetView workbookViewId="0">
      <selection activeCell="K11" sqref="K11"/>
    </sheetView>
  </sheetViews>
  <sheetFormatPr defaultRowHeight="15"/>
  <cols>
    <col min="2" max="2" width="25.140625" customWidth="1"/>
    <col min="5" max="5" width="18.42578125" customWidth="1"/>
    <col min="6" max="6" width="13.42578125" customWidth="1"/>
  </cols>
  <sheetData>
    <row r="1" spans="1:16">
      <c r="A1" s="10" t="s">
        <v>14</v>
      </c>
      <c r="B1" s="10" t="s">
        <v>15</v>
      </c>
      <c r="C1" s="10" t="s">
        <v>10</v>
      </c>
      <c r="D1" s="10" t="s">
        <v>16</v>
      </c>
      <c r="E1" s="10" t="s">
        <v>17</v>
      </c>
      <c r="F1" s="10" t="s">
        <v>18</v>
      </c>
      <c r="G1" s="10" t="s">
        <v>21</v>
      </c>
      <c r="H1" s="10" t="s">
        <v>4</v>
      </c>
      <c r="I1" s="13" t="s">
        <v>6</v>
      </c>
      <c r="J1" s="10" t="s">
        <v>5</v>
      </c>
      <c r="K1" s="10" t="s">
        <v>11</v>
      </c>
      <c r="L1" s="10" t="s">
        <v>12</v>
      </c>
      <c r="M1" s="10" t="s">
        <v>22</v>
      </c>
      <c r="N1" s="10"/>
      <c r="O1" s="10"/>
      <c r="P1" s="10"/>
    </row>
    <row r="2" spans="1:16" ht="16.5" thickBot="1">
      <c r="A2" s="33"/>
      <c r="B2" s="35"/>
      <c r="C2" s="34"/>
      <c r="D2" s="34"/>
      <c r="E2" s="36"/>
      <c r="F2" s="37"/>
      <c r="G2" s="32"/>
      <c r="I2" s="2"/>
      <c r="K2" s="16" t="e">
        <f>(+H2/(H2+I2))*100</f>
        <v>#DIV/0!</v>
      </c>
      <c r="L2" s="16" t="e">
        <f>(+I2/(H2+I2))*100</f>
        <v>#DIV/0!</v>
      </c>
    </row>
    <row r="3" spans="1:16" ht="16.5" thickBot="1">
      <c r="A3" s="33"/>
      <c r="B3" s="35"/>
      <c r="C3" s="34"/>
      <c r="D3" s="34"/>
      <c r="E3" s="36"/>
      <c r="F3" s="37"/>
      <c r="G3" s="32"/>
      <c r="I3" s="2"/>
      <c r="K3" s="16" t="e">
        <f>(+H3/(H3+I3))*100</f>
        <v>#DIV/0!</v>
      </c>
      <c r="L3" s="16" t="e">
        <f>(+I3/(H3+I3))*100</f>
        <v>#DIV/0!</v>
      </c>
    </row>
    <row r="4" spans="1:16" ht="15.75">
      <c r="E4" s="1"/>
      <c r="F4" s="12"/>
      <c r="K4" s="16"/>
      <c r="L4" s="16"/>
    </row>
    <row r="5" spans="1:16" ht="15.75">
      <c r="E5" s="1"/>
      <c r="F5" s="12"/>
      <c r="K5" s="16"/>
      <c r="L5" s="16"/>
    </row>
    <row r="6" spans="1:16">
      <c r="F6" s="1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2"/>
  <sheetViews>
    <sheetView topLeftCell="A5" workbookViewId="0">
      <selection activeCell="L7" sqref="L7:L10"/>
    </sheetView>
  </sheetViews>
  <sheetFormatPr defaultRowHeight="15"/>
  <cols>
    <col min="2" max="2" width="36.5703125" customWidth="1"/>
    <col min="5" max="6" width="14.7109375" customWidth="1"/>
    <col min="12" max="12" width="14.28515625" customWidth="1"/>
  </cols>
  <sheetData>
    <row r="1" spans="1:16">
      <c r="A1" s="10" t="s">
        <v>14</v>
      </c>
      <c r="B1" s="10" t="s">
        <v>15</v>
      </c>
      <c r="C1" s="10" t="s">
        <v>10</v>
      </c>
      <c r="D1" s="10" t="s">
        <v>16</v>
      </c>
      <c r="E1" s="10" t="s">
        <v>17</v>
      </c>
      <c r="F1" s="10" t="s">
        <v>18</v>
      </c>
      <c r="G1" s="10" t="s">
        <v>21</v>
      </c>
      <c r="H1" s="10" t="s">
        <v>4</v>
      </c>
      <c r="I1" s="13" t="s">
        <v>6</v>
      </c>
      <c r="J1" s="10" t="s">
        <v>5</v>
      </c>
      <c r="K1" s="10" t="s">
        <v>11</v>
      </c>
      <c r="L1" s="10" t="s">
        <v>12</v>
      </c>
      <c r="M1" s="10" t="s">
        <v>22</v>
      </c>
      <c r="N1" s="10"/>
      <c r="O1" s="10"/>
      <c r="P1" s="10"/>
    </row>
    <row r="2" spans="1:16" ht="86.25" thickBot="1">
      <c r="A2" s="33" t="s">
        <v>192</v>
      </c>
      <c r="B2" s="35" t="s">
        <v>191</v>
      </c>
      <c r="C2" s="34" t="s">
        <v>193</v>
      </c>
      <c r="D2" s="34" t="s">
        <v>194</v>
      </c>
      <c r="E2" s="36">
        <v>43921</v>
      </c>
      <c r="F2" s="37">
        <v>864</v>
      </c>
      <c r="G2" s="38"/>
      <c r="H2">
        <v>75000</v>
      </c>
      <c r="I2" s="2">
        <v>97000</v>
      </c>
      <c r="K2" s="16">
        <f>(+H2/(H2+I2))*100</f>
        <v>43.604651162790695</v>
      </c>
      <c r="L2" s="16">
        <f>(+I2/(H2+I2))*100</f>
        <v>56.395348837209305</v>
      </c>
    </row>
    <row r="3" spans="1:16" ht="86.25" thickBot="1">
      <c r="A3" s="33" t="s">
        <v>192</v>
      </c>
      <c r="B3" s="35" t="s">
        <v>195</v>
      </c>
      <c r="C3" s="34" t="s">
        <v>193</v>
      </c>
      <c r="D3" s="34" t="s">
        <v>194</v>
      </c>
      <c r="E3" s="36">
        <v>43921</v>
      </c>
      <c r="F3" s="37">
        <v>96</v>
      </c>
      <c r="G3" s="38"/>
      <c r="H3">
        <v>2500</v>
      </c>
      <c r="I3" s="2">
        <v>0</v>
      </c>
      <c r="K3" s="16">
        <f t="shared" ref="K3" si="0">(+H3/(H3+I3))*100</f>
        <v>100</v>
      </c>
      <c r="L3" s="16">
        <f t="shared" ref="L3" si="1">(+I3/(H3+I3))*100</f>
        <v>0</v>
      </c>
    </row>
    <row r="4" spans="1:16" ht="86.25" thickBot="1">
      <c r="A4" s="33" t="s">
        <v>192</v>
      </c>
      <c r="B4" s="35" t="s">
        <v>191</v>
      </c>
      <c r="C4" s="34" t="s">
        <v>193</v>
      </c>
      <c r="D4" s="34" t="s">
        <v>194</v>
      </c>
      <c r="E4" s="36">
        <v>43830</v>
      </c>
      <c r="F4" s="37">
        <v>2246.4</v>
      </c>
      <c r="G4" s="38"/>
      <c r="H4">
        <v>75000</v>
      </c>
      <c r="I4" s="2">
        <v>97000</v>
      </c>
      <c r="K4" s="16"/>
      <c r="L4" s="16"/>
    </row>
    <row r="5" spans="1:16" ht="86.25" thickBot="1">
      <c r="A5" s="33" t="s">
        <v>192</v>
      </c>
      <c r="B5" s="35" t="s">
        <v>195</v>
      </c>
      <c r="C5" s="34" t="s">
        <v>193</v>
      </c>
      <c r="D5" s="34" t="s">
        <v>194</v>
      </c>
      <c r="E5" s="36">
        <v>43830</v>
      </c>
      <c r="F5" s="37">
        <v>249.6</v>
      </c>
      <c r="G5" s="38"/>
      <c r="H5">
        <v>2500</v>
      </c>
      <c r="I5" s="2">
        <v>0</v>
      </c>
      <c r="K5" s="16"/>
      <c r="L5" s="16"/>
      <c r="N5" s="37">
        <v>96</v>
      </c>
    </row>
    <row r="6" spans="1:16" ht="86.25" thickBot="1">
      <c r="A6" s="33" t="s">
        <v>192</v>
      </c>
      <c r="B6" s="35" t="s">
        <v>195</v>
      </c>
      <c r="C6" s="34" t="s">
        <v>193</v>
      </c>
      <c r="D6" s="34" t="s">
        <v>194</v>
      </c>
      <c r="E6" s="36">
        <v>43646</v>
      </c>
      <c r="F6" s="37">
        <v>249.6</v>
      </c>
      <c r="G6" s="38"/>
      <c r="H6">
        <v>2500</v>
      </c>
      <c r="I6" s="2">
        <v>0</v>
      </c>
      <c r="K6" s="16"/>
      <c r="L6" s="16"/>
      <c r="N6" s="37">
        <v>249.6</v>
      </c>
    </row>
    <row r="7" spans="1:16" ht="86.25" thickBot="1">
      <c r="A7" s="33" t="s">
        <v>192</v>
      </c>
      <c r="B7" s="35" t="s">
        <v>191</v>
      </c>
      <c r="C7" s="34" t="s">
        <v>193</v>
      </c>
      <c r="D7" s="34" t="s">
        <v>194</v>
      </c>
      <c r="E7" s="36">
        <v>43646</v>
      </c>
      <c r="F7" s="37">
        <v>2246.4</v>
      </c>
      <c r="G7" s="32"/>
      <c r="H7">
        <v>75000</v>
      </c>
      <c r="I7" s="2">
        <v>97000</v>
      </c>
      <c r="K7" s="16"/>
      <c r="L7" s="37">
        <v>2246.4</v>
      </c>
      <c r="N7" s="37">
        <v>249.6</v>
      </c>
    </row>
    <row r="8" spans="1:16" ht="16.5" thickBot="1">
      <c r="E8" s="1"/>
      <c r="F8" s="12"/>
      <c r="K8" s="16"/>
      <c r="L8" s="37">
        <v>864</v>
      </c>
      <c r="N8" s="12">
        <f>SUM(N5:N7)</f>
        <v>595.20000000000005</v>
      </c>
    </row>
    <row r="9" spans="1:16" ht="16.5" thickBot="1">
      <c r="E9" s="1"/>
      <c r="F9" s="12"/>
      <c r="K9" s="16"/>
      <c r="L9" s="37">
        <v>2246.4</v>
      </c>
    </row>
    <row r="10" spans="1:16" ht="15.75">
      <c r="E10" s="1"/>
      <c r="F10" s="12"/>
      <c r="K10" s="16"/>
      <c r="L10" s="80">
        <f>SUM(L7:L9)</f>
        <v>5356.8</v>
      </c>
    </row>
    <row r="11" spans="1:16" ht="15.75">
      <c r="E11" s="1"/>
      <c r="F11" s="12"/>
      <c r="K11" s="16"/>
      <c r="L11" s="16"/>
    </row>
    <row r="12" spans="1:16" ht="15.75">
      <c r="E12" s="1"/>
      <c r="F12" s="12"/>
      <c r="K12" s="16"/>
      <c r="L12" s="16"/>
    </row>
    <row r="13" spans="1:16" ht="15.75">
      <c r="E13" s="1"/>
      <c r="F13" s="12"/>
      <c r="K13" s="16"/>
      <c r="L13" s="16"/>
    </row>
    <row r="14" spans="1:16" ht="15.75">
      <c r="E14" s="1"/>
      <c r="F14" s="12"/>
      <c r="K14" s="16"/>
      <c r="L14" s="16"/>
    </row>
    <row r="15" spans="1:16" ht="15.75">
      <c r="E15" s="1"/>
      <c r="F15" s="12"/>
      <c r="K15" s="16"/>
      <c r="L15" s="16"/>
    </row>
    <row r="16" spans="1:16" ht="15.75">
      <c r="E16" s="1"/>
      <c r="F16" s="12"/>
      <c r="K16" s="16"/>
      <c r="L16" s="16"/>
    </row>
    <row r="17" spans="5:12" ht="15.75">
      <c r="E17" s="1"/>
      <c r="F17" s="12"/>
      <c r="K17" s="16"/>
      <c r="L17" s="16"/>
    </row>
    <row r="18" spans="5:12" ht="15.75">
      <c r="E18" s="1"/>
      <c r="F18" s="12"/>
      <c r="K18" s="16"/>
      <c r="L18" s="16"/>
    </row>
    <row r="19" spans="5:12" ht="15.75">
      <c r="E19" s="1"/>
      <c r="F19" s="12"/>
      <c r="K19" s="16"/>
      <c r="L19" s="16"/>
    </row>
    <row r="20" spans="5:12" ht="15.75">
      <c r="E20" s="1"/>
      <c r="F20" s="12"/>
      <c r="K20" s="16"/>
      <c r="L20" s="16"/>
    </row>
    <row r="21" spans="5:12" ht="15.75">
      <c r="E21" s="1"/>
      <c r="F21" s="12"/>
      <c r="K21" s="16"/>
      <c r="L21" s="16"/>
    </row>
    <row r="22" spans="5:12" ht="15.75">
      <c r="E22" s="1"/>
      <c r="F22" s="12"/>
      <c r="K22" s="16"/>
      <c r="L22" s="16"/>
    </row>
    <row r="23" spans="5:12" ht="15.75">
      <c r="E23" s="1"/>
      <c r="F23" s="12"/>
      <c r="K23" s="16"/>
      <c r="L23" s="16"/>
    </row>
    <row r="24" spans="5:12" ht="15.75">
      <c r="E24" s="1"/>
      <c r="F24" s="12"/>
      <c r="K24" s="16"/>
      <c r="L24" s="16"/>
    </row>
    <row r="25" spans="5:12" ht="15.75">
      <c r="E25" s="1"/>
      <c r="F25" s="12"/>
      <c r="K25" s="16"/>
      <c r="L25" s="16"/>
    </row>
    <row r="26" spans="5:12" ht="15.75">
      <c r="E26" s="1"/>
      <c r="F26" s="12"/>
      <c r="K26" s="16"/>
      <c r="L26" s="16"/>
    </row>
    <row r="27" spans="5:12" ht="15.75">
      <c r="E27" s="1"/>
      <c r="F27" s="12"/>
      <c r="K27" s="16"/>
      <c r="L27" s="16"/>
    </row>
    <row r="28" spans="5:12" ht="15.75">
      <c r="E28" s="1"/>
      <c r="F28" s="12"/>
      <c r="K28" s="16"/>
      <c r="L28" s="16"/>
    </row>
    <row r="29" spans="5:12" ht="15.75">
      <c r="E29" s="1"/>
      <c r="F29" s="12"/>
      <c r="K29" s="16"/>
      <c r="L29" s="16"/>
    </row>
    <row r="30" spans="5:12" ht="15.75">
      <c r="E30" s="1"/>
      <c r="F30" s="12"/>
      <c r="K30" s="16"/>
      <c r="L30" s="16"/>
    </row>
    <row r="31" spans="5:12" ht="15.75">
      <c r="E31" s="1"/>
      <c r="F31" s="12"/>
      <c r="K31" s="16"/>
      <c r="L31" s="16"/>
    </row>
    <row r="32" spans="5:12" ht="15.75">
      <c r="E32" s="1"/>
      <c r="F32" s="12"/>
      <c r="K32" s="16"/>
      <c r="L32" s="16"/>
    </row>
    <row r="33" spans="5:12" ht="15.75">
      <c r="E33" s="1"/>
      <c r="F33" s="12"/>
      <c r="K33" s="16"/>
      <c r="L33" s="16"/>
    </row>
    <row r="34" spans="5:12" ht="15.75">
      <c r="E34" s="1"/>
      <c r="F34" s="12"/>
      <c r="K34" s="16"/>
      <c r="L34" s="16"/>
    </row>
    <row r="35" spans="5:12" ht="15.75">
      <c r="E35" s="1"/>
      <c r="F35" s="12"/>
      <c r="K35" s="16"/>
      <c r="L35" s="16"/>
    </row>
    <row r="36" spans="5:12" ht="15.75">
      <c r="E36" s="1"/>
      <c r="F36" s="12"/>
      <c r="K36" s="16"/>
      <c r="L36" s="16"/>
    </row>
    <row r="37" spans="5:12" ht="15.75">
      <c r="E37" s="1"/>
      <c r="F37" s="12"/>
      <c r="K37" s="16"/>
      <c r="L37" s="16"/>
    </row>
    <row r="38" spans="5:12" ht="15.75">
      <c r="E38" s="1"/>
      <c r="F38" s="12"/>
      <c r="K38" s="16"/>
      <c r="L38" s="16"/>
    </row>
    <row r="39" spans="5:12" ht="15.75">
      <c r="E39" s="1"/>
      <c r="F39" s="12"/>
      <c r="K39" s="16"/>
      <c r="L39" s="16"/>
    </row>
    <row r="40" spans="5:12" ht="15.75">
      <c r="E40" s="1"/>
      <c r="F40" s="12"/>
      <c r="K40" s="16"/>
      <c r="L40" s="16"/>
    </row>
    <row r="41" spans="5:12" ht="15.75">
      <c r="E41" s="1"/>
      <c r="F41" s="12"/>
      <c r="K41" s="16"/>
      <c r="L41" s="16"/>
    </row>
    <row r="42" spans="5:12" ht="15.75">
      <c r="E42" s="1"/>
      <c r="F42" s="12"/>
      <c r="K42" s="16"/>
      <c r="L42" s="16"/>
    </row>
    <row r="43" spans="5:12" ht="15.75">
      <c r="E43" s="1"/>
      <c r="F43" s="12"/>
      <c r="K43" s="16"/>
      <c r="L43" s="16"/>
    </row>
    <row r="44" spans="5:12" ht="15.75">
      <c r="E44" s="1"/>
      <c r="F44" s="12"/>
      <c r="K44" s="16"/>
      <c r="L44" s="16"/>
    </row>
    <row r="45" spans="5:12" ht="15.75">
      <c r="E45" s="1"/>
      <c r="F45" s="12"/>
      <c r="K45" s="16"/>
      <c r="L45" s="16"/>
    </row>
    <row r="46" spans="5:12" ht="15.75">
      <c r="E46" s="1"/>
      <c r="F46" s="12"/>
      <c r="K46" s="16"/>
      <c r="L46" s="16"/>
    </row>
    <row r="47" spans="5:12" ht="15.75">
      <c r="E47" s="1"/>
      <c r="F47" s="12"/>
      <c r="K47" s="16"/>
      <c r="L47" s="16"/>
    </row>
    <row r="48" spans="5:12" ht="15.75">
      <c r="E48" s="1"/>
      <c r="F48" s="12"/>
      <c r="K48" s="16"/>
      <c r="L48" s="16"/>
    </row>
    <row r="49" spans="5:12" ht="15.75">
      <c r="E49" s="1"/>
      <c r="F49" s="12"/>
      <c r="K49" s="16"/>
      <c r="L49" s="16"/>
    </row>
    <row r="50" spans="5:12" ht="15.75">
      <c r="E50" s="1"/>
      <c r="F50" s="12"/>
      <c r="K50" s="16"/>
      <c r="L50" s="16"/>
    </row>
    <row r="51" spans="5:12" ht="15.75">
      <c r="E51" s="1"/>
      <c r="F51" s="12"/>
      <c r="K51" s="16"/>
      <c r="L51" s="16"/>
    </row>
    <row r="52" spans="5:12">
      <c r="F52" s="12"/>
    </row>
  </sheetData>
  <hyperlinks>
    <hyperlink ref="B2" r:id="rId1" tooltip="BERKSHIRE HATHAWAY ENERGY COMPANY PAC" display="https://www.fec.gov/data/committee/C00324483/" xr:uid="{032C1A4F-7D1B-4D01-BD3B-245D51C67ABD}"/>
    <hyperlink ref="B4" r:id="rId2" tooltip="BERKSHIRE HATHAWAY ENERGY COMPANY PAC" display="https://www.fec.gov/data/committee/C00324483/" xr:uid="{E89422DE-8584-4852-971B-A51F52E4C700}"/>
    <hyperlink ref="B5" r:id="rId3" tooltip="MIDAMERICAN ENERGY COMPANY PAC" display="https://www.fec.gov/data/committee/C00081273/" xr:uid="{912F8C29-7BF9-41A9-8DD8-673AA43BEF73}"/>
    <hyperlink ref="B6" r:id="rId4" tooltip="MIDAMERICAN ENERGY COMPANY PAC" display="https://www.fec.gov/data/committee/C00081273/" xr:uid="{ABB398D7-22C0-4797-AE10-67CAF03E95E9}"/>
    <hyperlink ref="B7" r:id="rId5" tooltip="BERKSHIRE HATHAWAY ENERGY COMPANY PAC" display="https://www.fec.gov/data/committee/C00324483/" xr:uid="{742E0A62-8E5E-4BCC-B345-B7C615BA9CD8}"/>
    <hyperlink ref="B3" r:id="rId6" tooltip="MIDAMERICAN ENERGY COMPANY PAC" display="https://www.fec.gov/data/committee/C00081273/" xr:uid="{FDAD52A0-E70D-4776-9D12-8CFD5355D01E}"/>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10"/>
  <sheetViews>
    <sheetView workbookViewId="0">
      <selection activeCell="E15" sqref="E15"/>
    </sheetView>
  </sheetViews>
  <sheetFormatPr defaultRowHeight="15"/>
  <cols>
    <col min="2" max="2" width="45" customWidth="1"/>
    <col min="5" max="5" width="13" customWidth="1"/>
    <col min="6" max="6" width="14.7109375" customWidth="1"/>
  </cols>
  <sheetData>
    <row r="1" spans="1:16">
      <c r="A1" s="10" t="s">
        <v>14</v>
      </c>
      <c r="B1" s="10" t="s">
        <v>15</v>
      </c>
      <c r="C1" s="10" t="s">
        <v>10</v>
      </c>
      <c r="D1" s="10" t="s">
        <v>16</v>
      </c>
      <c r="E1" s="10" t="s">
        <v>17</v>
      </c>
      <c r="F1" s="10" t="s">
        <v>18</v>
      </c>
      <c r="G1" s="10" t="s">
        <v>21</v>
      </c>
      <c r="H1" s="10" t="s">
        <v>4</v>
      </c>
      <c r="I1" s="13" t="s">
        <v>6</v>
      </c>
      <c r="J1" s="10" t="s">
        <v>5</v>
      </c>
      <c r="K1" s="10" t="s">
        <v>11</v>
      </c>
      <c r="L1" s="10" t="s">
        <v>12</v>
      </c>
      <c r="M1" s="10" t="s">
        <v>22</v>
      </c>
      <c r="N1" s="10"/>
      <c r="O1" s="10"/>
      <c r="P1" s="10"/>
    </row>
    <row r="2" spans="1:16" ht="15.75" thickBot="1">
      <c r="A2" s="33"/>
      <c r="B2" s="35"/>
      <c r="C2" s="34"/>
      <c r="D2" s="34"/>
      <c r="E2" s="36"/>
      <c r="F2" s="37"/>
      <c r="G2" s="32"/>
      <c r="H2">
        <v>1150000</v>
      </c>
      <c r="I2" s="2">
        <v>2180000</v>
      </c>
    </row>
    <row r="3" spans="1:16" ht="15.75" thickBot="1">
      <c r="A3" s="33"/>
      <c r="B3" s="35"/>
      <c r="C3" s="34"/>
      <c r="D3" s="34"/>
      <c r="E3" s="36"/>
      <c r="F3" s="37"/>
      <c r="G3" s="32"/>
      <c r="H3">
        <v>1150000</v>
      </c>
      <c r="I3" s="2">
        <v>2180000</v>
      </c>
    </row>
    <row r="4" spans="1:16" ht="15.75" thickBot="1">
      <c r="A4" s="33"/>
      <c r="B4" s="35"/>
      <c r="C4" s="34"/>
      <c r="D4" s="34"/>
      <c r="E4" s="36"/>
      <c r="F4" s="37"/>
      <c r="G4" s="32"/>
      <c r="H4">
        <v>1150000</v>
      </c>
      <c r="I4" s="2">
        <v>2180000</v>
      </c>
    </row>
    <row r="5" spans="1:16" ht="15.75" thickBot="1">
      <c r="A5" s="33"/>
      <c r="B5" s="35"/>
      <c r="C5" s="34"/>
      <c r="D5" s="34"/>
      <c r="E5" s="36"/>
      <c r="F5" s="37"/>
      <c r="G5" s="32"/>
      <c r="H5">
        <v>1150000</v>
      </c>
      <c r="I5" s="2">
        <v>2180000</v>
      </c>
    </row>
    <row r="6" spans="1:16" ht="15.75" thickBot="1">
      <c r="A6" s="33"/>
      <c r="B6" s="35"/>
      <c r="C6" s="34"/>
      <c r="D6" s="34"/>
      <c r="E6" s="36"/>
      <c r="F6" s="37"/>
      <c r="G6" s="32"/>
      <c r="H6">
        <v>1150000</v>
      </c>
      <c r="I6" s="2">
        <v>2180000</v>
      </c>
    </row>
    <row r="7" spans="1:16" ht="15.75" thickBot="1">
      <c r="A7" s="33"/>
      <c r="B7" s="35"/>
      <c r="C7" s="34"/>
      <c r="D7" s="34"/>
      <c r="E7" s="36"/>
      <c r="F7" s="37"/>
      <c r="G7" s="32"/>
      <c r="H7">
        <v>1150000</v>
      </c>
      <c r="I7" s="2">
        <v>2180000</v>
      </c>
    </row>
    <row r="8" spans="1:16">
      <c r="F8" s="12"/>
    </row>
    <row r="10" spans="1:16" ht="16.5" thickBot="1">
      <c r="A10" s="33"/>
      <c r="B10" s="35"/>
      <c r="C10" s="34"/>
      <c r="D10" s="34"/>
      <c r="E10" s="36"/>
      <c r="F10" s="37"/>
      <c r="G10" s="38"/>
      <c r="H10">
        <v>100</v>
      </c>
      <c r="I10" s="2">
        <v>0</v>
      </c>
      <c r="K10" s="16">
        <f>(+H10/(H10+I10))*100</f>
        <v>100</v>
      </c>
      <c r="L10" s="16">
        <f>(+I10/(H10+I10))*100</f>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8"/>
  <sheetViews>
    <sheetView workbookViewId="0">
      <selection activeCell="H3" sqref="H3"/>
    </sheetView>
  </sheetViews>
  <sheetFormatPr defaultRowHeight="15"/>
  <cols>
    <col min="2" max="2" width="30" customWidth="1"/>
    <col min="5" max="5" width="15.140625" customWidth="1"/>
    <col min="6" max="6" width="19.140625" customWidth="1"/>
  </cols>
  <sheetData>
    <row r="1" spans="1:16">
      <c r="A1" s="10" t="s">
        <v>14</v>
      </c>
      <c r="B1" s="10" t="s">
        <v>15</v>
      </c>
      <c r="C1" s="10" t="s">
        <v>10</v>
      </c>
      <c r="D1" s="10" t="s">
        <v>16</v>
      </c>
      <c r="E1" s="10" t="s">
        <v>17</v>
      </c>
      <c r="F1" s="10" t="s">
        <v>18</v>
      </c>
      <c r="G1" s="10" t="s">
        <v>21</v>
      </c>
      <c r="H1" s="10" t="s">
        <v>4</v>
      </c>
      <c r="I1" s="13" t="s">
        <v>6</v>
      </c>
      <c r="J1" s="10" t="s">
        <v>5</v>
      </c>
      <c r="K1" s="10" t="s">
        <v>11</v>
      </c>
      <c r="L1" s="10" t="s">
        <v>12</v>
      </c>
      <c r="M1" s="10" t="s">
        <v>22</v>
      </c>
      <c r="N1" s="10"/>
      <c r="O1" s="10"/>
      <c r="P1" s="10"/>
    </row>
    <row r="2" spans="1:16" ht="57.75" thickBot="1">
      <c r="A2" s="39" t="s">
        <v>196</v>
      </c>
      <c r="B2" s="35" t="s">
        <v>20</v>
      </c>
      <c r="C2" s="34" t="s">
        <v>197</v>
      </c>
      <c r="D2" s="34" t="s">
        <v>198</v>
      </c>
      <c r="E2" s="82">
        <v>44034</v>
      </c>
      <c r="F2" s="37">
        <v>50</v>
      </c>
      <c r="G2" s="32" t="s">
        <v>2</v>
      </c>
      <c r="H2">
        <v>0</v>
      </c>
      <c r="I2" s="2">
        <v>100</v>
      </c>
      <c r="K2" s="16">
        <f t="shared" ref="K2:K49" si="0">(+H2/(H2+I2))*100</f>
        <v>0</v>
      </c>
      <c r="L2" s="16">
        <f t="shared" ref="L2:L49" si="1">(+I2/(H2+I2))*100</f>
        <v>100</v>
      </c>
    </row>
    <row r="3" spans="1:16" ht="16.5" thickBot="1">
      <c r="A3" s="33"/>
      <c r="B3" s="35"/>
      <c r="C3" s="34"/>
      <c r="D3" s="34"/>
      <c r="E3" s="36"/>
      <c r="F3" s="37"/>
      <c r="G3" s="32"/>
      <c r="I3" s="2"/>
      <c r="K3" s="16"/>
      <c r="L3" s="16"/>
    </row>
    <row r="4" spans="1:16" ht="16.5" thickBot="1">
      <c r="A4" s="33"/>
      <c r="B4" s="35"/>
      <c r="C4" s="34"/>
      <c r="D4" s="34"/>
      <c r="E4" s="36"/>
      <c r="F4" s="37"/>
      <c r="G4" s="32"/>
      <c r="I4" s="2"/>
      <c r="K4" s="16"/>
      <c r="L4" s="16"/>
    </row>
    <row r="5" spans="1:16" ht="16.5" thickBot="1">
      <c r="A5" s="33"/>
      <c r="B5" s="35"/>
      <c r="C5" s="34"/>
      <c r="D5" s="34"/>
      <c r="E5" s="36"/>
      <c r="F5" s="37"/>
      <c r="G5" s="32"/>
      <c r="I5" s="2"/>
      <c r="K5" s="16"/>
      <c r="L5" s="16"/>
    </row>
    <row r="6" spans="1:16" ht="16.5" thickBot="1">
      <c r="A6" s="33"/>
      <c r="B6" s="35"/>
      <c r="C6" s="34"/>
      <c r="D6" s="34"/>
      <c r="E6" s="36"/>
      <c r="F6" s="37"/>
      <c r="G6" s="32"/>
      <c r="I6" s="2"/>
      <c r="K6" s="16"/>
      <c r="L6" s="16"/>
    </row>
    <row r="7" spans="1:16" ht="16.5" thickBot="1">
      <c r="A7" s="33"/>
      <c r="B7" s="35"/>
      <c r="C7" s="34"/>
      <c r="D7" s="34"/>
      <c r="E7" s="36"/>
      <c r="F7" s="37"/>
      <c r="G7" s="32"/>
      <c r="I7" s="2"/>
      <c r="K7" s="16"/>
      <c r="L7" s="16"/>
    </row>
    <row r="8" spans="1:16" ht="16.5" thickBot="1">
      <c r="A8" s="33"/>
      <c r="B8" s="35"/>
      <c r="C8" s="34"/>
      <c r="D8" s="34"/>
      <c r="E8" s="36"/>
      <c r="F8" s="37"/>
      <c r="G8" s="42"/>
      <c r="I8" s="2"/>
      <c r="K8" s="16"/>
      <c r="L8" s="16"/>
    </row>
    <row r="9" spans="1:16" ht="16.5" thickBot="1">
      <c r="A9" s="33"/>
      <c r="B9" s="35"/>
      <c r="C9" s="34"/>
      <c r="D9" s="34"/>
      <c r="E9" s="36"/>
      <c r="F9" s="37"/>
      <c r="G9" s="42"/>
      <c r="I9" s="2"/>
      <c r="K9" s="16"/>
      <c r="L9" s="16"/>
    </row>
    <row r="10" spans="1:16" ht="16.5" thickBot="1">
      <c r="A10" s="33"/>
      <c r="B10" s="35"/>
      <c r="C10" s="34"/>
      <c r="D10" s="34"/>
      <c r="E10" s="36"/>
      <c r="F10" s="37"/>
      <c r="G10" s="42"/>
      <c r="I10" s="2"/>
      <c r="K10" s="16"/>
      <c r="L10" s="16"/>
    </row>
    <row r="11" spans="1:16" ht="16.5" thickBot="1">
      <c r="A11" s="33"/>
      <c r="B11" s="35"/>
      <c r="C11" s="34"/>
      <c r="D11" s="34"/>
      <c r="E11" s="36"/>
      <c r="F11" s="37"/>
      <c r="G11" s="32"/>
      <c r="I11" s="2"/>
      <c r="K11" s="16"/>
      <c r="L11" s="16"/>
    </row>
    <row r="12" spans="1:16" ht="16.5" thickBot="1">
      <c r="A12" s="33"/>
      <c r="B12" s="35"/>
      <c r="C12" s="34"/>
      <c r="D12" s="34"/>
      <c r="E12" s="36"/>
      <c r="F12" s="37"/>
      <c r="G12" s="32"/>
      <c r="I12" s="2"/>
      <c r="K12" s="16"/>
      <c r="L12" s="16"/>
    </row>
    <row r="13" spans="1:16" ht="16.5" thickBot="1">
      <c r="A13" s="33"/>
      <c r="B13" s="35"/>
      <c r="C13" s="34"/>
      <c r="D13" s="34"/>
      <c r="E13" s="36"/>
      <c r="F13" s="37"/>
      <c r="G13" s="32"/>
      <c r="I13" s="2"/>
      <c r="K13" s="16"/>
      <c r="L13" s="16"/>
    </row>
    <row r="14" spans="1:16" ht="16.5" thickBot="1">
      <c r="A14" s="33"/>
      <c r="B14" s="35"/>
      <c r="C14" s="34"/>
      <c r="D14" s="34"/>
      <c r="E14" s="36"/>
      <c r="F14" s="37"/>
      <c r="G14" s="43"/>
      <c r="I14" s="2"/>
      <c r="K14" s="16"/>
      <c r="L14" s="16"/>
    </row>
    <row r="15" spans="1:16" ht="16.5" thickBot="1">
      <c r="A15" s="33"/>
      <c r="B15" s="35"/>
      <c r="C15" s="34"/>
      <c r="D15" s="34"/>
      <c r="E15" s="36"/>
      <c r="F15" s="37"/>
      <c r="G15" s="32"/>
      <c r="I15" s="2"/>
      <c r="K15" s="16"/>
      <c r="L15" s="16"/>
    </row>
    <row r="16" spans="1:16" ht="16.5" thickBot="1">
      <c r="A16" s="33"/>
      <c r="B16" s="35"/>
      <c r="C16" s="34"/>
      <c r="D16" s="34"/>
      <c r="E16" s="36"/>
      <c r="F16" s="37"/>
      <c r="G16" s="32"/>
      <c r="I16" s="2"/>
      <c r="K16" s="16"/>
      <c r="L16" s="16"/>
    </row>
    <row r="17" spans="1:12" ht="16.5" thickBot="1">
      <c r="A17" s="33"/>
      <c r="B17" s="35"/>
      <c r="C17" s="34"/>
      <c r="D17" s="34"/>
      <c r="E17" s="36"/>
      <c r="F17" s="37"/>
      <c r="G17" s="42"/>
      <c r="I17" s="2"/>
      <c r="K17" s="16"/>
      <c r="L17" s="16"/>
    </row>
    <row r="18" spans="1:12" ht="16.5" thickBot="1">
      <c r="A18" s="33"/>
      <c r="B18" s="35"/>
      <c r="C18" s="34"/>
      <c r="D18" s="34"/>
      <c r="E18" s="36"/>
      <c r="F18" s="37"/>
      <c r="G18" s="32"/>
      <c r="I18" s="2"/>
      <c r="K18" s="16"/>
      <c r="L18" s="16"/>
    </row>
    <row r="19" spans="1:12" ht="16.5" thickBot="1">
      <c r="A19" s="33"/>
      <c r="B19" s="35"/>
      <c r="C19" s="34"/>
      <c r="D19" s="34"/>
      <c r="E19" s="36"/>
      <c r="F19" s="37"/>
      <c r="G19" s="32"/>
      <c r="I19" s="2"/>
      <c r="K19" s="16"/>
      <c r="L19" s="16"/>
    </row>
    <row r="20" spans="1:12" ht="16.5" thickBot="1">
      <c r="A20" s="33"/>
      <c r="B20" s="35"/>
      <c r="C20" s="34"/>
      <c r="D20" s="34"/>
      <c r="E20" s="36"/>
      <c r="F20" s="37"/>
      <c r="G20" s="32"/>
      <c r="I20" s="2"/>
      <c r="K20" s="16"/>
      <c r="L20" s="16"/>
    </row>
    <row r="21" spans="1:12" ht="16.5" thickBot="1">
      <c r="A21" s="33"/>
      <c r="B21" s="35"/>
      <c r="C21" s="34"/>
      <c r="D21" s="34"/>
      <c r="E21" s="36"/>
      <c r="F21" s="37"/>
      <c r="G21" s="32"/>
      <c r="I21" s="2"/>
      <c r="K21" s="16"/>
      <c r="L21" s="16"/>
    </row>
    <row r="22" spans="1:12" ht="16.5" thickBot="1">
      <c r="A22" s="33"/>
      <c r="B22" s="35"/>
      <c r="C22" s="34"/>
      <c r="D22" s="34"/>
      <c r="E22" s="36"/>
      <c r="F22" s="37"/>
      <c r="G22" s="32"/>
      <c r="I22" s="2"/>
      <c r="K22" s="16"/>
      <c r="L22" s="16"/>
    </row>
    <row r="23" spans="1:12" ht="16.5" thickBot="1">
      <c r="A23" s="33"/>
      <c r="B23" s="35"/>
      <c r="C23" s="34"/>
      <c r="D23" s="34"/>
      <c r="E23" s="36"/>
      <c r="F23" s="37"/>
      <c r="G23" s="32"/>
      <c r="I23" s="2"/>
      <c r="K23" s="16"/>
      <c r="L23" s="16"/>
    </row>
    <row r="24" spans="1:12" ht="16.5" thickBot="1">
      <c r="A24" s="33"/>
      <c r="B24" s="35"/>
      <c r="C24" s="34"/>
      <c r="D24" s="34"/>
      <c r="E24" s="36"/>
      <c r="F24" s="37"/>
      <c r="G24" s="32"/>
      <c r="I24" s="2"/>
      <c r="K24" s="16"/>
      <c r="L24" s="16"/>
    </row>
    <row r="25" spans="1:12" ht="16.5" thickBot="1">
      <c r="A25" s="33"/>
      <c r="B25" s="35"/>
      <c r="C25" s="34"/>
      <c r="D25" s="34"/>
      <c r="E25" s="36"/>
      <c r="F25" s="37"/>
      <c r="G25" s="32"/>
      <c r="I25" s="2"/>
      <c r="K25" s="16"/>
      <c r="L25" s="16"/>
    </row>
    <row r="26" spans="1:12" ht="16.5" thickBot="1">
      <c r="A26" s="33"/>
      <c r="B26" s="35"/>
      <c r="C26" s="34"/>
      <c r="D26" s="34"/>
      <c r="E26" s="36"/>
      <c r="F26" s="37"/>
      <c r="G26" s="32"/>
      <c r="I26" s="2"/>
      <c r="K26" s="16"/>
      <c r="L26" s="16"/>
    </row>
    <row r="27" spans="1:12" ht="16.5" thickBot="1">
      <c r="A27" s="33"/>
      <c r="B27" s="35"/>
      <c r="C27" s="34"/>
      <c r="D27" s="34"/>
      <c r="E27" s="36"/>
      <c r="F27" s="37"/>
      <c r="G27" s="32"/>
      <c r="I27" s="2"/>
      <c r="K27" s="16"/>
      <c r="L27" s="16"/>
    </row>
    <row r="28" spans="1:12" ht="16.5" thickBot="1">
      <c r="A28" s="33"/>
      <c r="B28" s="35"/>
      <c r="C28" s="34"/>
      <c r="D28" s="34"/>
      <c r="E28" s="36"/>
      <c r="F28" s="37"/>
      <c r="G28" s="32"/>
      <c r="I28" s="2"/>
      <c r="K28" s="16"/>
      <c r="L28" s="16"/>
    </row>
    <row r="29" spans="1:12" ht="16.5" thickBot="1">
      <c r="A29" s="33"/>
      <c r="B29" s="35"/>
      <c r="C29" s="34"/>
      <c r="D29" s="34"/>
      <c r="E29" s="36"/>
      <c r="F29" s="37"/>
      <c r="G29" s="32"/>
      <c r="I29" s="2"/>
      <c r="K29" s="16"/>
      <c r="L29" s="16"/>
    </row>
    <row r="30" spans="1:12" ht="16.5" thickBot="1">
      <c r="A30" s="33"/>
      <c r="B30" s="35"/>
      <c r="C30" s="34"/>
      <c r="D30" s="34"/>
      <c r="E30" s="36"/>
      <c r="F30" s="37"/>
      <c r="G30" s="32"/>
      <c r="I30" s="2"/>
      <c r="K30" s="16"/>
      <c r="L30" s="16"/>
    </row>
    <row r="31" spans="1:12" ht="16.5" thickBot="1">
      <c r="A31" s="33"/>
      <c r="B31" s="35"/>
      <c r="C31" s="34"/>
      <c r="D31" s="34"/>
      <c r="E31" s="36"/>
      <c r="F31" s="37"/>
      <c r="G31" s="32"/>
      <c r="I31" s="2"/>
      <c r="K31" s="16"/>
      <c r="L31" s="16"/>
    </row>
    <row r="32" spans="1:12" ht="16.5" thickBot="1">
      <c r="A32" s="33"/>
      <c r="B32" s="35"/>
      <c r="C32" s="34"/>
      <c r="D32" s="34"/>
      <c r="E32" s="36"/>
      <c r="F32" s="37"/>
      <c r="G32" s="32"/>
      <c r="I32" s="2"/>
      <c r="K32" s="16"/>
      <c r="L32" s="16"/>
    </row>
    <row r="33" spans="1:12" ht="16.5" thickBot="1">
      <c r="A33" s="33"/>
      <c r="B33" s="35"/>
      <c r="C33" s="34"/>
      <c r="D33" s="34"/>
      <c r="E33" s="36"/>
      <c r="F33" s="37"/>
      <c r="G33" s="32"/>
      <c r="I33" s="2"/>
      <c r="K33" s="16"/>
      <c r="L33" s="16"/>
    </row>
    <row r="34" spans="1:12" ht="16.5" thickBot="1">
      <c r="A34" s="33"/>
      <c r="B34" s="35"/>
      <c r="C34" s="34"/>
      <c r="D34" s="34"/>
      <c r="E34" s="36"/>
      <c r="F34" s="37"/>
      <c r="G34" s="32"/>
      <c r="I34" s="2"/>
      <c r="K34" s="16"/>
      <c r="L34" s="16"/>
    </row>
    <row r="35" spans="1:12" ht="16.5" thickBot="1">
      <c r="A35" s="33"/>
      <c r="B35" s="35"/>
      <c r="C35" s="34"/>
      <c r="D35" s="34"/>
      <c r="E35" s="36"/>
      <c r="F35" s="37"/>
      <c r="G35" s="32"/>
      <c r="I35" s="2"/>
      <c r="K35" s="16"/>
      <c r="L35" s="16"/>
    </row>
    <row r="36" spans="1:12" ht="16.5" thickBot="1">
      <c r="A36" s="33"/>
      <c r="B36" s="35"/>
      <c r="C36" s="34"/>
      <c r="D36" s="34"/>
      <c r="E36" s="36"/>
      <c r="F36" s="37"/>
      <c r="G36" s="32"/>
      <c r="I36" s="2"/>
      <c r="K36" s="16"/>
      <c r="L36" s="16"/>
    </row>
    <row r="37" spans="1:12" ht="16.5" thickBot="1">
      <c r="A37" s="33"/>
      <c r="B37" s="35"/>
      <c r="C37" s="34"/>
      <c r="D37" s="34"/>
      <c r="E37" s="36"/>
      <c r="F37" s="37"/>
      <c r="G37" s="32"/>
      <c r="I37" s="2"/>
      <c r="K37" s="16"/>
      <c r="L37" s="16"/>
    </row>
    <row r="38" spans="1:12" ht="16.5" thickBot="1">
      <c r="A38" s="33"/>
      <c r="B38" s="35"/>
      <c r="C38" s="34"/>
      <c r="D38" s="34"/>
      <c r="E38" s="36"/>
      <c r="F38" s="37"/>
      <c r="G38" s="32"/>
      <c r="I38" s="2"/>
      <c r="K38" s="16"/>
      <c r="L38" s="16"/>
    </row>
    <row r="39" spans="1:12" ht="16.5" thickBot="1">
      <c r="A39" s="33"/>
      <c r="B39" s="35"/>
      <c r="C39" s="34"/>
      <c r="D39" s="34"/>
      <c r="E39" s="36"/>
      <c r="F39" s="37"/>
      <c r="G39" s="32"/>
      <c r="I39" s="2"/>
      <c r="K39" s="16"/>
      <c r="L39" s="16"/>
    </row>
    <row r="40" spans="1:12" ht="16.5" thickBot="1">
      <c r="A40" s="33"/>
      <c r="B40" s="35"/>
      <c r="C40" s="34"/>
      <c r="D40" s="34"/>
      <c r="E40" s="36"/>
      <c r="F40" s="37"/>
      <c r="G40" s="32"/>
      <c r="I40" s="2"/>
      <c r="K40" s="16"/>
      <c r="L40" s="16"/>
    </row>
    <row r="41" spans="1:12" ht="16.5" thickBot="1">
      <c r="A41" s="33"/>
      <c r="B41" s="35"/>
      <c r="C41" s="34"/>
      <c r="D41" s="34"/>
      <c r="E41" s="36"/>
      <c r="F41" s="37"/>
      <c r="G41" s="32"/>
      <c r="I41" s="2"/>
      <c r="K41" s="16"/>
      <c r="L41" s="16"/>
    </row>
    <row r="42" spans="1:12" ht="16.5" thickBot="1">
      <c r="A42" s="33"/>
      <c r="B42" s="35"/>
      <c r="C42" s="34"/>
      <c r="D42" s="34"/>
      <c r="E42" s="36"/>
      <c r="F42" s="37"/>
      <c r="G42" s="32"/>
      <c r="I42" s="2"/>
      <c r="K42" s="16"/>
      <c r="L42" s="16"/>
    </row>
    <row r="43" spans="1:12" ht="16.5" thickBot="1">
      <c r="A43" s="33"/>
      <c r="B43" s="35"/>
      <c r="C43" s="34"/>
      <c r="D43" s="34"/>
      <c r="E43" s="36"/>
      <c r="F43" s="37"/>
      <c r="G43" s="32"/>
      <c r="I43" s="2"/>
      <c r="K43" s="16"/>
      <c r="L43" s="16"/>
    </row>
    <row r="44" spans="1:12" ht="16.5" thickBot="1">
      <c r="A44" s="33"/>
      <c r="B44" s="35"/>
      <c r="C44" s="34"/>
      <c r="D44" s="34"/>
      <c r="E44" s="36"/>
      <c r="F44" s="37"/>
      <c r="G44" s="32"/>
      <c r="I44" s="2"/>
      <c r="K44" s="16"/>
      <c r="L44" s="16"/>
    </row>
    <row r="45" spans="1:12" ht="16.5" thickBot="1">
      <c r="A45" s="33"/>
      <c r="B45" s="35"/>
      <c r="C45" s="34"/>
      <c r="D45" s="34"/>
      <c r="E45" s="36"/>
      <c r="F45" s="37"/>
      <c r="G45" s="32"/>
      <c r="I45" s="2"/>
      <c r="K45" s="16"/>
      <c r="L45" s="16"/>
    </row>
    <row r="46" spans="1:12" ht="16.5" thickBot="1">
      <c r="A46" s="33"/>
      <c r="B46" s="35"/>
      <c r="C46" s="34"/>
      <c r="D46" s="34"/>
      <c r="E46" s="36"/>
      <c r="F46" s="37"/>
      <c r="G46" s="32"/>
      <c r="I46" s="2"/>
      <c r="K46" s="16"/>
      <c r="L46" s="16"/>
    </row>
    <row r="47" spans="1:12" ht="16.5" thickBot="1">
      <c r="A47" s="33"/>
      <c r="B47" s="35"/>
      <c r="C47" s="34"/>
      <c r="D47" s="34"/>
      <c r="E47" s="36"/>
      <c r="F47" s="37"/>
      <c r="G47" s="32"/>
      <c r="I47" s="2"/>
      <c r="K47" s="16"/>
      <c r="L47" s="16"/>
    </row>
    <row r="48" spans="1:12" ht="16.5" thickBot="1">
      <c r="A48" s="18"/>
      <c r="B48" s="35"/>
      <c r="C48" s="34"/>
      <c r="D48" s="34"/>
      <c r="E48" s="36"/>
      <c r="F48" s="37"/>
      <c r="G48" s="32"/>
      <c r="I48" s="2"/>
      <c r="K48" s="16"/>
      <c r="L48" s="16"/>
    </row>
    <row r="49" spans="1:12" ht="16.5" thickBot="1">
      <c r="A49" s="33"/>
      <c r="B49" s="35"/>
      <c r="C49" s="34"/>
      <c r="D49" s="34"/>
      <c r="E49" s="36"/>
      <c r="F49" s="37"/>
      <c r="G49" s="32"/>
      <c r="I49" s="2"/>
      <c r="K49" s="16"/>
      <c r="L49" s="16"/>
    </row>
    <row r="50" spans="1:12" ht="16.5" thickBot="1">
      <c r="A50" s="33"/>
      <c r="B50" s="35"/>
      <c r="C50" s="34"/>
      <c r="D50" s="34"/>
      <c r="E50" s="36"/>
      <c r="F50" s="37"/>
      <c r="G50" s="32"/>
      <c r="I50" s="2"/>
      <c r="K50" s="16"/>
      <c r="L50" s="16"/>
    </row>
    <row r="51" spans="1:12" ht="16.5" thickBot="1">
      <c r="A51" s="33"/>
      <c r="B51" s="35"/>
      <c r="C51" s="34"/>
      <c r="D51" s="34"/>
      <c r="E51" s="36"/>
      <c r="F51" s="37"/>
      <c r="G51" s="32"/>
      <c r="I51" s="2"/>
      <c r="K51" s="16"/>
      <c r="L51" s="16"/>
    </row>
    <row r="52" spans="1:12" ht="16.5" thickBot="1">
      <c r="A52" s="33"/>
      <c r="B52" s="35"/>
      <c r="C52" s="34"/>
      <c r="D52" s="34"/>
      <c r="E52" s="36"/>
      <c r="F52" s="37"/>
      <c r="G52" s="32"/>
      <c r="I52" s="2"/>
      <c r="K52" s="16"/>
      <c r="L52" s="16"/>
    </row>
    <row r="53" spans="1:12" ht="16.5" thickBot="1">
      <c r="A53" s="33"/>
      <c r="B53" s="35"/>
      <c r="C53" s="34"/>
      <c r="D53" s="34"/>
      <c r="E53" s="36"/>
      <c r="F53" s="37"/>
      <c r="G53" s="43"/>
      <c r="I53" s="2"/>
      <c r="K53" s="16"/>
      <c r="L53" s="16"/>
    </row>
    <row r="54" spans="1:12" ht="16.5" thickBot="1">
      <c r="A54" s="33"/>
      <c r="B54" s="35"/>
      <c r="C54" s="34"/>
      <c r="D54" s="34"/>
      <c r="E54" s="36"/>
      <c r="F54" s="37"/>
      <c r="G54" s="43"/>
      <c r="I54" s="2"/>
      <c r="K54" s="16"/>
      <c r="L54" s="16"/>
    </row>
    <row r="55" spans="1:12" ht="16.5" thickBot="1">
      <c r="A55" s="33"/>
      <c r="B55" s="35"/>
      <c r="C55" s="34"/>
      <c r="D55" s="34"/>
      <c r="E55" s="36"/>
      <c r="F55" s="37"/>
      <c r="G55" s="43"/>
      <c r="I55" s="2"/>
      <c r="K55" s="16"/>
      <c r="L55" s="16"/>
    </row>
    <row r="56" spans="1:12">
      <c r="F56" s="12"/>
    </row>
    <row r="58" spans="1:12">
      <c r="A58" s="44"/>
    </row>
  </sheetData>
  <sortState xmlns:xlrd2="http://schemas.microsoft.com/office/spreadsheetml/2017/richdata2" ref="A1:P55">
    <sortCondition ref="G1:G55"/>
  </sortState>
  <hyperlinks>
    <hyperlink ref="B2" r:id="rId1" tooltip="ACTBLUE" display="https://www.fec.gov/data/committee/C00401224/" xr:uid="{9ABA944F-A36B-468B-964D-06AE916BABF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Company PAC</vt:lpstr>
      <vt:lpstr>Board &amp; Executives</vt:lpstr>
      <vt:lpstr>Howard G. Buffett</vt:lpstr>
      <vt:lpstr>Stephen B. Burke</vt:lpstr>
      <vt:lpstr>Kenneth I. Chenault</vt:lpstr>
      <vt:lpstr>Susan L. Decker</vt:lpstr>
      <vt:lpstr>David S. Gottesman</vt:lpstr>
      <vt:lpstr>Charlotte Guyman</vt:lpstr>
      <vt:lpstr>Thomas S. Murphy</vt:lpstr>
      <vt:lpstr>Ronald L. Olson</vt:lpstr>
      <vt:lpstr>Walter Scott, Jr.</vt:lpstr>
      <vt:lpstr>Meryl B. Witmer</vt:lpstr>
      <vt:lpstr>Warren E. Buffett</vt:lpstr>
      <vt:lpstr>Charles T. Munger</vt:lpstr>
      <vt:lpstr>Gregory E. Abel </vt:lpstr>
      <vt:lpstr>Ajit Jain</vt:lpstr>
      <vt:lpstr>Marc D. Hamburg</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punya</dc:creator>
  <cp:lastModifiedBy>19144</cp:lastModifiedBy>
  <dcterms:created xsi:type="dcterms:W3CDTF">2021-06-27T17:25:36Z</dcterms:created>
  <dcterms:modified xsi:type="dcterms:W3CDTF">2021-07-17T01:35:17Z</dcterms:modified>
</cp:coreProperties>
</file>