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rne\Documents\Special Analysis\"/>
    </mc:Choice>
  </mc:AlternateContent>
  <bookViews>
    <workbookView xWindow="0" yWindow="0" windowWidth="24000" windowHeight="10110"/>
  </bookViews>
  <sheets>
    <sheet name="Board &amp; Executives Summary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9" i="1" l="1"/>
  <c r="D7" i="1" l="1"/>
  <c r="D6" i="1"/>
  <c r="D5" i="1"/>
  <c r="D4" i="1"/>
  <c r="L19" i="1" l="1"/>
  <c r="P19" i="1" s="1"/>
  <c r="M19" i="1"/>
  <c r="L20" i="1" l="1"/>
  <c r="M20" i="1"/>
</calcChain>
</file>

<file path=xl/sharedStrings.xml><?xml version="1.0" encoding="utf-8"?>
<sst xmlns="http://schemas.openxmlformats.org/spreadsheetml/2006/main" count="216" uniqueCount="117">
  <si>
    <t>Company</t>
  </si>
  <si>
    <t>Board</t>
  </si>
  <si>
    <t>Exec</t>
  </si>
  <si>
    <t>Employer</t>
  </si>
  <si>
    <t>Fname</t>
  </si>
  <si>
    <t>MI</t>
  </si>
  <si>
    <t>Lname</t>
  </si>
  <si>
    <t>Gender</t>
  </si>
  <si>
    <t>State</t>
  </si>
  <si>
    <t>Age</t>
  </si>
  <si>
    <t>DOB</t>
  </si>
  <si>
    <t>Dem </t>
  </si>
  <si>
    <t>Rep </t>
  </si>
  <si>
    <t>Neutral</t>
  </si>
  <si>
    <t>Address</t>
  </si>
  <si>
    <t>Political Affiliation Source</t>
  </si>
  <si>
    <t>Exxon Mobil</t>
  </si>
  <si>
    <t>Y</t>
  </si>
  <si>
    <t>Darren</t>
  </si>
  <si>
    <t>W</t>
  </si>
  <si>
    <t>Woods</t>
  </si>
  <si>
    <t>M</t>
  </si>
  <si>
    <t>TX</t>
  </si>
  <si>
    <t>IRVING</t>
  </si>
  <si>
    <t>See Separate Tab</t>
  </si>
  <si>
    <t>N</t>
  </si>
  <si>
    <t>Andrew</t>
  </si>
  <si>
    <t xml:space="preserve"> P.</t>
  </si>
  <si>
    <t xml:space="preserve"> Swiger</t>
  </si>
  <si>
    <t>Neil</t>
  </si>
  <si>
    <t>A.</t>
  </si>
  <si>
    <t>Chapman</t>
  </si>
  <si>
    <t>Jack</t>
  </si>
  <si>
    <t>P</t>
  </si>
  <si>
    <t>Williams</t>
  </si>
  <si>
    <t>FORT WORTH</t>
  </si>
  <si>
    <t>Duffin</t>
  </si>
  <si>
    <t>No FEC Data</t>
  </si>
  <si>
    <t>Woods Hole Oceanographic Institution</t>
  </si>
  <si>
    <t xml:space="preserve">Susan </t>
  </si>
  <si>
    <t xml:space="preserve">K </t>
  </si>
  <si>
    <t>Avery</t>
  </si>
  <si>
    <t>F</t>
  </si>
  <si>
    <t>IL</t>
  </si>
  <si>
    <t>WellPoint (now Anthem)</t>
  </si>
  <si>
    <t>Angela</t>
  </si>
  <si>
    <t>Braly</t>
  </si>
  <si>
    <t>IN</t>
  </si>
  <si>
    <t>Indiannapolis</t>
  </si>
  <si>
    <t>VEON Ltd</t>
  </si>
  <si>
    <t>Ursula</t>
  </si>
  <si>
    <t xml:space="preserve"> M</t>
  </si>
  <si>
    <t xml:space="preserve"> Burns</t>
  </si>
  <si>
    <t>NY</t>
  </si>
  <si>
    <t>NEW YORK</t>
  </si>
  <si>
    <t xml:space="preserve">N </t>
  </si>
  <si>
    <t>Merck &amp; Co</t>
  </si>
  <si>
    <t>Kenneth</t>
  </si>
  <si>
    <t xml:space="preserve"> C.</t>
  </si>
  <si>
    <t xml:space="preserve"> Frazier</t>
  </si>
  <si>
    <t>PA</t>
  </si>
  <si>
    <t>NEWTOWN</t>
  </si>
  <si>
    <t>State Street</t>
  </si>
  <si>
    <t>Joseph</t>
  </si>
  <si>
    <t xml:space="preserve"> L.</t>
  </si>
  <si>
    <t xml:space="preserve"> Hooley</t>
  </si>
  <si>
    <t>MA</t>
  </si>
  <si>
    <t>METLIFE INC.</t>
  </si>
  <si>
    <t>Steven</t>
  </si>
  <si>
    <t xml:space="preserve"> A</t>
  </si>
  <si>
    <t>. Kandarian,</t>
  </si>
  <si>
    <t>Atairos Group Inc.</t>
  </si>
  <si>
    <t>Michael</t>
  </si>
  <si>
    <t xml:space="preserve"> J.</t>
  </si>
  <si>
    <t xml:space="preserve"> Angelakis</t>
  </si>
  <si>
    <t>GLADWYNE</t>
  </si>
  <si>
    <t>Caterpillar</t>
  </si>
  <si>
    <t>Douglas</t>
  </si>
  <si>
    <t>R</t>
  </si>
  <si>
    <t>Oberhelman</t>
  </si>
  <si>
    <t>EDWARDS</t>
  </si>
  <si>
    <t>IBM</t>
  </si>
  <si>
    <t>Samuel</t>
  </si>
  <si>
    <t>J</t>
  </si>
  <si>
    <t>Palmisano</t>
  </si>
  <si>
    <t>CT</t>
  </si>
  <si>
    <t>NORWALK</t>
  </si>
  <si>
    <t>Inclusive Capital LP</t>
  </si>
  <si>
    <t>Jeffrey</t>
  </si>
  <si>
    <t>Ubben</t>
  </si>
  <si>
    <t>Petronas</t>
  </si>
  <si>
    <t xml:space="preserve">Wan </t>
  </si>
  <si>
    <t>Zulkiflee</t>
  </si>
  <si>
    <t>Totals</t>
  </si>
  <si>
    <t>Reg</t>
  </si>
  <si>
    <t>DECATUR</t>
  </si>
  <si>
    <t>HINGHAM</t>
  </si>
  <si>
    <t>Andrew P. Swiger</t>
  </si>
  <si>
    <t>Susan K Avery</t>
  </si>
  <si>
    <t>Ursula M Burns</t>
  </si>
  <si>
    <t>Kenneth C. Frazier</t>
  </si>
  <si>
    <t>Joseph L. Hooley</t>
  </si>
  <si>
    <t>Steven A. Kandarian,</t>
  </si>
  <si>
    <t>Michael J. Angelakis</t>
  </si>
  <si>
    <t>Wan Zulkiflee</t>
  </si>
  <si>
    <t>Darren W Woods</t>
  </si>
  <si>
    <t>Neil A. Chapman</t>
  </si>
  <si>
    <t>Jack P Williams</t>
  </si>
  <si>
    <t>Neil W Duffin</t>
  </si>
  <si>
    <t>Angela F Braly</t>
  </si>
  <si>
    <t>Douglas R Oberhelman</t>
  </si>
  <si>
    <t>Samuel J Palmisano</t>
  </si>
  <si>
    <t>Jeffrey W Ubben</t>
  </si>
  <si>
    <t>D</t>
  </si>
  <si>
    <t>CA</t>
  </si>
  <si>
    <t>San Francisco</t>
  </si>
  <si>
    <t>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</si>
</sst>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b/>
      <sz val="10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u/>
      <sz val="11"/>
      <color theme="10"/>
      <name val="Calibri"/>
      <family val="2"/>
    </font>
    <font>
      <u/>
      <sz val="10"/>
      <name val="Times New Roman"/>
      <family val="1"/>
    </font>
    <font>
      <u/>
      <sz val="10"/>
      <color theme="1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19">
    <xf numFmtId="0" fontId="0" fillId="0" borderId="0" xfId="0"/>
    <xf numFmtId="0" fontId="3" fillId="2" borderId="0" xfId="0" applyFont="1" applyFill="1" applyAlignment="1">
      <alignment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44" fontId="6" fillId="0" borderId="0" xfId="0" applyNumberFormat="1" applyFont="1"/>
    <xf numFmtId="0" fontId="7" fillId="0" borderId="0" xfId="4" applyFont="1"/>
    <xf numFmtId="44" fontId="6" fillId="0" borderId="0" xfId="2" applyFont="1"/>
    <xf numFmtId="0" fontId="7" fillId="0" borderId="0" xfId="5" applyFont="1"/>
    <xf numFmtId="43" fontId="6" fillId="0" borderId="0" xfId="1" applyFont="1"/>
    <xf numFmtId="14" fontId="6" fillId="0" borderId="0" xfId="0" applyNumberFormat="1" applyFont="1"/>
    <xf numFmtId="43" fontId="6" fillId="0" borderId="0" xfId="0" applyNumberFormat="1" applyFont="1"/>
    <xf numFmtId="0" fontId="7" fillId="0" borderId="0" xfId="6" applyFont="1"/>
    <xf numFmtId="0" fontId="7" fillId="0" borderId="0" xfId="0" applyFont="1"/>
    <xf numFmtId="9" fontId="6" fillId="0" borderId="0" xfId="3" applyFont="1"/>
    <xf numFmtId="0" fontId="9" fillId="0" borderId="0" xfId="7" applyFont="1" applyAlignment="1" applyProtection="1"/>
    <xf numFmtId="0" fontId="10" fillId="0" borderId="0" xfId="7" applyFont="1" applyAlignment="1" applyProtection="1"/>
    <xf numFmtId="0" fontId="6" fillId="0" borderId="0" xfId="0" applyFont="1" applyAlignment="1">
      <alignment wrapText="1"/>
    </xf>
    <xf numFmtId="0" fontId="11" fillId="0" borderId="0" xfId="0" applyFont="1"/>
  </cellXfs>
  <cellStyles count="8">
    <cellStyle name="Comma" xfId="1" builtinId="3"/>
    <cellStyle name="Currency" xfId="2" builtinId="4"/>
    <cellStyle name="Hyperlink" xfId="7" builtinId="8"/>
    <cellStyle name="Normal" xfId="0" builtinId="0"/>
    <cellStyle name="Normal 2" xfId="4"/>
    <cellStyle name="Normal 3" xfId="5"/>
    <cellStyle name="Normal 4" xfId="6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0"/>
  <sheetViews>
    <sheetView tabSelected="1" workbookViewId="0">
      <pane xSplit="1" ySplit="2" topLeftCell="E3" activePane="bottomRight" state="frozen"/>
      <selection pane="topRight" activeCell="B1" sqref="B1"/>
      <selection pane="bottomLeft" activeCell="A3" sqref="A3"/>
      <selection pane="bottomRight" activeCell="I19" sqref="I19"/>
    </sheetView>
  </sheetViews>
  <sheetFormatPr defaultColWidth="9.28515625" defaultRowHeight="12.75" x14ac:dyDescent="0.2"/>
  <cols>
    <col min="1" max="1" width="25.28515625" style="4" bestFit="1" customWidth="1"/>
    <col min="2" max="11" width="9.28515625" style="4"/>
    <col min="12" max="13" width="10.7109375" style="4" bestFit="1" customWidth="1"/>
    <col min="14" max="15" width="9.28515625" style="4"/>
    <col min="16" max="16" width="12.7109375" style="4" bestFit="1" customWidth="1"/>
    <col min="17" max="16384" width="9.28515625" style="4"/>
  </cols>
  <sheetData>
    <row r="1" spans="1:20" s="3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94</v>
      </c>
      <c r="P1" s="1" t="s">
        <v>14</v>
      </c>
      <c r="Q1" s="2" t="s">
        <v>15</v>
      </c>
    </row>
    <row r="2" spans="1:20" ht="11.25" customHeight="1" x14ac:dyDescent="0.2"/>
    <row r="3" spans="1:20" x14ac:dyDescent="0.2">
      <c r="A3" s="4" t="s">
        <v>16</v>
      </c>
      <c r="B3" s="4" t="s">
        <v>17</v>
      </c>
      <c r="C3" s="4" t="s">
        <v>17</v>
      </c>
      <c r="D3" s="4" t="s">
        <v>16</v>
      </c>
      <c r="E3" s="4" t="s">
        <v>18</v>
      </c>
      <c r="F3" s="4" t="s">
        <v>19</v>
      </c>
      <c r="G3" s="4" t="s">
        <v>20</v>
      </c>
      <c r="H3" s="4" t="s">
        <v>21</v>
      </c>
      <c r="I3" s="4" t="s">
        <v>22</v>
      </c>
      <c r="J3" s="4">
        <v>56</v>
      </c>
      <c r="M3" s="5">
        <v>102482.05249778187</v>
      </c>
      <c r="N3" s="5"/>
      <c r="O3" s="5" t="s">
        <v>78</v>
      </c>
      <c r="P3" s="6" t="s">
        <v>23</v>
      </c>
      <c r="Q3" s="4" t="s">
        <v>24</v>
      </c>
      <c r="T3" s="4" t="s">
        <v>105</v>
      </c>
    </row>
    <row r="4" spans="1:20" x14ac:dyDescent="0.2">
      <c r="A4" s="4" t="s">
        <v>16</v>
      </c>
      <c r="B4" s="4" t="s">
        <v>25</v>
      </c>
      <c r="C4" s="4" t="s">
        <v>17</v>
      </c>
      <c r="D4" s="4" t="str">
        <f>+A4</f>
        <v>Exxon Mobil</v>
      </c>
      <c r="E4" s="4" t="s">
        <v>26</v>
      </c>
      <c r="F4" s="4" t="s">
        <v>27</v>
      </c>
      <c r="G4" s="4" t="s">
        <v>28</v>
      </c>
      <c r="H4" s="4" t="s">
        <v>21</v>
      </c>
      <c r="I4" s="4" t="s">
        <v>22</v>
      </c>
      <c r="J4" s="4">
        <v>64</v>
      </c>
      <c r="M4" s="7">
        <v>44808.726774699448</v>
      </c>
      <c r="N4" s="7"/>
      <c r="O4" s="7" t="s">
        <v>78</v>
      </c>
      <c r="P4" s="8" t="s">
        <v>23</v>
      </c>
      <c r="Q4" s="4" t="s">
        <v>24</v>
      </c>
      <c r="T4" s="4" t="s">
        <v>97</v>
      </c>
    </row>
    <row r="5" spans="1:20" x14ac:dyDescent="0.2">
      <c r="A5" s="4" t="s">
        <v>16</v>
      </c>
      <c r="B5" s="4" t="s">
        <v>25</v>
      </c>
      <c r="C5" s="4" t="s">
        <v>17</v>
      </c>
      <c r="D5" s="4" t="str">
        <f>+A5</f>
        <v>Exxon Mobil</v>
      </c>
      <c r="E5" s="4" t="s">
        <v>29</v>
      </c>
      <c r="F5" s="4" t="s">
        <v>30</v>
      </c>
      <c r="G5" s="4" t="s">
        <v>31</v>
      </c>
      <c r="H5" s="4" t="s">
        <v>21</v>
      </c>
      <c r="I5" s="4" t="s">
        <v>22</v>
      </c>
      <c r="J5" s="4">
        <v>59</v>
      </c>
      <c r="M5" s="5">
        <v>26308.851716326884</v>
      </c>
      <c r="N5" s="5"/>
      <c r="O5" s="5" t="s">
        <v>25</v>
      </c>
      <c r="P5" s="8" t="s">
        <v>23</v>
      </c>
      <c r="Q5" s="4" t="s">
        <v>24</v>
      </c>
      <c r="T5" s="4" t="s">
        <v>106</v>
      </c>
    </row>
    <row r="6" spans="1:20" x14ac:dyDescent="0.2">
      <c r="A6" s="4" t="s">
        <v>16</v>
      </c>
      <c r="B6" s="4" t="s">
        <v>25</v>
      </c>
      <c r="C6" s="4" t="s">
        <v>17</v>
      </c>
      <c r="D6" s="4" t="str">
        <f>+A6</f>
        <v>Exxon Mobil</v>
      </c>
      <c r="E6" s="4" t="s">
        <v>32</v>
      </c>
      <c r="F6" s="4" t="s">
        <v>33</v>
      </c>
      <c r="G6" s="4" t="s">
        <v>34</v>
      </c>
      <c r="H6" s="4" t="s">
        <v>21</v>
      </c>
      <c r="I6" s="4" t="s">
        <v>22</v>
      </c>
      <c r="J6" s="4">
        <v>57</v>
      </c>
      <c r="M6" s="9">
        <v>20000</v>
      </c>
      <c r="N6" s="9"/>
      <c r="O6" s="9" t="s">
        <v>78</v>
      </c>
      <c r="P6" s="8" t="s">
        <v>35</v>
      </c>
      <c r="Q6" s="4" t="s">
        <v>24</v>
      </c>
      <c r="T6" s="4" t="s">
        <v>107</v>
      </c>
    </row>
    <row r="7" spans="1:20" x14ac:dyDescent="0.2">
      <c r="A7" s="4" t="s">
        <v>16</v>
      </c>
      <c r="B7" s="4" t="s">
        <v>25</v>
      </c>
      <c r="C7" s="4" t="s">
        <v>17</v>
      </c>
      <c r="D7" s="4" t="str">
        <f>+A7</f>
        <v>Exxon Mobil</v>
      </c>
      <c r="E7" s="4" t="s">
        <v>29</v>
      </c>
      <c r="F7" s="4" t="s">
        <v>19</v>
      </c>
      <c r="G7" s="4" t="s">
        <v>36</v>
      </c>
      <c r="H7" s="4" t="s">
        <v>21</v>
      </c>
      <c r="I7" s="4" t="s">
        <v>22</v>
      </c>
      <c r="J7" s="4">
        <v>64</v>
      </c>
      <c r="O7" s="4" t="s">
        <v>78</v>
      </c>
      <c r="S7" s="4" t="s">
        <v>37</v>
      </c>
      <c r="T7" s="4" t="s">
        <v>108</v>
      </c>
    </row>
    <row r="8" spans="1:20" x14ac:dyDescent="0.2">
      <c r="A8" s="4" t="s">
        <v>16</v>
      </c>
      <c r="B8" s="4" t="s">
        <v>17</v>
      </c>
      <c r="C8" s="4" t="s">
        <v>25</v>
      </c>
      <c r="D8" s="4" t="s">
        <v>38</v>
      </c>
      <c r="E8" s="4" t="s">
        <v>39</v>
      </c>
      <c r="F8" s="4" t="s">
        <v>40</v>
      </c>
      <c r="G8" s="4" t="s">
        <v>41</v>
      </c>
      <c r="H8" s="4" t="s">
        <v>42</v>
      </c>
      <c r="I8" s="4" t="s">
        <v>43</v>
      </c>
      <c r="J8" s="4">
        <v>71</v>
      </c>
      <c r="K8" s="10">
        <v>18426</v>
      </c>
      <c r="L8" s="4">
        <v>1000</v>
      </c>
      <c r="O8" s="4" t="s">
        <v>113</v>
      </c>
      <c r="P8" s="4" t="s">
        <v>95</v>
      </c>
      <c r="Q8" s="4" t="s">
        <v>24</v>
      </c>
      <c r="T8" s="4" t="s">
        <v>98</v>
      </c>
    </row>
    <row r="9" spans="1:20" x14ac:dyDescent="0.2">
      <c r="A9" s="4" t="s">
        <v>16</v>
      </c>
      <c r="B9" s="4" t="s">
        <v>17</v>
      </c>
      <c r="C9" s="4" t="s">
        <v>25</v>
      </c>
      <c r="D9" s="4" t="s">
        <v>44</v>
      </c>
      <c r="E9" s="4" t="s">
        <v>45</v>
      </c>
      <c r="F9" s="4" t="s">
        <v>42</v>
      </c>
      <c r="G9" s="4" t="s">
        <v>46</v>
      </c>
      <c r="H9" s="4" t="s">
        <v>42</v>
      </c>
      <c r="I9" s="4" t="s">
        <v>47</v>
      </c>
      <c r="J9" s="4">
        <v>59</v>
      </c>
      <c r="K9" s="10">
        <v>22463</v>
      </c>
      <c r="M9" s="9">
        <v>17800</v>
      </c>
      <c r="O9" s="4" t="s">
        <v>78</v>
      </c>
      <c r="P9" s="4" t="s">
        <v>48</v>
      </c>
      <c r="Q9" s="4" t="s">
        <v>24</v>
      </c>
      <c r="T9" s="4" t="s">
        <v>109</v>
      </c>
    </row>
    <row r="10" spans="1:20" x14ac:dyDescent="0.2">
      <c r="A10" s="4" t="s">
        <v>16</v>
      </c>
      <c r="B10" s="4" t="s">
        <v>17</v>
      </c>
      <c r="C10" s="4" t="s">
        <v>25</v>
      </c>
      <c r="D10" s="4" t="s">
        <v>49</v>
      </c>
      <c r="E10" s="4" t="s">
        <v>50</v>
      </c>
      <c r="F10" s="4" t="s">
        <v>51</v>
      </c>
      <c r="G10" s="4" t="s">
        <v>52</v>
      </c>
      <c r="H10" s="4" t="s">
        <v>42</v>
      </c>
      <c r="I10" s="4" t="s">
        <v>53</v>
      </c>
      <c r="J10" s="4">
        <v>62</v>
      </c>
      <c r="K10" s="10">
        <v>21448</v>
      </c>
      <c r="L10" s="11">
        <v>38929.880000000005</v>
      </c>
      <c r="O10" s="4" t="s">
        <v>25</v>
      </c>
      <c r="P10" s="12" t="s">
        <v>54</v>
      </c>
      <c r="Q10" s="4" t="s">
        <v>24</v>
      </c>
      <c r="T10" s="4" t="s">
        <v>99</v>
      </c>
    </row>
    <row r="11" spans="1:20" x14ac:dyDescent="0.2">
      <c r="A11" s="4" t="s">
        <v>16</v>
      </c>
      <c r="B11" s="4" t="s">
        <v>17</v>
      </c>
      <c r="C11" s="4" t="s">
        <v>55</v>
      </c>
      <c r="D11" s="4" t="s">
        <v>56</v>
      </c>
      <c r="E11" s="4" t="s">
        <v>57</v>
      </c>
      <c r="F11" s="4" t="s">
        <v>58</v>
      </c>
      <c r="G11" s="4" t="s">
        <v>59</v>
      </c>
      <c r="H11" s="4" t="s">
        <v>21</v>
      </c>
      <c r="I11" s="4" t="s">
        <v>60</v>
      </c>
      <c r="J11" s="4">
        <v>66</v>
      </c>
      <c r="K11" s="10">
        <v>20075</v>
      </c>
      <c r="L11" s="11">
        <v>226892.83058355437</v>
      </c>
      <c r="M11" s="11">
        <v>96403.969416445616</v>
      </c>
      <c r="N11" s="11"/>
      <c r="O11" s="11"/>
      <c r="P11" s="12" t="s">
        <v>61</v>
      </c>
      <c r="Q11" s="4" t="s">
        <v>24</v>
      </c>
      <c r="T11" s="4" t="s">
        <v>100</v>
      </c>
    </row>
    <row r="12" spans="1:20" x14ac:dyDescent="0.2">
      <c r="A12" s="4" t="s">
        <v>16</v>
      </c>
      <c r="B12" s="4" t="s">
        <v>17</v>
      </c>
      <c r="C12" s="4" t="s">
        <v>25</v>
      </c>
      <c r="D12" s="4" t="s">
        <v>62</v>
      </c>
      <c r="E12" s="4" t="s">
        <v>63</v>
      </c>
      <c r="F12" s="4" t="s">
        <v>64</v>
      </c>
      <c r="G12" s="4" t="s">
        <v>65</v>
      </c>
      <c r="H12" s="4" t="s">
        <v>21</v>
      </c>
      <c r="I12" s="4" t="s">
        <v>66</v>
      </c>
      <c r="J12" s="4">
        <v>64</v>
      </c>
      <c r="L12" s="11">
        <v>11200</v>
      </c>
      <c r="O12" s="4" t="s">
        <v>78</v>
      </c>
      <c r="P12" s="4" t="s">
        <v>96</v>
      </c>
      <c r="Q12" s="4" t="s">
        <v>24</v>
      </c>
      <c r="T12" s="4" t="s">
        <v>101</v>
      </c>
    </row>
    <row r="13" spans="1:20" x14ac:dyDescent="0.2">
      <c r="A13" s="4" t="s">
        <v>16</v>
      </c>
      <c r="B13" s="4" t="s">
        <v>17</v>
      </c>
      <c r="C13" s="4" t="s">
        <v>25</v>
      </c>
      <c r="D13" s="12" t="s">
        <v>67</v>
      </c>
      <c r="E13" s="13" t="s">
        <v>68</v>
      </c>
      <c r="F13" s="4" t="s">
        <v>69</v>
      </c>
      <c r="G13" s="4" t="s">
        <v>70</v>
      </c>
      <c r="H13" s="4" t="s">
        <v>21</v>
      </c>
      <c r="I13" s="4" t="s">
        <v>53</v>
      </c>
      <c r="J13" s="4">
        <v>69</v>
      </c>
      <c r="N13" s="4">
        <v>1666.6399999999999</v>
      </c>
      <c r="P13" s="12" t="s">
        <v>54</v>
      </c>
      <c r="Q13" s="4" t="s">
        <v>24</v>
      </c>
      <c r="T13" s="4" t="s">
        <v>102</v>
      </c>
    </row>
    <row r="14" spans="1:20" x14ac:dyDescent="0.2">
      <c r="A14" s="4" t="s">
        <v>16</v>
      </c>
      <c r="B14" s="4" t="s">
        <v>17</v>
      </c>
      <c r="C14" s="4" t="s">
        <v>25</v>
      </c>
      <c r="D14" s="13" t="s">
        <v>71</v>
      </c>
      <c r="E14" s="13" t="s">
        <v>72</v>
      </c>
      <c r="F14" s="4" t="s">
        <v>73</v>
      </c>
      <c r="G14" s="4" t="s">
        <v>74</v>
      </c>
      <c r="H14" s="4" t="s">
        <v>21</v>
      </c>
      <c r="I14" s="4" t="s">
        <v>60</v>
      </c>
      <c r="J14" s="4">
        <v>56</v>
      </c>
      <c r="M14" s="11">
        <v>28200</v>
      </c>
      <c r="P14" s="12" t="s">
        <v>75</v>
      </c>
      <c r="Q14" s="4" t="s">
        <v>24</v>
      </c>
      <c r="T14" s="4" t="s">
        <v>103</v>
      </c>
    </row>
    <row r="15" spans="1:20" x14ac:dyDescent="0.2">
      <c r="A15" s="4" t="s">
        <v>16</v>
      </c>
      <c r="B15" s="4" t="s">
        <v>17</v>
      </c>
      <c r="C15" s="4" t="s">
        <v>25</v>
      </c>
      <c r="D15" s="4" t="s">
        <v>76</v>
      </c>
      <c r="E15" s="4" t="s">
        <v>77</v>
      </c>
      <c r="F15" s="4" t="s">
        <v>78</v>
      </c>
      <c r="G15" s="4" t="s">
        <v>79</v>
      </c>
      <c r="H15" s="4" t="s">
        <v>21</v>
      </c>
      <c r="I15" s="4" t="s">
        <v>43</v>
      </c>
      <c r="J15" s="4">
        <v>68</v>
      </c>
      <c r="K15" s="10">
        <v>19415</v>
      </c>
      <c r="L15" s="11">
        <v>500</v>
      </c>
      <c r="M15" s="11">
        <v>5300</v>
      </c>
      <c r="O15" s="4" t="s">
        <v>78</v>
      </c>
      <c r="P15" s="12" t="s">
        <v>80</v>
      </c>
      <c r="Q15" s="4" t="s">
        <v>24</v>
      </c>
      <c r="T15" s="4" t="s">
        <v>110</v>
      </c>
    </row>
    <row r="16" spans="1:20" x14ac:dyDescent="0.2">
      <c r="A16" s="4" t="s">
        <v>16</v>
      </c>
      <c r="B16" s="4" t="s">
        <v>17</v>
      </c>
      <c r="C16" s="4" t="s">
        <v>25</v>
      </c>
      <c r="D16" s="4" t="s">
        <v>81</v>
      </c>
      <c r="E16" s="4" t="s">
        <v>82</v>
      </c>
      <c r="F16" s="4" t="s">
        <v>83</v>
      </c>
      <c r="G16" s="4" t="s">
        <v>84</v>
      </c>
      <c r="H16" s="4" t="s">
        <v>21</v>
      </c>
      <c r="I16" s="4" t="s">
        <v>85</v>
      </c>
      <c r="J16" s="4">
        <v>69</v>
      </c>
      <c r="M16" s="9">
        <v>8900</v>
      </c>
      <c r="O16" s="4" t="s">
        <v>25</v>
      </c>
      <c r="P16" s="12" t="s">
        <v>86</v>
      </c>
      <c r="Q16" s="4" t="s">
        <v>24</v>
      </c>
      <c r="T16" s="4" t="s">
        <v>111</v>
      </c>
    </row>
    <row r="17" spans="1:20" x14ac:dyDescent="0.2">
      <c r="A17" s="4" t="s">
        <v>16</v>
      </c>
      <c r="B17" s="4" t="s">
        <v>17</v>
      </c>
      <c r="C17" s="4" t="s">
        <v>25</v>
      </c>
      <c r="D17" s="4" t="s">
        <v>87</v>
      </c>
      <c r="E17" s="4" t="s">
        <v>88</v>
      </c>
      <c r="F17" s="4" t="s">
        <v>19</v>
      </c>
      <c r="G17" s="4" t="s">
        <v>89</v>
      </c>
      <c r="H17" s="4" t="s">
        <v>21</v>
      </c>
      <c r="I17" s="4" t="s">
        <v>114</v>
      </c>
      <c r="J17" s="4">
        <v>59</v>
      </c>
      <c r="K17" s="4">
        <v>1962</v>
      </c>
      <c r="O17" s="4" t="s">
        <v>113</v>
      </c>
      <c r="P17" s="4" t="s">
        <v>115</v>
      </c>
      <c r="S17" s="4" t="s">
        <v>37</v>
      </c>
      <c r="T17" s="4" t="s">
        <v>112</v>
      </c>
    </row>
    <row r="18" spans="1:20" x14ac:dyDescent="0.2">
      <c r="A18" s="4" t="s">
        <v>16</v>
      </c>
      <c r="B18" s="4" t="s">
        <v>17</v>
      </c>
      <c r="C18" s="4" t="s">
        <v>25</v>
      </c>
      <c r="D18" s="4" t="s">
        <v>90</v>
      </c>
      <c r="E18" s="4" t="s">
        <v>91</v>
      </c>
      <c r="G18" s="4" t="s">
        <v>92</v>
      </c>
      <c r="H18" s="4" t="s">
        <v>21</v>
      </c>
      <c r="I18" s="4" t="s">
        <v>116</v>
      </c>
      <c r="J18" s="4">
        <v>60</v>
      </c>
      <c r="P18" s="4" t="s">
        <v>116</v>
      </c>
      <c r="S18" s="4" t="s">
        <v>37</v>
      </c>
      <c r="T18" s="4" t="s">
        <v>104</v>
      </c>
    </row>
    <row r="19" spans="1:20" x14ac:dyDescent="0.2">
      <c r="A19" s="4" t="s">
        <v>93</v>
      </c>
      <c r="K19" s="5"/>
      <c r="L19" s="5">
        <f t="shared" ref="L19" si="0">SUM(L3:L18)</f>
        <v>278522.71058355435</v>
      </c>
      <c r="M19" s="5">
        <f>SUM(M3:M18)</f>
        <v>350203.60040525382</v>
      </c>
      <c r="N19" s="5">
        <f>SUM(N3:N18)</f>
        <v>1666.6399999999999</v>
      </c>
      <c r="P19" s="5">
        <f>SUM(L19:N19)</f>
        <v>630392.95098880818</v>
      </c>
    </row>
    <row r="20" spans="1:20" x14ac:dyDescent="0.2">
      <c r="L20" s="14">
        <f>+L19/$P$19</f>
        <v>0.44182396098604088</v>
      </c>
      <c r="M20" s="14">
        <f>+M19/$P$19</f>
        <v>0.55553222772548294</v>
      </c>
    </row>
    <row r="21" spans="1:20" x14ac:dyDescent="0.2">
      <c r="A21" s="2"/>
    </row>
    <row r="22" spans="1:20" x14ac:dyDescent="0.2">
      <c r="L22" s="11"/>
      <c r="M22" s="11"/>
      <c r="P22" s="5"/>
    </row>
    <row r="23" spans="1:20" x14ac:dyDescent="0.2">
      <c r="L23" s="14"/>
      <c r="M23" s="14"/>
    </row>
    <row r="24" spans="1:20" s="2" customFormat="1" x14ac:dyDescent="0.2"/>
    <row r="25" spans="1:20" customFormat="1" ht="15" x14ac:dyDescent="0.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</row>
    <row r="30" spans="1:20" x14ac:dyDescent="0.2">
      <c r="E30" s="15"/>
    </row>
    <row r="35" spans="3:5" x14ac:dyDescent="0.2">
      <c r="D35" s="13"/>
    </row>
    <row r="36" spans="3:5" x14ac:dyDescent="0.2">
      <c r="D36" s="16"/>
      <c r="E36" s="15"/>
    </row>
    <row r="37" spans="3:5" x14ac:dyDescent="0.2">
      <c r="D37" s="16"/>
    </row>
    <row r="38" spans="3:5" x14ac:dyDescent="0.2">
      <c r="D38" s="16"/>
      <c r="E38" s="15"/>
    </row>
    <row r="39" spans="3:5" x14ac:dyDescent="0.2">
      <c r="C39" s="17"/>
      <c r="D39" s="16"/>
      <c r="E39" s="15"/>
    </row>
    <row r="40" spans="3:5" x14ac:dyDescent="0.2">
      <c r="E40" s="15"/>
    </row>
    <row r="41" spans="3:5" x14ac:dyDescent="0.2">
      <c r="D41" s="16"/>
      <c r="E41" s="15"/>
    </row>
    <row r="42" spans="3:5" x14ac:dyDescent="0.2">
      <c r="D42" s="15"/>
      <c r="E42" s="15"/>
    </row>
    <row r="44" spans="3:5" x14ac:dyDescent="0.2">
      <c r="D44" s="15"/>
      <c r="E44" s="15"/>
    </row>
    <row r="46" spans="3:5" x14ac:dyDescent="0.2">
      <c r="D46" s="15"/>
      <c r="E46" s="15"/>
    </row>
    <row r="47" spans="3:5" x14ac:dyDescent="0.2">
      <c r="D47" s="15"/>
      <c r="E47" s="15"/>
    </row>
    <row r="48" spans="3:5" x14ac:dyDescent="0.2">
      <c r="D48" s="15"/>
      <c r="E48" s="15"/>
    </row>
    <row r="50" spans="4:5" x14ac:dyDescent="0.2">
      <c r="D50" s="15"/>
      <c r="E50" s="15"/>
    </row>
    <row r="51" spans="4:5" x14ac:dyDescent="0.2">
      <c r="D51" s="15"/>
      <c r="E51" s="15"/>
    </row>
    <row r="52" spans="4:5" x14ac:dyDescent="0.2">
      <c r="D52" s="15"/>
      <c r="E52" s="15"/>
    </row>
    <row r="53" spans="4:5" x14ac:dyDescent="0.2">
      <c r="D53" s="15"/>
      <c r="E53" s="15"/>
    </row>
    <row r="54" spans="4:5" x14ac:dyDescent="0.2">
      <c r="D54" s="15"/>
      <c r="E54" s="15"/>
    </row>
    <row r="55" spans="4:5" x14ac:dyDescent="0.2">
      <c r="D55" s="15"/>
      <c r="E55" s="15"/>
    </row>
    <row r="56" spans="4:5" x14ac:dyDescent="0.2">
      <c r="D56" s="15"/>
      <c r="E56" s="15"/>
    </row>
    <row r="57" spans="4:5" x14ac:dyDescent="0.2">
      <c r="D57" s="15"/>
      <c r="E57" s="15"/>
    </row>
    <row r="58" spans="4:5" x14ac:dyDescent="0.2">
      <c r="D58" s="15"/>
      <c r="E58" s="15"/>
    </row>
    <row r="59" spans="4:5" x14ac:dyDescent="0.2">
      <c r="D59" s="15"/>
      <c r="E59" s="15"/>
    </row>
    <row r="60" spans="4:5" x14ac:dyDescent="0.2">
      <c r="D60" s="15"/>
      <c r="E60" s="15"/>
    </row>
    <row r="61" spans="4:5" x14ac:dyDescent="0.2">
      <c r="D61" s="15"/>
      <c r="E61" s="15"/>
    </row>
    <row r="62" spans="4:5" x14ac:dyDescent="0.2">
      <c r="D62" s="15"/>
      <c r="E62" s="15"/>
    </row>
    <row r="63" spans="4:5" x14ac:dyDescent="0.2">
      <c r="D63" s="15"/>
      <c r="E63" s="15"/>
    </row>
    <row r="64" spans="4:5" x14ac:dyDescent="0.2">
      <c r="D64" s="15"/>
      <c r="E64" s="15"/>
    </row>
    <row r="66" spans="4:5" x14ac:dyDescent="0.2">
      <c r="D66" s="15"/>
      <c r="E66" s="15"/>
    </row>
    <row r="67" spans="4:5" x14ac:dyDescent="0.2">
      <c r="D67" s="15"/>
      <c r="E67" s="15"/>
    </row>
    <row r="68" spans="4:5" x14ac:dyDescent="0.2">
      <c r="D68" s="15"/>
      <c r="E68" s="15"/>
    </row>
    <row r="69" spans="4:5" x14ac:dyDescent="0.2">
      <c r="D69" s="15"/>
      <c r="E69" s="15"/>
    </row>
    <row r="71" spans="4:5" x14ac:dyDescent="0.2">
      <c r="D71" s="15"/>
      <c r="E71" s="15"/>
    </row>
    <row r="72" spans="4:5" x14ac:dyDescent="0.2">
      <c r="D72" s="15"/>
      <c r="E72" s="15"/>
    </row>
    <row r="73" spans="4:5" x14ac:dyDescent="0.2">
      <c r="D73" s="15"/>
      <c r="E73" s="15"/>
    </row>
    <row r="74" spans="4:5" x14ac:dyDescent="0.2">
      <c r="D74" s="15"/>
      <c r="E74" s="15"/>
    </row>
    <row r="75" spans="4:5" x14ac:dyDescent="0.2">
      <c r="D75" s="15"/>
      <c r="E75" s="15"/>
    </row>
    <row r="76" spans="4:5" x14ac:dyDescent="0.2">
      <c r="D76" s="15"/>
      <c r="E76" s="15"/>
    </row>
    <row r="77" spans="4:5" x14ac:dyDescent="0.2">
      <c r="D77" s="15"/>
      <c r="E77" s="15"/>
    </row>
    <row r="78" spans="4:5" x14ac:dyDescent="0.2">
      <c r="D78" s="15"/>
      <c r="E78" s="15"/>
    </row>
    <row r="79" spans="4:5" x14ac:dyDescent="0.2">
      <c r="D79" s="15"/>
      <c r="E79" s="15"/>
    </row>
    <row r="80" spans="4:5" x14ac:dyDescent="0.2">
      <c r="D80" s="15"/>
      <c r="E80" s="15"/>
    </row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Board &amp; Executives Summary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Marnell</dc:creator>
  <cp:lastModifiedBy>Matt Marnell</cp:lastModifiedBy>
  <dcterms:created xsi:type="dcterms:W3CDTF">2021-07-15T15:00:46Z</dcterms:created>
  <dcterms:modified xsi:type="dcterms:W3CDTF">2021-08-02T17:23:28Z</dcterms:modified>
</cp:coreProperties>
</file>