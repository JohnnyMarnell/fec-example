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19144\Documents\Mitchell project\"/>
    </mc:Choice>
  </mc:AlternateContent>
  <xr:revisionPtr revIDLastSave="0" documentId="8_{A16BAFDC-14BB-437E-86E2-9C00EC9F0FBA}" xr6:coauthVersionLast="47" xr6:coauthVersionMax="47" xr10:uidLastSave="{00000000-0000-0000-0000-000000000000}"/>
  <bookViews>
    <workbookView xWindow="1470" yWindow="1470" windowWidth="13650" windowHeight="7425" xr2:uid="{00000000-000D-0000-FFFF-FFFF00000000}"/>
  </bookViews>
  <sheets>
    <sheet name="Board &amp; Executives" sheetId="4" r:id="rId1"/>
    <sheet name="Walmart Rank and File" sheetId="23" r:id="rId2"/>
    <sheet name="Company PAC" sheetId="2" r:id="rId3"/>
    <sheet name="Gregory B Penner" sheetId="1" r:id="rId4"/>
    <sheet name="Cesar Conde" sheetId="3" r:id="rId5"/>
    <sheet name="Timothy Patrick Flynn" sheetId="5" r:id="rId6"/>
    <sheet name="Sarah J Friar" sheetId="6" r:id="rId7"/>
    <sheet name="Carla A. Harris" sheetId="7" r:id="rId8"/>
    <sheet name="Marissa A. Mayer" sheetId="8" r:id="rId9"/>
    <sheet name="Steven S. Reinemund" sheetId="9" r:id="rId10"/>
    <sheet name="Thomas W Horton" sheetId="10" r:id="rId11"/>
    <sheet name="C Douglas McMillon" sheetId="11" r:id="rId12"/>
    <sheet name="Randall L. Stephenson" sheetId="12" r:id="rId13"/>
    <sheet name="S. Robson ‘Rob’ Walton" sheetId="13" r:id="rId14"/>
    <sheet name="Steuart L. Walton" sheetId="14" r:id="rId15"/>
    <sheet name="Dan Bartlett " sheetId="15" r:id="rId16"/>
    <sheet name="Rachel Brand" sheetId="16" r:id="rId17"/>
    <sheet name="M Brett Biggs  " sheetId="17" r:id="rId18"/>
    <sheet name="John Furner" sheetId="18" r:id="rId19"/>
    <sheet name="Suresh Kumar" sheetId="19" r:id="rId20"/>
    <sheet name="Judith McKenna" sheetId="20" r:id="rId21"/>
    <sheet name="Kathryn McLay" sheetId="21" r:id="rId22"/>
    <sheet name="notes" sheetId="22" r:id="rId23"/>
  </sheets>
  <calcPr calcId="191029"/>
</workbook>
</file>

<file path=xl/calcChain.xml><?xml version="1.0" encoding="utf-8"?>
<calcChain xmlns="http://schemas.openxmlformats.org/spreadsheetml/2006/main">
  <c r="N21" i="4" l="1"/>
  <c r="M21" i="4"/>
  <c r="L21" i="4"/>
  <c r="H72" i="23"/>
  <c r="Q70" i="23"/>
  <c r="H60" i="23"/>
  <c r="H56" i="23"/>
  <c r="H48" i="23"/>
  <c r="Q46" i="23"/>
  <c r="H42" i="23"/>
  <c r="H36" i="23"/>
  <c r="Q33" i="23"/>
  <c r="H33" i="23"/>
  <c r="H24" i="23"/>
  <c r="H17" i="23"/>
  <c r="H12" i="23"/>
  <c r="H9" i="23"/>
  <c r="F7" i="16"/>
  <c r="F52" i="15"/>
  <c r="F6" i="14"/>
  <c r="F10" i="13"/>
  <c r="F21" i="12"/>
  <c r="F52" i="11"/>
  <c r="F6" i="10"/>
  <c r="F4" i="8"/>
  <c r="F5" i="7"/>
  <c r="L51" i="18"/>
  <c r="K51" i="18"/>
  <c r="L50" i="18"/>
  <c r="K50" i="18"/>
  <c r="L49" i="18"/>
  <c r="K49" i="18"/>
  <c r="L48" i="18"/>
  <c r="K48" i="18"/>
  <c r="L47" i="18"/>
  <c r="K47" i="18"/>
  <c r="L46" i="18"/>
  <c r="K46" i="18"/>
  <c r="L45" i="18"/>
  <c r="K45" i="18"/>
  <c r="L44" i="18"/>
  <c r="K44" i="18"/>
  <c r="L43" i="18"/>
  <c r="K43" i="18"/>
  <c r="L42" i="18"/>
  <c r="K42" i="18"/>
  <c r="L41" i="18"/>
  <c r="K41" i="18"/>
  <c r="L40" i="18"/>
  <c r="K40" i="18"/>
  <c r="L39" i="18"/>
  <c r="K39" i="18"/>
  <c r="L38" i="18"/>
  <c r="K38" i="18"/>
  <c r="L37" i="18"/>
  <c r="K37" i="18"/>
  <c r="L36" i="18"/>
  <c r="K36" i="18"/>
  <c r="L35" i="18"/>
  <c r="K35" i="18"/>
  <c r="L34" i="18"/>
  <c r="K34" i="18"/>
  <c r="L33" i="18"/>
  <c r="K33" i="18"/>
  <c r="L32" i="18"/>
  <c r="K32" i="18"/>
  <c r="L31" i="18"/>
  <c r="K31" i="18"/>
  <c r="L30" i="18"/>
  <c r="K30" i="18"/>
  <c r="L29" i="18"/>
  <c r="K29" i="18"/>
  <c r="L28" i="18"/>
  <c r="K28" i="18"/>
  <c r="L27" i="18"/>
  <c r="K27" i="18"/>
  <c r="L26" i="18"/>
  <c r="K26" i="18"/>
  <c r="L25" i="18"/>
  <c r="K25" i="18"/>
  <c r="L24" i="18"/>
  <c r="K24" i="18"/>
  <c r="L23" i="18"/>
  <c r="K23" i="18"/>
  <c r="L22" i="18"/>
  <c r="K22" i="18"/>
  <c r="L21" i="18"/>
  <c r="K21" i="18"/>
  <c r="L20" i="18"/>
  <c r="K20" i="18"/>
  <c r="L19" i="18"/>
  <c r="K19" i="18"/>
  <c r="L18" i="18"/>
  <c r="K18" i="18"/>
  <c r="L17" i="18"/>
  <c r="K17" i="18"/>
  <c r="L16" i="18"/>
  <c r="K16" i="18"/>
  <c r="L15" i="18"/>
  <c r="K15" i="18"/>
  <c r="L14" i="18"/>
  <c r="K14" i="18"/>
  <c r="L13" i="18"/>
  <c r="K13" i="18"/>
  <c r="L12" i="18"/>
  <c r="K12" i="18"/>
  <c r="L11" i="18"/>
  <c r="K11" i="18"/>
  <c r="L10" i="18"/>
  <c r="K10" i="18"/>
  <c r="L9" i="18"/>
  <c r="K9" i="18"/>
  <c r="L8" i="18"/>
  <c r="K8" i="18"/>
  <c r="L7" i="18"/>
  <c r="K7" i="18"/>
  <c r="L6" i="18"/>
  <c r="K6" i="18"/>
  <c r="L5" i="18"/>
  <c r="K5" i="18"/>
  <c r="L4" i="18"/>
  <c r="K4" i="18"/>
  <c r="L3" i="18"/>
  <c r="K3" i="18"/>
  <c r="L2" i="18"/>
  <c r="K2" i="18"/>
  <c r="L3" i="17"/>
  <c r="K3" i="17"/>
  <c r="L2" i="17"/>
  <c r="K2" i="17"/>
  <c r="L6" i="16"/>
  <c r="K6" i="16"/>
  <c r="L5" i="16"/>
  <c r="K5" i="16"/>
  <c r="L4" i="16"/>
  <c r="K4" i="16"/>
  <c r="L3" i="16"/>
  <c r="K3" i="16"/>
  <c r="L51" i="15"/>
  <c r="K51" i="15"/>
  <c r="L50" i="15"/>
  <c r="K50" i="15"/>
  <c r="L49" i="15"/>
  <c r="K49" i="15"/>
  <c r="L48" i="15"/>
  <c r="K48" i="15"/>
  <c r="L47" i="15"/>
  <c r="K47" i="15"/>
  <c r="L46" i="15"/>
  <c r="K46" i="15"/>
  <c r="L45" i="15"/>
  <c r="K45" i="15"/>
  <c r="L44" i="15"/>
  <c r="K44" i="15"/>
  <c r="L43" i="15"/>
  <c r="K43" i="15"/>
  <c r="L42" i="15"/>
  <c r="K42" i="15"/>
  <c r="L41" i="15"/>
  <c r="K41" i="15"/>
  <c r="L40" i="15"/>
  <c r="K40" i="15"/>
  <c r="L39" i="15"/>
  <c r="K39" i="15"/>
  <c r="L38" i="15"/>
  <c r="K38" i="15"/>
  <c r="L37" i="15"/>
  <c r="K37" i="15"/>
  <c r="L36" i="15"/>
  <c r="K36" i="15"/>
  <c r="L35" i="15"/>
  <c r="K35" i="15"/>
  <c r="L34" i="15"/>
  <c r="K34" i="15"/>
  <c r="L33" i="15"/>
  <c r="K33" i="15"/>
  <c r="L32" i="15"/>
  <c r="K32" i="15"/>
  <c r="L31" i="15"/>
  <c r="K31" i="15"/>
  <c r="L30" i="15"/>
  <c r="K30" i="15"/>
  <c r="L29" i="15"/>
  <c r="K29" i="15"/>
  <c r="L28" i="15"/>
  <c r="K28" i="15"/>
  <c r="L27" i="15"/>
  <c r="K27" i="15"/>
  <c r="L26" i="15"/>
  <c r="K26" i="15"/>
  <c r="L25" i="15"/>
  <c r="K25" i="15"/>
  <c r="L24" i="15"/>
  <c r="K24" i="15"/>
  <c r="L23" i="15"/>
  <c r="K23" i="15"/>
  <c r="L22" i="15"/>
  <c r="K22" i="15"/>
  <c r="L21" i="15"/>
  <c r="K21" i="15"/>
  <c r="L20" i="15"/>
  <c r="K20" i="15"/>
  <c r="L19" i="15"/>
  <c r="K19" i="15"/>
  <c r="L18" i="15"/>
  <c r="K18" i="15"/>
  <c r="L17" i="15"/>
  <c r="K17" i="15"/>
  <c r="L16" i="15"/>
  <c r="K16" i="15"/>
  <c r="L15" i="15"/>
  <c r="K15" i="15"/>
  <c r="L14" i="15"/>
  <c r="K14" i="15"/>
  <c r="L13" i="15"/>
  <c r="K13" i="15"/>
  <c r="L12" i="15"/>
  <c r="K12" i="15"/>
  <c r="L11" i="15"/>
  <c r="K11" i="15"/>
  <c r="L10" i="15"/>
  <c r="K10" i="15"/>
  <c r="L9" i="15"/>
  <c r="K9" i="15"/>
  <c r="L8" i="15"/>
  <c r="K8" i="15"/>
  <c r="L7" i="15"/>
  <c r="K7" i="15"/>
  <c r="L6" i="15"/>
  <c r="K6" i="15"/>
  <c r="L5" i="15"/>
  <c r="K5" i="15"/>
  <c r="L4" i="15"/>
  <c r="K4" i="15"/>
  <c r="L3" i="15"/>
  <c r="K3" i="15"/>
  <c r="L2" i="15"/>
  <c r="K2" i="15"/>
  <c r="L5" i="14"/>
  <c r="K5" i="14"/>
  <c r="L4" i="14"/>
  <c r="K4" i="14"/>
  <c r="L3" i="14"/>
  <c r="K3" i="14"/>
  <c r="L2" i="14"/>
  <c r="K2" i="14"/>
  <c r="L9" i="13"/>
  <c r="K9" i="13"/>
  <c r="L8" i="13"/>
  <c r="K8" i="13"/>
  <c r="L7" i="13"/>
  <c r="K7" i="13"/>
  <c r="L6" i="13"/>
  <c r="K6" i="13"/>
  <c r="L5" i="13"/>
  <c r="K5" i="13"/>
  <c r="L4" i="13"/>
  <c r="K4" i="13"/>
  <c r="L3" i="13"/>
  <c r="K3" i="13"/>
  <c r="L2" i="13"/>
  <c r="K2" i="13"/>
  <c r="L20" i="12"/>
  <c r="K20" i="12"/>
  <c r="L19" i="12"/>
  <c r="K19" i="12"/>
  <c r="L18" i="12"/>
  <c r="K18" i="12"/>
  <c r="L17" i="12"/>
  <c r="K17" i="12"/>
  <c r="L16" i="12"/>
  <c r="K16" i="12"/>
  <c r="L15" i="12"/>
  <c r="K15" i="12"/>
  <c r="L14" i="12"/>
  <c r="K14" i="12"/>
  <c r="L13" i="12"/>
  <c r="K13" i="12"/>
  <c r="L12" i="12"/>
  <c r="K12" i="12"/>
  <c r="L11" i="12"/>
  <c r="K11" i="12"/>
  <c r="L10" i="12"/>
  <c r="K10" i="12"/>
  <c r="L9" i="12"/>
  <c r="K9" i="12"/>
  <c r="L8" i="12"/>
  <c r="K8" i="12"/>
  <c r="L7" i="12"/>
  <c r="K7" i="12"/>
  <c r="L6" i="12"/>
  <c r="K6" i="12"/>
  <c r="L5" i="12"/>
  <c r="K5" i="12"/>
  <c r="L4" i="12"/>
  <c r="K4" i="12"/>
  <c r="L3" i="12"/>
  <c r="K3" i="12"/>
  <c r="L2" i="12"/>
  <c r="K2" i="12"/>
  <c r="L51" i="11" l="1"/>
  <c r="K51" i="11"/>
  <c r="L50" i="11"/>
  <c r="K50" i="11"/>
  <c r="L49" i="11"/>
  <c r="K49" i="11"/>
  <c r="L48" i="11"/>
  <c r="K48" i="11"/>
  <c r="L47" i="11"/>
  <c r="K47" i="11"/>
  <c r="L46" i="11"/>
  <c r="K46" i="11"/>
  <c r="L45" i="11"/>
  <c r="K45" i="11"/>
  <c r="L44" i="11"/>
  <c r="K44" i="11"/>
  <c r="L43" i="11"/>
  <c r="K43" i="11"/>
  <c r="L42" i="11"/>
  <c r="K42" i="11"/>
  <c r="L41" i="11"/>
  <c r="K41" i="11"/>
  <c r="L40" i="11"/>
  <c r="K40" i="11"/>
  <c r="L39" i="11"/>
  <c r="K39" i="11"/>
  <c r="L38" i="11"/>
  <c r="K38" i="11"/>
  <c r="L37" i="11"/>
  <c r="K37" i="11"/>
  <c r="L36" i="11"/>
  <c r="K36" i="11"/>
  <c r="L35" i="11"/>
  <c r="K35" i="11"/>
  <c r="L34" i="11"/>
  <c r="K34" i="11"/>
  <c r="L33" i="11"/>
  <c r="K33" i="11"/>
  <c r="L32" i="11"/>
  <c r="K32" i="11"/>
  <c r="L31" i="11"/>
  <c r="K31" i="11"/>
  <c r="L30" i="11"/>
  <c r="K30" i="11"/>
  <c r="L29" i="11"/>
  <c r="K29" i="11"/>
  <c r="L28" i="11"/>
  <c r="K28" i="11"/>
  <c r="L27" i="11"/>
  <c r="K27" i="11"/>
  <c r="L26" i="11"/>
  <c r="K26" i="11"/>
  <c r="L25" i="11"/>
  <c r="K25" i="11"/>
  <c r="L24" i="11"/>
  <c r="K24" i="11"/>
  <c r="L23" i="11"/>
  <c r="K23" i="11"/>
  <c r="L22" i="11"/>
  <c r="K22" i="11"/>
  <c r="L21" i="11"/>
  <c r="K21" i="11"/>
  <c r="L20" i="11"/>
  <c r="K20" i="11"/>
  <c r="L19" i="11"/>
  <c r="K19" i="11"/>
  <c r="L18" i="11"/>
  <c r="K18" i="11"/>
  <c r="L17" i="11"/>
  <c r="K17" i="11"/>
  <c r="L16" i="11"/>
  <c r="K16" i="11"/>
  <c r="L15" i="11"/>
  <c r="K15" i="11"/>
  <c r="L14" i="11"/>
  <c r="K14" i="11"/>
  <c r="L13" i="11"/>
  <c r="K13" i="11"/>
  <c r="L12" i="11"/>
  <c r="K12" i="11"/>
  <c r="L11" i="11"/>
  <c r="K11" i="11"/>
  <c r="L10" i="11"/>
  <c r="K10" i="11"/>
  <c r="L9" i="11"/>
  <c r="K9" i="11"/>
  <c r="L8" i="11"/>
  <c r="K8" i="11"/>
  <c r="L7" i="11"/>
  <c r="K7" i="11"/>
  <c r="L6" i="11"/>
  <c r="K6" i="11"/>
  <c r="L5" i="11"/>
  <c r="K5" i="11"/>
  <c r="L4" i="11"/>
  <c r="K4" i="11"/>
  <c r="L3" i="11"/>
  <c r="K3" i="11"/>
  <c r="L2" i="11"/>
  <c r="K2" i="11"/>
  <c r="L3" i="10" l="1"/>
  <c r="K3" i="10"/>
  <c r="L2" i="10"/>
  <c r="K2" i="10"/>
  <c r="L11" i="9"/>
  <c r="K11" i="9"/>
  <c r="F9" i="9"/>
  <c r="L8" i="9"/>
  <c r="K8" i="9"/>
  <c r="F6" i="9"/>
  <c r="L5" i="9"/>
  <c r="K5" i="9"/>
  <c r="L4" i="9"/>
  <c r="K4" i="9"/>
  <c r="L3" i="9"/>
  <c r="K3" i="9"/>
  <c r="L2" i="9"/>
  <c r="K2" i="9"/>
  <c r="L3" i="8"/>
  <c r="K3" i="8"/>
  <c r="L2" i="8"/>
  <c r="K2" i="8"/>
  <c r="L4" i="7"/>
  <c r="K4" i="7"/>
  <c r="L3" i="7"/>
  <c r="K3" i="7"/>
  <c r="L2" i="7"/>
  <c r="K2" i="7"/>
  <c r="F16" i="5"/>
  <c r="L15" i="5"/>
  <c r="K15" i="5"/>
  <c r="L14" i="5"/>
  <c r="K14" i="5"/>
  <c r="F11" i="5"/>
  <c r="L10" i="5"/>
  <c r="K10" i="5"/>
  <c r="L8" i="5"/>
  <c r="K8" i="5"/>
  <c r="L7" i="5"/>
  <c r="K7" i="5"/>
  <c r="L5" i="5"/>
  <c r="K5" i="5"/>
  <c r="F4" i="5"/>
  <c r="L3" i="5"/>
  <c r="K3" i="5"/>
  <c r="L2" i="5"/>
  <c r="K2" i="5"/>
  <c r="F18" i="1" l="1"/>
  <c r="L17" i="1"/>
  <c r="K17" i="1"/>
  <c r="F15" i="1"/>
  <c r="L14" i="1"/>
  <c r="K14" i="1"/>
  <c r="L13" i="1"/>
  <c r="K13" i="1"/>
  <c r="L12" i="1"/>
  <c r="K12" i="1"/>
  <c r="F10" i="1"/>
  <c r="L9" i="1"/>
  <c r="K9" i="1"/>
  <c r="L8" i="1"/>
  <c r="K8" i="1"/>
  <c r="L7" i="1"/>
  <c r="K7" i="1"/>
  <c r="L6" i="1"/>
  <c r="K6" i="1"/>
  <c r="L5" i="1"/>
  <c r="K5" i="1"/>
  <c r="L4" i="1"/>
  <c r="K4" i="1"/>
  <c r="L3" i="1"/>
  <c r="K3" i="1"/>
  <c r="L2" i="1"/>
  <c r="K2" i="1"/>
  <c r="I3" i="2"/>
  <c r="H3" i="2"/>
</calcChain>
</file>

<file path=xl/sharedStrings.xml><?xml version="1.0" encoding="utf-8"?>
<sst xmlns="http://schemas.openxmlformats.org/spreadsheetml/2006/main" count="4136" uniqueCount="887">
  <si>
    <t>PENNER, GREGORY B.</t>
  </si>
  <si>
    <t>BUILDING RELATIONSHIPS IN DIVERSE GEOGRAPHIC ENVIRONMENTS PAC (BRIDGE PAC)</t>
  </si>
  <si>
    <t>CHARTER SCHOOLS ACTION PAC</t>
  </si>
  <si>
    <t>PENNER, GREGORY</t>
  </si>
  <si>
    <t>DEFENDING MAIN STREET SUPERPAC INC.</t>
  </si>
  <si>
    <t>HICKENLOOPER FOR COLORADO</t>
  </si>
  <si>
    <t>150PAC.ORG</t>
  </si>
  <si>
    <t>WITH HONOR FUND, INC.</t>
  </si>
  <si>
    <t>PENNER, GREGORY B</t>
  </si>
  <si>
    <t>NO LABELS ACTION, INC.</t>
  </si>
  <si>
    <t>BIDEN FOR PRESIDENT</t>
  </si>
  <si>
    <t>BENNET FOR AMERICA</t>
  </si>
  <si>
    <t>COMMON SENSE COLORADO</t>
  </si>
  <si>
    <t>HICKENLOOPER 2020</t>
  </si>
  <si>
    <t>N</t>
  </si>
  <si>
    <t>D</t>
  </si>
  <si>
    <t>R</t>
  </si>
  <si>
    <t>Republican</t>
  </si>
  <si>
    <t>Independent</t>
  </si>
  <si>
    <t>Democratic</t>
  </si>
  <si>
    <t>Age</t>
  </si>
  <si>
    <t>Political Affiliation</t>
  </si>
  <si>
    <t>From Open Secrets.com</t>
  </si>
  <si>
    <t>Walmart</t>
  </si>
  <si>
    <t>State</t>
  </si>
  <si>
    <t>Gregory B. Penner</t>
  </si>
  <si>
    <t>%Republican</t>
  </si>
  <si>
    <t>%Democrat</t>
  </si>
  <si>
    <t>Walmart Inc Pac Profile</t>
  </si>
  <si>
    <t>Company PAC Name</t>
  </si>
  <si>
    <t>Contributor name</t>
  </si>
  <si>
    <t>Recipient</t>
  </si>
  <si>
    <t>Employer</t>
  </si>
  <si>
    <t>Receipt date</t>
  </si>
  <si>
    <t>Amount</t>
  </si>
  <si>
    <t>CONDE, CESAR</t>
  </si>
  <si>
    <t>ACTBLUE</t>
  </si>
  <si>
    <t>NOT EMPLOYED</t>
  </si>
  <si>
    <t>Ca</t>
  </si>
  <si>
    <t>MADRONE CAPITAL PARTNERS</t>
  </si>
  <si>
    <t>AR</t>
  </si>
  <si>
    <t>Calculated Political Affiliation</t>
  </si>
  <si>
    <t>Criteria 41 - 59% N &gt;59% Party Affiliation</t>
  </si>
  <si>
    <t>KPMG</t>
  </si>
  <si>
    <t>Morgan Stanley</t>
  </si>
  <si>
    <t>CO</t>
  </si>
  <si>
    <t>FLYNN, TIMOTHY</t>
  </si>
  <si>
    <t>NJ</t>
  </si>
  <si>
    <t>RETIRED</t>
  </si>
  <si>
    <t>CA</t>
  </si>
  <si>
    <t>MN</t>
  </si>
  <si>
    <t>Notes</t>
  </si>
  <si>
    <t>Greg Penner is currently the Chairman of Walmart, and he is only the third person to do so. The others were Penner’s father-in-law Rob Walton and Walmart’s founder Sam Walton. He has worked with Walmart in a variety of capacities for two decades. However, he did not join the board of directors until 2008. Since then, he served on the committee for global compensation and the executive committee. He then became chairman in 2015. Penner is the founder and general partner of the investment management firm Madrone Capital. Prior to working at Madrone Capital and Walmart, Penner was a financial analyst at Goldman Sachs &amp; Co., and he has served on the board of directors at several large companies. He has a bachelor’s degree in international economics and an MBA. Penner is married to Carrie Walton Penner, the daughter of Rob Walton, and the couple has four children together. The family lives in Atherton, California.</t>
  </si>
  <si>
    <t>Cesar Conde is the newest addition to Walmart’s board of directors as he only joined in 2019. He is the Chairman of NBCUniversal Telemundo Enterprises and NBCUniversal International Group. He first joined NBC International Group in 2013 when he held the position of Executive Vice President. This meant he had the responsibility of overseeing NBCU International and NBCU Digital Enterprises. He became Chairman in 2015, and he is now responsible for the operations and international expansions of the company outside North America. At Telemundo Enterprises, he is responsible for the media properties that serve Hispanic people. Before he joined NBCUniversal, he served Univision Networks for 10 years in a variety of senior executive position, including President of the company. Cesar Conde also previously worked at StarMedia Network and as White House Fellow for Secretary of State. Currently, Conde is a trustee of both the Paley Center for Music and for Aspen Institute. He is also a Young Global Leader for the World Economic Forum, a Full Member at the Council on Foreign Relations, and he serves on the Board of Directors of PepsiCo. Conde has been married to Pamela Silva Conde, a Univision news anchor, since 2009.</t>
  </si>
  <si>
    <t>On the board of directors since 2012, Timothy P. Flynn serves on the technology and eCommerce committee and is the chairman of the audit committee. He has been retired since 2011, and prior to this, he was the chairman of KPMG International for four years. Between 2005 and 2008, he was the chief executive officer of KPMG LLP and he was the chairman of this company from 2005 to 2010. He is currently on the board of trustees for the University St. Thomas in St. Paul, Minnesota. He is also on the board of directors for JP Morgan Chase &amp; Co. and UnitedHealth Group. In the past, he was on the board of directors for Chubb Corporation. Flynn has also previously been a member of the World Economic Forum International Business Council.</t>
  </si>
  <si>
    <t>Sarah Friar is the Chief Executive Officer of the San Francisco-based company Nextdoor and is the co-launcher of Ladies Who Launch. In her past professional history, she has been the Chief Financial Officer of Square, the Senior Vice President of Finance and Strategy at Salesforce, the Managing Director at Goldman Sachs, and a business analyst for McKinsey &amp; Company. Sarah Friar joined Walmart’s Board of Directors in early 2018. She is also on the Board of Directors of Slack. In the past, she has been on the Board of Directors of New Relic, Inc. Friar has a Meng from the University of Oxford and an MBA from Stanford University Graduate School of Business.</t>
  </si>
  <si>
    <t>Since joining the board of directors in 2017, Carla A. Harris has served on the committees for nominating and governance, planning and finance, and compensation and management development. She currently works for Morgan Stanley, a company that she joined in 1987 when she worked in the mergers and acquisitions team. Harris worked in many positions during her time with this company, including equity capital markets, investment banking, initial public offerings, and equity private placements. She was appointed as the managing director and senior client advisor in 2012 and was then promoted to vice president of wealth management and head of multicultural strategy the following year. Harris is on the board of directors for several non-profit organizations, including the Morgan Stanley Foundation and St. Vincent’s Health Care. President Barack Obama appointed her as the chair of the National Women’s Business Council in 2013.</t>
  </si>
  <si>
    <t>According to Forbes, Marissa A. Mayer was the first female engineer at Google, and her 13 years working for the company are the main reason that she now has an estimated net worth of $620 million. She is also ranked 35th on their list of the richest self-made women. Between 2012 and 2017, she was the Chief Executive Officer and President of Yahoo, Inc. In 2018, she co-founded Lumi Labs. Mayer has been on the board of directors for Walmart since 2012 and serves on the compensation and management development committee and the technology and eCommerce committee. She has served on the board of directors for the San Francisco Museum of Modern Art, Stanford Children’s Hospital, the San Francisco Ballet, and AliphCom, which operates as Jawbone. Furthermore, she is also on the foundation board for the Forum of Young Global Leaders at the World Economic Forum.</t>
  </si>
  <si>
    <t>Between 2001 and 2006, Reinemund was the CEO and chairman of PepsiCo, a company for which he worked for 23 years. He was then the dean of the Schools of Business at Wake Forest University from 2008 to 2014. Earlier in his career, Reinemund was the chairman and CEO of Frito-Lay’s worldwide operations. This was a position that he held from 1996 to 1999. Since 2007, he has served as a director for Marriott International, Inc. and for Exxon Mobil Corporation. In the past, he has also served as a director for Chick-fil-A, Inc., Johnson &amp; Johnson, and American Express. Furthermore, he is a member of the board of trustees for the United States Naval Academy Foundation and for The Cooper Institute. Steven S. Reinemund joined Walmart’s board of directors in 2010, and he serves on the committees for compensation and management development, technology and eCommerce, and nominating and governance. He is married to Gail T. Reinemund and the couple has four children together. The family lives in Denver, Colorado.</t>
  </si>
  <si>
    <t>REINEMUND, STEVEN</t>
  </si>
  <si>
    <t>HOUSE CD6</t>
  </si>
  <si>
    <t>THE AMERICAN FOUNDATIONS COMMITTEE</t>
  </si>
  <si>
    <t>NONE</t>
  </si>
  <si>
    <t>MARRIOTT INTERNATIONAL, INC. POLITICAL ACTION COMMITTEE</t>
  </si>
  <si>
    <t>WAKE FOREST UNIVERSITY</t>
  </si>
  <si>
    <t>REINEMUND, STEVEN S</t>
  </si>
  <si>
    <t>GARLAND TUCKER FOR SENATE</t>
  </si>
  <si>
    <t>MAYER, MARISSA</t>
  </si>
  <si>
    <t>CORY 2020</t>
  </si>
  <si>
    <t>LUMI LABS</t>
  </si>
  <si>
    <t>MARK KELLY FOR SENATE</t>
  </si>
  <si>
    <t>YAHOO</t>
  </si>
  <si>
    <t>#33</t>
  </si>
  <si>
    <t>America's Self-Made Women 2020</t>
  </si>
  <si>
    <t>#55</t>
  </si>
  <si>
    <t>Power Women 2016Dropped off in 2017</t>
  </si>
  <si>
    <t>STATS</t>
  </si>
  <si>
    <t>AGE46</t>
  </si>
  <si>
    <t>SOURCE OF WEALTHGoogle, Yahoo, Self Made</t>
  </si>
  <si>
    <t>SELF-MADE SCORE6</t>
  </si>
  <si>
    <t>RESIDENCEPalo Alto, California</t>
  </si>
  <si>
    <t>CITIZENSHIPUnited States</t>
  </si>
  <si>
    <t>MARITAL STATUSMarried</t>
  </si>
  <si>
    <t>CHILDREN3</t>
  </si>
  <si>
    <t>HARRIS, CARLA</t>
  </si>
  <si>
    <t>MORGAN STANLEY</t>
  </si>
  <si>
    <t>JAIME HARRISON FOR US SENATE</t>
  </si>
  <si>
    <t>Cesar Conde Political Contributions in 2014</t>
  </si>
  <si>
    <t>Name &amp; Location</t>
  </si>
  <si>
    <t>Employer/Occupation</t>
  </si>
  <si>
    <t>Dollar</t>
  </si>
  <si>
    <t>Date</t>
  </si>
  <si>
    <t>Primary/</t>
  </si>
  <si>
    <t>General</t>
  </si>
  <si>
    <t>Contibuted To</t>
  </si>
  <si>
    <t>NEW YORK, NY</t>
  </si>
  <si>
    <t>Nbcuniversal/Executive Vice President</t>
  </si>
  <si>
    <t>P</t>
  </si>
  <si>
    <t>COMCAST CORPORATION &amp; NBCUNIVERSAL POLITICAL ACTION COMMITTEE - FEDERAL</t>
  </si>
  <si>
    <t>LOS ANGELES, CA</t>
  </si>
  <si>
    <t>Univision Communications Inc/President, Univision Networks</t>
  </si>
  <si>
    <t>UNIVISION COMMUNICATIONS INC. POLITICAL ACTION COMMITTEE</t>
  </si>
  <si>
    <t>HIALEAH, FL</t>
  </si>
  <si>
    <t>Corporate Staff/Chairman Int#L And Telemundo Enterpris</t>
  </si>
  <si>
    <t>Conde, Cesar</t>
  </si>
  <si>
    <t>Univision Communications Inc/Presid</t>
  </si>
  <si>
    <t>Univision Communications Inc./Presi</t>
  </si>
  <si>
    <t>No listing the last few years but his prior donations were to Unavision Pac and COMCAST NBC PACs where he worked for years and they gave everything to Democrats, assuming Democratic</t>
  </si>
  <si>
    <t>comcast pac 70 to 30 Democrat</t>
  </si>
  <si>
    <t>Univision 100% Democrats</t>
  </si>
  <si>
    <t>Business Positions</t>
  </si>
  <si>
    <t>The Chubb Corporation Global provider of insurance products covering property and casualty, accident and health, reinsurance, and life insurance</t>
  </si>
  <si>
    <t>• Board Member (Sep '13→?) [+1]</t>
  </si>
  <si>
    <t>Walmart Inc. Retail merchandising</t>
  </si>
  <si>
    <t>• Board Member (Jul '12→?) [+1]</t>
  </si>
  <si>
    <t>JPMorgan Chase &amp; Co. A multinational banking corporation | World's largest public company</t>
  </si>
  <si>
    <t>• Board Member (May '12→?) [+1]</t>
  </si>
  <si>
    <t>UnitedHealth Group, Inc. Major health insurer, with headquarters in Minnetonka MN</t>
  </si>
  <si>
    <t>• Board Member</t>
  </si>
  <si>
    <t>Alcoa Inc. Aluminum producer</t>
  </si>
  <si>
    <t>KPMG LLP One of the "Big Four" US accounting firms</t>
  </si>
  <si>
    <t>• CEO</t>
  </si>
  <si>
    <t>Wal-Mart Stores (uk) Limited</t>
  </si>
  <si>
    <t>• Director (Board of Directors) (?→'15)</t>
  </si>
  <si>
    <t>Government Positions</t>
  </si>
  <si>
    <t>Financial Accounting Standards Board Creates accounting principles within the US in the public's interest.</t>
  </si>
  <si>
    <t>• trustee (past)</t>
  </si>
  <si>
    <t>Other Positions</t>
  </si>
  <si>
    <t>YMCA of Greater New York</t>
  </si>
  <si>
    <t>Memberships</t>
  </si>
  <si>
    <t>World Economic Forum - International Business Council</t>
  </si>
  <si>
    <t>• Member</t>
  </si>
  <si>
    <t>Business Roundtable Conservative-leaning pro-business policy group of leading chief executives</t>
  </si>
  <si>
    <t>Donation/Grant Recipients</t>
  </si>
  <si>
    <t>KPMG Partners &amp; Principals &amp; Employees Political Action Committee</t>
  </si>
  <si>
    <t>• 16 contributions · 27,731 USD ('96→'11)</t>
  </si>
  <si>
    <t>Chris Dodd President &amp; CEO of MPAA; former Democratic US Senator from CT</t>
  </si>
  <si>
    <t>• 3 contributions · 3,000 USD ('06→Dec 13 '06)</t>
  </si>
  <si>
    <t>Chuck Schumer US Senator and Representative from New York</t>
  </si>
  <si>
    <t>• 3 contributions · 3,000 USD ('00→'10)</t>
  </si>
  <si>
    <t>Rudy Giuliani Trump adviser; former mayor of New York City</t>
  </si>
  <si>
    <t>• 1 contribution · 2,300 USD ('07)</t>
  </si>
  <si>
    <t>Michael Ciresi V Democratic attorney from Minnesota, veteran contender in Dem statewide races</t>
  </si>
  <si>
    <t>Richard Shelby US Senator and Representative from Alabama</t>
  </si>
  <si>
    <t>• 1 contribution · 1,000 USD ('03)</t>
  </si>
  <si>
    <t>Max Baucus former US Senator and Representative from Montana</t>
  </si>
  <si>
    <t>• 1 contribution · 1,000 USD ('06)</t>
  </si>
  <si>
    <t>History based on Lil Sis</t>
  </si>
  <si>
    <t>KPMG PARTNER Pac</t>
  </si>
  <si>
    <t>Chris Dodd</t>
  </si>
  <si>
    <t>Chuck Schumer</t>
  </si>
  <si>
    <t>Rudy Giuliani </t>
  </si>
  <si>
    <t>Michael Ciresi V </t>
  </si>
  <si>
    <t>Richard Shelby </t>
  </si>
  <si>
    <t>Max Baucus</t>
  </si>
  <si>
    <t>Joined the Board: 2018</t>
  </si>
  <si>
    <t>Committees: Audit; Strategic Planning and Finance (Chair)</t>
  </si>
  <si>
    <t>Sarah Friar is chief executive officer of Nextdoor, the app where you plug into the neighborhoods that matter to you. Neighbors turn to Nextdoor daily to receive trusted information, give and get help, and build real-world connections with those nearby—neighbors, local businesses, and public agencies.</t>
  </si>
  <si>
    <t>Prior to Nextdoor, Sarah served as chief financial officer at Square. Under Sarah’s leadership, the company launched its initial public offering in 2015 and added $30 billion in market capitalization.</t>
  </si>
  <si>
    <t>Before her tenure at Square, Sarah served as senior vice president of finance &amp; strategy at Salesforce. Sarah also held executive roles at Goldman Sachs, as well as leadership positions at McKinsey in both London and South Africa. Also on the board of Slack, Sarah is a Fellow of the inaugural class of the Finance Leaders Fellowship Program, a member of the Aspen Global Leadership Network and co-founder of Ladies Who Launch, a network that mentors and inspires women entrepreneurs and business owners.</t>
  </si>
  <si>
    <t>Sarah grew up in Northern Ireland and earned her MEng in Metallurgy, Economics, and Management from the University of Oxford and her MBA from the Stanford University Graduate School of Business, where she graduated as an Arjay Miller scholar.</t>
  </si>
  <si>
    <t>no info</t>
  </si>
  <si>
    <t>Tom is a partner at Global Infrastructure Partners, a global infrastructure investment firm. He previously served as senior advisor at Warburg Pincus LLC, a private equity firm focused on growth investing. He was the chairman of American Airlines Group, Inc., from 2013 to 2014. He was chairman, president and chief executive officer of American Airlines, Inc., and AMR Corporation from 2011 to 2013, after being named president of American in 2010. During that time, he led American through a successful restructuring and turnaround that culminated in the merger with US Airways, creating the world’s largest airline.</t>
  </si>
  <si>
    <t>Previously, he served as executive vice president and chief financial officer of AMR and American from 2006 to 2010, and vice chairman and chief financial officer of AT&amp;T Corporation from 2002 to 2006. Prior to joining AT&amp;T, he was senior vice president and chief financial officer of AMR from 2000 to 2002 and served in numerous management positions with AMR since 1985. He joined American Airlines from international accounting partnership firm Peat Marwick &amp; Company, which is now known as KPMG.</t>
  </si>
  <si>
    <t>He earned a master’s degree in business administration from the Cox School of Business at Southern Methodist University and a bachelor’s degree in accounting from Baylor University, where he graduated magna cum laude. He has served as a director of Qualcomm Incorporated since 2008 and became a director of General Electric Company in April 2018. He also serves on the executive board of the Cox School of Business at SMU.</t>
  </si>
  <si>
    <r>
      <t>Joined the Board</t>
    </r>
    <r>
      <rPr>
        <sz val="11"/>
        <color rgb="FF000000"/>
        <rFont val="BogleWeb"/>
      </rPr>
      <t>: 2014</t>
    </r>
  </si>
  <si>
    <r>
      <t>Committee</t>
    </r>
    <r>
      <rPr>
        <sz val="11"/>
        <color rgb="FF000000"/>
        <rFont val="BogleWeb"/>
      </rPr>
      <t>: Audit; Nominating and Governance (Chair); Strategic Planning and Finance; Executive</t>
    </r>
  </si>
  <si>
    <t>MCMILLON, C D</t>
  </si>
  <si>
    <t>WALMART INC. PAC FOR RESPONSIBLE GOVERNMENT</t>
  </si>
  <si>
    <t>WALMART INC</t>
  </si>
  <si>
    <t>HORTON, THOMAS W.</t>
  </si>
  <si>
    <t>CLUB FOR GROWTH ACTION</t>
  </si>
  <si>
    <t>TX</t>
  </si>
  <si>
    <t>HORTON, THOMAS W</t>
  </si>
  <si>
    <t>DONALD J. TRUMP FOR PRESIDENT, INC.</t>
  </si>
  <si>
    <t>Global Infrastructure Partners</t>
  </si>
  <si>
    <t>Lumi Labs</t>
  </si>
  <si>
    <t>STEPHENSON, RANDALL L</t>
  </si>
  <si>
    <t>AT&amp;T INC./WARNERMEDIA LLC FEDERAL POLITICAL ACTION COMMITTEE (AT&amp;T/WARNERMEDIA FEDERAL PAC)</t>
  </si>
  <si>
    <t>AT&amp;T MANAGEMENT SERVICES, LLC</t>
  </si>
  <si>
    <t>AT&amp;T MANAGEMENT SERVICES, L.P.</t>
  </si>
  <si>
    <t>WALTON, S. ROBSON</t>
  </si>
  <si>
    <t>GEORGIANS FOR KELLY LOEFFLER</t>
  </si>
  <si>
    <t>DON BACON FOR CONGRESS</t>
  </si>
  <si>
    <t>HOOSIER PAC</t>
  </si>
  <si>
    <t>ARKANSAS FOR LEADERSHIP POLITICAL ACTION COMMITTEE (ARKPAC)</t>
  </si>
  <si>
    <t>WALTON, ROBSON MR.</t>
  </si>
  <si>
    <t>MAST FOR CONGRESS</t>
  </si>
  <si>
    <t>WALTON, S ROBSON</t>
  </si>
  <si>
    <t>HEARTLAND VALUES PAC</t>
  </si>
  <si>
    <t>WOMACK FOR CONGRESS COMMITTEE</t>
  </si>
  <si>
    <t>WALTON, STEUART</t>
  </si>
  <si>
    <t>NRCC</t>
  </si>
  <si>
    <t>ALLEN &amp; OVERY</t>
  </si>
  <si>
    <t>WALTON, STEUART L</t>
  </si>
  <si>
    <t>RUNWAY GROUP LLC</t>
  </si>
  <si>
    <t>WALTON, STEUART L. MR.</t>
  </si>
  <si>
    <t>BARTLETT, DANIEL</t>
  </si>
  <si>
    <t>BARTLETT, DANIEL J</t>
  </si>
  <si>
    <t>BRAND, RACHEL</t>
  </si>
  <si>
    <t>SENATE GEORGIA BATTLEGROUND FUND</t>
  </si>
  <si>
    <t>WALMART</t>
  </si>
  <si>
    <t>PERDUE FOR SENATE</t>
  </si>
  <si>
    <t>BRAND, RACHEL L</t>
  </si>
  <si>
    <t>Not Reported</t>
  </si>
  <si>
    <t xml:space="preserve">N </t>
  </si>
  <si>
    <t>BIGGS, BRETT</t>
  </si>
  <si>
    <t>COTTON FOR SENATE, INC.</t>
  </si>
  <si>
    <t>FURNER, JOHN R</t>
  </si>
  <si>
    <t>None reported</t>
  </si>
  <si>
    <t>Company</t>
  </si>
  <si>
    <t>Board</t>
  </si>
  <si>
    <t>Exec</t>
  </si>
  <si>
    <t>Fname</t>
  </si>
  <si>
    <t>MI</t>
  </si>
  <si>
    <t>Lname</t>
  </si>
  <si>
    <t>Gender</t>
  </si>
  <si>
    <t>DOB</t>
  </si>
  <si>
    <t xml:space="preserve">Dem  </t>
  </si>
  <si>
    <t xml:space="preserve">Rep </t>
  </si>
  <si>
    <t>Neutral</t>
  </si>
  <si>
    <t>Reg</t>
  </si>
  <si>
    <t>Address</t>
  </si>
  <si>
    <t>Gregory</t>
  </si>
  <si>
    <t>B</t>
  </si>
  <si>
    <t>Penner</t>
  </si>
  <si>
    <t>M</t>
  </si>
  <si>
    <t>Ar</t>
  </si>
  <si>
    <t xml:space="preserve"> Madrone Capital Partners</t>
  </si>
  <si>
    <t>Y</t>
  </si>
  <si>
    <t>No Data</t>
  </si>
  <si>
    <t>NBC Universal</t>
  </si>
  <si>
    <t>Cesar</t>
  </si>
  <si>
    <t>Conde</t>
  </si>
  <si>
    <t xml:space="preserve">M </t>
  </si>
  <si>
    <t>Fl</t>
  </si>
  <si>
    <t>Timothy</t>
  </si>
  <si>
    <t>Flynn</t>
  </si>
  <si>
    <t>Patrick</t>
  </si>
  <si>
    <t xml:space="preserve">Sarah </t>
  </si>
  <si>
    <t>J</t>
  </si>
  <si>
    <t>Friar</t>
  </si>
  <si>
    <t>F</t>
  </si>
  <si>
    <t>Nextdoor</t>
  </si>
  <si>
    <t>San Francisco Ca</t>
  </si>
  <si>
    <t xml:space="preserve">Carla </t>
  </si>
  <si>
    <t>A</t>
  </si>
  <si>
    <t>Harris</t>
  </si>
  <si>
    <t>Arkansas</t>
  </si>
  <si>
    <t>Bentonville Arkansas</t>
  </si>
  <si>
    <t>Marissa</t>
  </si>
  <si>
    <t>Mayer</t>
  </si>
  <si>
    <t xml:space="preserve">Thomas </t>
  </si>
  <si>
    <t xml:space="preserve">W </t>
  </si>
  <si>
    <t>Horton</t>
  </si>
  <si>
    <t>Tx</t>
  </si>
  <si>
    <t>Palo Alto California</t>
  </si>
  <si>
    <t>TX NY</t>
  </si>
  <si>
    <t>Douglas</t>
  </si>
  <si>
    <t>McMillon</t>
  </si>
  <si>
    <t xml:space="preserve">Carl </t>
  </si>
  <si>
    <t xml:space="preserve">Steven </t>
  </si>
  <si>
    <t>S</t>
  </si>
  <si>
    <t>Reinemund</t>
  </si>
  <si>
    <t>PepsiCo</t>
  </si>
  <si>
    <t>Co</t>
  </si>
  <si>
    <t>Denver Co Purchase NY</t>
  </si>
  <si>
    <t>Randall</t>
  </si>
  <si>
    <t>L</t>
  </si>
  <si>
    <t>Stevenson</t>
  </si>
  <si>
    <r>
      <t> </t>
    </r>
    <r>
      <rPr>
        <sz val="8"/>
        <color rgb="FF0645AD"/>
        <rFont val="Arial"/>
        <family val="2"/>
      </rPr>
      <t>Preston Hollow, Dallas</t>
    </r>
    <r>
      <rPr>
        <sz val="8"/>
        <color rgb="FF202122"/>
        <rFont val="Arial"/>
        <family val="2"/>
      </rPr>
      <t> and </t>
    </r>
    <r>
      <rPr>
        <sz val="8"/>
        <color rgb="FF0645AD"/>
        <rFont val="Arial"/>
        <family val="2"/>
      </rPr>
      <t>Olmos Park</t>
    </r>
    <r>
      <rPr>
        <sz val="8"/>
        <color rgb="FF202122"/>
        <rFont val="Arial"/>
        <family val="2"/>
      </rPr>
      <t>, San Antonio, Texas, and Teton Village, WY.</t>
    </r>
  </si>
  <si>
    <t>ATT Warner Media</t>
  </si>
  <si>
    <t>Samuel</t>
  </si>
  <si>
    <t>Robson</t>
  </si>
  <si>
    <t>Walton</t>
  </si>
  <si>
    <t>Walmart Retired</t>
  </si>
  <si>
    <t>Steuart</t>
  </si>
  <si>
    <t>Runaway Group, Game Composites, LLC</t>
  </si>
  <si>
    <t>Benton County Arkansas</t>
  </si>
  <si>
    <t>y</t>
  </si>
  <si>
    <t>Dan</t>
  </si>
  <si>
    <t>Bartlett</t>
  </si>
  <si>
    <t>Rogers Arkansas</t>
  </si>
  <si>
    <t>Rachel</t>
  </si>
  <si>
    <t>Brand</t>
  </si>
  <si>
    <t xml:space="preserve">Brett </t>
  </si>
  <si>
    <t>Biggs</t>
  </si>
  <si>
    <t>John</t>
  </si>
  <si>
    <t>Furner</t>
  </si>
  <si>
    <t>Suresh</t>
  </si>
  <si>
    <t>Kumar</t>
  </si>
  <si>
    <t>Mountain View California</t>
  </si>
  <si>
    <t xml:space="preserve">Judith </t>
  </si>
  <si>
    <t>McKenna</t>
  </si>
  <si>
    <t>Kathryn</t>
  </si>
  <si>
    <t>McLay</t>
  </si>
  <si>
    <r>
      <t>I was thinking that it might be useful to take a sample of the rank-and-file donors in addition to the PACs.  These can be found by entering a contribution amount at the bottom of the entry column on the left of the FEC page (</t>
    </r>
    <r>
      <rPr>
        <u/>
        <sz val="12"/>
        <color rgb="FF196AD4"/>
        <rFont val="Calibri"/>
        <family val="2"/>
        <scheme val="minor"/>
      </rPr>
      <t>www.fec.gov/   </t>
    </r>
    <r>
      <rPr>
        <sz val="12"/>
        <color rgb="FF000000"/>
        <rFont val="Calibri"/>
        <family val="2"/>
        <scheme val="minor"/>
      </rPr>
      <t>individual contributions).  The way to do it is to sample 10 randomly from donors of $0 to $50, $50 to $100, $100 to $250, $250 to $1000, 1000 to 5,000, and 5,000 and above.  Also, if there are many above 5,000 take the top 10 donors.  That would result in a sample of 60 randomly chosen donor employees.  It will be useful to see how the employees who donate compare to the management and the PAC.  The way to choose randomly is to go to a random number generator such as </t>
    </r>
    <r>
      <rPr>
        <u/>
        <sz val="12"/>
        <color rgb="FF196AD4"/>
        <rFont val="Calibri"/>
        <family val="2"/>
        <scheme val="minor"/>
      </rPr>
      <t>https://www.random.org/</t>
    </r>
    <r>
      <rPr>
        <sz val="12"/>
        <color rgb="FF000000"/>
        <rFont val="Calibri"/>
        <family val="2"/>
        <scheme val="minor"/>
      </rPr>
      <t> and generate a number between one and 100, the largest number on a page that the FEC site allows. When it give you a number, go through the pages for each stratum (0 to 50, etc.) until you get to 10 individuals. Then repeat for 50 to 100, etc.  For instance, if the random number generator gives you 13, pick the 13th one from the first page, the second page, and so on up to the tenth page. Then, repeat the process for the $50 to $100 donors, etc.</t>
    </r>
  </si>
  <si>
    <t>Steps</t>
  </si>
  <si>
    <t>Download FEC data and stratify</t>
  </si>
  <si>
    <t>e.g. 0-50,50-100,100-250,250-1000,1000-5000,5000 and above</t>
  </si>
  <si>
    <t>Filter for each stratum from the universe of data</t>
  </si>
  <si>
    <t xml:space="preserve">Random Generated Numbers for each stratum </t>
  </si>
  <si>
    <t>Use 10 from each stratum by copying raw data into the Random tab</t>
  </si>
  <si>
    <t>Analyze</t>
  </si>
  <si>
    <t>0-50</t>
  </si>
  <si>
    <t>GEORGESON GLEASON, ALEXIS</t>
  </si>
  <si>
    <t>NE</t>
  </si>
  <si>
    <t>MEHTA, JAY</t>
  </si>
  <si>
    <t>KS</t>
  </si>
  <si>
    <t>STACY, BRITTANY</t>
  </si>
  <si>
    <t>KY</t>
  </si>
  <si>
    <t>KNUTSEN, ZACK</t>
  </si>
  <si>
    <t>WI</t>
  </si>
  <si>
    <t>JEFFERSON, BENEDICT</t>
  </si>
  <si>
    <t>OK</t>
  </si>
  <si>
    <t>DRAMDAHL, DAVID</t>
  </si>
  <si>
    <t>WARNOCK FOR GEORGIA</t>
  </si>
  <si>
    <t>JOHNSTON, ARTHUR</t>
  </si>
  <si>
    <t>MCMULLINS, JEFFREY</t>
  </si>
  <si>
    <t>AL</t>
  </si>
  <si>
    <t>WILLIAMS, JEFFREY C</t>
  </si>
  <si>
    <t>STOMSKI, LORRAINE</t>
  </si>
  <si>
    <t>CLARK, MICHAEL</t>
  </si>
  <si>
    <t>WINRED</t>
  </si>
  <si>
    <t>ME</t>
  </si>
  <si>
    <t>HUSTER, FRANK</t>
  </si>
  <si>
    <t>WA</t>
  </si>
  <si>
    <t>FITCH, TROY</t>
  </si>
  <si>
    <t>NC</t>
  </si>
  <si>
    <t>MCCULLOUGH, MEGAN</t>
  </si>
  <si>
    <t>BERNIE 2020</t>
  </si>
  <si>
    <t>IN</t>
  </si>
  <si>
    <t>50-100</t>
  </si>
  <si>
    <t>WACHSSTOCK, SUZANNE</t>
  </si>
  <si>
    <t>GOROFF FOR CONGRESS</t>
  </si>
  <si>
    <t>MD</t>
  </si>
  <si>
    <t>FITZ-GERALD, MATTHEW</t>
  </si>
  <si>
    <t>SPANBERGER FOR CONGRESS</t>
  </si>
  <si>
    <t>DC</t>
  </si>
  <si>
    <t>MAHONEY, JAMES</t>
  </si>
  <si>
    <t>AGNEW, GAYATRI</t>
  </si>
  <si>
    <t>KRISTINE REEVES FOR CONGRESS</t>
  </si>
  <si>
    <t>LAVOIE, LAUREN</t>
  </si>
  <si>
    <t>PETERS FOR MICHIGAN</t>
  </si>
  <si>
    <t>BESANCENEY, BRIAN</t>
  </si>
  <si>
    <t>THE LINCOLN PROJECT</t>
  </si>
  <si>
    <t>CORLEY, JEFFREY</t>
  </si>
  <si>
    <t>TN</t>
  </si>
  <si>
    <t>MALLEY, SETH</t>
  </si>
  <si>
    <t>MCKINNEY, FLORENCE</t>
  </si>
  <si>
    <t>BARTON, ELIZABETH</t>
  </si>
  <si>
    <t>NY</t>
  </si>
  <si>
    <t>SEARS, STELLA</t>
  </si>
  <si>
    <t>LORE, MARC</t>
  </si>
  <si>
    <t>WIN THE ERA PAC</t>
  </si>
  <si>
    <t>KUBISIAK, RYAN</t>
  </si>
  <si>
    <t>ROSENFIELD, DANIEL</t>
  </si>
  <si>
    <t>ALVIS, JOHN</t>
  </si>
  <si>
    <t>NM</t>
  </si>
  <si>
    <t>DUNN, ANDREW</t>
  </si>
  <si>
    <t>THE MARKEY COMMITTEE</t>
  </si>
  <si>
    <t>PHILLIPSJ, JOSEPH</t>
  </si>
  <si>
    <t>PA</t>
  </si>
  <si>
    <t>DSCC</t>
  </si>
  <si>
    <t>100-250</t>
  </si>
  <si>
    <t>HOUSE SENATE VICTORY FUND</t>
  </si>
  <si>
    <t>WALTON, CHRISTY R.</t>
  </si>
  <si>
    <t>CORY BOOKER FOR SENATE</t>
  </si>
  <si>
    <t>LEMLER, SHANE</t>
  </si>
  <si>
    <t>LIBERTARIAN PARTY OF INDIANA</t>
  </si>
  <si>
    <t>CHUNG, JAMIE</t>
  </si>
  <si>
    <t>DNC SERVICES CORP / DEMOCRATIC NATIONAL COMMITTEE</t>
  </si>
  <si>
    <t>BROWN, CHRISTEL</t>
  </si>
  <si>
    <t>BIDEN VICTORY FUND</t>
  </si>
  <si>
    <t>PHAIR, JOSHUA</t>
  </si>
  <si>
    <t>ANGELA WILLIAMS FOR US SENATE</t>
  </si>
  <si>
    <t>WALTON, SAMUEL R.</t>
  </si>
  <si>
    <t>HOUSE MAJORITY PAC</t>
  </si>
  <si>
    <t>SMITH, GREGORY</t>
  </si>
  <si>
    <t>BRYANT, DANIEL</t>
  </si>
  <si>
    <t>VA</t>
  </si>
  <si>
    <t>THORN, SARAH</t>
  </si>
  <si>
    <t>JONES, DUSTIN</t>
  </si>
  <si>
    <t>HILDEBRANDT, BRIAN</t>
  </si>
  <si>
    <t>TRUMP MAKE AMERICA GREAT AGAIN COMMITTEE</t>
  </si>
  <si>
    <t>LAMM, WILLIAM</t>
  </si>
  <si>
    <t>PHILPOTT, MICHAEL</t>
  </si>
  <si>
    <t>MAVERICK PAC USA</t>
  </si>
  <si>
    <t>250-1000</t>
  </si>
  <si>
    <t>RIDDLE, PATRICK</t>
  </si>
  <si>
    <t>OH</t>
  </si>
  <si>
    <t>FOLTYN, TIMOTHY</t>
  </si>
  <si>
    <t>BENNETT, CHRIS</t>
  </si>
  <si>
    <t>BIGGS, MICHAEL B</t>
  </si>
  <si>
    <t>HEIDRICH, MARY</t>
  </si>
  <si>
    <t>EDWARDS, NELSON</t>
  </si>
  <si>
    <t>RAMIREZ, JULIA</t>
  </si>
  <si>
    <t>1000-5000</t>
  </si>
  <si>
    <t>EMGE, KATIE</t>
  </si>
  <si>
    <t>CONGRESSIONAL LEADERSHIP FUND</t>
  </si>
  <si>
    <t>HENLEY, JEAN</t>
  </si>
  <si>
    <t>STEVENS, JANICE</t>
  </si>
  <si>
    <t>&gt;5000</t>
  </si>
  <si>
    <t>entity_type</t>
  </si>
  <si>
    <t>entity_type_desc</t>
  </si>
  <si>
    <t>unused_contbr_id</t>
  </si>
  <si>
    <t>contributor_prefix</t>
  </si>
  <si>
    <t>contributor_name</t>
  </si>
  <si>
    <t>recipient_committee_type</t>
  </si>
  <si>
    <t>recipient_committee_org_type</t>
  </si>
  <si>
    <t>recipient_committee_designation</t>
  </si>
  <si>
    <t>contributor_first_name</t>
  </si>
  <si>
    <t>contributor_middle_name</t>
  </si>
  <si>
    <t>contributor_last_name</t>
  </si>
  <si>
    <t>contributor_suffix</t>
  </si>
  <si>
    <t>contributor_street_1</t>
  </si>
  <si>
    <t>contributor_street_2</t>
  </si>
  <si>
    <t>contributor_city</t>
  </si>
  <si>
    <t>contributor_state</t>
  </si>
  <si>
    <t>contributor_zip</t>
  </si>
  <si>
    <t>contributor_employer</t>
  </si>
  <si>
    <t>contributor_occupation</t>
  </si>
  <si>
    <t>contributor_id</t>
  </si>
  <si>
    <t>receipt_type</t>
  </si>
  <si>
    <t>receipt_type_desc</t>
  </si>
  <si>
    <t>receipt_type_full</t>
  </si>
  <si>
    <t>memo_code</t>
  </si>
  <si>
    <t>memo_code_full</t>
  </si>
  <si>
    <t>contribution_receipt_date</t>
  </si>
  <si>
    <t>contribution_receipt_amount</t>
  </si>
  <si>
    <t>contributor_aggregate_ytd</t>
  </si>
  <si>
    <t>candidate_id</t>
  </si>
  <si>
    <t>candidate_name</t>
  </si>
  <si>
    <t>candidate_first_name</t>
  </si>
  <si>
    <t>candidate_last_name</t>
  </si>
  <si>
    <t>candidate_middle_name</t>
  </si>
  <si>
    <t>candidate_prefix</t>
  </si>
  <si>
    <t>candidate_suffix</t>
  </si>
  <si>
    <t>candidate_office</t>
  </si>
  <si>
    <t>candidate_office_full</t>
  </si>
  <si>
    <t>candidate_office_state</t>
  </si>
  <si>
    <t>candidate_office_state_full</t>
  </si>
  <si>
    <t>candidate_office_district</t>
  </si>
  <si>
    <t>conduit_committee_id</t>
  </si>
  <si>
    <t>conduit_committee_name</t>
  </si>
  <si>
    <t>conduit_committee_street1</t>
  </si>
  <si>
    <t>conduit_committee_street2</t>
  </si>
  <si>
    <t>conduit_committee_city</t>
  </si>
  <si>
    <t>conduit_committee_state</t>
  </si>
  <si>
    <t>conduit_committee_zip</t>
  </si>
  <si>
    <t>donor_committee_name</t>
  </si>
  <si>
    <t>national_committee_nonfederal_account</t>
  </si>
  <si>
    <t>election_type</t>
  </si>
  <si>
    <t>election_type_full</t>
  </si>
  <si>
    <t>fec_election_type_desc</t>
  </si>
  <si>
    <t>fec_election_year</t>
  </si>
  <si>
    <t>amendment_indicator</t>
  </si>
  <si>
    <t>amendment_indicator_desc</t>
  </si>
  <si>
    <t>schedule_type_full</t>
  </si>
  <si>
    <t>load_date</t>
  </si>
  <si>
    <t>original_sub_id</t>
  </si>
  <si>
    <t>back_reference_transaction_id</t>
  </si>
  <si>
    <t>back_reference_schedule_name</t>
  </si>
  <si>
    <t>filing_form</t>
  </si>
  <si>
    <t>link_id</t>
  </si>
  <si>
    <t>is_individual</t>
  </si>
  <si>
    <t>memo_text</t>
  </si>
  <si>
    <t>two_year_transaction_period</t>
  </si>
  <si>
    <t>schedule_type</t>
  </si>
  <si>
    <t>increased_limit</t>
  </si>
  <si>
    <t>sub_id</t>
  </si>
  <si>
    <t>pdf_url</t>
  </si>
  <si>
    <t>line_number_label</t>
  </si>
  <si>
    <t>IND</t>
  </si>
  <si>
    <t>INDIVIDUAL</t>
  </si>
  <si>
    <t>COPESKEY, JEFFREY F</t>
  </si>
  <si>
    <t>Q</t>
  </si>
  <si>
    <t>C</t>
  </si>
  <si>
    <t>JEFFREY</t>
  </si>
  <si>
    <t>COPESKEY</t>
  </si>
  <si>
    <t>4045 SCENIC HWY</t>
  </si>
  <si>
    <t>BATON ROUGE</t>
  </si>
  <si>
    <t>LA</t>
  </si>
  <si>
    <t>EXXON MOBIL CORPORATION</t>
  </si>
  <si>
    <t>STATE GOVERNMENT RELATIONS ADVISOR, LA</t>
  </si>
  <si>
    <t>CONTRIBUTION</t>
  </si>
  <si>
    <t>PRIMARY</t>
  </si>
  <si>
    <t>ADD</t>
  </si>
  <si>
    <t>ITEMIZED RECEIPTS</t>
  </si>
  <si>
    <t>F3X</t>
  </si>
  <si>
    <t>t</t>
  </si>
  <si>
    <t>* PAYROLL DEDUCTION: $21.00 PER PAY PERIOD</t>
  </si>
  <si>
    <t>SA</t>
  </si>
  <si>
    <t>http://docquery.fec.gov/cgi-bin/fecimg/?201906149150032903</t>
  </si>
  <si>
    <t>Contributions From Individuals/Persons Other Than Political Committees</t>
  </si>
  <si>
    <t>LUM, TAMMY S.</t>
  </si>
  <si>
    <t>TAMMY</t>
  </si>
  <si>
    <t>S.</t>
  </si>
  <si>
    <t>LUM</t>
  </si>
  <si>
    <t>22777 SPRINGWOODS VILLAGE</t>
  </si>
  <si>
    <t>SPRING</t>
  </si>
  <si>
    <t>MANAGER AMERICAS SUPPLY COORDINATOR</t>
  </si>
  <si>
    <t>* PAYROLL DEDUCTION: $25.00 PER PAY PERIOD</t>
  </si>
  <si>
    <t>http://docquery.fec.gov/cgi-bin/fecimg/?201906149150032946</t>
  </si>
  <si>
    <t>BOOHER, LINDSAY E</t>
  </si>
  <si>
    <t>LINDSAY</t>
  </si>
  <si>
    <t>E</t>
  </si>
  <si>
    <t>BOOHER</t>
  </si>
  <si>
    <t>FACILITATOR RELIABILITY DEVELOPMENT</t>
  </si>
  <si>
    <t>* PAYROLL DEDUCTION: $20.00 PER PAY PERIOD</t>
  </si>
  <si>
    <t>http://docquery.fec.gov/cgi-bin/fecimg/?201907099150524344</t>
  </si>
  <si>
    <t>ABBOTT, JACQUELYN M</t>
  </si>
  <si>
    <t>JACQUELYN</t>
  </si>
  <si>
    <t>ABBOTT</t>
  </si>
  <si>
    <t>1735 HUGHES LANDING BLDV-WEST</t>
  </si>
  <si>
    <t>THE WOODLANDS</t>
  </si>
  <si>
    <t>SUPERVISOR TAX COUNSEL - BENEFITS &amp; CO</t>
  </si>
  <si>
    <t>http://docquery.fec.gov/cgi-bin/fecimg/?201906149150032884</t>
  </si>
  <si>
    <t>BARRANCO, MARK WILLI</t>
  </si>
  <si>
    <t>MARK</t>
  </si>
  <si>
    <t>WILLI</t>
  </si>
  <si>
    <t>BARRANCO</t>
  </si>
  <si>
    <t>ADVSR PLANNING</t>
  </si>
  <si>
    <t>* PAYROLL DEDUCTION: $50.00 PER PAY PERIOD</t>
  </si>
  <si>
    <t>http://docquery.fec.gov/cgi-bin/fecimg/?201907099150524339</t>
  </si>
  <si>
    <t>MACK, AUDREY</t>
  </si>
  <si>
    <t>V</t>
  </si>
  <si>
    <t>U</t>
  </si>
  <si>
    <t>AUDREY</t>
  </si>
  <si>
    <t>MACK</t>
  </si>
  <si>
    <t>611 SHEPHERD DRIVE 612</t>
  </si>
  <si>
    <t>HOUSTON</t>
  </si>
  <si>
    <t>EXXON MOBIL</t>
  </si>
  <si>
    <t>ENGINEER</t>
  </si>
  <si>
    <t>EARMARK</t>
  </si>
  <si>
    <t>EARMARKED FOR CYNTHIA WALLACE FOR CONGRESS (C00731919)</t>
  </si>
  <si>
    <t>http://docquery.fec.gov/cgi-bin/fecimg/?202007209256642107</t>
  </si>
  <si>
    <t>KNULL, ANNA</t>
  </si>
  <si>
    <t>ANNA</t>
  </si>
  <si>
    <t>KNULL</t>
  </si>
  <si>
    <t>1337 OMAR STREET</t>
  </si>
  <si>
    <t>COUNSEL</t>
  </si>
  <si>
    <t>CONTRIBUTION TO ACT BLUE</t>
  </si>
  <si>
    <t>_x000D_</t>
  </si>
  <si>
    <t>CONTRIBUTION TO ACTBLUE</t>
  </si>
  <si>
    <t>https://docquery.fec.gov/cgi-bin/fecimg/?202012119368595868</t>
  </si>
  <si>
    <t>DICKSON, KEITH</t>
  </si>
  <si>
    <t>KEITH</t>
  </si>
  <si>
    <t>DICKSON</t>
  </si>
  <si>
    <t>14008 LAKE CRESCENT DRIVE</t>
  </si>
  <si>
    <t>CONROE</t>
  </si>
  <si>
    <t>DATA ANALYST</t>
  </si>
  <si>
    <t>EARMARKED FOR MCGRATH FOR US SENATE (C00711549)</t>
  </si>
  <si>
    <t>https://docquery.fec.gov/cgi-bin/fecimg/?202012119367479425</t>
  </si>
  <si>
    <t>DODDS, HEIDI</t>
  </si>
  <si>
    <t>HEIDI</t>
  </si>
  <si>
    <t>DODDS</t>
  </si>
  <si>
    <t>1817 WOODS EDGE DR NE</t>
  </si>
  <si>
    <t>LEESBURG</t>
  </si>
  <si>
    <t>DATA ARCHITECT</t>
  </si>
  <si>
    <t>EARMARKED FOR JULIAN FOR THE FUTURE (C00693044)</t>
  </si>
  <si>
    <t>http://docquery.fec.gov/cgi-bin/fecimg/?202001299169315631</t>
  </si>
  <si>
    <t>SMITH, TERRILYNN</t>
  </si>
  <si>
    <t>TERRILYNN</t>
  </si>
  <si>
    <t>SMITH</t>
  </si>
  <si>
    <t>P O BOX 130847</t>
  </si>
  <si>
    <t>PARALEGAL</t>
  </si>
  <si>
    <t>EARMARKED FOR FAIR FIGHT, INC. PAC - FEDERAL (C00693515)</t>
  </si>
  <si>
    <t>https://docquery.fec.gov/cgi-bin/fecimg/?202012049358614924</t>
  </si>
  <si>
    <t>SCHUESSLER, THOMAS W</t>
  </si>
  <si>
    <t>THOMAS</t>
  </si>
  <si>
    <t>W</t>
  </si>
  <si>
    <t>SCHUESSLER</t>
  </si>
  <si>
    <t>SVP CONVENTIONAL</t>
  </si>
  <si>
    <t>* PAYROLL DEDUCTION: $90.00 PER PAY PERIOD</t>
  </si>
  <si>
    <t>http://docquery.fec.gov/cgi-bin/fecimg/?201906149150032974</t>
  </si>
  <si>
    <t>BLAKE, DAVID B</t>
  </si>
  <si>
    <t>DAVID</t>
  </si>
  <si>
    <t>BLAKE</t>
  </si>
  <si>
    <t>5959 LAS COLINAS BLVD-TAX</t>
  </si>
  <si>
    <t>IRVING</t>
  </si>
  <si>
    <t>SR TAX COUNSEL - B&amp;C</t>
  </si>
  <si>
    <t>* PAYROLL DEDUCTION: $35 PER PAY PERIOD</t>
  </si>
  <si>
    <t>http://docquery.fec.gov/cgi-bin/fecimg/?201911129165353422</t>
  </si>
  <si>
    <t>C00580100</t>
  </si>
  <si>
    <t>RASMUSSEN, CHAD</t>
  </si>
  <si>
    <t>CHAD</t>
  </si>
  <si>
    <t>RASMUSSEN</t>
  </si>
  <si>
    <t>10115 KIELDER POINTE DR</t>
  </si>
  <si>
    <t>15E</t>
  </si>
  <si>
    <t>EARMARKED CONTRIBUTION</t>
  </si>
  <si>
    <t>EARMARKED FOR DONALD J. TRUMP FOR PRESIDENT, INC. (C00580100)</t>
  </si>
  <si>
    <t>P80001571</t>
  </si>
  <si>
    <t>https://docquery.fec.gov/cgi-bin/fecimg/?202101259408804576</t>
  </si>
  <si>
    <t>KESTLE, STEPHEN J</t>
  </si>
  <si>
    <t>STEPHEN</t>
  </si>
  <si>
    <t>KESTLE</t>
  </si>
  <si>
    <t>5959 LAS COLINAS BLVD-CONTRLRS</t>
  </si>
  <si>
    <t>MGR FIN RPTG &amp; ANALYSIS - CORPORATE</t>
  </si>
  <si>
    <t>* PAYROLL DEDUCTION: $60 PER PAY PERIOD</t>
  </si>
  <si>
    <t>http://docquery.fec.gov/cgi-bin/fecimg/?201910079163758065</t>
  </si>
  <si>
    <t>CHAMPAGNE, CHARLES</t>
  </si>
  <si>
    <t>CHARLES</t>
  </si>
  <si>
    <t>CHAMPAGNE</t>
  </si>
  <si>
    <t>219 PHILADELPHIA STREET</t>
  </si>
  <si>
    <t>REHOBOTH BEACH</t>
  </si>
  <si>
    <t>DE</t>
  </si>
  <si>
    <t>ANALYST</t>
  </si>
  <si>
    <t>EARMARKED FOR PETE FOR AMERICA, INC (C00697441)</t>
  </si>
  <si>
    <t>http://docquery.fec.gov/cgi-bin/fecimg/?201907299153350780</t>
  </si>
  <si>
    <t>NOLAN, ROBERT M</t>
  </si>
  <si>
    <t>ROBERT</t>
  </si>
  <si>
    <t>NOLAN</t>
  </si>
  <si>
    <t>2020 K STR NW - PUBLIC AFF</t>
  </si>
  <si>
    <t>WASHINGTON</t>
  </si>
  <si>
    <t>ADVR FED GOVERNMENT RELS</t>
  </si>
  <si>
    <t>* PAYROLL DEDUCTION: $40 PER PAY PERIOD</t>
  </si>
  <si>
    <t>http://docquery.fec.gov/cgi-bin/fecimg/?201910079163758090</t>
  </si>
  <si>
    <t>GONZALEZ, RENE</t>
  </si>
  <si>
    <t>RENE</t>
  </si>
  <si>
    <t>GONZALEZ</t>
  </si>
  <si>
    <t>15107 OAK LOFT</t>
  </si>
  <si>
    <t>SAN ANTONIO</t>
  </si>
  <si>
    <t>ATTORNEY</t>
  </si>
  <si>
    <t>EARMARKED FOR BIDEN VICTORY FUND (C00744946)</t>
  </si>
  <si>
    <t>https://docquery.fec.gov/cgi-bin/fecimg/?202012119367942760</t>
  </si>
  <si>
    <t>C00401224</t>
  </si>
  <si>
    <t>15107 OAK LOFT ST</t>
  </si>
  <si>
    <t>G2020</t>
  </si>
  <si>
    <t>GENERAL</t>
  </si>
  <si>
    <t>13663325E</t>
  </si>
  <si>
    <t>SA17A</t>
  </si>
  <si>
    <t>F3P</t>
  </si>
  <si>
    <t>* EARMARKED CONTRIBUTION: SEE BELOW</t>
  </si>
  <si>
    <t>http://docquery.fec.gov/cgi-bin/fecimg/?202010219325972322</t>
  </si>
  <si>
    <t>GOMEZ-SMITH, CHERYL L</t>
  </si>
  <si>
    <t>CHERYL</t>
  </si>
  <si>
    <t>GOMEZ-SMITH</t>
  </si>
  <si>
    <t>22777 SPRINGWOOD VILLAGE</t>
  </si>
  <si>
    <t>DIRECTOR PERSONNEL SAFETY &amp; SECURITY</t>
  </si>
  <si>
    <t>* PAYROLL DEDUCTION: $100.00 PER PAY PERIOD</t>
  </si>
  <si>
    <t>http://docquery.fec.gov/cgi-bin/fecimg/?201906149150032924</t>
  </si>
  <si>
    <t>ALLEN, MICHAEL L</t>
  </si>
  <si>
    <t>MICHAEL</t>
  </si>
  <si>
    <t>ALLEN</t>
  </si>
  <si>
    <t>COORDINATOR EXTERNAL AFFAIRS</t>
  </si>
  <si>
    <t>http://docquery.fec.gov/cgi-bin/fecimg/?201904149146117070</t>
  </si>
  <si>
    <t>MR.</t>
  </si>
  <si>
    <t>BISHOP, RALPH B. MR.</t>
  </si>
  <si>
    <t>RALPH</t>
  </si>
  <si>
    <t>B.</t>
  </si>
  <si>
    <t>BISHOP</t>
  </si>
  <si>
    <t>618 W AVENUE H</t>
  </si>
  <si>
    <t>LOVINGTON</t>
  </si>
  <si>
    <t>CONSULTANT</t>
  </si>
  <si>
    <t>http://docquery.fec.gov/cgi-bin/fecimg/?202010209297922132</t>
  </si>
  <si>
    <t>SHORES, MARK M</t>
  </si>
  <si>
    <t>SHORES</t>
  </si>
  <si>
    <t>5959 LAS COLINAS BLVD - CSP</t>
  </si>
  <si>
    <t>MGR PLANNING</t>
  </si>
  <si>
    <t>http://docquery.fec.gov/cgi-bin/fecimg/?201905159149702463</t>
  </si>
  <si>
    <t>C00694323</t>
  </si>
  <si>
    <t>EARMARKED (NON-DIRECTED) THROUGH WINRED</t>
  </si>
  <si>
    <t>CHANGE</t>
  </si>
  <si>
    <t>https://docquery.fec.gov/cgi-bin/fecimg/?202104229445367727</t>
  </si>
  <si>
    <t>BROWNELL, DAVE C</t>
  </si>
  <si>
    <t>DAVE</t>
  </si>
  <si>
    <t>BROWNELL</t>
  </si>
  <si>
    <t>SR VP OPERATIONS</t>
  </si>
  <si>
    <t>* PAYROLL DEDUCTION: $250.00 PER PAY PERIOD</t>
  </si>
  <si>
    <t>http://docquery.fec.gov/cgi-bin/fecimg/?201902149145513036</t>
  </si>
  <si>
    <t>WEBB, JOEL P</t>
  </si>
  <si>
    <t>JOEL</t>
  </si>
  <si>
    <t>WEBB</t>
  </si>
  <si>
    <t>5959 LAS COLINAS BLVD-INV RELS</t>
  </si>
  <si>
    <t>MGR OFFICE OF THE SECY</t>
  </si>
  <si>
    <t>* PAYROLL DEDUCTION: $200 PER PAY PERIOD</t>
  </si>
  <si>
    <t>http://docquery.fec.gov/cgi-bin/fecimg/?202006099239655449</t>
  </si>
  <si>
    <t>TRELENBERG, PETER W</t>
  </si>
  <si>
    <t>PETER</t>
  </si>
  <si>
    <t>TRELENBERG</t>
  </si>
  <si>
    <t>5959 LAS COLINAS BLVD-ENV/SFTY</t>
  </si>
  <si>
    <t>MGR ENV POL &amp; PLNG</t>
  </si>
  <si>
    <t>* PAYROLL DEDUCTION: $250 PER PAY PERIOD</t>
  </si>
  <si>
    <t>http://docquery.fec.gov/cgi-bin/fecimg/?202007089244373881</t>
  </si>
  <si>
    <t>KOSTELNIK, ANDRE</t>
  </si>
  <si>
    <t>ANDRE</t>
  </si>
  <si>
    <t>KOSTELNIK</t>
  </si>
  <si>
    <t>EXXON MOBIL REF &amp; SUPPLY</t>
  </si>
  <si>
    <t>LCM &amp; GRL MNGR ANGOLA</t>
  </si>
  <si>
    <t>http://docquery.fec.gov/cgi-bin/fecimg/?202003179203838389</t>
  </si>
  <si>
    <t>LUECKE, JEROME E</t>
  </si>
  <si>
    <t>JEROME</t>
  </si>
  <si>
    <t>LUECKE</t>
  </si>
  <si>
    <t>25 RABBITS RUN</t>
  </si>
  <si>
    <t>PALM BEACH GARDENS</t>
  </si>
  <si>
    <t>FL</t>
  </si>
  <si>
    <t>http://docquery.fec.gov/cgi-bin/fecimg/?202010149285748363</t>
  </si>
  <si>
    <t>PATEL, ANANT</t>
  </si>
  <si>
    <t>ANANT</t>
  </si>
  <si>
    <t>PATEL</t>
  </si>
  <si>
    <t>MANAGER LOBD AMERICAS</t>
  </si>
  <si>
    <t>http://docquery.fec.gov/cgi-bin/fecimg/?202005139232673663</t>
  </si>
  <si>
    <t>http://docquery.fec.gov/cgi-bin/fecimg/?202005139232673646</t>
  </si>
  <si>
    <t>ELLIS, JOSEPH MR.</t>
  </si>
  <si>
    <t>JOSEPH</t>
  </si>
  <si>
    <t>ELLIS</t>
  </si>
  <si>
    <t>909 TURNBERRY LANE</t>
  </si>
  <si>
    <t>SOUTHLAKE</t>
  </si>
  <si>
    <t>ACCOUNTANT</t>
  </si>
  <si>
    <t>P2020</t>
  </si>
  <si>
    <t>NO CHANGE</t>
  </si>
  <si>
    <t>SA11C.19118718910</t>
  </si>
  <si>
    <t>SA11AI</t>
  </si>
  <si>
    <t>F3</t>
  </si>
  <si>
    <t>EARMARKED FROM WINRED</t>
  </si>
  <si>
    <t>http://docquery.fec.gov/cgi-bin/fecimg/?202005159232706083</t>
  </si>
  <si>
    <t>EBNER, RANDALL M</t>
  </si>
  <si>
    <t>RANDALL</t>
  </si>
  <si>
    <t>EBNER</t>
  </si>
  <si>
    <t>5959 LAS COLINAS BLVD-LAW</t>
  </si>
  <si>
    <t>VICE PRES &amp; GENL CNSL</t>
  </si>
  <si>
    <t>http://docquery.fec.gov/cgi-bin/fecimg/?202005139232673627</t>
  </si>
  <si>
    <t>FOX, LEONARD M</t>
  </si>
  <si>
    <t>LEONARD</t>
  </si>
  <si>
    <t>FOX</t>
  </si>
  <si>
    <t>VP BUS SVCS &amp; CHEM TREASURER</t>
  </si>
  <si>
    <t>* PAYROLL DEDUCTION: $208.33 PER PAY PERIOD</t>
  </si>
  <si>
    <t>http://docquery.fec.gov/cgi-bin/fecimg/?201905159149702428</t>
  </si>
  <si>
    <t>CASEY, CHARLES A.</t>
  </si>
  <si>
    <t>A.</t>
  </si>
  <si>
    <t>CASEY</t>
  </si>
  <si>
    <t>ASST GENERAL COUNSEL - M&amp;A &amp; COM PROJ</t>
  </si>
  <si>
    <t>http://docquery.fec.gov/cgi-bin/fecimg/?201907099150524353</t>
  </si>
  <si>
    <t>WASCOM, DENNIS G</t>
  </si>
  <si>
    <t>DENNIS</t>
  </si>
  <si>
    <t>G</t>
  </si>
  <si>
    <t>WASCOM</t>
  </si>
  <si>
    <t>VICE PRES OPNL EXCL/SSHE</t>
  </si>
  <si>
    <t>* PAYROLL DEDUCTION: $416.67 PER PAY PERIOD</t>
  </si>
  <si>
    <t>http://docquery.fec.gov/cgi-bin/fecimg/?202005139232673686</t>
  </si>
  <si>
    <t>WOJNAR, THEODORE J</t>
  </si>
  <si>
    <t>THEODORE</t>
  </si>
  <si>
    <t>WOJNAR</t>
  </si>
  <si>
    <t>5959 LAS COLINAS BLVD-CORP PLN</t>
  </si>
  <si>
    <t>VICE PRES CORP STRAT PLNG</t>
  </si>
  <si>
    <t>* PAYROLL DEDUCTION: $416.66 PER PAY PERIOD</t>
  </si>
  <si>
    <t>http://docquery.fec.gov/cgi-bin/fecimg/?202003179203838414</t>
  </si>
  <si>
    <t>KING, JOHN F</t>
  </si>
  <si>
    <t>JOHN</t>
  </si>
  <si>
    <t>KING</t>
  </si>
  <si>
    <t>372 W ROYAL FLAMINGO DR</t>
  </si>
  <si>
    <t>SARASOTA</t>
  </si>
  <si>
    <t>http://docquery.fec.gov/cgi-bin/fecimg/?202001229167306236</t>
  </si>
  <si>
    <t>SCHLECKSER, ROBERT N</t>
  </si>
  <si>
    <t>SCHLECKSER</t>
  </si>
  <si>
    <t>5959 LAS COLINAS BLVD-TRSRS</t>
  </si>
  <si>
    <t>VICE PRES &amp; TREASURER</t>
  </si>
  <si>
    <t>http://docquery.fec.gov/cgi-bin/fecimg/?202001229167306300</t>
  </si>
  <si>
    <t>COLTON, WILLIAM</t>
  </si>
  <si>
    <t>WILLIAM</t>
  </si>
  <si>
    <t>COLTON</t>
  </si>
  <si>
    <t>121 N POST OAK LN APT 302</t>
  </si>
  <si>
    <t>EXXON MOBIL CORP.</t>
  </si>
  <si>
    <t>ASSISTANT TREASURER</t>
  </si>
  <si>
    <t>SA11C.40205673136</t>
  </si>
  <si>
    <t>https://docquery.fec.gov/cgi-bin/fecimg/?202104219445096019</t>
  </si>
  <si>
    <t>MATUSIC, KAREN PATRI</t>
  </si>
  <si>
    <t>KAREN</t>
  </si>
  <si>
    <t>PATRI</t>
  </si>
  <si>
    <t>MATUSIC</t>
  </si>
  <si>
    <t>MANAGER PUBLIC &amp; GOVT AFFAIRS-APPALACH</t>
  </si>
  <si>
    <t>* PAYROLL DEDUCTION: $208.00 PER PAY PERIOD</t>
  </si>
  <si>
    <t>http://docquery.fec.gov/cgi-bin/fecimg/?201907099150524413</t>
  </si>
  <si>
    <t>TOWNS, T.</t>
  </si>
  <si>
    <t>T.</t>
  </si>
  <si>
    <t>TOWNS</t>
  </si>
  <si>
    <t>PO BOX 27459</t>
  </si>
  <si>
    <t>DRILLING ADVISOR</t>
  </si>
  <si>
    <t>15J</t>
  </si>
  <si>
    <t>MEMO (FILER'S % OF CONTRIBUTION GIVEN TO JOIN</t>
  </si>
  <si>
    <t>JFC TRANSFER: TRUMP VICTORY [SA18.7249]</t>
  </si>
  <si>
    <t>X</t>
  </si>
  <si>
    <t>http://docquery.fec.gov/cgi-bin/fecimg/?202006179239914693</t>
  </si>
  <si>
    <t>Transfers From Other Authorized Committees</t>
  </si>
  <si>
    <t>BRALY, ANGELA</t>
  </si>
  <si>
    <t>ANGELA</t>
  </si>
  <si>
    <t>BRALY</t>
  </si>
  <si>
    <t>832 ALVERNA DRIVE</t>
  </si>
  <si>
    <t>INDIANAPOLIS</t>
  </si>
  <si>
    <t>BOARD MEMBER</t>
  </si>
  <si>
    <t>http://docquery.fec.gov/cgi-bin/fecimg/?202010149285748284</t>
  </si>
  <si>
    <t>C00075820</t>
  </si>
  <si>
    <t>SPELLINGS, JAMES JR.</t>
  </si>
  <si>
    <t>JAMES JR.</t>
  </si>
  <si>
    <t>SPELLINGS</t>
  </si>
  <si>
    <t>6623 WAGGONER DR</t>
  </si>
  <si>
    <t>DALLAS</t>
  </si>
  <si>
    <t>LAWYER</t>
  </si>
  <si>
    <t>EARMARKED FOR NRCC (C00075820)</t>
  </si>
  <si>
    <t>https://docquery.fec.gov/cgi-bin/fecimg/?202101259408845827</t>
  </si>
  <si>
    <t>SCHLECKSER, ROBERT</t>
  </si>
  <si>
    <t>6622 BROOKSHIRE DR.</t>
  </si>
  <si>
    <t>EXXON MOBIL CORP</t>
  </si>
  <si>
    <t>EXECUTIVE</t>
  </si>
  <si>
    <t>http://docquery.fec.gov/cgi-bin/fecimg/?201911209165845908</t>
  </si>
  <si>
    <t>WELDON, WILLIAM</t>
  </si>
  <si>
    <t>WELDON</t>
  </si>
  <si>
    <t>1264 LAKE WORTH LANE</t>
  </si>
  <si>
    <t>NORTH PALM BEACH</t>
  </si>
  <si>
    <t>http://docquery.fec.gov/cgi-bin/fecimg/?202011309337203543</t>
  </si>
  <si>
    <t>LONGWELL, NORMA L</t>
  </si>
  <si>
    <t>NORMA</t>
  </si>
  <si>
    <t>LONGWELL</t>
  </si>
  <si>
    <t>EXXON MOBIL CORPORATION SHAREHOLDER</t>
  </si>
  <si>
    <t>RETIRED HOMEMAKER</t>
  </si>
  <si>
    <t>http://docquery.fec.gov/cgi-bin/fecimg/?202010149285748361</t>
  </si>
  <si>
    <t>MCCARRON, SUZANNE</t>
  </si>
  <si>
    <t>SUZANNE</t>
  </si>
  <si>
    <t>MCCARRON</t>
  </si>
  <si>
    <t>6446 ABERDEEN AVE</t>
  </si>
  <si>
    <t>VP OF PUBLIC AFFAIRS</t>
  </si>
  <si>
    <t>https://docquery.fec.gov/cgi-bin/fecimg/?202101259408049673</t>
  </si>
  <si>
    <t>CASSIANI, STEPHEN M</t>
  </si>
  <si>
    <t>CASSIANI</t>
  </si>
  <si>
    <t>1275 SOUTH POST OAK LANE, UNIT 301</t>
  </si>
  <si>
    <t>UNIT 301</t>
  </si>
  <si>
    <t>http://docquery.fec.gov/cgi-bin/fecimg/?202011309337203396</t>
  </si>
  <si>
    <t>KANDARIAN, STEVEN</t>
  </si>
  <si>
    <t>STEVEN</t>
  </si>
  <si>
    <t>KANDARIAN</t>
  </si>
  <si>
    <t>11460 LOST TREE WAY</t>
  </si>
  <si>
    <t>http://docquery.fec.gov/cgi-bin/fecimg/?202010149285748347</t>
  </si>
  <si>
    <t>GLAUBIG, JUDITH</t>
  </si>
  <si>
    <t>JUDITH</t>
  </si>
  <si>
    <t>GLAUBIG</t>
  </si>
  <si>
    <t>527 21ST STREET 1316 BALL ST</t>
  </si>
  <si>
    <t># 6</t>
  </si>
  <si>
    <t>GALVESTON</t>
  </si>
  <si>
    <t>RETIRED ATTORNEY</t>
  </si>
  <si>
    <t>http://docquery.fec.gov/cgi-bin/fecimg/?202003199203948579</t>
  </si>
  <si>
    <t>SWIGER, ANDREW</t>
  </si>
  <si>
    <t>ANDREW</t>
  </si>
  <si>
    <t>SWIGER</t>
  </si>
  <si>
    <t>5959 LAS COLINAS BOULEVARD</t>
  </si>
  <si>
    <t>SENIOR VICE PRESIDENT</t>
  </si>
  <si>
    <t>https://docquery.fec.gov/cgi-bin/fecimg/?202101119398338718</t>
  </si>
  <si>
    <t>SPELLINGS, JAMES M. JR.</t>
  </si>
  <si>
    <t>JAMES</t>
  </si>
  <si>
    <t>M.</t>
  </si>
  <si>
    <t>JR.</t>
  </si>
  <si>
    <t>6623 WAGGONER DR.</t>
  </si>
  <si>
    <t>http://docquery.fec.gov/cgi-bin/fecimg/?202001319184593659</t>
  </si>
  <si>
    <t>SPELLINGS, JAMES M JR.</t>
  </si>
  <si>
    <t>http://docquery.fec.gov/cgi-bin/fecimg/?202010209297465149</t>
  </si>
  <si>
    <t>WILLIAMS, JACK</t>
  </si>
  <si>
    <t>JACK</t>
  </si>
  <si>
    <t>WILLIAMS</t>
  </si>
  <si>
    <t>3745 AVIEMORE DR.</t>
  </si>
  <si>
    <t>FORT WORTH</t>
  </si>
  <si>
    <t>XTO ENERGY - AN EXXON MOBIL SUBSIDIARY</t>
  </si>
  <si>
    <t>PRESIDENT</t>
  </si>
  <si>
    <t>https://docquery.fec.gov/cgi-bin/fecimg/?202104209443866524</t>
  </si>
  <si>
    <t>WOJNAR, T.J. MR.</t>
  </si>
  <si>
    <t>T.J.</t>
  </si>
  <si>
    <t>2300 WOLF STREET</t>
  </si>
  <si>
    <t>UNIT 15A</t>
  </si>
  <si>
    <t>MANAGER</t>
  </si>
  <si>
    <t>http://docquery.fec.gov/cgi-bin/fecimg/?201912209166744624</t>
  </si>
  <si>
    <t>CHAPMAN, NEIL</t>
  </si>
  <si>
    <t>NEIL</t>
  </si>
  <si>
    <t>CHAPMAN</t>
  </si>
  <si>
    <t>2413 MIMOSA DR.</t>
  </si>
  <si>
    <t>SVP</t>
  </si>
  <si>
    <t>https://docquery.fec.gov/cgi-bin/fecimg/?202104209443924858</t>
  </si>
  <si>
    <t>VICE PRESIDENT P &amp; GA</t>
  </si>
  <si>
    <t>http://docquery.fec.gov/cgi-bin/fecimg/?202010209297464561</t>
  </si>
  <si>
    <t>WOODS, DARREN</t>
  </si>
  <si>
    <t>DARREN</t>
  </si>
  <si>
    <t>WOODS</t>
  </si>
  <si>
    <t>https://docquery.fec.gov/cgi-bin/fecimg/?202101119398338988</t>
  </si>
  <si>
    <t>WILLIAMS, JACK P. JR.</t>
  </si>
  <si>
    <t>P.</t>
  </si>
  <si>
    <t>http://docquery.fec.gov/cgi-bin/fecimg/?202001319184593921</t>
  </si>
  <si>
    <t>TOWNS, T. KELLER MR.</t>
  </si>
  <si>
    <t>KELLER</t>
  </si>
  <si>
    <t>http://docquery.fec.gov/cgi-bin/fecimg/?202006199240018867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</si>
</sst>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43" formatCode="_(* #,##0.00_);_(* \(#,##0.00\);_(* &quot;-&quot;??_);_(@_)"/>
  </numFmts>
  <fonts count="28">
    <font>
      <sz val="11"/>
      <color theme="1"/>
      <name val="Calibri"/>
      <family val="2"/>
      <scheme val="minor"/>
    </font>
    <font>
      <sz val="11"/>
      <name val="Times New Roman"/>
      <family val="1"/>
    </font>
    <font>
      <sz val="8"/>
      <name val="Times New Roman"/>
      <family val="1"/>
    </font>
    <font>
      <u/>
      <sz val="11"/>
      <color theme="10"/>
      <name val="Calibri"/>
      <family val="2"/>
    </font>
    <font>
      <u/>
      <sz val="11"/>
      <name val="Times New Roman"/>
      <family val="1"/>
    </font>
    <font>
      <sz val="11"/>
      <color theme="1"/>
      <name val="Calibri"/>
      <family val="2"/>
      <scheme val="minor"/>
    </font>
    <font>
      <sz val="11"/>
      <color rgb="FFFF0000"/>
      <name val="Calibri"/>
      <family val="2"/>
      <scheme val="minor"/>
    </font>
    <font>
      <sz val="12"/>
      <color theme="1"/>
      <name val="Times New Roman"/>
      <family val="1"/>
    </font>
    <font>
      <sz val="10"/>
      <color rgb="FF212B4A"/>
      <name val="Arial"/>
      <family val="2"/>
    </font>
    <font>
      <sz val="12"/>
      <color rgb="FFFF0000"/>
      <name val="Times New Roman"/>
      <family val="1"/>
    </font>
    <font>
      <sz val="10"/>
      <color rgb="FF707070"/>
      <name val="Franklin Gothic Medium"/>
      <family val="2"/>
    </font>
    <font>
      <sz val="11"/>
      <color rgb="FF000000"/>
      <name val="BogleWeb"/>
    </font>
    <font>
      <sz val="11"/>
      <color rgb="FF000000"/>
      <name val="Verdana"/>
      <family val="2"/>
    </font>
    <font>
      <sz val="6"/>
      <color rgb="FFFFFFFF"/>
      <name val="Verdana"/>
      <family val="2"/>
    </font>
    <font>
      <sz val="5"/>
      <color rgb="FF000000"/>
      <name val="Verdana"/>
      <family val="2"/>
    </font>
    <font>
      <sz val="11"/>
      <color rgb="FF000000"/>
      <name val="Segoe UI"/>
      <family val="2"/>
    </font>
    <font>
      <b/>
      <sz val="11"/>
      <color rgb="FF000000"/>
      <name val="BogleWeb"/>
    </font>
    <font>
      <sz val="8"/>
      <color rgb="FF555555"/>
      <name val="Segoe UI"/>
      <family val="2"/>
    </font>
    <font>
      <sz val="8"/>
      <color rgb="FF4D5156"/>
      <name val="Arial"/>
      <family val="2"/>
    </font>
    <font>
      <sz val="8"/>
      <color rgb="FF202122"/>
      <name val="Arial"/>
      <family val="2"/>
    </font>
    <font>
      <sz val="8"/>
      <color rgb="FF0645AD"/>
      <name val="Arial"/>
      <family val="2"/>
    </font>
    <font>
      <sz val="11"/>
      <color rgb="FF4D5156"/>
      <name val="Times New Roman"/>
      <family val="1"/>
    </font>
    <font>
      <sz val="12"/>
      <color rgb="FF000000"/>
      <name val="Calibri"/>
      <family val="2"/>
      <scheme val="minor"/>
    </font>
    <font>
      <u/>
      <sz val="12"/>
      <color rgb="FF196AD4"/>
      <name val="Calibri"/>
      <family val="2"/>
      <scheme val="minor"/>
    </font>
    <font>
      <sz val="10"/>
      <color theme="1"/>
      <name val="Times New Roman"/>
      <family val="2"/>
    </font>
    <font>
      <sz val="10"/>
      <color theme="0"/>
      <name val="Times New Roman"/>
      <family val="1"/>
    </font>
    <font>
      <sz val="10"/>
      <color theme="1"/>
      <name val="Times New Roman"/>
      <family val="1"/>
    </font>
    <font>
      <sz val="10"/>
      <color rgb="FFFF0000"/>
      <name val="Times New Roman"/>
      <family val="1"/>
    </font>
  </fonts>
  <fills count="6">
    <fill>
      <patternFill patternType="none"/>
    </fill>
    <fill>
      <patternFill patternType="gray125"/>
    </fill>
    <fill>
      <patternFill patternType="solid">
        <fgColor rgb="FF000000"/>
        <bgColor indexed="64"/>
      </patternFill>
    </fill>
    <fill>
      <patternFill patternType="solid">
        <fgColor rgb="FFFFFFFF"/>
        <bgColor indexed="64"/>
      </patternFill>
    </fill>
    <fill>
      <patternFill patternType="solid">
        <fgColor rgb="FFFFFFBB"/>
        <bgColor indexed="64"/>
      </patternFill>
    </fill>
    <fill>
      <patternFill patternType="solid">
        <fgColor theme="1"/>
        <bgColor indexed="64"/>
      </patternFill>
    </fill>
  </fills>
  <borders count="1">
    <border>
      <left/>
      <right/>
      <top/>
      <bottom/>
      <diagonal/>
    </border>
  </borders>
  <cellStyleXfs count="8">
    <xf numFmtId="0" fontId="0" fillId="0" borderId="0"/>
    <xf numFmtId="0" fontId="3" fillId="0" borderId="0" applyNumberFormat="0" applyFill="0" applyBorder="0" applyAlignment="0" applyProtection="0">
      <alignment vertical="top"/>
      <protection locked="0"/>
    </xf>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24" fillId="0" borderId="0"/>
    <xf numFmtId="0" fontId="24" fillId="0" borderId="0"/>
    <xf numFmtId="0" fontId="24" fillId="0" borderId="0"/>
  </cellStyleXfs>
  <cellXfs count="72">
    <xf numFmtId="0" fontId="0" fillId="0" borderId="0" xfId="0"/>
    <xf numFmtId="14" fontId="0" fillId="0" borderId="0" xfId="0" applyNumberFormat="1"/>
    <xf numFmtId="0" fontId="0" fillId="0" borderId="0" xfId="0" applyNumberFormat="1"/>
    <xf numFmtId="0" fontId="1" fillId="0" borderId="0" xfId="0" applyFont="1"/>
    <xf numFmtId="0" fontId="2" fillId="0" borderId="0" xfId="0" applyFont="1"/>
    <xf numFmtId="0" fontId="4" fillId="0" borderId="0" xfId="1" applyFont="1" applyAlignment="1" applyProtection="1"/>
    <xf numFmtId="9" fontId="0" fillId="0" borderId="0" xfId="0" applyNumberFormat="1"/>
    <xf numFmtId="0" fontId="7" fillId="0" borderId="0" xfId="0" applyFont="1"/>
    <xf numFmtId="3" fontId="0" fillId="0" borderId="0" xfId="0" applyNumberFormat="1"/>
    <xf numFmtId="3" fontId="8" fillId="0" borderId="0" xfId="0" applyNumberFormat="1" applyFont="1"/>
    <xf numFmtId="0" fontId="0" fillId="0" borderId="0" xfId="3" applyNumberFormat="1" applyFont="1"/>
    <xf numFmtId="0" fontId="8" fillId="0" borderId="0" xfId="0" applyNumberFormat="1" applyFont="1"/>
    <xf numFmtId="0" fontId="6" fillId="0" borderId="0" xfId="0" applyFont="1"/>
    <xf numFmtId="0" fontId="0" fillId="0" borderId="0" xfId="2" applyNumberFormat="1" applyFont="1"/>
    <xf numFmtId="8" fontId="0" fillId="0" borderId="0" xfId="0" applyNumberFormat="1"/>
    <xf numFmtId="0" fontId="6" fillId="0" borderId="0" xfId="0" applyNumberFormat="1" applyFont="1"/>
    <xf numFmtId="14" fontId="6" fillId="0" borderId="0" xfId="0" applyNumberFormat="1" applyFont="1"/>
    <xf numFmtId="8" fontId="6" fillId="0" borderId="0" xfId="0" applyNumberFormat="1" applyFont="1"/>
    <xf numFmtId="0" fontId="9" fillId="0" borderId="0" xfId="0" applyFont="1"/>
    <xf numFmtId="0" fontId="10" fillId="0" borderId="0" xfId="0" applyFont="1"/>
    <xf numFmtId="0" fontId="3" fillId="0" borderId="0" xfId="1" applyAlignment="1" applyProtection="1"/>
    <xf numFmtId="0" fontId="3" fillId="0" borderId="0" xfId="1" applyNumberFormat="1" applyAlignment="1" applyProtection="1"/>
    <xf numFmtId="0" fontId="7" fillId="0" borderId="0" xfId="1" applyFont="1" applyAlignment="1" applyProtection="1"/>
    <xf numFmtId="0" fontId="11" fillId="0" borderId="0" xfId="0" applyFont="1" applyAlignment="1">
      <alignment wrapText="1"/>
    </xf>
    <xf numFmtId="0" fontId="11" fillId="0" borderId="0" xfId="0" applyNumberFormat="1" applyFont="1" applyAlignment="1">
      <alignment wrapText="1"/>
    </xf>
    <xf numFmtId="0" fontId="12" fillId="0" borderId="0" xfId="0" applyFont="1"/>
    <xf numFmtId="0" fontId="13" fillId="2" borderId="0" xfId="0" applyFont="1" applyFill="1" applyAlignment="1">
      <alignment wrapText="1"/>
    </xf>
    <xf numFmtId="0" fontId="13" fillId="2" borderId="0" xfId="0" applyFont="1" applyFill="1" applyAlignment="1">
      <alignment horizontal="right" wrapText="1"/>
    </xf>
    <xf numFmtId="0" fontId="3" fillId="3" borderId="0" xfId="1" applyFill="1" applyAlignment="1" applyProtection="1">
      <alignment wrapText="1"/>
    </xf>
    <xf numFmtId="0" fontId="14" fillId="3" borderId="0" xfId="0" applyFont="1" applyFill="1" applyAlignment="1">
      <alignment wrapText="1"/>
    </xf>
    <xf numFmtId="0" fontId="3" fillId="4" borderId="0" xfId="1" applyFill="1" applyAlignment="1" applyProtection="1">
      <alignment wrapText="1"/>
    </xf>
    <xf numFmtId="0" fontId="14" fillId="4" borderId="0" xfId="0" applyFont="1" applyFill="1" applyAlignment="1">
      <alignment wrapText="1"/>
    </xf>
    <xf numFmtId="0" fontId="15" fillId="0" borderId="0" xfId="0" applyFont="1" applyAlignment="1">
      <alignment horizontal="left" wrapText="1"/>
    </xf>
    <xf numFmtId="0" fontId="3" fillId="0" borderId="0" xfId="1" applyAlignment="1" applyProtection="1">
      <alignment horizontal="left" wrapText="1"/>
    </xf>
    <xf numFmtId="0" fontId="16" fillId="0" borderId="0" xfId="0" applyFont="1" applyAlignment="1">
      <alignment wrapText="1"/>
    </xf>
    <xf numFmtId="6" fontId="17" fillId="0" borderId="0" xfId="0" applyNumberFormat="1" applyFont="1"/>
    <xf numFmtId="14" fontId="1" fillId="0" borderId="0" xfId="0" applyNumberFormat="1" applyFont="1"/>
    <xf numFmtId="0" fontId="18" fillId="0" borderId="0" xfId="0" applyFont="1"/>
    <xf numFmtId="0" fontId="19" fillId="0" borderId="0" xfId="0" applyFont="1"/>
    <xf numFmtId="0" fontId="21" fillId="0" borderId="0" xfId="0" applyFont="1"/>
    <xf numFmtId="17" fontId="1" fillId="0" borderId="0" xfId="0" applyNumberFormat="1" applyFont="1"/>
    <xf numFmtId="0" fontId="22" fillId="0" borderId="0" xfId="0" applyFont="1" applyAlignment="1">
      <alignment wrapText="1"/>
    </xf>
    <xf numFmtId="0" fontId="0" fillId="0" borderId="0" xfId="0" applyAlignment="1">
      <alignment wrapText="1"/>
    </xf>
    <xf numFmtId="0" fontId="25" fillId="5" borderId="0" xfId="5" applyFont="1" applyFill="1"/>
    <xf numFmtId="0" fontId="26" fillId="5" borderId="0" xfId="5" applyFont="1" applyFill="1"/>
    <xf numFmtId="22" fontId="0" fillId="0" borderId="0" xfId="0" applyNumberFormat="1"/>
    <xf numFmtId="0" fontId="26" fillId="0" borderId="0" xfId="5" applyFont="1"/>
    <xf numFmtId="0" fontId="26" fillId="0" borderId="0" xfId="0" applyFont="1"/>
    <xf numFmtId="0" fontId="27" fillId="0" borderId="0" xfId="0" applyFont="1"/>
    <xf numFmtId="43" fontId="26" fillId="0" borderId="0" xfId="2" applyFont="1"/>
    <xf numFmtId="9" fontId="27" fillId="0" borderId="0" xfId="4" applyFont="1"/>
    <xf numFmtId="0" fontId="26" fillId="0" borderId="0" xfId="6" applyFont="1"/>
    <xf numFmtId="0" fontId="26" fillId="0" borderId="0" xfId="7" applyFont="1"/>
    <xf numFmtId="9" fontId="26" fillId="0" borderId="0" xfId="4" applyFont="1"/>
    <xf numFmtId="22" fontId="26" fillId="0" borderId="0" xfId="5" applyNumberFormat="1" applyFont="1"/>
    <xf numFmtId="47" fontId="26" fillId="0" borderId="0" xfId="5" applyNumberFormat="1" applyFont="1"/>
    <xf numFmtId="0" fontId="26" fillId="5" borderId="0" xfId="0" applyFont="1" applyFill="1"/>
    <xf numFmtId="43" fontId="26" fillId="5" borderId="0" xfId="2" applyFont="1" applyFill="1"/>
    <xf numFmtId="9" fontId="26" fillId="5" borderId="0" xfId="4" applyFont="1" applyFill="1"/>
    <xf numFmtId="0" fontId="25" fillId="5" borderId="0" xfId="0" applyFont="1" applyFill="1"/>
    <xf numFmtId="43" fontId="25" fillId="5" borderId="0" xfId="2" applyFont="1" applyFill="1"/>
    <xf numFmtId="9" fontId="25" fillId="5" borderId="0" xfId="4" applyFont="1" applyFill="1"/>
    <xf numFmtId="43" fontId="26" fillId="0" borderId="0" xfId="2" applyFont="1" applyFill="1"/>
    <xf numFmtId="0" fontId="13" fillId="2" borderId="0" xfId="0" applyFont="1" applyFill="1" applyAlignment="1">
      <alignment wrapText="1"/>
    </xf>
    <xf numFmtId="0" fontId="14" fillId="3" borderId="0" xfId="0" applyFont="1" applyFill="1" applyAlignment="1">
      <alignment wrapText="1"/>
    </xf>
    <xf numFmtId="6" fontId="14" fillId="3" borderId="0" xfId="0" applyNumberFormat="1" applyFont="1" applyFill="1" applyAlignment="1">
      <alignment horizontal="right" wrapText="1"/>
    </xf>
    <xf numFmtId="14" fontId="14" fillId="3" borderId="0" xfId="0" applyNumberFormat="1" applyFont="1" applyFill="1" applyAlignment="1">
      <alignment wrapText="1"/>
    </xf>
    <xf numFmtId="0" fontId="3" fillId="3" borderId="0" xfId="1" applyFill="1" applyAlignment="1" applyProtection="1">
      <alignment wrapText="1"/>
    </xf>
    <xf numFmtId="0" fontId="14" fillId="4" borderId="0" xfId="0" applyFont="1" applyFill="1" applyAlignment="1">
      <alignment wrapText="1"/>
    </xf>
    <xf numFmtId="6" fontId="14" fillId="4" borderId="0" xfId="0" applyNumberFormat="1" applyFont="1" applyFill="1" applyAlignment="1">
      <alignment horizontal="right" wrapText="1"/>
    </xf>
    <xf numFmtId="14" fontId="14" fillId="4" borderId="0" xfId="0" applyNumberFormat="1" applyFont="1" applyFill="1" applyAlignment="1">
      <alignment wrapText="1"/>
    </xf>
    <xf numFmtId="0" fontId="3" fillId="4" borderId="0" xfId="1" applyFill="1" applyAlignment="1" applyProtection="1">
      <alignment wrapText="1"/>
    </xf>
  </cellXfs>
  <cellStyles count="8">
    <cellStyle name="Comma" xfId="2" builtinId="3"/>
    <cellStyle name="Currency" xfId="3" builtinId="4"/>
    <cellStyle name="Hyperlink" xfId="1" builtinId="8"/>
    <cellStyle name="Normal" xfId="0" builtinId="0"/>
    <cellStyle name="Normal 2" xfId="6" xr:uid="{3CE5D19E-E165-4894-8F30-F34BE3AA5E6D}"/>
    <cellStyle name="Normal 3" xfId="7" xr:uid="{2E9DDD1C-B4C1-4285-BF5A-B95A82B8BE77}"/>
    <cellStyle name="Normal 5" xfId="5" xr:uid="{78826CB6-88A2-4AA6-B78F-6AACF9E36802}"/>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printerSettings" Target="../printerSettings/printerSettings1.bin"/><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about:blank" TargetMode="External"/><Relationship Id="rId42" Type="http://schemas.openxmlformats.org/officeDocument/2006/relationships/hyperlink" Target="about:blank" TargetMode="External"/><Relationship Id="rId47" Type="http://schemas.openxmlformats.org/officeDocument/2006/relationships/hyperlink" Target="about:blank" TargetMode="External"/><Relationship Id="rId63" Type="http://schemas.openxmlformats.org/officeDocument/2006/relationships/hyperlink" Target="about:blank" TargetMode="External"/><Relationship Id="rId68" Type="http://schemas.openxmlformats.org/officeDocument/2006/relationships/hyperlink" Target="about:blank" TargetMode="External"/><Relationship Id="rId7"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45" Type="http://schemas.openxmlformats.org/officeDocument/2006/relationships/hyperlink" Target="about:blank" TargetMode="External"/><Relationship Id="rId53" Type="http://schemas.openxmlformats.org/officeDocument/2006/relationships/hyperlink" Target="about:blank" TargetMode="External"/><Relationship Id="rId58" Type="http://schemas.openxmlformats.org/officeDocument/2006/relationships/hyperlink" Target="about:blank" TargetMode="External"/><Relationship Id="rId66" Type="http://schemas.openxmlformats.org/officeDocument/2006/relationships/hyperlink" Target="about:blank" TargetMode="External"/><Relationship Id="rId5" Type="http://schemas.openxmlformats.org/officeDocument/2006/relationships/hyperlink" Target="about:blank" TargetMode="External"/><Relationship Id="rId61" Type="http://schemas.openxmlformats.org/officeDocument/2006/relationships/hyperlink" Target="about:blank" TargetMode="External"/><Relationship Id="rId1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56" Type="http://schemas.openxmlformats.org/officeDocument/2006/relationships/hyperlink" Target="about:blank" TargetMode="External"/><Relationship Id="rId64" Type="http://schemas.openxmlformats.org/officeDocument/2006/relationships/hyperlink" Target="about:blank" TargetMode="External"/><Relationship Id="rId69" Type="http://schemas.openxmlformats.org/officeDocument/2006/relationships/printerSettings" Target="../printerSettings/printerSettings3.bin"/><Relationship Id="rId8" Type="http://schemas.openxmlformats.org/officeDocument/2006/relationships/hyperlink" Target="about:blank" TargetMode="External"/><Relationship Id="rId51" Type="http://schemas.openxmlformats.org/officeDocument/2006/relationships/hyperlink" Target="about:blank" TargetMode="External"/><Relationship Id="rId3"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 Id="rId46" Type="http://schemas.openxmlformats.org/officeDocument/2006/relationships/hyperlink" Target="about:blank" TargetMode="External"/><Relationship Id="rId59" Type="http://schemas.openxmlformats.org/officeDocument/2006/relationships/hyperlink" Target="about:blank" TargetMode="External"/><Relationship Id="rId67" Type="http://schemas.openxmlformats.org/officeDocument/2006/relationships/hyperlink" Target="about:blank" TargetMode="External"/><Relationship Id="rId20" Type="http://schemas.openxmlformats.org/officeDocument/2006/relationships/hyperlink" Target="about:blank"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about:blank" TargetMode="External"/><Relationship Id="rId31" Type="http://schemas.openxmlformats.org/officeDocument/2006/relationships/hyperlink" Target="about:blank" TargetMode="External"/><Relationship Id="rId44" Type="http://schemas.openxmlformats.org/officeDocument/2006/relationships/hyperlink" Target="about:blank" TargetMode="External"/><Relationship Id="rId52" Type="http://schemas.openxmlformats.org/officeDocument/2006/relationships/hyperlink" Target="about:blank" TargetMode="External"/><Relationship Id="rId60" Type="http://schemas.openxmlformats.org/officeDocument/2006/relationships/hyperlink" Target="about:blank" TargetMode="External"/><Relationship Id="rId6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3" Type="http://schemas.openxmlformats.org/officeDocument/2006/relationships/hyperlink" Target="about:blank" TargetMode="External"/><Relationship Id="rId18" Type="http://schemas.openxmlformats.org/officeDocument/2006/relationships/hyperlink" Target="about:blank" TargetMode="External"/><Relationship Id="rId39" Type="http://schemas.openxmlformats.org/officeDocument/2006/relationships/hyperlink" Target="about:blank" TargetMode="External"/><Relationship Id="rId34" Type="http://schemas.openxmlformats.org/officeDocument/2006/relationships/hyperlink" Target="about:blank" TargetMode="External"/><Relationship Id="rId50" Type="http://schemas.openxmlformats.org/officeDocument/2006/relationships/hyperlink" Target="about:blank" TargetMode="External"/><Relationship Id="rId55"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about:blank" TargetMode="External"/><Relationship Id="rId18" Type="http://schemas.openxmlformats.org/officeDocument/2006/relationships/hyperlink" Target="about:blank" TargetMode="External"/><Relationship Id="rId26" Type="http://schemas.openxmlformats.org/officeDocument/2006/relationships/hyperlink" Target="about:blank" TargetMode="External"/><Relationship Id="rId39" Type="http://schemas.openxmlformats.org/officeDocument/2006/relationships/hyperlink" Target="about:blank" TargetMode="External"/><Relationship Id="rId21" Type="http://schemas.openxmlformats.org/officeDocument/2006/relationships/hyperlink" Target="about:blank" TargetMode="External"/><Relationship Id="rId34" Type="http://schemas.openxmlformats.org/officeDocument/2006/relationships/hyperlink" Target="about:blank" TargetMode="External"/><Relationship Id="rId42" Type="http://schemas.openxmlformats.org/officeDocument/2006/relationships/hyperlink" Target="about:blank" TargetMode="External"/><Relationship Id="rId7" Type="http://schemas.openxmlformats.org/officeDocument/2006/relationships/hyperlink" Target="about:blank" TargetMode="External"/><Relationship Id="rId2" Type="http://schemas.openxmlformats.org/officeDocument/2006/relationships/hyperlink" Target="about:blank" TargetMode="External"/><Relationship Id="rId16" Type="http://schemas.openxmlformats.org/officeDocument/2006/relationships/hyperlink" Target="about:blank" TargetMode="External"/><Relationship Id="rId20" Type="http://schemas.openxmlformats.org/officeDocument/2006/relationships/hyperlink" Target="about:blank" TargetMode="External"/><Relationship Id="rId29" Type="http://schemas.openxmlformats.org/officeDocument/2006/relationships/hyperlink" Target="about:blank" TargetMode="External"/><Relationship Id="rId41"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24" Type="http://schemas.openxmlformats.org/officeDocument/2006/relationships/hyperlink" Target="about:blank" TargetMode="External"/><Relationship Id="rId32" Type="http://schemas.openxmlformats.org/officeDocument/2006/relationships/hyperlink" Target="about:blank" TargetMode="External"/><Relationship Id="rId37" Type="http://schemas.openxmlformats.org/officeDocument/2006/relationships/hyperlink" Target="about:blank" TargetMode="External"/><Relationship Id="rId40" Type="http://schemas.openxmlformats.org/officeDocument/2006/relationships/hyperlink" Target="about:blank" TargetMode="External"/><Relationship Id="rId5" Type="http://schemas.openxmlformats.org/officeDocument/2006/relationships/hyperlink" Target="about:blank" TargetMode="External"/><Relationship Id="rId15" Type="http://schemas.openxmlformats.org/officeDocument/2006/relationships/hyperlink" Target="about:blank" TargetMode="External"/><Relationship Id="rId23" Type="http://schemas.openxmlformats.org/officeDocument/2006/relationships/hyperlink" Target="about:blank" TargetMode="External"/><Relationship Id="rId28" Type="http://schemas.openxmlformats.org/officeDocument/2006/relationships/hyperlink" Target="about:blank" TargetMode="External"/><Relationship Id="rId36" Type="http://schemas.openxmlformats.org/officeDocument/2006/relationships/hyperlink" Target="about:blank" TargetMode="External"/><Relationship Id="rId10" Type="http://schemas.openxmlformats.org/officeDocument/2006/relationships/hyperlink" Target="about:blank" TargetMode="External"/><Relationship Id="rId19" Type="http://schemas.openxmlformats.org/officeDocument/2006/relationships/hyperlink" Target="about:blank" TargetMode="External"/><Relationship Id="rId31"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4" Type="http://schemas.openxmlformats.org/officeDocument/2006/relationships/hyperlink" Target="about:blank" TargetMode="External"/><Relationship Id="rId22" Type="http://schemas.openxmlformats.org/officeDocument/2006/relationships/hyperlink" Target="about:blank" TargetMode="External"/><Relationship Id="rId27"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about:blank" TargetMode="External"/><Relationship Id="rId43" Type="http://schemas.openxmlformats.org/officeDocument/2006/relationships/printerSettings" Target="../printerSettings/printerSettings4.bin"/><Relationship Id="rId8" Type="http://schemas.openxmlformats.org/officeDocument/2006/relationships/hyperlink" Target="about:blank" TargetMode="External"/><Relationship Id="rId3"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about:blank" TargetMode="External"/><Relationship Id="rId38" Type="http://schemas.openxmlformats.org/officeDocument/2006/relationships/hyperlink" Target="about:bla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bout:blank"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
  <sheetViews>
    <sheetView tabSelected="1" topLeftCell="G1" zoomScale="82" zoomScaleNormal="82" workbookViewId="0">
      <selection activeCell="X14" sqref="X14"/>
    </sheetView>
  </sheetViews>
  <sheetFormatPr defaultColWidth="8.85546875" defaultRowHeight="15"/>
  <cols>
    <col min="1" max="1" width="8.28515625" style="3" customWidth="1"/>
    <col min="2" max="2" width="26.28515625" style="3" customWidth="1"/>
    <col min="3" max="3" width="37.7109375" style="3" customWidth="1"/>
    <col min="4" max="4" width="23.140625" style="3" customWidth="1"/>
    <col min="5" max="5" width="14" style="3" customWidth="1"/>
    <col min="6" max="6" width="48.85546875" style="3" customWidth="1"/>
    <col min="7" max="7" width="16.5703125" style="3" bestFit="1" customWidth="1"/>
    <col min="8" max="8" width="25.85546875" style="3" bestFit="1" customWidth="1"/>
    <col min="9" max="9" width="23.28515625" style="3" bestFit="1" customWidth="1"/>
    <col min="10" max="10" width="8.85546875" style="3"/>
    <col min="11" max="11" width="10.140625" style="3" bestFit="1" customWidth="1"/>
    <col min="12" max="16384" width="8.85546875" style="3"/>
  </cols>
  <sheetData>
    <row r="1" spans="1:16" customFormat="1">
      <c r="A1" s="3" t="s">
        <v>210</v>
      </c>
      <c r="B1" s="3" t="s">
        <v>211</v>
      </c>
      <c r="C1" s="3" t="s">
        <v>212</v>
      </c>
      <c r="D1" s="3" t="s">
        <v>32</v>
      </c>
      <c r="E1" s="3" t="s">
        <v>213</v>
      </c>
      <c r="F1" s="3" t="s">
        <v>214</v>
      </c>
      <c r="G1" s="3" t="s">
        <v>215</v>
      </c>
      <c r="H1" s="3" t="s">
        <v>216</v>
      </c>
      <c r="I1" s="3" t="s">
        <v>24</v>
      </c>
      <c r="J1" s="3" t="s">
        <v>20</v>
      </c>
      <c r="K1" s="3" t="s">
        <v>217</v>
      </c>
      <c r="L1" s="3" t="s">
        <v>218</v>
      </c>
      <c r="M1" s="3" t="s">
        <v>219</v>
      </c>
      <c r="N1" s="3" t="s">
        <v>220</v>
      </c>
      <c r="O1" s="3" t="s">
        <v>221</v>
      </c>
      <c r="P1" s="3" t="s">
        <v>222</v>
      </c>
    </row>
    <row r="2" spans="1:16">
      <c r="A2" s="3" t="s">
        <v>23</v>
      </c>
      <c r="B2" s="3" t="s">
        <v>229</v>
      </c>
      <c r="C2" s="4" t="s">
        <v>14</v>
      </c>
      <c r="D2" s="5" t="s">
        <v>228</v>
      </c>
      <c r="E2" s="5" t="s">
        <v>223</v>
      </c>
      <c r="F2" s="3" t="s">
        <v>224</v>
      </c>
      <c r="G2" s="3" t="s">
        <v>225</v>
      </c>
      <c r="H2" s="3" t="s">
        <v>226</v>
      </c>
      <c r="I2" s="3" t="s">
        <v>227</v>
      </c>
      <c r="J2" s="3">
        <v>51</v>
      </c>
      <c r="K2" s="36">
        <v>25555</v>
      </c>
      <c r="L2" s="3">
        <v>39300</v>
      </c>
      <c r="M2" s="3">
        <v>10000</v>
      </c>
      <c r="N2" s="2">
        <v>135000</v>
      </c>
      <c r="P2" s="3" t="s">
        <v>249</v>
      </c>
    </row>
    <row r="3" spans="1:16">
      <c r="A3" s="3" t="s">
        <v>23</v>
      </c>
      <c r="B3" s="3" t="s">
        <v>229</v>
      </c>
      <c r="C3" s="4" t="s">
        <v>14</v>
      </c>
      <c r="D3" s="5" t="s">
        <v>231</v>
      </c>
      <c r="E3" s="5" t="s">
        <v>232</v>
      </c>
      <c r="G3" s="3" t="s">
        <v>233</v>
      </c>
      <c r="H3" s="3" t="s">
        <v>234</v>
      </c>
      <c r="I3" s="3" t="s">
        <v>235</v>
      </c>
      <c r="J3" s="3">
        <v>47</v>
      </c>
      <c r="K3" s="36">
        <v>27006</v>
      </c>
    </row>
    <row r="4" spans="1:16">
      <c r="A4" s="3" t="s">
        <v>23</v>
      </c>
      <c r="B4" s="3" t="s">
        <v>229</v>
      </c>
      <c r="C4" s="4" t="s">
        <v>14</v>
      </c>
      <c r="D4" s="3" t="s">
        <v>43</v>
      </c>
      <c r="E4" s="3" t="s">
        <v>236</v>
      </c>
      <c r="F4" s="3" t="s">
        <v>238</v>
      </c>
      <c r="G4" s="3" t="s">
        <v>237</v>
      </c>
      <c r="H4" s="3" t="s">
        <v>226</v>
      </c>
      <c r="J4" s="3">
        <v>63</v>
      </c>
      <c r="K4" s="3">
        <v>1956</v>
      </c>
    </row>
    <row r="5" spans="1:16">
      <c r="A5" s="3" t="s">
        <v>23</v>
      </c>
      <c r="B5" s="3" t="s">
        <v>229</v>
      </c>
      <c r="C5" s="4" t="s">
        <v>14</v>
      </c>
      <c r="D5" s="5" t="s">
        <v>243</v>
      </c>
      <c r="E5" s="5" t="s">
        <v>239</v>
      </c>
      <c r="F5" s="3" t="s">
        <v>240</v>
      </c>
      <c r="G5" s="3" t="s">
        <v>241</v>
      </c>
      <c r="H5" s="3" t="s">
        <v>242</v>
      </c>
      <c r="I5" s="3" t="s">
        <v>38</v>
      </c>
      <c r="J5" s="3">
        <v>47</v>
      </c>
      <c r="K5" s="36">
        <v>28483</v>
      </c>
      <c r="P5" s="3" t="s">
        <v>244</v>
      </c>
    </row>
    <row r="6" spans="1:16">
      <c r="A6" s="3" t="s">
        <v>23</v>
      </c>
      <c r="B6" s="3" t="s">
        <v>229</v>
      </c>
      <c r="C6" s="4" t="s">
        <v>14</v>
      </c>
      <c r="D6" s="5" t="s">
        <v>44</v>
      </c>
      <c r="E6" s="5" t="s">
        <v>245</v>
      </c>
      <c r="F6" s="3" t="s">
        <v>246</v>
      </c>
      <c r="G6" s="3" t="s">
        <v>247</v>
      </c>
      <c r="H6" s="3" t="s">
        <v>242</v>
      </c>
      <c r="I6" s="3" t="s">
        <v>47</v>
      </c>
      <c r="J6" s="3">
        <v>58</v>
      </c>
      <c r="K6" s="36">
        <v>22947</v>
      </c>
      <c r="L6" s="3">
        <v>2500</v>
      </c>
    </row>
    <row r="7" spans="1:16">
      <c r="A7" s="3" t="s">
        <v>23</v>
      </c>
      <c r="B7" s="3" t="s">
        <v>229</v>
      </c>
      <c r="C7" s="4" t="s">
        <v>14</v>
      </c>
      <c r="D7" s="5" t="s">
        <v>176</v>
      </c>
      <c r="E7" s="5" t="s">
        <v>250</v>
      </c>
      <c r="F7" s="3" t="s">
        <v>246</v>
      </c>
      <c r="G7" s="3" t="s">
        <v>251</v>
      </c>
      <c r="H7" s="3" t="s">
        <v>242</v>
      </c>
      <c r="I7" s="3" t="s">
        <v>38</v>
      </c>
      <c r="J7" s="3">
        <v>46</v>
      </c>
      <c r="K7" s="36">
        <v>27544</v>
      </c>
      <c r="L7" s="3">
        <v>5600</v>
      </c>
      <c r="P7" s="3" t="s">
        <v>256</v>
      </c>
    </row>
    <row r="8" spans="1:16">
      <c r="A8" s="3" t="s">
        <v>23</v>
      </c>
      <c r="B8" s="3" t="s">
        <v>229</v>
      </c>
      <c r="C8" s="4" t="s">
        <v>14</v>
      </c>
      <c r="D8" s="5" t="s">
        <v>175</v>
      </c>
      <c r="E8" s="5" t="s">
        <v>252</v>
      </c>
      <c r="F8" s="3" t="s">
        <v>253</v>
      </c>
      <c r="G8" s="3" t="s">
        <v>254</v>
      </c>
      <c r="H8" s="3" t="s">
        <v>226</v>
      </c>
      <c r="I8" s="3" t="s">
        <v>255</v>
      </c>
      <c r="J8" s="3">
        <v>60</v>
      </c>
      <c r="K8" s="36">
        <v>22425</v>
      </c>
      <c r="M8" s="3">
        <v>15600</v>
      </c>
      <c r="P8" s="3" t="s">
        <v>257</v>
      </c>
    </row>
    <row r="9" spans="1:16">
      <c r="A9" s="3" t="s">
        <v>23</v>
      </c>
      <c r="B9" s="3" t="s">
        <v>229</v>
      </c>
      <c r="C9" s="4" t="s">
        <v>229</v>
      </c>
      <c r="D9" s="5" t="s">
        <v>23</v>
      </c>
      <c r="E9" s="5" t="s">
        <v>260</v>
      </c>
      <c r="F9" s="3" t="s">
        <v>258</v>
      </c>
      <c r="G9" s="3" t="s">
        <v>259</v>
      </c>
      <c r="H9" s="3" t="s">
        <v>226</v>
      </c>
      <c r="I9" s="3" t="s">
        <v>227</v>
      </c>
      <c r="J9" s="3">
        <v>54</v>
      </c>
      <c r="K9" s="36">
        <v>24397</v>
      </c>
      <c r="N9" s="3">
        <v>9615</v>
      </c>
      <c r="P9" s="3" t="s">
        <v>249</v>
      </c>
    </row>
    <row r="10" spans="1:16">
      <c r="A10" s="3" t="s">
        <v>23</v>
      </c>
      <c r="B10" s="3" t="s">
        <v>229</v>
      </c>
      <c r="C10" s="4" t="s">
        <v>14</v>
      </c>
      <c r="D10" s="5" t="s">
        <v>264</v>
      </c>
      <c r="E10" s="5" t="s">
        <v>261</v>
      </c>
      <c r="F10" s="3" t="s">
        <v>262</v>
      </c>
      <c r="G10" s="3" t="s">
        <v>263</v>
      </c>
      <c r="H10" s="3" t="s">
        <v>226</v>
      </c>
      <c r="I10" s="3" t="s">
        <v>265</v>
      </c>
      <c r="J10" s="3">
        <v>73</v>
      </c>
      <c r="K10" s="36">
        <v>17629</v>
      </c>
      <c r="L10" s="3">
        <v>2800</v>
      </c>
      <c r="M10" s="3">
        <v>29800</v>
      </c>
      <c r="N10" s="3">
        <v>2000</v>
      </c>
      <c r="P10" s="37" t="s">
        <v>266</v>
      </c>
    </row>
    <row r="11" spans="1:16">
      <c r="A11" s="3" t="s">
        <v>23</v>
      </c>
      <c r="B11" s="3" t="s">
        <v>229</v>
      </c>
      <c r="C11" s="4" t="s">
        <v>14</v>
      </c>
      <c r="D11" s="5" t="s">
        <v>271</v>
      </c>
      <c r="E11" s="5" t="s">
        <v>267</v>
      </c>
      <c r="F11" s="3" t="s">
        <v>268</v>
      </c>
      <c r="G11" s="3" t="s">
        <v>269</v>
      </c>
      <c r="H11" s="3" t="s">
        <v>226</v>
      </c>
      <c r="I11" s="3" t="s">
        <v>255</v>
      </c>
      <c r="J11" s="3">
        <v>61</v>
      </c>
      <c r="K11" s="36">
        <v>22028</v>
      </c>
      <c r="N11" s="3">
        <v>7708</v>
      </c>
      <c r="P11" s="38" t="s">
        <v>270</v>
      </c>
    </row>
    <row r="12" spans="1:16">
      <c r="A12" s="3" t="s">
        <v>23</v>
      </c>
      <c r="B12" s="3" t="s">
        <v>229</v>
      </c>
      <c r="C12" s="4" t="s">
        <v>14</v>
      </c>
      <c r="D12" s="5" t="s">
        <v>275</v>
      </c>
      <c r="E12" s="5" t="s">
        <v>272</v>
      </c>
      <c r="F12" s="3" t="s">
        <v>273</v>
      </c>
      <c r="G12" s="3" t="s">
        <v>274</v>
      </c>
      <c r="H12" s="3" t="s">
        <v>226</v>
      </c>
      <c r="I12" s="3" t="s">
        <v>227</v>
      </c>
      <c r="J12" s="3">
        <v>76</v>
      </c>
      <c r="K12" s="36">
        <v>16373</v>
      </c>
      <c r="M12" s="3">
        <v>29000</v>
      </c>
      <c r="P12" s="3" t="s">
        <v>249</v>
      </c>
    </row>
    <row r="13" spans="1:16">
      <c r="A13" s="3" t="s">
        <v>23</v>
      </c>
      <c r="B13" s="3" t="s">
        <v>229</v>
      </c>
      <c r="C13" s="4" t="s">
        <v>14</v>
      </c>
      <c r="D13" s="39" t="s">
        <v>277</v>
      </c>
      <c r="E13" s="5" t="s">
        <v>276</v>
      </c>
      <c r="F13" s="3" t="s">
        <v>268</v>
      </c>
      <c r="G13" s="3" t="s">
        <v>274</v>
      </c>
      <c r="H13" s="3" t="s">
        <v>226</v>
      </c>
      <c r="I13" s="3" t="s">
        <v>227</v>
      </c>
      <c r="J13" s="3">
        <v>40</v>
      </c>
      <c r="K13" s="40">
        <v>29677</v>
      </c>
      <c r="M13" s="3">
        <v>76600</v>
      </c>
      <c r="P13" s="3" t="s">
        <v>278</v>
      </c>
    </row>
    <row r="14" spans="1:16" ht="15.75">
      <c r="A14" s="3" t="s">
        <v>23</v>
      </c>
      <c r="B14" s="3" t="s">
        <v>279</v>
      </c>
      <c r="C14" s="4" t="s">
        <v>229</v>
      </c>
      <c r="D14" s="3" t="s">
        <v>23</v>
      </c>
      <c r="E14" s="22" t="s">
        <v>280</v>
      </c>
      <c r="G14" s="3" t="s">
        <v>281</v>
      </c>
      <c r="H14" s="3" t="s">
        <v>226</v>
      </c>
      <c r="I14" s="3" t="s">
        <v>227</v>
      </c>
      <c r="J14" s="3">
        <v>50</v>
      </c>
      <c r="K14" s="36">
        <v>26085</v>
      </c>
      <c r="N14" s="3">
        <v>9615</v>
      </c>
      <c r="P14" s="3" t="s">
        <v>282</v>
      </c>
    </row>
    <row r="15" spans="1:16" ht="15.75">
      <c r="A15" s="3" t="s">
        <v>23</v>
      </c>
      <c r="B15" s="3" t="s">
        <v>279</v>
      </c>
      <c r="C15" s="4" t="s">
        <v>229</v>
      </c>
      <c r="D15" s="3" t="s">
        <v>23</v>
      </c>
      <c r="E15" s="7" t="s">
        <v>283</v>
      </c>
      <c r="G15" s="3" t="s">
        <v>284</v>
      </c>
      <c r="H15" s="3" t="s">
        <v>242</v>
      </c>
      <c r="I15" s="3" t="s">
        <v>227</v>
      </c>
      <c r="J15" s="3">
        <v>48</v>
      </c>
      <c r="K15" s="36">
        <v>26816</v>
      </c>
      <c r="M15" s="3">
        <v>17500</v>
      </c>
      <c r="P15" s="3" t="s">
        <v>249</v>
      </c>
    </row>
    <row r="16" spans="1:16" ht="15.75">
      <c r="A16" s="3" t="s">
        <v>23</v>
      </c>
      <c r="B16" s="3" t="s">
        <v>279</v>
      </c>
      <c r="C16" s="4" t="s">
        <v>229</v>
      </c>
      <c r="D16" s="3" t="s">
        <v>23</v>
      </c>
      <c r="E16" s="22" t="s">
        <v>234</v>
      </c>
      <c r="F16" s="3" t="s">
        <v>285</v>
      </c>
      <c r="G16" s="3" t="s">
        <v>286</v>
      </c>
      <c r="H16" s="3" t="s">
        <v>226</v>
      </c>
      <c r="I16" s="3" t="s">
        <v>227</v>
      </c>
      <c r="J16" s="3">
        <v>51</v>
      </c>
      <c r="M16" s="3">
        <v>5000</v>
      </c>
      <c r="P16" s="3" t="s">
        <v>282</v>
      </c>
    </row>
    <row r="17" spans="1:16" ht="15.75">
      <c r="A17" s="3" t="s">
        <v>23</v>
      </c>
      <c r="B17" s="3" t="s">
        <v>279</v>
      </c>
      <c r="C17" s="4" t="s">
        <v>229</v>
      </c>
      <c r="D17" s="3" t="s">
        <v>23</v>
      </c>
      <c r="E17" s="22" t="s">
        <v>287</v>
      </c>
      <c r="G17" s="3" t="s">
        <v>288</v>
      </c>
      <c r="H17" s="3" t="s">
        <v>226</v>
      </c>
      <c r="I17" s="3" t="s">
        <v>227</v>
      </c>
      <c r="J17" s="3">
        <v>46</v>
      </c>
      <c r="K17" s="3">
        <v>1974</v>
      </c>
      <c r="M17" s="3">
        <v>500</v>
      </c>
      <c r="P17" s="3" t="s">
        <v>248</v>
      </c>
    </row>
    <row r="18" spans="1:16" ht="15.75">
      <c r="A18" s="3" t="s">
        <v>23</v>
      </c>
      <c r="B18" s="3" t="s">
        <v>279</v>
      </c>
      <c r="C18" s="4" t="s">
        <v>229</v>
      </c>
      <c r="D18" s="3" t="s">
        <v>23</v>
      </c>
      <c r="E18" s="22" t="s">
        <v>289</v>
      </c>
      <c r="G18" s="3" t="s">
        <v>290</v>
      </c>
      <c r="H18" s="3" t="s">
        <v>226</v>
      </c>
      <c r="I18" s="3" t="s">
        <v>38</v>
      </c>
      <c r="J18" s="3">
        <v>55</v>
      </c>
      <c r="P18" s="3" t="s">
        <v>291</v>
      </c>
    </row>
    <row r="19" spans="1:16" ht="15.75">
      <c r="A19" s="3" t="s">
        <v>23</v>
      </c>
      <c r="B19" s="3" t="s">
        <v>279</v>
      </c>
      <c r="C19" s="4" t="s">
        <v>229</v>
      </c>
      <c r="D19" s="3" t="s">
        <v>23</v>
      </c>
      <c r="E19" s="22" t="s">
        <v>292</v>
      </c>
      <c r="G19" s="3" t="s">
        <v>293</v>
      </c>
      <c r="H19" s="3" t="s">
        <v>242</v>
      </c>
      <c r="I19" s="3" t="s">
        <v>227</v>
      </c>
      <c r="J19" s="3">
        <v>53</v>
      </c>
      <c r="K19" s="3">
        <v>1966</v>
      </c>
      <c r="P19" s="3" t="s">
        <v>249</v>
      </c>
    </row>
    <row r="20" spans="1:16" ht="15.75">
      <c r="A20" s="3" t="s">
        <v>23</v>
      </c>
      <c r="B20" s="3" t="s">
        <v>279</v>
      </c>
      <c r="C20" s="4" t="s">
        <v>229</v>
      </c>
      <c r="D20" s="3" t="s">
        <v>23</v>
      </c>
      <c r="E20" s="22" t="s">
        <v>294</v>
      </c>
      <c r="G20" s="3" t="s">
        <v>295</v>
      </c>
      <c r="H20" s="3" t="s">
        <v>242</v>
      </c>
      <c r="I20" s="3" t="s">
        <v>227</v>
      </c>
      <c r="J20" s="3">
        <v>46</v>
      </c>
      <c r="P20" s="3" t="s">
        <v>249</v>
      </c>
    </row>
    <row r="21" spans="1:16">
      <c r="A21" s="3" t="s">
        <v>23</v>
      </c>
      <c r="B21" s="3" t="s">
        <v>279</v>
      </c>
      <c r="C21" s="4" t="s">
        <v>229</v>
      </c>
      <c r="E21" s="5"/>
      <c r="L21" s="3">
        <f>SUM(L2:L20)</f>
        <v>50200</v>
      </c>
      <c r="M21" s="3">
        <f>SUM(M2:M20)</f>
        <v>184000</v>
      </c>
      <c r="N21" s="3">
        <f>SUM(N2:N20)</f>
        <v>163938</v>
      </c>
    </row>
    <row r="22" spans="1:16">
      <c r="C22" s="4"/>
      <c r="D22" s="5"/>
      <c r="E22" s="5"/>
    </row>
    <row r="23" spans="1:16">
      <c r="C23" s="4"/>
      <c r="D23" s="5"/>
      <c r="E23" s="5"/>
    </row>
    <row r="24" spans="1:16">
      <c r="C24" s="4"/>
      <c r="D24" s="5"/>
      <c r="E24" s="5"/>
    </row>
    <row r="25" spans="1:16">
      <c r="C25" s="4"/>
    </row>
    <row r="26" spans="1:16">
      <c r="C26" s="4"/>
      <c r="D26" s="5"/>
      <c r="E26" s="5"/>
    </row>
    <row r="27" spans="1:16">
      <c r="C27" s="4"/>
      <c r="D27" s="5"/>
      <c r="E27" s="5"/>
    </row>
    <row r="28" spans="1:16">
      <c r="C28" s="4"/>
      <c r="D28" s="5"/>
      <c r="E28" s="5"/>
    </row>
    <row r="29" spans="1:16">
      <c r="C29" s="4"/>
      <c r="D29" s="5"/>
      <c r="E29" s="5"/>
    </row>
    <row r="30" spans="1:16">
      <c r="C30" s="4"/>
      <c r="D30" s="5"/>
      <c r="E30" s="5"/>
    </row>
    <row r="31" spans="1:16">
      <c r="C31" s="4"/>
      <c r="D31" s="5"/>
      <c r="E31" s="5"/>
    </row>
    <row r="32" spans="1:16">
      <c r="C32" s="4"/>
      <c r="D32" s="5"/>
      <c r="E32" s="5"/>
    </row>
    <row r="33" spans="3:5">
      <c r="C33" s="4"/>
      <c r="D33" s="5"/>
      <c r="E33" s="5"/>
    </row>
    <row r="34" spans="3:5">
      <c r="C34" s="4"/>
      <c r="D34" s="5"/>
      <c r="E34" s="5"/>
    </row>
    <row r="35" spans="3:5">
      <c r="C35" s="4"/>
      <c r="D35" s="5"/>
      <c r="E35" s="5"/>
    </row>
  </sheetData>
  <hyperlinks>
    <hyperlink ref="E14" r:id="rId1" display="https://corporate.walmart.com/our-story/leadership/executive-management/dan-bartlett/" xr:uid="{00000000-0004-0000-0000-000000000000}"/>
    <hyperlink ref="E16" r:id="rId2" display="https://corporate.walmart.com/leadership/brett-biggs" xr:uid="{00000000-0004-0000-0000-000001000000}"/>
    <hyperlink ref="E17" r:id="rId3" display="https://corporate.walmart.com/leadership/john-furner/" xr:uid="{00000000-0004-0000-0000-000002000000}"/>
    <hyperlink ref="E18" r:id="rId4" display="https://corporate.walmart.com/leadership/suresh-kumar" xr:uid="{00000000-0004-0000-0000-000003000000}"/>
    <hyperlink ref="E19" r:id="rId5" display="https://corporate.walmart.com/our-story/leadership/executive-management/judith-mckenna/" xr:uid="{00000000-0004-0000-0000-000004000000}"/>
    <hyperlink ref="E20" r:id="rId6" display="https://corporate.walmart.com/leadership/kathryn-mclay" xr:uid="{00000000-0004-0000-0000-000005000000}"/>
  </hyperlinks>
  <pageMargins left="0.7" right="0.7" top="0.75" bottom="0.75" header="0.3" footer="0.3"/>
  <pageSetup orientation="portrait" horizontalDpi="4294967293" verticalDpi="4294967293"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Y153"/>
  <sheetViews>
    <sheetView workbookViewId="0">
      <selection activeCell="E10" sqref="E10"/>
    </sheetView>
  </sheetViews>
  <sheetFormatPr defaultRowHeight="15"/>
  <cols>
    <col min="5" max="5" width="17.28515625" customWidth="1"/>
    <col min="16" max="16" width="12" customWidth="1"/>
  </cols>
  <sheetData>
    <row r="1" spans="1:18">
      <c r="A1" s="43" t="s">
        <v>304</v>
      </c>
      <c r="B1" s="44"/>
      <c r="C1" s="44"/>
      <c r="D1" s="44"/>
      <c r="E1" s="44"/>
      <c r="F1" s="44"/>
      <c r="G1" s="44"/>
      <c r="L1" s="12" t="s">
        <v>30</v>
      </c>
      <c r="M1" s="12" t="s">
        <v>31</v>
      </c>
      <c r="N1" s="12" t="s">
        <v>24</v>
      </c>
      <c r="O1" s="12" t="s">
        <v>32</v>
      </c>
      <c r="P1" s="12" t="s">
        <v>33</v>
      </c>
      <c r="Q1" s="12" t="s">
        <v>34</v>
      </c>
      <c r="R1" s="12" t="s">
        <v>41</v>
      </c>
    </row>
    <row r="2" spans="1:18">
      <c r="A2" s="12" t="s">
        <v>30</v>
      </c>
      <c r="B2" s="12" t="s">
        <v>31</v>
      </c>
      <c r="C2" s="12" t="s">
        <v>24</v>
      </c>
      <c r="D2" s="12" t="s">
        <v>32</v>
      </c>
      <c r="E2" s="12" t="s">
        <v>33</v>
      </c>
      <c r="F2" s="12" t="s">
        <v>34</v>
      </c>
      <c r="G2" s="12" t="s">
        <v>41</v>
      </c>
      <c r="L2" t="s">
        <v>305</v>
      </c>
      <c r="M2" t="s">
        <v>36</v>
      </c>
      <c r="N2" t="s">
        <v>306</v>
      </c>
      <c r="O2" t="s">
        <v>23</v>
      </c>
      <c r="P2" s="1">
        <v>43573</v>
      </c>
      <c r="Q2">
        <v>3</v>
      </c>
      <c r="R2" t="s">
        <v>15</v>
      </c>
    </row>
    <row r="3" spans="1:18">
      <c r="A3" t="s">
        <v>305</v>
      </c>
      <c r="B3" t="s">
        <v>36</v>
      </c>
      <c r="C3" t="s">
        <v>306</v>
      </c>
      <c r="D3" t="s">
        <v>23</v>
      </c>
      <c r="E3" s="1">
        <v>43573</v>
      </c>
      <c r="F3">
        <v>3</v>
      </c>
      <c r="G3" t="s">
        <v>15</v>
      </c>
      <c r="L3" t="s">
        <v>307</v>
      </c>
      <c r="M3" t="s">
        <v>36</v>
      </c>
      <c r="N3" t="s">
        <v>308</v>
      </c>
      <c r="O3" t="s">
        <v>23</v>
      </c>
      <c r="P3" s="1">
        <v>43689</v>
      </c>
      <c r="Q3">
        <v>1</v>
      </c>
      <c r="R3" t="s">
        <v>15</v>
      </c>
    </row>
    <row r="4" spans="1:18">
      <c r="A4" t="s">
        <v>307</v>
      </c>
      <c r="B4" t="s">
        <v>36</v>
      </c>
      <c r="C4" t="s">
        <v>308</v>
      </c>
      <c r="D4" t="s">
        <v>23</v>
      </c>
      <c r="E4" s="1">
        <v>43689</v>
      </c>
      <c r="F4">
        <v>1</v>
      </c>
      <c r="G4" t="s">
        <v>15</v>
      </c>
      <c r="L4" t="s">
        <v>309</v>
      </c>
      <c r="M4" t="s">
        <v>36</v>
      </c>
      <c r="N4" t="s">
        <v>310</v>
      </c>
      <c r="O4" t="s">
        <v>23</v>
      </c>
      <c r="P4" s="1">
        <v>43606</v>
      </c>
      <c r="Q4">
        <v>10</v>
      </c>
      <c r="R4" t="s">
        <v>15</v>
      </c>
    </row>
    <row r="5" spans="1:18">
      <c r="A5" t="s">
        <v>309</v>
      </c>
      <c r="B5" t="s">
        <v>36</v>
      </c>
      <c r="C5" t="s">
        <v>310</v>
      </c>
      <c r="D5" t="s">
        <v>23</v>
      </c>
      <c r="E5" s="1">
        <v>43606</v>
      </c>
      <c r="F5">
        <v>10</v>
      </c>
      <c r="G5" t="s">
        <v>15</v>
      </c>
      <c r="L5" t="s">
        <v>311</v>
      </c>
      <c r="M5" t="s">
        <v>36</v>
      </c>
      <c r="N5" t="s">
        <v>312</v>
      </c>
      <c r="O5" t="s">
        <v>23</v>
      </c>
      <c r="P5" s="1">
        <v>44111</v>
      </c>
      <c r="Q5">
        <v>10</v>
      </c>
      <c r="R5" t="s">
        <v>15</v>
      </c>
    </row>
    <row r="6" spans="1:18">
      <c r="A6" t="s">
        <v>311</v>
      </c>
      <c r="B6" t="s">
        <v>36</v>
      </c>
      <c r="C6" t="s">
        <v>312</v>
      </c>
      <c r="D6" t="s">
        <v>23</v>
      </c>
      <c r="E6" s="1">
        <v>44111</v>
      </c>
      <c r="F6">
        <v>10</v>
      </c>
      <c r="G6" t="s">
        <v>15</v>
      </c>
      <c r="L6" t="s">
        <v>313</v>
      </c>
      <c r="M6" t="s">
        <v>36</v>
      </c>
      <c r="N6" t="s">
        <v>314</v>
      </c>
      <c r="O6" t="s">
        <v>23</v>
      </c>
      <c r="P6" s="1">
        <v>44141</v>
      </c>
      <c r="Q6">
        <v>3</v>
      </c>
      <c r="R6" t="s">
        <v>15</v>
      </c>
    </row>
    <row r="7" spans="1:18">
      <c r="A7" t="s">
        <v>313</v>
      </c>
      <c r="B7" t="s">
        <v>36</v>
      </c>
      <c r="C7" t="s">
        <v>314</v>
      </c>
      <c r="D7" t="s">
        <v>23</v>
      </c>
      <c r="E7" s="1">
        <v>44141</v>
      </c>
      <c r="F7">
        <v>3</v>
      </c>
      <c r="G7" t="s">
        <v>15</v>
      </c>
      <c r="L7" t="s">
        <v>315</v>
      </c>
      <c r="M7" t="s">
        <v>316</v>
      </c>
      <c r="N7" t="s">
        <v>50</v>
      </c>
      <c r="O7" t="s">
        <v>23</v>
      </c>
      <c r="P7" s="1">
        <v>44153</v>
      </c>
      <c r="Q7">
        <v>12.5</v>
      </c>
      <c r="R7" t="s">
        <v>15</v>
      </c>
    </row>
    <row r="8" spans="1:18">
      <c r="A8" t="s">
        <v>315</v>
      </c>
      <c r="B8" t="s">
        <v>316</v>
      </c>
      <c r="C8" t="s">
        <v>50</v>
      </c>
      <c r="D8" t="s">
        <v>23</v>
      </c>
      <c r="E8" s="1">
        <v>44153</v>
      </c>
      <c r="F8">
        <v>12.5</v>
      </c>
      <c r="G8" t="s">
        <v>15</v>
      </c>
      <c r="L8" t="s">
        <v>317</v>
      </c>
      <c r="M8" t="s">
        <v>36</v>
      </c>
      <c r="N8" t="s">
        <v>49</v>
      </c>
      <c r="O8" t="s">
        <v>23</v>
      </c>
      <c r="P8" s="1">
        <v>44062</v>
      </c>
      <c r="Q8">
        <v>1</v>
      </c>
      <c r="R8" t="s">
        <v>15</v>
      </c>
    </row>
    <row r="9" spans="1:18">
      <c r="A9" t="s">
        <v>317</v>
      </c>
      <c r="B9" t="s">
        <v>36</v>
      </c>
      <c r="C9" t="s">
        <v>49</v>
      </c>
      <c r="D9" t="s">
        <v>23</v>
      </c>
      <c r="E9" s="1">
        <v>44062</v>
      </c>
      <c r="F9">
        <v>1</v>
      </c>
      <c r="G9" t="s">
        <v>15</v>
      </c>
      <c r="H9">
        <f>SUM(F3:F9)</f>
        <v>40.5</v>
      </c>
      <c r="L9" t="s">
        <v>318</v>
      </c>
      <c r="M9" t="s">
        <v>36</v>
      </c>
      <c r="N9" t="s">
        <v>319</v>
      </c>
      <c r="O9" t="s">
        <v>23</v>
      </c>
      <c r="P9" s="1">
        <v>44033</v>
      </c>
      <c r="Q9">
        <v>100</v>
      </c>
      <c r="R9" t="s">
        <v>15</v>
      </c>
    </row>
    <row r="10" spans="1:18">
      <c r="A10" t="s">
        <v>320</v>
      </c>
      <c r="B10" t="s">
        <v>168</v>
      </c>
      <c r="C10" t="s">
        <v>40</v>
      </c>
      <c r="D10" t="s">
        <v>23</v>
      </c>
      <c r="E10" s="1">
        <v>43796</v>
      </c>
      <c r="F10">
        <v>10</v>
      </c>
      <c r="G10" t="s">
        <v>14</v>
      </c>
      <c r="H10">
        <v>10</v>
      </c>
      <c r="L10" t="s">
        <v>321</v>
      </c>
      <c r="M10" t="s">
        <v>36</v>
      </c>
      <c r="N10" t="s">
        <v>40</v>
      </c>
      <c r="O10" t="s">
        <v>23</v>
      </c>
      <c r="P10" s="1">
        <v>44056</v>
      </c>
      <c r="Q10">
        <v>100</v>
      </c>
      <c r="R10" t="s">
        <v>15</v>
      </c>
    </row>
    <row r="11" spans="1:18">
      <c r="A11" t="s">
        <v>322</v>
      </c>
      <c r="B11" t="s">
        <v>323</v>
      </c>
      <c r="C11" t="s">
        <v>324</v>
      </c>
      <c r="D11" t="s">
        <v>23</v>
      </c>
      <c r="E11" s="1">
        <v>43998</v>
      </c>
      <c r="F11">
        <v>10</v>
      </c>
      <c r="G11" t="s">
        <v>16</v>
      </c>
      <c r="L11" t="s">
        <v>325</v>
      </c>
      <c r="M11" t="s">
        <v>10</v>
      </c>
      <c r="N11" t="s">
        <v>326</v>
      </c>
      <c r="O11" t="s">
        <v>23</v>
      </c>
      <c r="P11" s="1">
        <v>44084</v>
      </c>
      <c r="Q11">
        <v>100</v>
      </c>
      <c r="R11" t="s">
        <v>15</v>
      </c>
    </row>
    <row r="12" spans="1:18">
      <c r="A12" t="s">
        <v>327</v>
      </c>
      <c r="B12" t="s">
        <v>323</v>
      </c>
      <c r="C12" t="s">
        <v>328</v>
      </c>
      <c r="D12" t="s">
        <v>23</v>
      </c>
      <c r="E12" s="1">
        <v>44164</v>
      </c>
      <c r="F12">
        <v>30</v>
      </c>
      <c r="G12" t="s">
        <v>16</v>
      </c>
      <c r="H12">
        <f>SUM(F11:F12)</f>
        <v>40</v>
      </c>
      <c r="L12" t="s">
        <v>329</v>
      </c>
      <c r="M12" t="s">
        <v>330</v>
      </c>
      <c r="N12" t="s">
        <v>331</v>
      </c>
      <c r="O12" t="s">
        <v>23</v>
      </c>
      <c r="P12" s="1">
        <v>43894</v>
      </c>
      <c r="Q12">
        <v>250</v>
      </c>
      <c r="R12" t="s">
        <v>15</v>
      </c>
    </row>
    <row r="13" spans="1:18">
      <c r="A13" s="43" t="s">
        <v>332</v>
      </c>
      <c r="B13" s="44"/>
      <c r="C13" s="44"/>
      <c r="D13" s="44"/>
      <c r="E13" s="44"/>
      <c r="F13" s="44"/>
      <c r="G13" s="44"/>
      <c r="L13" t="s">
        <v>333</v>
      </c>
      <c r="M13" t="s">
        <v>334</v>
      </c>
      <c r="N13" t="s">
        <v>335</v>
      </c>
      <c r="O13" t="s">
        <v>23</v>
      </c>
      <c r="P13" s="1">
        <v>43723</v>
      </c>
      <c r="Q13">
        <v>1000</v>
      </c>
      <c r="R13" t="s">
        <v>15</v>
      </c>
    </row>
    <row r="14" spans="1:18">
      <c r="A14" s="12" t="s">
        <v>30</v>
      </c>
      <c r="B14" s="12" t="s">
        <v>31</v>
      </c>
      <c r="C14" s="12" t="s">
        <v>24</v>
      </c>
      <c r="D14" s="12" t="s">
        <v>32</v>
      </c>
      <c r="E14" s="12" t="s">
        <v>33</v>
      </c>
      <c r="F14" s="12" t="s">
        <v>34</v>
      </c>
      <c r="G14" s="12" t="s">
        <v>41</v>
      </c>
      <c r="L14" t="s">
        <v>336</v>
      </c>
      <c r="M14" t="s">
        <v>337</v>
      </c>
      <c r="N14" t="s">
        <v>338</v>
      </c>
      <c r="O14" t="s">
        <v>23</v>
      </c>
      <c r="P14" s="1">
        <v>43809</v>
      </c>
      <c r="Q14">
        <v>500</v>
      </c>
      <c r="R14" t="s">
        <v>15</v>
      </c>
    </row>
    <row r="15" spans="1:18">
      <c r="A15" t="s">
        <v>318</v>
      </c>
      <c r="B15" t="s">
        <v>36</v>
      </c>
      <c r="C15" t="s">
        <v>319</v>
      </c>
      <c r="D15" t="s">
        <v>23</v>
      </c>
      <c r="E15" s="1">
        <v>44033</v>
      </c>
      <c r="F15">
        <v>100</v>
      </c>
      <c r="G15" t="s">
        <v>15</v>
      </c>
      <c r="L15" t="s">
        <v>339</v>
      </c>
      <c r="M15" t="s">
        <v>316</v>
      </c>
      <c r="N15" t="s">
        <v>312</v>
      </c>
      <c r="O15" t="s">
        <v>23</v>
      </c>
      <c r="P15" s="1">
        <v>44142</v>
      </c>
      <c r="Q15">
        <v>250</v>
      </c>
      <c r="R15" t="s">
        <v>15</v>
      </c>
    </row>
    <row r="16" spans="1:18">
      <c r="A16" t="s">
        <v>321</v>
      </c>
      <c r="B16" t="s">
        <v>36</v>
      </c>
      <c r="C16" t="s">
        <v>40</v>
      </c>
      <c r="D16" t="s">
        <v>23</v>
      </c>
      <c r="E16" s="1">
        <v>44056</v>
      </c>
      <c r="F16">
        <v>100</v>
      </c>
      <c r="G16" t="s">
        <v>15</v>
      </c>
      <c r="L16" t="s">
        <v>340</v>
      </c>
      <c r="M16" t="s">
        <v>341</v>
      </c>
      <c r="N16" t="s">
        <v>40</v>
      </c>
      <c r="O16" t="s">
        <v>23</v>
      </c>
      <c r="P16" s="1">
        <v>43916</v>
      </c>
      <c r="Q16">
        <v>500</v>
      </c>
      <c r="R16" t="s">
        <v>15</v>
      </c>
    </row>
    <row r="17" spans="1:18">
      <c r="A17" t="s">
        <v>325</v>
      </c>
      <c r="B17" t="s">
        <v>10</v>
      </c>
      <c r="C17" t="s">
        <v>326</v>
      </c>
      <c r="D17" t="s">
        <v>23</v>
      </c>
      <c r="E17" s="1">
        <v>44084</v>
      </c>
      <c r="F17">
        <v>100</v>
      </c>
      <c r="G17" t="s">
        <v>15</v>
      </c>
      <c r="H17">
        <f>SUM(F15:F17)</f>
        <v>300</v>
      </c>
      <c r="L17" t="s">
        <v>342</v>
      </c>
      <c r="M17" t="s">
        <v>343</v>
      </c>
      <c r="N17" t="s">
        <v>326</v>
      </c>
      <c r="O17" t="s">
        <v>201</v>
      </c>
      <c r="P17" s="1">
        <v>44009</v>
      </c>
      <c r="Q17">
        <v>1111.1099999999999</v>
      </c>
      <c r="R17" t="s">
        <v>15</v>
      </c>
    </row>
    <row r="18" spans="1:18">
      <c r="A18" t="s">
        <v>344</v>
      </c>
      <c r="B18" t="s">
        <v>168</v>
      </c>
      <c r="C18" t="s">
        <v>40</v>
      </c>
      <c r="D18" t="s">
        <v>23</v>
      </c>
      <c r="E18" s="1">
        <v>43993</v>
      </c>
      <c r="F18">
        <v>96.15</v>
      </c>
      <c r="G18" t="s">
        <v>14</v>
      </c>
      <c r="H18">
        <v>96.15</v>
      </c>
      <c r="L18" t="s">
        <v>339</v>
      </c>
      <c r="M18" t="s">
        <v>345</v>
      </c>
      <c r="N18" t="s">
        <v>312</v>
      </c>
      <c r="O18" t="s">
        <v>201</v>
      </c>
      <c r="P18" s="1">
        <v>44093</v>
      </c>
      <c r="Q18">
        <v>2800</v>
      </c>
      <c r="R18" t="s">
        <v>15</v>
      </c>
    </row>
    <row r="19" spans="1:18">
      <c r="A19" t="s">
        <v>346</v>
      </c>
      <c r="B19" t="s">
        <v>323</v>
      </c>
      <c r="C19" t="s">
        <v>347</v>
      </c>
      <c r="D19" t="s">
        <v>23</v>
      </c>
      <c r="E19" s="1">
        <v>44175</v>
      </c>
      <c r="F19">
        <v>100</v>
      </c>
      <c r="G19" t="s">
        <v>16</v>
      </c>
      <c r="L19" t="s">
        <v>348</v>
      </c>
      <c r="M19" t="s">
        <v>10</v>
      </c>
      <c r="N19" t="s">
        <v>40</v>
      </c>
      <c r="O19" t="s">
        <v>201</v>
      </c>
      <c r="P19" s="1">
        <v>44003</v>
      </c>
      <c r="Q19">
        <v>2700</v>
      </c>
      <c r="R19" t="s">
        <v>15</v>
      </c>
    </row>
    <row r="20" spans="1:18">
      <c r="A20" t="s">
        <v>349</v>
      </c>
      <c r="B20" t="s">
        <v>323</v>
      </c>
      <c r="C20" t="s">
        <v>326</v>
      </c>
      <c r="D20" t="s">
        <v>23</v>
      </c>
      <c r="E20" s="1">
        <v>43923</v>
      </c>
      <c r="F20">
        <v>67.5</v>
      </c>
      <c r="G20" t="s">
        <v>16</v>
      </c>
      <c r="L20" t="s">
        <v>350</v>
      </c>
      <c r="M20" t="s">
        <v>334</v>
      </c>
      <c r="N20" t="s">
        <v>351</v>
      </c>
      <c r="O20" t="s">
        <v>201</v>
      </c>
      <c r="P20" s="1">
        <v>43829</v>
      </c>
      <c r="Q20">
        <v>2800</v>
      </c>
      <c r="R20" t="s">
        <v>15</v>
      </c>
    </row>
    <row r="21" spans="1:18">
      <c r="A21" t="s">
        <v>352</v>
      </c>
      <c r="B21" t="s">
        <v>323</v>
      </c>
      <c r="C21" t="s">
        <v>308</v>
      </c>
      <c r="D21" t="s">
        <v>23</v>
      </c>
      <c r="E21" s="1">
        <v>44187</v>
      </c>
      <c r="F21">
        <v>100</v>
      </c>
      <c r="G21" t="s">
        <v>16</v>
      </c>
      <c r="L21" t="s">
        <v>353</v>
      </c>
      <c r="M21" t="s">
        <v>354</v>
      </c>
      <c r="N21" t="s">
        <v>351</v>
      </c>
      <c r="O21" t="s">
        <v>201</v>
      </c>
      <c r="P21" s="1">
        <v>43854</v>
      </c>
      <c r="Q21">
        <v>2800</v>
      </c>
      <c r="R21" t="s">
        <v>15</v>
      </c>
    </row>
    <row r="22" spans="1:18">
      <c r="A22" t="s">
        <v>355</v>
      </c>
      <c r="B22" t="s">
        <v>323</v>
      </c>
      <c r="C22" t="s">
        <v>312</v>
      </c>
      <c r="D22" t="s">
        <v>23</v>
      </c>
      <c r="E22" s="1">
        <v>44095</v>
      </c>
      <c r="F22">
        <v>100</v>
      </c>
      <c r="G22" t="s">
        <v>16</v>
      </c>
      <c r="L22" t="s">
        <v>356</v>
      </c>
      <c r="M22" t="s">
        <v>10</v>
      </c>
      <c r="N22" t="s">
        <v>47</v>
      </c>
      <c r="O22" t="s">
        <v>201</v>
      </c>
      <c r="P22" s="1">
        <v>44062</v>
      </c>
      <c r="Q22">
        <v>1500</v>
      </c>
      <c r="R22" t="s">
        <v>15</v>
      </c>
    </row>
    <row r="23" spans="1:18">
      <c r="A23" t="s">
        <v>357</v>
      </c>
      <c r="B23" t="s">
        <v>323</v>
      </c>
      <c r="C23" t="s">
        <v>358</v>
      </c>
      <c r="D23" t="s">
        <v>23</v>
      </c>
      <c r="E23" s="1">
        <v>44158</v>
      </c>
      <c r="F23">
        <v>100</v>
      </c>
      <c r="G23" t="s">
        <v>16</v>
      </c>
      <c r="L23" t="s">
        <v>359</v>
      </c>
      <c r="M23" t="s">
        <v>360</v>
      </c>
      <c r="N23" t="s">
        <v>351</v>
      </c>
      <c r="O23" t="s">
        <v>23</v>
      </c>
      <c r="P23" s="45">
        <v>43544</v>
      </c>
      <c r="Q23">
        <v>5600</v>
      </c>
      <c r="R23" t="s">
        <v>15</v>
      </c>
    </row>
    <row r="24" spans="1:18">
      <c r="A24" t="s">
        <v>361</v>
      </c>
      <c r="B24" t="s">
        <v>174</v>
      </c>
      <c r="C24" t="s">
        <v>362</v>
      </c>
      <c r="D24" t="s">
        <v>23</v>
      </c>
      <c r="E24" s="1">
        <v>43972</v>
      </c>
      <c r="F24">
        <v>75</v>
      </c>
      <c r="G24" t="s">
        <v>16</v>
      </c>
      <c r="H24">
        <f>SUM(F19:F24)</f>
        <v>542.5</v>
      </c>
      <c r="L24" t="s">
        <v>359</v>
      </c>
      <c r="M24" t="s">
        <v>363</v>
      </c>
      <c r="N24" t="s">
        <v>351</v>
      </c>
      <c r="O24" t="s">
        <v>23</v>
      </c>
      <c r="P24" s="45">
        <v>43815</v>
      </c>
      <c r="Q24">
        <v>10000</v>
      </c>
      <c r="R24" t="s">
        <v>15</v>
      </c>
    </row>
    <row r="25" spans="1:18">
      <c r="A25" s="43" t="s">
        <v>364</v>
      </c>
      <c r="B25" s="44"/>
      <c r="C25" s="44"/>
      <c r="D25" s="44"/>
      <c r="E25" s="44"/>
      <c r="F25" s="44"/>
      <c r="G25" s="44"/>
      <c r="L25" t="s">
        <v>359</v>
      </c>
      <c r="M25" t="s">
        <v>365</v>
      </c>
      <c r="N25" t="s">
        <v>351</v>
      </c>
      <c r="O25" t="s">
        <v>23</v>
      </c>
      <c r="P25" s="45">
        <v>43815</v>
      </c>
      <c r="Q25">
        <v>20000</v>
      </c>
      <c r="R25" t="s">
        <v>15</v>
      </c>
    </row>
    <row r="26" spans="1:18">
      <c r="A26" s="12" t="s">
        <v>30</v>
      </c>
      <c r="B26" s="12" t="s">
        <v>31</v>
      </c>
      <c r="C26" s="12" t="s">
        <v>24</v>
      </c>
      <c r="D26" s="12" t="s">
        <v>32</v>
      </c>
      <c r="E26" s="12" t="s">
        <v>33</v>
      </c>
      <c r="F26" s="12" t="s">
        <v>34</v>
      </c>
      <c r="G26" s="12" t="s">
        <v>41</v>
      </c>
      <c r="L26" t="s">
        <v>366</v>
      </c>
      <c r="M26" t="s">
        <v>367</v>
      </c>
      <c r="N26" t="s">
        <v>40</v>
      </c>
      <c r="O26" t="s">
        <v>23</v>
      </c>
      <c r="P26" s="45">
        <v>43873</v>
      </c>
      <c r="Q26">
        <v>5600</v>
      </c>
      <c r="R26" t="s">
        <v>15</v>
      </c>
    </row>
    <row r="27" spans="1:18">
      <c r="A27" t="s">
        <v>329</v>
      </c>
      <c r="B27" t="s">
        <v>330</v>
      </c>
      <c r="C27" t="s">
        <v>331</v>
      </c>
      <c r="D27" t="s">
        <v>23</v>
      </c>
      <c r="E27" s="1">
        <v>43894</v>
      </c>
      <c r="F27">
        <v>250</v>
      </c>
      <c r="G27" t="s">
        <v>15</v>
      </c>
      <c r="H27">
        <v>250</v>
      </c>
      <c r="L27" t="s">
        <v>353</v>
      </c>
      <c r="M27" t="s">
        <v>10</v>
      </c>
      <c r="N27" t="s">
        <v>351</v>
      </c>
      <c r="O27" t="s">
        <v>23</v>
      </c>
      <c r="P27" s="45">
        <v>43950</v>
      </c>
      <c r="Q27">
        <v>5600</v>
      </c>
      <c r="R27" t="s">
        <v>15</v>
      </c>
    </row>
    <row r="28" spans="1:18">
      <c r="A28" t="s">
        <v>368</v>
      </c>
      <c r="B28" t="s">
        <v>369</v>
      </c>
      <c r="C28" t="s">
        <v>331</v>
      </c>
      <c r="D28" t="s">
        <v>23</v>
      </c>
      <c r="E28" s="1">
        <v>43871</v>
      </c>
      <c r="F28">
        <v>230</v>
      </c>
      <c r="G28" t="s">
        <v>268</v>
      </c>
      <c r="H28">
        <v>230</v>
      </c>
      <c r="L28" t="s">
        <v>370</v>
      </c>
      <c r="M28" t="s">
        <v>371</v>
      </c>
      <c r="N28" t="s">
        <v>49</v>
      </c>
      <c r="O28" t="s">
        <v>23</v>
      </c>
      <c r="P28" s="45">
        <v>44110</v>
      </c>
      <c r="Q28">
        <v>7200</v>
      </c>
      <c r="R28" t="s">
        <v>15</v>
      </c>
    </row>
    <row r="29" spans="1:18">
      <c r="A29" t="s">
        <v>372</v>
      </c>
      <c r="B29" t="s">
        <v>168</v>
      </c>
      <c r="C29" t="s">
        <v>40</v>
      </c>
      <c r="D29" t="s">
        <v>23</v>
      </c>
      <c r="E29" s="1">
        <v>43937</v>
      </c>
      <c r="F29">
        <v>250</v>
      </c>
      <c r="G29" t="s">
        <v>14</v>
      </c>
      <c r="L29" t="s">
        <v>370</v>
      </c>
      <c r="M29" t="s">
        <v>373</v>
      </c>
      <c r="N29" t="s">
        <v>49</v>
      </c>
      <c r="O29" t="s">
        <v>23</v>
      </c>
      <c r="P29" s="45">
        <v>44110</v>
      </c>
      <c r="Q29">
        <v>10000</v>
      </c>
      <c r="R29" t="s">
        <v>15</v>
      </c>
    </row>
    <row r="30" spans="1:18">
      <c r="A30" t="s">
        <v>374</v>
      </c>
      <c r="B30" t="s">
        <v>375</v>
      </c>
      <c r="C30" t="s">
        <v>45</v>
      </c>
      <c r="D30" t="s">
        <v>23</v>
      </c>
      <c r="E30" s="1">
        <v>43727</v>
      </c>
      <c r="F30">
        <v>250</v>
      </c>
      <c r="G30" t="s">
        <v>14</v>
      </c>
      <c r="L30" t="s">
        <v>376</v>
      </c>
      <c r="M30" t="s">
        <v>377</v>
      </c>
      <c r="N30" t="s">
        <v>40</v>
      </c>
      <c r="O30" t="s">
        <v>23</v>
      </c>
      <c r="P30" s="45">
        <v>44124</v>
      </c>
      <c r="Q30">
        <v>125000</v>
      </c>
      <c r="R30" t="s">
        <v>15</v>
      </c>
    </row>
    <row r="31" spans="1:18">
      <c r="A31" t="s">
        <v>378</v>
      </c>
      <c r="B31" t="s">
        <v>168</v>
      </c>
      <c r="C31" t="s">
        <v>40</v>
      </c>
      <c r="D31" t="s">
        <v>23</v>
      </c>
      <c r="E31" s="1">
        <v>43615</v>
      </c>
      <c r="F31">
        <v>192.3</v>
      </c>
      <c r="G31" t="s">
        <v>14</v>
      </c>
      <c r="L31" t="s">
        <v>350</v>
      </c>
      <c r="M31" t="s">
        <v>377</v>
      </c>
      <c r="N31" t="s">
        <v>351</v>
      </c>
      <c r="O31" t="s">
        <v>23</v>
      </c>
      <c r="P31" s="45">
        <v>44095</v>
      </c>
      <c r="Q31">
        <v>50000</v>
      </c>
      <c r="R31" t="s">
        <v>15</v>
      </c>
    </row>
    <row r="32" spans="1:18">
      <c r="A32" t="s">
        <v>379</v>
      </c>
      <c r="B32" t="s">
        <v>168</v>
      </c>
      <c r="C32" t="s">
        <v>380</v>
      </c>
      <c r="D32" t="s">
        <v>23</v>
      </c>
      <c r="E32" s="1">
        <v>43657</v>
      </c>
      <c r="F32">
        <v>192.3</v>
      </c>
      <c r="G32" t="s">
        <v>14</v>
      </c>
      <c r="L32" t="s">
        <v>381</v>
      </c>
      <c r="M32" t="s">
        <v>371</v>
      </c>
      <c r="N32" t="s">
        <v>338</v>
      </c>
      <c r="O32" t="s">
        <v>23</v>
      </c>
      <c r="P32" s="45">
        <v>44097</v>
      </c>
      <c r="Q32">
        <v>5500</v>
      </c>
      <c r="R32" t="s">
        <v>15</v>
      </c>
    </row>
    <row r="33" spans="1:18">
      <c r="A33" t="s">
        <v>382</v>
      </c>
      <c r="B33" t="s">
        <v>168</v>
      </c>
      <c r="C33" t="s">
        <v>172</v>
      </c>
      <c r="D33" t="s">
        <v>23</v>
      </c>
      <c r="E33" s="1">
        <v>43531</v>
      </c>
      <c r="F33">
        <v>250</v>
      </c>
      <c r="G33" t="s">
        <v>14</v>
      </c>
      <c r="H33">
        <f>SUM(F29:F33)</f>
        <v>1134.5999999999999</v>
      </c>
      <c r="P33" s="1"/>
      <c r="Q33">
        <f>SUM(Q2:Q32)</f>
        <v>261051.61</v>
      </c>
    </row>
    <row r="34" spans="1:18">
      <c r="A34" t="s">
        <v>383</v>
      </c>
      <c r="B34" t="s">
        <v>384</v>
      </c>
      <c r="C34" t="s">
        <v>312</v>
      </c>
      <c r="D34" t="s">
        <v>23</v>
      </c>
      <c r="E34" s="1">
        <v>44142</v>
      </c>
      <c r="F34">
        <v>150</v>
      </c>
      <c r="G34" t="s">
        <v>16</v>
      </c>
      <c r="P34" s="1"/>
    </row>
    <row r="35" spans="1:18">
      <c r="A35" t="s">
        <v>385</v>
      </c>
      <c r="B35" t="s">
        <v>174</v>
      </c>
      <c r="C35" t="s">
        <v>347</v>
      </c>
      <c r="D35" t="s">
        <v>23</v>
      </c>
      <c r="E35" s="1">
        <v>43865</v>
      </c>
      <c r="F35">
        <v>168.97</v>
      </c>
      <c r="G35" t="s">
        <v>16</v>
      </c>
      <c r="L35" t="s">
        <v>368</v>
      </c>
      <c r="M35" t="s">
        <v>369</v>
      </c>
      <c r="N35" t="s">
        <v>331</v>
      </c>
      <c r="O35" t="s">
        <v>23</v>
      </c>
      <c r="P35" s="1">
        <v>43871</v>
      </c>
      <c r="Q35">
        <v>230</v>
      </c>
      <c r="R35" t="s">
        <v>268</v>
      </c>
    </row>
    <row r="36" spans="1:18">
      <c r="A36" t="s">
        <v>386</v>
      </c>
      <c r="B36" t="s">
        <v>387</v>
      </c>
      <c r="C36" t="s">
        <v>40</v>
      </c>
      <c r="D36" t="s">
        <v>23</v>
      </c>
      <c r="E36" s="1">
        <v>43816</v>
      </c>
      <c r="F36">
        <v>125</v>
      </c>
      <c r="G36" t="s">
        <v>16</v>
      </c>
      <c r="H36">
        <f>SUM(F34:F36)</f>
        <v>443.97</v>
      </c>
      <c r="P36" s="1"/>
    </row>
    <row r="37" spans="1:18">
      <c r="A37" s="43" t="s">
        <v>388</v>
      </c>
      <c r="B37" s="44"/>
      <c r="C37" s="44"/>
      <c r="D37" s="44"/>
      <c r="E37" s="44"/>
      <c r="F37" s="44"/>
      <c r="G37" s="44"/>
      <c r="P37" s="1"/>
    </row>
    <row r="38" spans="1:18">
      <c r="A38" s="12" t="s">
        <v>30</v>
      </c>
      <c r="B38" s="12" t="s">
        <v>31</v>
      </c>
      <c r="C38" s="12" t="s">
        <v>24</v>
      </c>
      <c r="D38" s="12" t="s">
        <v>32</v>
      </c>
      <c r="E38" s="12" t="s">
        <v>33</v>
      </c>
      <c r="F38" s="12" t="s">
        <v>34</v>
      </c>
      <c r="G38" s="12" t="s">
        <v>41</v>
      </c>
      <c r="L38" t="s">
        <v>320</v>
      </c>
      <c r="M38" t="s">
        <v>168</v>
      </c>
      <c r="N38" t="s">
        <v>40</v>
      </c>
      <c r="O38" t="s">
        <v>23</v>
      </c>
      <c r="P38" s="1">
        <v>43796</v>
      </c>
      <c r="Q38">
        <v>10</v>
      </c>
      <c r="R38" t="s">
        <v>14</v>
      </c>
    </row>
    <row r="39" spans="1:18">
      <c r="A39" t="s">
        <v>333</v>
      </c>
      <c r="B39" t="s">
        <v>334</v>
      </c>
      <c r="C39" t="s">
        <v>335</v>
      </c>
      <c r="D39" t="s">
        <v>23</v>
      </c>
      <c r="E39" s="1">
        <v>43723</v>
      </c>
      <c r="F39">
        <v>1000</v>
      </c>
      <c r="G39" t="s">
        <v>15</v>
      </c>
      <c r="L39" t="s">
        <v>344</v>
      </c>
      <c r="M39" t="s">
        <v>168</v>
      </c>
      <c r="N39" t="s">
        <v>40</v>
      </c>
      <c r="O39" t="s">
        <v>23</v>
      </c>
      <c r="P39" s="1">
        <v>43993</v>
      </c>
      <c r="Q39">
        <v>96.15</v>
      </c>
      <c r="R39" t="s">
        <v>14</v>
      </c>
    </row>
    <row r="40" spans="1:18">
      <c r="A40" t="s">
        <v>336</v>
      </c>
      <c r="B40" t="s">
        <v>337</v>
      </c>
      <c r="C40" t="s">
        <v>338</v>
      </c>
      <c r="D40" t="s">
        <v>23</v>
      </c>
      <c r="E40" s="1">
        <v>43809</v>
      </c>
      <c r="F40">
        <v>500</v>
      </c>
      <c r="G40" t="s">
        <v>15</v>
      </c>
      <c r="L40" t="s">
        <v>372</v>
      </c>
      <c r="M40" t="s">
        <v>168</v>
      </c>
      <c r="N40" t="s">
        <v>40</v>
      </c>
      <c r="O40" t="s">
        <v>23</v>
      </c>
      <c r="P40" s="1">
        <v>43937</v>
      </c>
      <c r="Q40">
        <v>250</v>
      </c>
      <c r="R40" t="s">
        <v>14</v>
      </c>
    </row>
    <row r="41" spans="1:18">
      <c r="A41" t="s">
        <v>339</v>
      </c>
      <c r="B41" t="s">
        <v>316</v>
      </c>
      <c r="C41" t="s">
        <v>312</v>
      </c>
      <c r="D41" t="s">
        <v>23</v>
      </c>
      <c r="E41" s="1">
        <v>44142</v>
      </c>
      <c r="F41">
        <v>250</v>
      </c>
      <c r="G41" t="s">
        <v>15</v>
      </c>
      <c r="L41" t="s">
        <v>374</v>
      </c>
      <c r="M41" t="s">
        <v>375</v>
      </c>
      <c r="N41" t="s">
        <v>45</v>
      </c>
      <c r="O41" t="s">
        <v>23</v>
      </c>
      <c r="P41" s="1">
        <v>43727</v>
      </c>
      <c r="Q41">
        <v>250</v>
      </c>
      <c r="R41" t="s">
        <v>14</v>
      </c>
    </row>
    <row r="42" spans="1:18">
      <c r="A42" t="s">
        <v>340</v>
      </c>
      <c r="B42" t="s">
        <v>341</v>
      </c>
      <c r="C42" t="s">
        <v>40</v>
      </c>
      <c r="D42" t="s">
        <v>23</v>
      </c>
      <c r="E42" s="1">
        <v>43916</v>
      </c>
      <c r="F42">
        <v>500</v>
      </c>
      <c r="G42" t="s">
        <v>15</v>
      </c>
      <c r="H42">
        <f>SUM(F39:F42)</f>
        <v>2250</v>
      </c>
      <c r="L42" t="s">
        <v>378</v>
      </c>
      <c r="M42" t="s">
        <v>168</v>
      </c>
      <c r="N42" t="s">
        <v>40</v>
      </c>
      <c r="O42" t="s">
        <v>23</v>
      </c>
      <c r="P42" s="1">
        <v>43615</v>
      </c>
      <c r="Q42">
        <v>192.3</v>
      </c>
      <c r="R42" t="s">
        <v>14</v>
      </c>
    </row>
    <row r="43" spans="1:18">
      <c r="A43" t="s">
        <v>389</v>
      </c>
      <c r="B43" t="s">
        <v>323</v>
      </c>
      <c r="C43" t="s">
        <v>390</v>
      </c>
      <c r="D43" t="s">
        <v>23</v>
      </c>
      <c r="E43" s="1">
        <v>44177</v>
      </c>
      <c r="F43">
        <v>790</v>
      </c>
      <c r="G43" t="s">
        <v>16</v>
      </c>
      <c r="L43" t="s">
        <v>379</v>
      </c>
      <c r="M43" t="s">
        <v>168</v>
      </c>
      <c r="N43" t="s">
        <v>380</v>
      </c>
      <c r="O43" t="s">
        <v>23</v>
      </c>
      <c r="P43" s="1">
        <v>43657</v>
      </c>
      <c r="Q43">
        <v>192.3</v>
      </c>
      <c r="R43" t="s">
        <v>14</v>
      </c>
    </row>
    <row r="44" spans="1:18">
      <c r="A44" t="s">
        <v>391</v>
      </c>
      <c r="B44" t="s">
        <v>207</v>
      </c>
      <c r="C44" t="s">
        <v>335</v>
      </c>
      <c r="D44" t="s">
        <v>23</v>
      </c>
      <c r="E44" s="1">
        <v>43580</v>
      </c>
      <c r="F44">
        <v>500</v>
      </c>
      <c r="G44" t="s">
        <v>16</v>
      </c>
      <c r="L44" t="s">
        <v>382</v>
      </c>
      <c r="M44" t="s">
        <v>168</v>
      </c>
      <c r="N44" t="s">
        <v>172</v>
      </c>
      <c r="O44" t="s">
        <v>23</v>
      </c>
      <c r="P44" s="1">
        <v>43531</v>
      </c>
      <c r="Q44">
        <v>250</v>
      </c>
      <c r="R44" t="s">
        <v>14</v>
      </c>
    </row>
    <row r="45" spans="1:18">
      <c r="A45" t="s">
        <v>392</v>
      </c>
      <c r="B45" t="s">
        <v>174</v>
      </c>
      <c r="C45" t="s">
        <v>328</v>
      </c>
      <c r="D45" t="s">
        <v>23</v>
      </c>
      <c r="E45" s="1">
        <v>44005</v>
      </c>
      <c r="F45">
        <v>500</v>
      </c>
      <c r="G45" t="s">
        <v>16</v>
      </c>
      <c r="L45" t="s">
        <v>393</v>
      </c>
      <c r="M45" t="s">
        <v>168</v>
      </c>
      <c r="N45" t="s">
        <v>40</v>
      </c>
      <c r="O45" t="s">
        <v>169</v>
      </c>
      <c r="P45" s="1">
        <v>43909</v>
      </c>
      <c r="Q45">
        <v>4505</v>
      </c>
      <c r="R45" t="s">
        <v>14</v>
      </c>
    </row>
    <row r="46" spans="1:18">
      <c r="A46" t="s">
        <v>394</v>
      </c>
      <c r="B46" t="s">
        <v>192</v>
      </c>
      <c r="C46" t="s">
        <v>49</v>
      </c>
      <c r="D46" t="s">
        <v>23</v>
      </c>
      <c r="E46" s="1">
        <v>44006</v>
      </c>
      <c r="F46">
        <v>250</v>
      </c>
      <c r="G46" t="s">
        <v>16</v>
      </c>
      <c r="P46" s="1"/>
      <c r="Q46">
        <f>SUM(Q38:Q45)</f>
        <v>5745.75</v>
      </c>
    </row>
    <row r="47" spans="1:18">
      <c r="A47" t="s">
        <v>395</v>
      </c>
      <c r="B47" t="s">
        <v>60</v>
      </c>
      <c r="C47" t="s">
        <v>214</v>
      </c>
      <c r="D47" t="s">
        <v>23</v>
      </c>
      <c r="E47" s="1">
        <v>44084</v>
      </c>
      <c r="F47">
        <v>500</v>
      </c>
      <c r="G47" t="s">
        <v>16</v>
      </c>
      <c r="P47" s="1"/>
    </row>
    <row r="48" spans="1:18">
      <c r="A48" t="s">
        <v>396</v>
      </c>
      <c r="B48" t="s">
        <v>323</v>
      </c>
      <c r="C48" t="s">
        <v>319</v>
      </c>
      <c r="D48" t="s">
        <v>23</v>
      </c>
      <c r="E48" s="1">
        <v>44007</v>
      </c>
      <c r="F48">
        <v>600</v>
      </c>
      <c r="G48" t="s">
        <v>16</v>
      </c>
      <c r="H48">
        <f>SUM(F43:F48)</f>
        <v>3140</v>
      </c>
      <c r="L48" t="s">
        <v>322</v>
      </c>
      <c r="M48" t="s">
        <v>323</v>
      </c>
      <c r="N48" t="s">
        <v>324</v>
      </c>
      <c r="O48" t="s">
        <v>23</v>
      </c>
      <c r="P48" s="1">
        <v>43998</v>
      </c>
      <c r="Q48">
        <v>10</v>
      </c>
      <c r="R48" t="s">
        <v>16</v>
      </c>
    </row>
    <row r="49" spans="1:18">
      <c r="A49" s="43" t="s">
        <v>397</v>
      </c>
      <c r="B49" s="44"/>
      <c r="C49" s="44"/>
      <c r="D49" s="44"/>
      <c r="E49" s="44"/>
      <c r="F49" s="44"/>
      <c r="G49" s="44"/>
      <c r="L49" t="s">
        <v>327</v>
      </c>
      <c r="M49" t="s">
        <v>323</v>
      </c>
      <c r="N49" t="s">
        <v>328</v>
      </c>
      <c r="O49" t="s">
        <v>23</v>
      </c>
      <c r="P49" s="1">
        <v>44164</v>
      </c>
      <c r="Q49">
        <v>30</v>
      </c>
      <c r="R49" t="s">
        <v>16</v>
      </c>
    </row>
    <row r="50" spans="1:18">
      <c r="A50" s="12" t="s">
        <v>30</v>
      </c>
      <c r="B50" s="12" t="s">
        <v>31</v>
      </c>
      <c r="C50" s="12" t="s">
        <v>24</v>
      </c>
      <c r="D50" s="12" t="s">
        <v>32</v>
      </c>
      <c r="E50" s="12" t="s">
        <v>33</v>
      </c>
      <c r="F50" s="12" t="s">
        <v>34</v>
      </c>
      <c r="G50" s="12" t="s">
        <v>41</v>
      </c>
      <c r="L50" t="s">
        <v>346</v>
      </c>
      <c r="M50" t="s">
        <v>323</v>
      </c>
      <c r="N50" t="s">
        <v>347</v>
      </c>
      <c r="O50" t="s">
        <v>23</v>
      </c>
      <c r="P50" s="1">
        <v>44175</v>
      </c>
      <c r="Q50">
        <v>100</v>
      </c>
      <c r="R50" t="s">
        <v>16</v>
      </c>
    </row>
    <row r="51" spans="1:18">
      <c r="A51" t="s">
        <v>342</v>
      </c>
      <c r="B51" t="s">
        <v>343</v>
      </c>
      <c r="C51" t="s">
        <v>326</v>
      </c>
      <c r="D51" t="s">
        <v>201</v>
      </c>
      <c r="E51" s="1">
        <v>44009</v>
      </c>
      <c r="F51">
        <v>1111.1099999999999</v>
      </c>
      <c r="G51" t="s">
        <v>15</v>
      </c>
      <c r="L51" t="s">
        <v>349</v>
      </c>
      <c r="M51" t="s">
        <v>323</v>
      </c>
      <c r="N51" t="s">
        <v>326</v>
      </c>
      <c r="O51" t="s">
        <v>23</v>
      </c>
      <c r="P51" s="1">
        <v>43923</v>
      </c>
      <c r="Q51">
        <v>67.5</v>
      </c>
      <c r="R51" t="s">
        <v>16</v>
      </c>
    </row>
    <row r="52" spans="1:18">
      <c r="A52" t="s">
        <v>339</v>
      </c>
      <c r="B52" t="s">
        <v>345</v>
      </c>
      <c r="C52" t="s">
        <v>312</v>
      </c>
      <c r="D52" t="s">
        <v>201</v>
      </c>
      <c r="E52" s="1">
        <v>44093</v>
      </c>
      <c r="F52">
        <v>2800</v>
      </c>
      <c r="G52" t="s">
        <v>15</v>
      </c>
      <c r="L52" t="s">
        <v>352</v>
      </c>
      <c r="M52" t="s">
        <v>323</v>
      </c>
      <c r="N52" t="s">
        <v>308</v>
      </c>
      <c r="O52" t="s">
        <v>23</v>
      </c>
      <c r="P52" s="1">
        <v>44187</v>
      </c>
      <c r="Q52">
        <v>100</v>
      </c>
      <c r="R52" t="s">
        <v>16</v>
      </c>
    </row>
    <row r="53" spans="1:18">
      <c r="A53" t="s">
        <v>348</v>
      </c>
      <c r="B53" t="s">
        <v>10</v>
      </c>
      <c r="C53" t="s">
        <v>40</v>
      </c>
      <c r="D53" t="s">
        <v>201</v>
      </c>
      <c r="E53" s="1">
        <v>44003</v>
      </c>
      <c r="F53">
        <v>2700</v>
      </c>
      <c r="G53" t="s">
        <v>15</v>
      </c>
      <c r="L53" t="s">
        <v>355</v>
      </c>
      <c r="M53" t="s">
        <v>323</v>
      </c>
      <c r="N53" t="s">
        <v>312</v>
      </c>
      <c r="O53" t="s">
        <v>23</v>
      </c>
      <c r="P53" s="1">
        <v>44095</v>
      </c>
      <c r="Q53">
        <v>100</v>
      </c>
      <c r="R53" t="s">
        <v>16</v>
      </c>
    </row>
    <row r="54" spans="1:18">
      <c r="A54" t="s">
        <v>350</v>
      </c>
      <c r="B54" t="s">
        <v>334</v>
      </c>
      <c r="C54" t="s">
        <v>351</v>
      </c>
      <c r="D54" t="s">
        <v>201</v>
      </c>
      <c r="E54" s="1">
        <v>43829</v>
      </c>
      <c r="F54">
        <v>2800</v>
      </c>
      <c r="G54" t="s">
        <v>15</v>
      </c>
      <c r="L54" t="s">
        <v>357</v>
      </c>
      <c r="M54" t="s">
        <v>323</v>
      </c>
      <c r="N54" t="s">
        <v>358</v>
      </c>
      <c r="O54" t="s">
        <v>23</v>
      </c>
      <c r="P54" s="1">
        <v>44158</v>
      </c>
      <c r="Q54">
        <v>100</v>
      </c>
      <c r="R54" t="s">
        <v>16</v>
      </c>
    </row>
    <row r="55" spans="1:18">
      <c r="A55" t="s">
        <v>353</v>
      </c>
      <c r="B55" t="s">
        <v>354</v>
      </c>
      <c r="C55" t="s">
        <v>351</v>
      </c>
      <c r="D55" t="s">
        <v>201</v>
      </c>
      <c r="E55" s="1">
        <v>43854</v>
      </c>
      <c r="F55">
        <v>2800</v>
      </c>
      <c r="G55" t="s">
        <v>15</v>
      </c>
      <c r="L55" t="s">
        <v>361</v>
      </c>
      <c r="M55" t="s">
        <v>174</v>
      </c>
      <c r="N55" t="s">
        <v>362</v>
      </c>
      <c r="O55" t="s">
        <v>23</v>
      </c>
      <c r="P55" s="1">
        <v>43972</v>
      </c>
      <c r="Q55">
        <v>75</v>
      </c>
      <c r="R55" t="s">
        <v>16</v>
      </c>
    </row>
    <row r="56" spans="1:18">
      <c r="A56" t="s">
        <v>356</v>
      </c>
      <c r="B56" t="s">
        <v>10</v>
      </c>
      <c r="C56" t="s">
        <v>47</v>
      </c>
      <c r="D56" t="s">
        <v>201</v>
      </c>
      <c r="E56" s="1">
        <v>44062</v>
      </c>
      <c r="F56">
        <v>1500</v>
      </c>
      <c r="G56" t="s">
        <v>15</v>
      </c>
      <c r="H56">
        <f>SUM(F51:F56)</f>
        <v>13711.11</v>
      </c>
      <c r="L56" t="s">
        <v>357</v>
      </c>
      <c r="M56" t="s">
        <v>323</v>
      </c>
      <c r="N56" t="s">
        <v>358</v>
      </c>
      <c r="O56" t="s">
        <v>23</v>
      </c>
      <c r="P56" s="1">
        <v>44158</v>
      </c>
      <c r="Q56">
        <v>100</v>
      </c>
      <c r="R56" t="s">
        <v>16</v>
      </c>
    </row>
    <row r="57" spans="1:18">
      <c r="A57" t="s">
        <v>393</v>
      </c>
      <c r="B57" t="s">
        <v>168</v>
      </c>
      <c r="C57" t="s">
        <v>40</v>
      </c>
      <c r="D57" t="s">
        <v>169</v>
      </c>
      <c r="E57" s="1">
        <v>43909</v>
      </c>
      <c r="F57">
        <v>4505</v>
      </c>
      <c r="G57" t="s">
        <v>14</v>
      </c>
      <c r="H57">
        <v>4505</v>
      </c>
      <c r="L57" t="s">
        <v>361</v>
      </c>
      <c r="M57" t="s">
        <v>174</v>
      </c>
      <c r="N57" t="s">
        <v>362</v>
      </c>
      <c r="O57" t="s">
        <v>23</v>
      </c>
      <c r="P57" s="1">
        <v>43972</v>
      </c>
      <c r="Q57">
        <v>75</v>
      </c>
      <c r="R57" t="s">
        <v>16</v>
      </c>
    </row>
    <row r="58" spans="1:18">
      <c r="A58" t="s">
        <v>398</v>
      </c>
      <c r="B58" t="s">
        <v>399</v>
      </c>
      <c r="C58" t="s">
        <v>331</v>
      </c>
      <c r="D58" t="s">
        <v>201</v>
      </c>
      <c r="E58" s="1">
        <v>44001</v>
      </c>
      <c r="F58">
        <v>2500</v>
      </c>
      <c r="G58" t="s">
        <v>16</v>
      </c>
      <c r="L58" t="s">
        <v>383</v>
      </c>
      <c r="M58" t="s">
        <v>384</v>
      </c>
      <c r="N58" t="s">
        <v>312</v>
      </c>
      <c r="O58" t="s">
        <v>23</v>
      </c>
      <c r="P58" s="1">
        <v>44142</v>
      </c>
      <c r="Q58">
        <v>150</v>
      </c>
      <c r="R58" t="s">
        <v>16</v>
      </c>
    </row>
    <row r="59" spans="1:18">
      <c r="A59" t="s">
        <v>400</v>
      </c>
      <c r="B59" t="s">
        <v>323</v>
      </c>
      <c r="C59" t="s">
        <v>347</v>
      </c>
      <c r="D59" t="s">
        <v>201</v>
      </c>
      <c r="E59" s="1">
        <v>44040</v>
      </c>
      <c r="F59">
        <v>1770</v>
      </c>
      <c r="G59" t="s">
        <v>16</v>
      </c>
      <c r="L59" t="s">
        <v>385</v>
      </c>
      <c r="M59" t="s">
        <v>174</v>
      </c>
      <c r="N59" t="s">
        <v>347</v>
      </c>
      <c r="O59" t="s">
        <v>23</v>
      </c>
      <c r="P59" s="1">
        <v>43865</v>
      </c>
      <c r="Q59">
        <v>168.97</v>
      </c>
      <c r="R59" t="s">
        <v>16</v>
      </c>
    </row>
    <row r="60" spans="1:18">
      <c r="A60" t="s">
        <v>401</v>
      </c>
      <c r="B60" t="s">
        <v>174</v>
      </c>
      <c r="C60" t="s">
        <v>308</v>
      </c>
      <c r="D60" t="s">
        <v>201</v>
      </c>
      <c r="E60" s="1">
        <v>44039</v>
      </c>
      <c r="F60">
        <v>1570</v>
      </c>
      <c r="G60" t="s">
        <v>16</v>
      </c>
      <c r="H60">
        <f>SUM(F58:F60)</f>
        <v>5840</v>
      </c>
      <c r="L60" t="s">
        <v>386</v>
      </c>
      <c r="M60" t="s">
        <v>387</v>
      </c>
      <c r="N60" t="s">
        <v>40</v>
      </c>
      <c r="O60" t="s">
        <v>23</v>
      </c>
      <c r="P60" s="1">
        <v>43816</v>
      </c>
      <c r="Q60">
        <v>125</v>
      </c>
      <c r="R60" t="s">
        <v>16</v>
      </c>
    </row>
    <row r="61" spans="1:18">
      <c r="A61" s="43" t="s">
        <v>402</v>
      </c>
      <c r="B61" s="44"/>
      <c r="C61" s="44"/>
      <c r="D61" s="44"/>
      <c r="E61" s="44"/>
      <c r="F61" s="44"/>
      <c r="G61" s="44"/>
      <c r="L61" t="s">
        <v>389</v>
      </c>
      <c r="M61" t="s">
        <v>323</v>
      </c>
      <c r="N61" t="s">
        <v>390</v>
      </c>
      <c r="O61" t="s">
        <v>23</v>
      </c>
      <c r="P61" s="1">
        <v>44177</v>
      </c>
      <c r="Q61">
        <v>790</v>
      </c>
      <c r="R61" t="s">
        <v>16</v>
      </c>
    </row>
    <row r="62" spans="1:18">
      <c r="A62" s="12" t="s">
        <v>30</v>
      </c>
      <c r="B62" s="12" t="s">
        <v>31</v>
      </c>
      <c r="C62" s="12" t="s">
        <v>24</v>
      </c>
      <c r="D62" s="12" t="s">
        <v>32</v>
      </c>
      <c r="E62" s="12" t="s">
        <v>33</v>
      </c>
      <c r="F62" s="12" t="s">
        <v>34</v>
      </c>
      <c r="G62" s="12" t="s">
        <v>41</v>
      </c>
      <c r="L62" t="s">
        <v>391</v>
      </c>
      <c r="M62" t="s">
        <v>207</v>
      </c>
      <c r="N62" t="s">
        <v>335</v>
      </c>
      <c r="O62" t="s">
        <v>23</v>
      </c>
      <c r="P62" s="1">
        <v>43580</v>
      </c>
      <c r="Q62">
        <v>500</v>
      </c>
      <c r="R62" t="s">
        <v>16</v>
      </c>
    </row>
    <row r="63" spans="1:18">
      <c r="A63" t="s">
        <v>359</v>
      </c>
      <c r="B63" t="s">
        <v>360</v>
      </c>
      <c r="C63" t="s">
        <v>351</v>
      </c>
      <c r="D63" t="s">
        <v>23</v>
      </c>
      <c r="E63" s="45">
        <v>43544</v>
      </c>
      <c r="F63">
        <v>5600</v>
      </c>
      <c r="G63" t="s">
        <v>15</v>
      </c>
      <c r="L63" t="s">
        <v>392</v>
      </c>
      <c r="M63" t="s">
        <v>174</v>
      </c>
      <c r="N63" t="s">
        <v>328</v>
      </c>
      <c r="O63" t="s">
        <v>23</v>
      </c>
      <c r="P63" s="1">
        <v>44005</v>
      </c>
      <c r="Q63">
        <v>500</v>
      </c>
      <c r="R63" t="s">
        <v>16</v>
      </c>
    </row>
    <row r="64" spans="1:18">
      <c r="A64" t="s">
        <v>359</v>
      </c>
      <c r="B64" t="s">
        <v>363</v>
      </c>
      <c r="C64" t="s">
        <v>351</v>
      </c>
      <c r="D64" t="s">
        <v>23</v>
      </c>
      <c r="E64" s="45">
        <v>43815</v>
      </c>
      <c r="F64">
        <v>10000</v>
      </c>
      <c r="G64" t="s">
        <v>15</v>
      </c>
      <c r="L64" t="s">
        <v>394</v>
      </c>
      <c r="M64" t="s">
        <v>192</v>
      </c>
      <c r="N64" t="s">
        <v>49</v>
      </c>
      <c r="O64" t="s">
        <v>23</v>
      </c>
      <c r="P64" s="1">
        <v>44006</v>
      </c>
      <c r="Q64">
        <v>250</v>
      </c>
      <c r="R64" t="s">
        <v>16</v>
      </c>
    </row>
    <row r="65" spans="1:77">
      <c r="A65" t="s">
        <v>359</v>
      </c>
      <c r="B65" t="s">
        <v>365</v>
      </c>
      <c r="C65" t="s">
        <v>351</v>
      </c>
      <c r="D65" t="s">
        <v>23</v>
      </c>
      <c r="E65" s="45">
        <v>43815</v>
      </c>
      <c r="F65">
        <v>20000</v>
      </c>
      <c r="G65" t="s">
        <v>15</v>
      </c>
      <c r="L65" t="s">
        <v>395</v>
      </c>
      <c r="M65" t="s">
        <v>60</v>
      </c>
      <c r="N65" t="s">
        <v>214</v>
      </c>
      <c r="O65" t="s">
        <v>23</v>
      </c>
      <c r="P65" s="1">
        <v>44084</v>
      </c>
      <c r="Q65">
        <v>500</v>
      </c>
      <c r="R65" t="s">
        <v>16</v>
      </c>
    </row>
    <row r="66" spans="1:77">
      <c r="A66" t="s">
        <v>366</v>
      </c>
      <c r="B66" t="s">
        <v>367</v>
      </c>
      <c r="C66" t="s">
        <v>40</v>
      </c>
      <c r="D66" t="s">
        <v>23</v>
      </c>
      <c r="E66" s="45">
        <v>43873</v>
      </c>
      <c r="F66">
        <v>5600</v>
      </c>
      <c r="G66" t="s">
        <v>15</v>
      </c>
      <c r="L66" t="s">
        <v>396</v>
      </c>
      <c r="M66" t="s">
        <v>323</v>
      </c>
      <c r="N66" t="s">
        <v>319</v>
      </c>
      <c r="O66" t="s">
        <v>23</v>
      </c>
      <c r="P66" s="1">
        <v>44007</v>
      </c>
      <c r="Q66">
        <v>600</v>
      </c>
      <c r="R66" t="s">
        <v>16</v>
      </c>
    </row>
    <row r="67" spans="1:77">
      <c r="A67" t="s">
        <v>353</v>
      </c>
      <c r="B67" t="s">
        <v>10</v>
      </c>
      <c r="C67" t="s">
        <v>351</v>
      </c>
      <c r="D67" t="s">
        <v>23</v>
      </c>
      <c r="E67" s="45">
        <v>43950</v>
      </c>
      <c r="F67">
        <v>5600</v>
      </c>
      <c r="G67" t="s">
        <v>15</v>
      </c>
      <c r="L67" t="s">
        <v>398</v>
      </c>
      <c r="M67" t="s">
        <v>399</v>
      </c>
      <c r="N67" t="s">
        <v>331</v>
      </c>
      <c r="O67" t="s">
        <v>201</v>
      </c>
      <c r="P67" s="1">
        <v>44001</v>
      </c>
      <c r="Q67">
        <v>2500</v>
      </c>
      <c r="R67" t="s">
        <v>16</v>
      </c>
    </row>
    <row r="68" spans="1:77">
      <c r="A68" t="s">
        <v>370</v>
      </c>
      <c r="B68" t="s">
        <v>371</v>
      </c>
      <c r="C68" t="s">
        <v>49</v>
      </c>
      <c r="D68" t="s">
        <v>23</v>
      </c>
      <c r="E68" s="45">
        <v>44110</v>
      </c>
      <c r="F68">
        <v>7200</v>
      </c>
      <c r="G68" t="s">
        <v>15</v>
      </c>
      <c r="L68" t="s">
        <v>400</v>
      </c>
      <c r="M68" t="s">
        <v>323</v>
      </c>
      <c r="N68" t="s">
        <v>347</v>
      </c>
      <c r="O68" t="s">
        <v>201</v>
      </c>
      <c r="P68" s="1">
        <v>44040</v>
      </c>
      <c r="Q68">
        <v>1770</v>
      </c>
      <c r="R68" t="s">
        <v>16</v>
      </c>
    </row>
    <row r="69" spans="1:77">
      <c r="A69" t="s">
        <v>370</v>
      </c>
      <c r="B69" t="s">
        <v>373</v>
      </c>
      <c r="C69" t="s">
        <v>49</v>
      </c>
      <c r="D69" t="s">
        <v>23</v>
      </c>
      <c r="E69" s="45">
        <v>44110</v>
      </c>
      <c r="F69">
        <v>10000</v>
      </c>
      <c r="G69" t="s">
        <v>15</v>
      </c>
      <c r="L69" t="s">
        <v>401</v>
      </c>
      <c r="M69" t="s">
        <v>174</v>
      </c>
      <c r="N69" t="s">
        <v>308</v>
      </c>
      <c r="O69" t="s">
        <v>201</v>
      </c>
      <c r="P69" s="1">
        <v>44039</v>
      </c>
      <c r="Q69">
        <v>1570</v>
      </c>
      <c r="R69" t="s">
        <v>16</v>
      </c>
    </row>
    <row r="70" spans="1:77">
      <c r="A70" t="s">
        <v>376</v>
      </c>
      <c r="B70" t="s">
        <v>377</v>
      </c>
      <c r="C70" t="s">
        <v>40</v>
      </c>
      <c r="D70" t="s">
        <v>23</v>
      </c>
      <c r="E70" s="45">
        <v>44124</v>
      </c>
      <c r="F70">
        <v>125000</v>
      </c>
      <c r="G70" t="s">
        <v>15</v>
      </c>
      <c r="P70" s="45"/>
      <c r="Q70">
        <f>SUM(Q48:Q69)</f>
        <v>10181.470000000001</v>
      </c>
    </row>
    <row r="71" spans="1:77">
      <c r="A71" t="s">
        <v>350</v>
      </c>
      <c r="B71" t="s">
        <v>377</v>
      </c>
      <c r="C71" t="s">
        <v>351</v>
      </c>
      <c r="D71" t="s">
        <v>23</v>
      </c>
      <c r="E71" s="45">
        <v>44095</v>
      </c>
      <c r="F71">
        <v>50000</v>
      </c>
      <c r="G71" t="s">
        <v>15</v>
      </c>
      <c r="P71" s="45"/>
    </row>
    <row r="72" spans="1:77">
      <c r="A72" t="s">
        <v>381</v>
      </c>
      <c r="B72" t="s">
        <v>371</v>
      </c>
      <c r="C72" t="s">
        <v>338</v>
      </c>
      <c r="D72" t="s">
        <v>23</v>
      </c>
      <c r="E72" s="45">
        <v>44097</v>
      </c>
      <c r="F72">
        <v>5500</v>
      </c>
      <c r="G72" t="s">
        <v>15</v>
      </c>
      <c r="H72">
        <f>SUM(F63:F72)</f>
        <v>244500</v>
      </c>
    </row>
    <row r="80" spans="1:77">
      <c r="A80" s="46" t="s">
        <v>403</v>
      </c>
      <c r="B80" s="46" t="s">
        <v>404</v>
      </c>
      <c r="C80" s="46" t="s">
        <v>405</v>
      </c>
      <c r="D80" s="46" t="s">
        <v>406</v>
      </c>
      <c r="E80" s="46" t="s">
        <v>407</v>
      </c>
      <c r="F80" s="46" t="s">
        <v>408</v>
      </c>
      <c r="G80" s="46" t="s">
        <v>409</v>
      </c>
      <c r="H80" s="46" t="s">
        <v>410</v>
      </c>
      <c r="I80" s="46" t="s">
        <v>411</v>
      </c>
      <c r="J80" s="46" t="s">
        <v>412</v>
      </c>
      <c r="K80" s="46" t="s">
        <v>413</v>
      </c>
      <c r="L80" s="46" t="s">
        <v>414</v>
      </c>
      <c r="M80" s="46" t="s">
        <v>415</v>
      </c>
      <c r="N80" s="46" t="s">
        <v>416</v>
      </c>
      <c r="O80" s="46" t="s">
        <v>417</v>
      </c>
      <c r="P80" s="46" t="s">
        <v>418</v>
      </c>
      <c r="Q80" s="46" t="s">
        <v>419</v>
      </c>
      <c r="R80" s="46" t="s">
        <v>420</v>
      </c>
      <c r="S80" s="46" t="s">
        <v>421</v>
      </c>
      <c r="T80" s="46" t="s">
        <v>422</v>
      </c>
      <c r="U80" s="46" t="s">
        <v>423</v>
      </c>
      <c r="V80" s="46" t="s">
        <v>424</v>
      </c>
      <c r="W80" s="46" t="s">
        <v>425</v>
      </c>
      <c r="X80" s="46" t="s">
        <v>426</v>
      </c>
      <c r="Y80" s="46" t="s">
        <v>427</v>
      </c>
      <c r="Z80" s="46" t="s">
        <v>428</v>
      </c>
      <c r="AA80" s="46" t="s">
        <v>429</v>
      </c>
      <c r="AB80" s="46" t="s">
        <v>430</v>
      </c>
      <c r="AC80" s="46" t="s">
        <v>431</v>
      </c>
      <c r="AD80" s="46" t="s">
        <v>432</v>
      </c>
      <c r="AE80" s="46" t="s">
        <v>433</v>
      </c>
      <c r="AF80" s="46" t="s">
        <v>434</v>
      </c>
      <c r="AG80" s="46" t="s">
        <v>435</v>
      </c>
      <c r="AH80" s="46" t="s">
        <v>436</v>
      </c>
      <c r="AI80" s="46" t="s">
        <v>437</v>
      </c>
      <c r="AJ80" s="46" t="s">
        <v>438</v>
      </c>
      <c r="AK80" s="46" t="s">
        <v>439</v>
      </c>
      <c r="AL80" s="46" t="s">
        <v>440</v>
      </c>
      <c r="AM80" s="46" t="s">
        <v>441</v>
      </c>
      <c r="AN80" s="46" t="s">
        <v>442</v>
      </c>
      <c r="AO80" s="46" t="s">
        <v>443</v>
      </c>
      <c r="AP80" s="46" t="s">
        <v>444</v>
      </c>
      <c r="AQ80" s="46" t="s">
        <v>445</v>
      </c>
      <c r="AR80" s="46" t="s">
        <v>446</v>
      </c>
      <c r="AS80" s="46" t="s">
        <v>447</v>
      </c>
      <c r="AT80" s="46" t="s">
        <v>448</v>
      </c>
      <c r="AU80" s="46" t="s">
        <v>449</v>
      </c>
      <c r="AV80" s="46" t="s">
        <v>450</v>
      </c>
      <c r="AW80" s="46" t="s">
        <v>451</v>
      </c>
      <c r="AX80" s="46" t="s">
        <v>452</v>
      </c>
      <c r="AY80" s="46" t="s">
        <v>453</v>
      </c>
      <c r="AZ80" s="46" t="s">
        <v>454</v>
      </c>
      <c r="BA80" s="46" t="s">
        <v>455</v>
      </c>
      <c r="BB80" s="46" t="s">
        <v>456</v>
      </c>
      <c r="BC80" s="46" t="s">
        <v>457</v>
      </c>
      <c r="BD80" s="46" t="s">
        <v>458</v>
      </c>
      <c r="BE80" s="46" t="s">
        <v>459</v>
      </c>
      <c r="BF80" s="46" t="s">
        <v>460</v>
      </c>
      <c r="BG80" s="46" t="s">
        <v>461</v>
      </c>
      <c r="BH80" s="46" t="s">
        <v>462</v>
      </c>
      <c r="BI80" s="46" t="s">
        <v>463</v>
      </c>
      <c r="BJ80" s="46" t="s">
        <v>464</v>
      </c>
      <c r="BK80" s="46" t="s">
        <v>465</v>
      </c>
      <c r="BL80" s="46" t="s">
        <v>466</v>
      </c>
      <c r="BM80" s="46" t="s">
        <v>467</v>
      </c>
      <c r="BN80" s="46" t="s">
        <v>468</v>
      </c>
      <c r="BO80" s="46" t="s">
        <v>469</v>
      </c>
      <c r="BP80" s="46" t="s">
        <v>470</v>
      </c>
      <c r="BQ80" s="46" t="s">
        <v>471</v>
      </c>
      <c r="BR80" s="46" t="s">
        <v>472</v>
      </c>
      <c r="BS80" s="47" t="s">
        <v>34</v>
      </c>
      <c r="BT80" s="48" t="s">
        <v>41</v>
      </c>
      <c r="BU80" s="49" t="s">
        <v>17</v>
      </c>
      <c r="BV80" s="49" t="s">
        <v>19</v>
      </c>
      <c r="BW80" s="47" t="s">
        <v>18</v>
      </c>
      <c r="BX80" s="50" t="s">
        <v>26</v>
      </c>
      <c r="BY80" s="50" t="s">
        <v>27</v>
      </c>
    </row>
    <row r="81" spans="1:77">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51"/>
      <c r="BT81" s="52"/>
      <c r="BU81" s="49">
        <v>0</v>
      </c>
      <c r="BV81" s="49"/>
      <c r="BW81" s="52"/>
      <c r="BX81" s="53" t="e">
        <v>#DIV/0!</v>
      </c>
      <c r="BY81" s="53" t="e">
        <v>#DIV/0!</v>
      </c>
    </row>
    <row r="82" spans="1:77">
      <c r="A82" s="46" t="s">
        <v>473</v>
      </c>
      <c r="B82" s="46" t="s">
        <v>474</v>
      </c>
      <c r="C82" s="46"/>
      <c r="D82" s="46"/>
      <c r="E82" s="46" t="s">
        <v>475</v>
      </c>
      <c r="F82" s="46" t="s">
        <v>476</v>
      </c>
      <c r="G82" s="46" t="s">
        <v>477</v>
      </c>
      <c r="H82" s="46" t="s">
        <v>224</v>
      </c>
      <c r="I82" s="46" t="s">
        <v>478</v>
      </c>
      <c r="J82" s="46" t="s">
        <v>242</v>
      </c>
      <c r="K82" s="46" t="s">
        <v>479</v>
      </c>
      <c r="L82" s="46"/>
      <c r="M82" s="46" t="s">
        <v>480</v>
      </c>
      <c r="N82" s="46"/>
      <c r="O82" s="46" t="s">
        <v>481</v>
      </c>
      <c r="P82" s="46" t="s">
        <v>482</v>
      </c>
      <c r="Q82" s="46">
        <v>70805</v>
      </c>
      <c r="R82" s="46" t="s">
        <v>483</v>
      </c>
      <c r="S82" s="46" t="s">
        <v>484</v>
      </c>
      <c r="T82" s="46"/>
      <c r="U82" s="46">
        <v>15</v>
      </c>
      <c r="V82" s="46" t="s">
        <v>485</v>
      </c>
      <c r="W82" s="46"/>
      <c r="X82" s="46"/>
      <c r="Y82" s="46"/>
      <c r="Z82" s="54">
        <v>43616</v>
      </c>
      <c r="AA82" s="46">
        <v>42</v>
      </c>
      <c r="AB82" s="46">
        <v>210</v>
      </c>
      <c r="AC82" s="46"/>
      <c r="AD82" s="46"/>
      <c r="AE82" s="46"/>
      <c r="AF82" s="46"/>
      <c r="AG82" s="46"/>
      <c r="AH82" s="46"/>
      <c r="AI82" s="46"/>
      <c r="AJ82" s="46"/>
      <c r="AK82" s="46"/>
      <c r="AL82" s="46"/>
      <c r="AM82" s="46"/>
      <c r="AN82" s="46"/>
      <c r="AO82" s="46"/>
      <c r="AP82" s="46"/>
      <c r="AQ82" s="46"/>
      <c r="AR82" s="46"/>
      <c r="AS82" s="46"/>
      <c r="AT82" s="46"/>
      <c r="AU82" s="46"/>
      <c r="AV82" s="46"/>
      <c r="AW82" s="46"/>
      <c r="AX82" s="46" t="s">
        <v>97</v>
      </c>
      <c r="AY82" s="46"/>
      <c r="AZ82" s="46" t="s">
        <v>486</v>
      </c>
      <c r="BA82" s="46"/>
      <c r="BB82" s="46" t="s">
        <v>246</v>
      </c>
      <c r="BC82" s="46" t="s">
        <v>487</v>
      </c>
      <c r="BD82" s="46" t="s">
        <v>488</v>
      </c>
      <c r="BE82" s="55">
        <v>43631.112526192126</v>
      </c>
      <c r="BF82" s="46"/>
      <c r="BG82" s="46"/>
      <c r="BH82" s="46"/>
      <c r="BI82" s="46" t="s">
        <v>489</v>
      </c>
      <c r="BJ82" s="46">
        <v>4.0614201916580198E+18</v>
      </c>
      <c r="BK82" s="46" t="s">
        <v>490</v>
      </c>
      <c r="BL82" s="46" t="s">
        <v>491</v>
      </c>
      <c r="BM82" s="46">
        <v>2020</v>
      </c>
      <c r="BN82" s="46" t="s">
        <v>492</v>
      </c>
      <c r="BO82" s="46"/>
      <c r="BP82" s="46">
        <v>4.0614201916580803E+18</v>
      </c>
      <c r="BQ82" s="46" t="s">
        <v>493</v>
      </c>
      <c r="BR82" s="46" t="s">
        <v>494</v>
      </c>
      <c r="BS82" s="51">
        <v>42</v>
      </c>
      <c r="BT82" s="52" t="s">
        <v>16</v>
      </c>
      <c r="BU82" s="49">
        <v>32.797177208572926</v>
      </c>
      <c r="BV82" s="49">
        <v>9.2028227914270779</v>
      </c>
      <c r="BW82" s="46"/>
      <c r="BX82" s="53">
        <v>0.78088517163268867</v>
      </c>
      <c r="BY82" s="53">
        <v>0.21911482836731139</v>
      </c>
    </row>
    <row r="83" spans="1:77">
      <c r="A83" s="46" t="s">
        <v>473</v>
      </c>
      <c r="B83" s="46" t="s">
        <v>474</v>
      </c>
      <c r="C83" s="46"/>
      <c r="D83" s="46"/>
      <c r="E83" s="46" t="s">
        <v>495</v>
      </c>
      <c r="F83" s="46" t="s">
        <v>476</v>
      </c>
      <c r="G83" s="46" t="s">
        <v>477</v>
      </c>
      <c r="H83" s="46" t="s">
        <v>224</v>
      </c>
      <c r="I83" s="46" t="s">
        <v>496</v>
      </c>
      <c r="J83" s="46" t="s">
        <v>497</v>
      </c>
      <c r="K83" s="46" t="s">
        <v>498</v>
      </c>
      <c r="L83" s="46"/>
      <c r="M83" s="46" t="s">
        <v>499</v>
      </c>
      <c r="N83" s="46"/>
      <c r="O83" s="46" t="s">
        <v>500</v>
      </c>
      <c r="P83" s="46" t="s">
        <v>172</v>
      </c>
      <c r="Q83" s="46">
        <v>77389</v>
      </c>
      <c r="R83" s="46" t="s">
        <v>483</v>
      </c>
      <c r="S83" s="46" t="s">
        <v>501</v>
      </c>
      <c r="T83" s="46"/>
      <c r="U83" s="46">
        <v>15</v>
      </c>
      <c r="V83" s="46" t="s">
        <v>485</v>
      </c>
      <c r="W83" s="46"/>
      <c r="X83" s="46"/>
      <c r="Y83" s="46"/>
      <c r="Z83" s="54">
        <v>43616</v>
      </c>
      <c r="AA83" s="46">
        <v>50</v>
      </c>
      <c r="AB83" s="46">
        <v>250</v>
      </c>
      <c r="AC83" s="46"/>
      <c r="AD83" s="46"/>
      <c r="AE83" s="46"/>
      <c r="AF83" s="46"/>
      <c r="AG83" s="46"/>
      <c r="AH83" s="46"/>
      <c r="AI83" s="46"/>
      <c r="AJ83" s="46"/>
      <c r="AK83" s="46"/>
      <c r="AL83" s="46"/>
      <c r="AM83" s="46"/>
      <c r="AN83" s="46"/>
      <c r="AO83" s="46"/>
      <c r="AP83" s="46"/>
      <c r="AQ83" s="46"/>
      <c r="AR83" s="46"/>
      <c r="AS83" s="46"/>
      <c r="AT83" s="46"/>
      <c r="AU83" s="46"/>
      <c r="AV83" s="46"/>
      <c r="AW83" s="46"/>
      <c r="AX83" s="46" t="s">
        <v>97</v>
      </c>
      <c r="AY83" s="46"/>
      <c r="AZ83" s="46" t="s">
        <v>486</v>
      </c>
      <c r="BA83" s="46"/>
      <c r="BB83" s="46" t="s">
        <v>246</v>
      </c>
      <c r="BC83" s="46" t="s">
        <v>487</v>
      </c>
      <c r="BD83" s="46" t="s">
        <v>488</v>
      </c>
      <c r="BE83" s="55">
        <v>43631.112526469908</v>
      </c>
      <c r="BF83" s="46"/>
      <c r="BG83" s="46"/>
      <c r="BH83" s="46"/>
      <c r="BI83" s="46" t="s">
        <v>489</v>
      </c>
      <c r="BJ83" s="46">
        <v>4.0614201916580198E+18</v>
      </c>
      <c r="BK83" s="46" t="s">
        <v>490</v>
      </c>
      <c r="BL83" s="46" t="s">
        <v>502</v>
      </c>
      <c r="BM83" s="46">
        <v>2020</v>
      </c>
      <c r="BN83" s="46" t="s">
        <v>492</v>
      </c>
      <c r="BO83" s="46"/>
      <c r="BP83" s="46">
        <v>4.0614201916580803E+18</v>
      </c>
      <c r="BQ83" s="46" t="s">
        <v>503</v>
      </c>
      <c r="BR83" s="46" t="s">
        <v>494</v>
      </c>
      <c r="BS83" s="51">
        <v>50</v>
      </c>
      <c r="BT83" s="52" t="s">
        <v>16</v>
      </c>
      <c r="BU83" s="49">
        <v>39.044258581634431</v>
      </c>
      <c r="BV83" s="49">
        <v>10.955741418365569</v>
      </c>
      <c r="BW83" s="46"/>
      <c r="BX83" s="53">
        <v>0.78088517163268867</v>
      </c>
      <c r="BY83" s="53">
        <v>0.21911482836731139</v>
      </c>
    </row>
    <row r="84" spans="1:77">
      <c r="A84" s="46" t="s">
        <v>473</v>
      </c>
      <c r="B84" s="46" t="s">
        <v>474</v>
      </c>
      <c r="C84" s="46"/>
      <c r="D84" s="46"/>
      <c r="E84" s="46" t="s">
        <v>504</v>
      </c>
      <c r="F84" s="46" t="s">
        <v>476</v>
      </c>
      <c r="G84" s="46" t="s">
        <v>477</v>
      </c>
      <c r="H84" s="46" t="s">
        <v>224</v>
      </c>
      <c r="I84" s="46" t="s">
        <v>505</v>
      </c>
      <c r="J84" s="46" t="s">
        <v>506</v>
      </c>
      <c r="K84" s="46" t="s">
        <v>507</v>
      </c>
      <c r="L84" s="46"/>
      <c r="M84" s="46" t="s">
        <v>499</v>
      </c>
      <c r="N84" s="46"/>
      <c r="O84" s="46" t="s">
        <v>500</v>
      </c>
      <c r="P84" s="46" t="s">
        <v>172</v>
      </c>
      <c r="Q84" s="46">
        <v>77389</v>
      </c>
      <c r="R84" s="46" t="s">
        <v>483</v>
      </c>
      <c r="S84" s="46" t="s">
        <v>508</v>
      </c>
      <c r="T84" s="46"/>
      <c r="U84" s="46">
        <v>15</v>
      </c>
      <c r="V84" s="46" t="s">
        <v>485</v>
      </c>
      <c r="W84" s="46"/>
      <c r="X84" s="46"/>
      <c r="Y84" s="46"/>
      <c r="Z84" s="54">
        <v>43646</v>
      </c>
      <c r="AA84" s="46">
        <v>40</v>
      </c>
      <c r="AB84" s="46">
        <v>205</v>
      </c>
      <c r="AC84" s="46"/>
      <c r="AD84" s="46"/>
      <c r="AE84" s="46"/>
      <c r="AF84" s="46"/>
      <c r="AG84" s="46"/>
      <c r="AH84" s="46"/>
      <c r="AI84" s="46"/>
      <c r="AJ84" s="46"/>
      <c r="AK84" s="46"/>
      <c r="AL84" s="46"/>
      <c r="AM84" s="46"/>
      <c r="AN84" s="46"/>
      <c r="AO84" s="46"/>
      <c r="AP84" s="46"/>
      <c r="AQ84" s="46"/>
      <c r="AR84" s="46"/>
      <c r="AS84" s="46"/>
      <c r="AT84" s="46"/>
      <c r="AU84" s="46"/>
      <c r="AV84" s="46"/>
      <c r="AW84" s="46"/>
      <c r="AX84" s="46" t="s">
        <v>97</v>
      </c>
      <c r="AY84" s="46"/>
      <c r="AZ84" s="46" t="s">
        <v>486</v>
      </c>
      <c r="BA84" s="46"/>
      <c r="BB84" s="46" t="s">
        <v>246</v>
      </c>
      <c r="BC84" s="46" t="s">
        <v>487</v>
      </c>
      <c r="BD84" s="46" t="s">
        <v>488</v>
      </c>
      <c r="BE84" s="55">
        <v>43657.143775254626</v>
      </c>
      <c r="BF84" s="46"/>
      <c r="BG84" s="46"/>
      <c r="BH84" s="46"/>
      <c r="BI84" s="46" t="s">
        <v>489</v>
      </c>
      <c r="BJ84" s="46">
        <v>4.0710201916590899E+18</v>
      </c>
      <c r="BK84" s="46" t="s">
        <v>490</v>
      </c>
      <c r="BL84" s="46" t="s">
        <v>509</v>
      </c>
      <c r="BM84" s="46">
        <v>2020</v>
      </c>
      <c r="BN84" s="46" t="s">
        <v>492</v>
      </c>
      <c r="BO84" s="46"/>
      <c r="BP84" s="46">
        <v>4.0710201916592599E+18</v>
      </c>
      <c r="BQ84" s="46" t="s">
        <v>510</v>
      </c>
      <c r="BR84" s="46" t="s">
        <v>494</v>
      </c>
      <c r="BS84" s="51">
        <v>40</v>
      </c>
      <c r="BT84" s="52" t="s">
        <v>16</v>
      </c>
      <c r="BU84" s="49">
        <v>31.235406865307546</v>
      </c>
      <c r="BV84" s="49">
        <v>8.7645931346924559</v>
      </c>
      <c r="BW84" s="46"/>
      <c r="BX84" s="53">
        <v>0.78088517163268867</v>
      </c>
      <c r="BY84" s="53">
        <v>0.21911482836731139</v>
      </c>
    </row>
    <row r="85" spans="1:77">
      <c r="A85" s="46" t="s">
        <v>473</v>
      </c>
      <c r="B85" s="46" t="s">
        <v>474</v>
      </c>
      <c r="C85" s="46"/>
      <c r="D85" s="46"/>
      <c r="E85" s="46" t="s">
        <v>511</v>
      </c>
      <c r="F85" s="46" t="s">
        <v>476</v>
      </c>
      <c r="G85" s="46" t="s">
        <v>477</v>
      </c>
      <c r="H85" s="46" t="s">
        <v>224</v>
      </c>
      <c r="I85" s="46" t="s">
        <v>512</v>
      </c>
      <c r="J85" s="46" t="s">
        <v>226</v>
      </c>
      <c r="K85" s="46" t="s">
        <v>513</v>
      </c>
      <c r="L85" s="46"/>
      <c r="M85" s="46" t="s">
        <v>514</v>
      </c>
      <c r="N85" s="46"/>
      <c r="O85" s="46" t="s">
        <v>515</v>
      </c>
      <c r="P85" s="46" t="s">
        <v>172</v>
      </c>
      <c r="Q85" s="46">
        <v>77380</v>
      </c>
      <c r="R85" s="46" t="s">
        <v>483</v>
      </c>
      <c r="S85" s="46" t="s">
        <v>516</v>
      </c>
      <c r="T85" s="46"/>
      <c r="U85" s="46">
        <v>15</v>
      </c>
      <c r="V85" s="46" t="s">
        <v>485</v>
      </c>
      <c r="W85" s="46"/>
      <c r="X85" s="46"/>
      <c r="Y85" s="46"/>
      <c r="Z85" s="54">
        <v>43616</v>
      </c>
      <c r="AA85" s="46">
        <v>50</v>
      </c>
      <c r="AB85" s="46">
        <v>250</v>
      </c>
      <c r="AC85" s="46"/>
      <c r="AD85" s="46"/>
      <c r="AE85" s="46"/>
      <c r="AF85" s="46"/>
      <c r="AG85" s="46"/>
      <c r="AH85" s="46"/>
      <c r="AI85" s="46"/>
      <c r="AJ85" s="46"/>
      <c r="AK85" s="46"/>
      <c r="AL85" s="46"/>
      <c r="AM85" s="46"/>
      <c r="AN85" s="46"/>
      <c r="AO85" s="46"/>
      <c r="AP85" s="46"/>
      <c r="AQ85" s="46"/>
      <c r="AR85" s="46"/>
      <c r="AS85" s="46"/>
      <c r="AT85" s="46"/>
      <c r="AU85" s="46"/>
      <c r="AV85" s="46"/>
      <c r="AW85" s="46"/>
      <c r="AX85" s="46" t="s">
        <v>97</v>
      </c>
      <c r="AY85" s="46"/>
      <c r="AZ85" s="46" t="s">
        <v>486</v>
      </c>
      <c r="BA85" s="46"/>
      <c r="BB85" s="46" t="s">
        <v>246</v>
      </c>
      <c r="BC85" s="46" t="s">
        <v>487</v>
      </c>
      <c r="BD85" s="46" t="s">
        <v>488</v>
      </c>
      <c r="BE85" s="55">
        <v>43631.112526064811</v>
      </c>
      <c r="BF85" s="46"/>
      <c r="BG85" s="46"/>
      <c r="BH85" s="46"/>
      <c r="BI85" s="46" t="s">
        <v>489</v>
      </c>
      <c r="BJ85" s="46">
        <v>4.0614201916580198E+18</v>
      </c>
      <c r="BK85" s="46" t="s">
        <v>490</v>
      </c>
      <c r="BL85" s="46" t="s">
        <v>502</v>
      </c>
      <c r="BM85" s="46">
        <v>2020</v>
      </c>
      <c r="BN85" s="46" t="s">
        <v>492</v>
      </c>
      <c r="BO85" s="46"/>
      <c r="BP85" s="46">
        <v>4.0614201916580803E+18</v>
      </c>
      <c r="BQ85" s="46" t="s">
        <v>517</v>
      </c>
      <c r="BR85" s="46" t="s">
        <v>494</v>
      </c>
      <c r="BS85" s="51">
        <v>50</v>
      </c>
      <c r="BT85" s="52" t="s">
        <v>16</v>
      </c>
      <c r="BU85" s="49">
        <v>39.044258581634431</v>
      </c>
      <c r="BV85" s="49">
        <v>10.955741418365569</v>
      </c>
      <c r="BW85" s="46"/>
      <c r="BX85" s="53">
        <v>0.78088517163268867</v>
      </c>
      <c r="BY85" s="53">
        <v>0.21911482836731139</v>
      </c>
    </row>
    <row r="86" spans="1:77">
      <c r="A86" s="46" t="s">
        <v>473</v>
      </c>
      <c r="B86" s="46" t="s">
        <v>474</v>
      </c>
      <c r="C86" s="46"/>
      <c r="D86" s="46"/>
      <c r="E86" s="46" t="s">
        <v>518</v>
      </c>
      <c r="F86" s="46" t="s">
        <v>476</v>
      </c>
      <c r="G86" s="46" t="s">
        <v>477</v>
      </c>
      <c r="H86" s="46" t="s">
        <v>224</v>
      </c>
      <c r="I86" s="46" t="s">
        <v>519</v>
      </c>
      <c r="J86" s="46" t="s">
        <v>520</v>
      </c>
      <c r="K86" s="46" t="s">
        <v>521</v>
      </c>
      <c r="L86" s="46"/>
      <c r="M86" s="46" t="s">
        <v>499</v>
      </c>
      <c r="N86" s="46"/>
      <c r="O86" s="46" t="s">
        <v>500</v>
      </c>
      <c r="P86" s="46" t="s">
        <v>172</v>
      </c>
      <c r="Q86" s="46">
        <v>77389</v>
      </c>
      <c r="R86" s="46" t="s">
        <v>483</v>
      </c>
      <c r="S86" s="46" t="s">
        <v>522</v>
      </c>
      <c r="T86" s="46"/>
      <c r="U86" s="46">
        <v>15</v>
      </c>
      <c r="V86" s="46" t="s">
        <v>485</v>
      </c>
      <c r="W86" s="46"/>
      <c r="X86" s="46"/>
      <c r="Y86" s="46"/>
      <c r="Z86" s="54">
        <v>43646</v>
      </c>
      <c r="AA86" s="46">
        <v>50</v>
      </c>
      <c r="AB86" s="46">
        <v>300</v>
      </c>
      <c r="AC86" s="46"/>
      <c r="AD86" s="46"/>
      <c r="AE86" s="46"/>
      <c r="AF86" s="46"/>
      <c r="AG86" s="46"/>
      <c r="AH86" s="46"/>
      <c r="AI86" s="46"/>
      <c r="AJ86" s="46"/>
      <c r="AK86" s="46"/>
      <c r="AL86" s="46"/>
      <c r="AM86" s="46"/>
      <c r="AN86" s="46"/>
      <c r="AO86" s="46"/>
      <c r="AP86" s="46"/>
      <c r="AQ86" s="46"/>
      <c r="AR86" s="46"/>
      <c r="AS86" s="46"/>
      <c r="AT86" s="46"/>
      <c r="AU86" s="46"/>
      <c r="AV86" s="46"/>
      <c r="AW86" s="46"/>
      <c r="AX86" s="46" t="s">
        <v>97</v>
      </c>
      <c r="AY86" s="46"/>
      <c r="AZ86" s="46" t="s">
        <v>486</v>
      </c>
      <c r="BA86" s="46"/>
      <c r="BB86" s="46" t="s">
        <v>246</v>
      </c>
      <c r="BC86" s="46" t="s">
        <v>487</v>
      </c>
      <c r="BD86" s="46" t="s">
        <v>488</v>
      </c>
      <c r="BE86" s="55">
        <v>43657.143775231481</v>
      </c>
      <c r="BF86" s="46"/>
      <c r="BG86" s="46"/>
      <c r="BH86" s="46"/>
      <c r="BI86" s="46" t="s">
        <v>489</v>
      </c>
      <c r="BJ86" s="46">
        <v>4.0710201916590899E+18</v>
      </c>
      <c r="BK86" s="46" t="s">
        <v>490</v>
      </c>
      <c r="BL86" s="46" t="s">
        <v>523</v>
      </c>
      <c r="BM86" s="46">
        <v>2020</v>
      </c>
      <c r="BN86" s="46" t="s">
        <v>492</v>
      </c>
      <c r="BO86" s="46"/>
      <c r="BP86" s="46">
        <v>4.0710201916592599E+18</v>
      </c>
      <c r="BQ86" s="46" t="s">
        <v>524</v>
      </c>
      <c r="BR86" s="46" t="s">
        <v>494</v>
      </c>
      <c r="BS86" s="51">
        <v>50</v>
      </c>
      <c r="BT86" s="52" t="s">
        <v>16</v>
      </c>
      <c r="BU86" s="49">
        <v>39.044258581634431</v>
      </c>
      <c r="BV86" s="49">
        <v>10.955741418365569</v>
      </c>
      <c r="BW86" s="46"/>
      <c r="BX86" s="53">
        <v>0.78088517163268867</v>
      </c>
      <c r="BY86" s="53">
        <v>0.21911482836731139</v>
      </c>
    </row>
    <row r="87" spans="1:77">
      <c r="A87" s="46" t="s">
        <v>473</v>
      </c>
      <c r="B87" s="46" t="s">
        <v>474</v>
      </c>
      <c r="C87" s="46"/>
      <c r="D87" s="46"/>
      <c r="E87" s="46" t="s">
        <v>525</v>
      </c>
      <c r="F87" s="46" t="s">
        <v>526</v>
      </c>
      <c r="G87" s="46"/>
      <c r="H87" s="46" t="s">
        <v>527</v>
      </c>
      <c r="I87" s="46" t="s">
        <v>528</v>
      </c>
      <c r="J87" s="46"/>
      <c r="K87" s="46" t="s">
        <v>529</v>
      </c>
      <c r="L87" s="46"/>
      <c r="M87" s="46" t="s">
        <v>530</v>
      </c>
      <c r="N87" s="46"/>
      <c r="O87" s="46" t="s">
        <v>531</v>
      </c>
      <c r="P87" s="46" t="s">
        <v>172</v>
      </c>
      <c r="Q87" s="46">
        <v>77007</v>
      </c>
      <c r="R87" s="46" t="s">
        <v>532</v>
      </c>
      <c r="S87" s="46" t="s">
        <v>533</v>
      </c>
      <c r="T87" s="46"/>
      <c r="U87" s="46"/>
      <c r="V87" s="46"/>
      <c r="W87" s="46" t="s">
        <v>534</v>
      </c>
      <c r="X87" s="46"/>
      <c r="Y87" s="46"/>
      <c r="Z87" s="54">
        <v>43990</v>
      </c>
      <c r="AA87" s="46">
        <v>12.5</v>
      </c>
      <c r="AB87" s="46">
        <v>12.5</v>
      </c>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t="s">
        <v>246</v>
      </c>
      <c r="BC87" s="46" t="s">
        <v>487</v>
      </c>
      <c r="BD87" s="46" t="s">
        <v>488</v>
      </c>
      <c r="BE87" s="55">
        <v>44054.344273819443</v>
      </c>
      <c r="BF87" s="46"/>
      <c r="BG87" s="46"/>
      <c r="BH87" s="46"/>
      <c r="BI87" s="46" t="s">
        <v>489</v>
      </c>
      <c r="BJ87" s="46">
        <v>4.0721202017922499E+18</v>
      </c>
      <c r="BK87" s="46" t="s">
        <v>490</v>
      </c>
      <c r="BL87" s="46" t="s">
        <v>535</v>
      </c>
      <c r="BM87" s="46">
        <v>2020</v>
      </c>
      <c r="BN87" s="46" t="s">
        <v>492</v>
      </c>
      <c r="BO87" s="46"/>
      <c r="BP87" s="46">
        <v>4.0810202018201902E+18</v>
      </c>
      <c r="BQ87" s="46" t="s">
        <v>536</v>
      </c>
      <c r="BR87" s="46" t="s">
        <v>494</v>
      </c>
      <c r="BS87" s="51">
        <v>12.5</v>
      </c>
      <c r="BT87" s="46" t="s">
        <v>15</v>
      </c>
      <c r="BU87" s="49"/>
      <c r="BV87" s="49">
        <v>12.5</v>
      </c>
      <c r="BW87" s="46"/>
      <c r="BX87" s="53"/>
      <c r="BY87" s="53">
        <v>1</v>
      </c>
    </row>
    <row r="88" spans="1:77">
      <c r="A88" s="46" t="s">
        <v>473</v>
      </c>
      <c r="B88" s="46" t="s">
        <v>474</v>
      </c>
      <c r="C88" s="46"/>
      <c r="D88" s="46"/>
      <c r="E88" s="46" t="s">
        <v>537</v>
      </c>
      <c r="F88" s="46" t="s">
        <v>526</v>
      </c>
      <c r="G88" s="46"/>
      <c r="H88" s="46" t="s">
        <v>527</v>
      </c>
      <c r="I88" s="46" t="s">
        <v>538</v>
      </c>
      <c r="J88" s="46"/>
      <c r="K88" s="46" t="s">
        <v>539</v>
      </c>
      <c r="L88" s="46"/>
      <c r="M88" s="46" t="s">
        <v>540</v>
      </c>
      <c r="N88" s="46"/>
      <c r="O88" s="46" t="s">
        <v>531</v>
      </c>
      <c r="P88" s="46" t="s">
        <v>172</v>
      </c>
      <c r="Q88" s="46">
        <v>77008</v>
      </c>
      <c r="R88" s="46" t="s">
        <v>532</v>
      </c>
      <c r="S88" s="46" t="s">
        <v>541</v>
      </c>
      <c r="T88" s="46"/>
      <c r="U88" s="46"/>
      <c r="V88" s="46"/>
      <c r="W88" s="46" t="s">
        <v>542</v>
      </c>
      <c r="X88" s="46"/>
      <c r="Y88" s="46"/>
      <c r="Z88" s="54">
        <v>44055</v>
      </c>
      <c r="AA88" s="46">
        <v>10</v>
      </c>
      <c r="AB88" s="46">
        <v>10</v>
      </c>
      <c r="AC88" s="46"/>
      <c r="AD88" s="46"/>
      <c r="AE88" s="46"/>
      <c r="AF88" s="46"/>
      <c r="AG88" s="46"/>
      <c r="AH88" s="46"/>
      <c r="AI88" s="46"/>
      <c r="AJ88" s="46"/>
      <c r="AK88" s="46"/>
      <c r="AL88" s="46"/>
      <c r="AM88" s="46"/>
      <c r="AN88" s="46"/>
      <c r="AO88" s="46"/>
      <c r="AP88" s="46"/>
      <c r="AQ88" s="46"/>
      <c r="AR88" s="46"/>
      <c r="AS88" s="46"/>
      <c r="AT88" s="46"/>
      <c r="AU88" s="46"/>
      <c r="AV88" s="46"/>
      <c r="AW88" s="46" t="s">
        <v>543</v>
      </c>
      <c r="AX88" s="46"/>
      <c r="AY88" s="46"/>
      <c r="AZ88" s="46"/>
      <c r="BA88" s="46"/>
      <c r="BB88" s="46" t="s">
        <v>246</v>
      </c>
      <c r="BC88" s="46" t="s">
        <v>487</v>
      </c>
      <c r="BD88" s="46" t="s">
        <v>488</v>
      </c>
      <c r="BE88" s="55">
        <v>44209.450804930559</v>
      </c>
      <c r="BF88" s="46"/>
      <c r="BG88" s="46"/>
      <c r="BH88" s="46"/>
      <c r="BI88" s="46" t="s">
        <v>489</v>
      </c>
      <c r="BJ88" s="46">
        <v>4.1215202019740099E+18</v>
      </c>
      <c r="BK88" s="46" t="s">
        <v>490</v>
      </c>
      <c r="BL88" s="46" t="s">
        <v>544</v>
      </c>
      <c r="BM88" s="46">
        <v>2020</v>
      </c>
      <c r="BN88" s="46" t="s">
        <v>492</v>
      </c>
      <c r="BO88" s="46"/>
      <c r="BP88" s="46">
        <v>4.01122021207202E+18</v>
      </c>
      <c r="BQ88" s="46" t="s">
        <v>545</v>
      </c>
      <c r="BR88" s="46" t="s">
        <v>494</v>
      </c>
      <c r="BS88" s="51">
        <v>10</v>
      </c>
      <c r="BT88" s="46" t="s">
        <v>15</v>
      </c>
      <c r="BU88" s="49"/>
      <c r="BV88" s="49">
        <v>10</v>
      </c>
      <c r="BW88" s="46"/>
      <c r="BX88" s="53"/>
      <c r="BY88" s="53">
        <v>1</v>
      </c>
    </row>
    <row r="89" spans="1:77">
      <c r="A89" s="46" t="s">
        <v>473</v>
      </c>
      <c r="B89" s="46" t="s">
        <v>474</v>
      </c>
      <c r="C89" s="46"/>
      <c r="D89" s="46"/>
      <c r="E89" s="46" t="s">
        <v>546</v>
      </c>
      <c r="F89" s="46" t="s">
        <v>526</v>
      </c>
      <c r="G89" s="46"/>
      <c r="H89" s="46" t="s">
        <v>527</v>
      </c>
      <c r="I89" s="46" t="s">
        <v>547</v>
      </c>
      <c r="J89" s="46"/>
      <c r="K89" s="46" t="s">
        <v>548</v>
      </c>
      <c r="L89" s="46"/>
      <c r="M89" s="46" t="s">
        <v>549</v>
      </c>
      <c r="N89" s="46"/>
      <c r="O89" s="46" t="s">
        <v>550</v>
      </c>
      <c r="P89" s="46" t="s">
        <v>172</v>
      </c>
      <c r="Q89" s="46">
        <v>77384</v>
      </c>
      <c r="R89" s="46" t="s">
        <v>532</v>
      </c>
      <c r="S89" s="46" t="s">
        <v>551</v>
      </c>
      <c r="T89" s="46"/>
      <c r="U89" s="46"/>
      <c r="V89" s="46"/>
      <c r="W89" s="46" t="s">
        <v>534</v>
      </c>
      <c r="X89" s="46"/>
      <c r="Y89" s="46"/>
      <c r="Z89" s="54">
        <v>44061</v>
      </c>
      <c r="AA89" s="46">
        <v>25</v>
      </c>
      <c r="AB89" s="46">
        <v>25</v>
      </c>
      <c r="AC89" s="46"/>
      <c r="AD89" s="46"/>
      <c r="AE89" s="46"/>
      <c r="AF89" s="46"/>
      <c r="AG89" s="46"/>
      <c r="AH89" s="46"/>
      <c r="AI89" s="46"/>
      <c r="AJ89" s="46"/>
      <c r="AK89" s="46"/>
      <c r="AL89" s="46"/>
      <c r="AM89" s="46"/>
      <c r="AN89" s="46"/>
      <c r="AO89" s="46"/>
      <c r="AP89" s="46"/>
      <c r="AQ89" s="46"/>
      <c r="AR89" s="46"/>
      <c r="AS89" s="46"/>
      <c r="AT89" s="46"/>
      <c r="AU89" s="46"/>
      <c r="AV89" s="46"/>
      <c r="AW89" s="46" t="s">
        <v>543</v>
      </c>
      <c r="AX89" s="46"/>
      <c r="AY89" s="46"/>
      <c r="AZ89" s="46"/>
      <c r="BA89" s="46"/>
      <c r="BB89" s="46" t="s">
        <v>246</v>
      </c>
      <c r="BC89" s="46" t="s">
        <v>487</v>
      </c>
      <c r="BD89" s="46" t="s">
        <v>488</v>
      </c>
      <c r="BE89" s="55">
        <v>44209.410361122682</v>
      </c>
      <c r="BF89" s="46"/>
      <c r="BG89" s="46"/>
      <c r="BH89" s="46"/>
      <c r="BI89" s="46" t="s">
        <v>489</v>
      </c>
      <c r="BJ89" s="46">
        <v>4.1215202019740099E+18</v>
      </c>
      <c r="BK89" s="46" t="s">
        <v>490</v>
      </c>
      <c r="BL89" s="46" t="s">
        <v>552</v>
      </c>
      <c r="BM89" s="46">
        <v>2020</v>
      </c>
      <c r="BN89" s="46" t="s">
        <v>492</v>
      </c>
      <c r="BO89" s="46"/>
      <c r="BP89" s="46">
        <v>4.01122021207437E+18</v>
      </c>
      <c r="BQ89" s="46" t="s">
        <v>553</v>
      </c>
      <c r="BR89" s="46" t="s">
        <v>494</v>
      </c>
      <c r="BS89" s="51">
        <v>25</v>
      </c>
      <c r="BT89" s="46" t="s">
        <v>15</v>
      </c>
      <c r="BU89" s="49"/>
      <c r="BV89" s="49">
        <v>25</v>
      </c>
      <c r="BW89" s="46"/>
      <c r="BX89" s="53"/>
      <c r="BY89" s="53">
        <v>1</v>
      </c>
    </row>
    <row r="90" spans="1:77">
      <c r="A90" s="46" t="s">
        <v>473</v>
      </c>
      <c r="B90" s="46" t="s">
        <v>474</v>
      </c>
      <c r="C90" s="46"/>
      <c r="D90" s="46"/>
      <c r="E90" s="46" t="s">
        <v>554</v>
      </c>
      <c r="F90" s="46" t="s">
        <v>526</v>
      </c>
      <c r="G90" s="46"/>
      <c r="H90" s="46" t="s">
        <v>527</v>
      </c>
      <c r="I90" s="46" t="s">
        <v>555</v>
      </c>
      <c r="J90" s="46"/>
      <c r="K90" s="46" t="s">
        <v>556</v>
      </c>
      <c r="L90" s="46"/>
      <c r="M90" s="46" t="s">
        <v>557</v>
      </c>
      <c r="N90" s="46"/>
      <c r="O90" s="46" t="s">
        <v>558</v>
      </c>
      <c r="P90" s="46" t="s">
        <v>380</v>
      </c>
      <c r="Q90" s="46">
        <v>20176</v>
      </c>
      <c r="R90" s="46" t="s">
        <v>532</v>
      </c>
      <c r="S90" s="46" t="s">
        <v>559</v>
      </c>
      <c r="T90" s="46"/>
      <c r="U90" s="46"/>
      <c r="V90" s="46"/>
      <c r="W90" s="46" t="s">
        <v>534</v>
      </c>
      <c r="X90" s="46"/>
      <c r="Y90" s="46"/>
      <c r="Z90" s="54">
        <v>43803</v>
      </c>
      <c r="AA90" s="46">
        <v>20</v>
      </c>
      <c r="AB90" s="46">
        <v>100</v>
      </c>
      <c r="AC90" s="46"/>
      <c r="AD90" s="46"/>
      <c r="AE90" s="46"/>
      <c r="AF90" s="46"/>
      <c r="AG90" s="46"/>
      <c r="AH90" s="46"/>
      <c r="AI90" s="46"/>
      <c r="AJ90" s="46"/>
      <c r="AK90" s="46"/>
      <c r="AL90" s="46"/>
      <c r="AM90" s="46"/>
      <c r="AN90" s="46"/>
      <c r="AO90" s="46"/>
      <c r="AP90" s="46"/>
      <c r="AQ90" s="46"/>
      <c r="AR90" s="46"/>
      <c r="AS90" s="46"/>
      <c r="AT90" s="46"/>
      <c r="AU90" s="46"/>
      <c r="AV90" s="46"/>
      <c r="AW90" s="46" t="s">
        <v>543</v>
      </c>
      <c r="AX90" s="46"/>
      <c r="AY90" s="46"/>
      <c r="AZ90" s="46"/>
      <c r="BA90" s="46"/>
      <c r="BB90" s="46" t="s">
        <v>246</v>
      </c>
      <c r="BC90" s="46" t="s">
        <v>487</v>
      </c>
      <c r="BD90" s="46" t="s">
        <v>488</v>
      </c>
      <c r="BE90" s="55">
        <v>43894.448898819443</v>
      </c>
      <c r="BF90" s="46"/>
      <c r="BG90" s="46"/>
      <c r="BH90" s="46"/>
      <c r="BI90" s="46" t="s">
        <v>489</v>
      </c>
      <c r="BJ90" s="46">
        <v>4.02012020168638E+18</v>
      </c>
      <c r="BK90" s="46" t="s">
        <v>490</v>
      </c>
      <c r="BL90" s="46" t="s">
        <v>560</v>
      </c>
      <c r="BM90" s="46">
        <v>2020</v>
      </c>
      <c r="BN90" s="46" t="s">
        <v>492</v>
      </c>
      <c r="BO90" s="46"/>
      <c r="BP90" s="46">
        <v>4.0302202012201902E+18</v>
      </c>
      <c r="BQ90" s="46" t="s">
        <v>561</v>
      </c>
      <c r="BR90" s="46" t="s">
        <v>494</v>
      </c>
      <c r="BS90" s="51">
        <v>20</v>
      </c>
      <c r="BT90" s="46" t="s">
        <v>15</v>
      </c>
      <c r="BU90" s="49"/>
      <c r="BV90" s="49">
        <v>20</v>
      </c>
      <c r="BW90" s="46"/>
      <c r="BX90" s="53"/>
      <c r="BY90" s="53">
        <v>1</v>
      </c>
    </row>
    <row r="91" spans="1:77">
      <c r="A91" s="46" t="s">
        <v>473</v>
      </c>
      <c r="B91" s="46" t="s">
        <v>474</v>
      </c>
      <c r="C91" s="46"/>
      <c r="D91" s="46"/>
      <c r="E91" s="46" t="s">
        <v>562</v>
      </c>
      <c r="F91" s="46" t="s">
        <v>526</v>
      </c>
      <c r="G91" s="46"/>
      <c r="H91" s="46" t="s">
        <v>527</v>
      </c>
      <c r="I91" s="46" t="s">
        <v>563</v>
      </c>
      <c r="J91" s="46"/>
      <c r="K91" s="46" t="s">
        <v>564</v>
      </c>
      <c r="L91" s="46"/>
      <c r="M91" s="46" t="s">
        <v>565</v>
      </c>
      <c r="N91" s="46"/>
      <c r="O91" s="46" t="s">
        <v>515</v>
      </c>
      <c r="P91" s="46" t="s">
        <v>172</v>
      </c>
      <c r="Q91" s="46">
        <v>77393</v>
      </c>
      <c r="R91" s="46" t="s">
        <v>483</v>
      </c>
      <c r="S91" s="46" t="s">
        <v>566</v>
      </c>
      <c r="T91" s="46"/>
      <c r="U91" s="46"/>
      <c r="V91" s="46"/>
      <c r="W91" s="46" t="s">
        <v>534</v>
      </c>
      <c r="X91" s="46"/>
      <c r="Y91" s="46"/>
      <c r="Z91" s="54">
        <v>44146</v>
      </c>
      <c r="AA91" s="46">
        <v>8.34</v>
      </c>
      <c r="AB91" s="46">
        <v>16.670000000000002</v>
      </c>
      <c r="AC91" s="46"/>
      <c r="AD91" s="46"/>
      <c r="AE91" s="46"/>
      <c r="AF91" s="46"/>
      <c r="AG91" s="46"/>
      <c r="AH91" s="46"/>
      <c r="AI91" s="46"/>
      <c r="AJ91" s="46"/>
      <c r="AK91" s="46"/>
      <c r="AL91" s="46"/>
      <c r="AM91" s="46"/>
      <c r="AN91" s="46"/>
      <c r="AO91" s="46"/>
      <c r="AP91" s="46"/>
      <c r="AQ91" s="46"/>
      <c r="AR91" s="46"/>
      <c r="AS91" s="46"/>
      <c r="AT91" s="46"/>
      <c r="AU91" s="46"/>
      <c r="AV91" s="46"/>
      <c r="AW91" s="46" t="s">
        <v>543</v>
      </c>
      <c r="AX91" s="46"/>
      <c r="AY91" s="46"/>
      <c r="AZ91" s="46"/>
      <c r="BA91" s="46"/>
      <c r="BB91" s="46" t="s">
        <v>246</v>
      </c>
      <c r="BC91" s="46" t="s">
        <v>487</v>
      </c>
      <c r="BD91" s="46" t="s">
        <v>488</v>
      </c>
      <c r="BE91" s="55">
        <v>44201.56457667824</v>
      </c>
      <c r="BF91" s="46"/>
      <c r="BG91" s="46"/>
      <c r="BH91" s="46"/>
      <c r="BI91" s="46" t="s">
        <v>489</v>
      </c>
      <c r="BJ91" s="46">
        <v>4.1205202019644498E+18</v>
      </c>
      <c r="BK91" s="46" t="s">
        <v>490</v>
      </c>
      <c r="BL91" s="46" t="s">
        <v>567</v>
      </c>
      <c r="BM91" s="46">
        <v>2020</v>
      </c>
      <c r="BN91" s="46" t="s">
        <v>492</v>
      </c>
      <c r="BO91" s="46"/>
      <c r="BP91" s="46">
        <v>4.01042021200911E+18</v>
      </c>
      <c r="BQ91" s="46" t="s">
        <v>568</v>
      </c>
      <c r="BR91" s="46" t="s">
        <v>494</v>
      </c>
      <c r="BS91" s="51">
        <v>8.34</v>
      </c>
      <c r="BT91" s="46" t="s">
        <v>15</v>
      </c>
      <c r="BU91" s="49"/>
      <c r="BV91" s="49">
        <v>8.34</v>
      </c>
      <c r="BW91" s="46"/>
      <c r="BX91" s="53"/>
      <c r="BY91" s="53">
        <v>1</v>
      </c>
    </row>
    <row r="92" spans="1:77">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1"/>
      <c r="BT92" s="56"/>
      <c r="BU92" s="57"/>
      <c r="BV92" s="57"/>
      <c r="BW92" s="56"/>
      <c r="BX92" s="58"/>
      <c r="BY92" s="58"/>
    </row>
    <row r="93" spans="1:77">
      <c r="A93" s="46" t="s">
        <v>473</v>
      </c>
      <c r="B93" s="46" t="s">
        <v>474</v>
      </c>
      <c r="C93" s="46"/>
      <c r="D93" s="46"/>
      <c r="E93" s="46" t="s">
        <v>569</v>
      </c>
      <c r="F93" s="46" t="s">
        <v>476</v>
      </c>
      <c r="G93" s="46" t="s">
        <v>477</v>
      </c>
      <c r="H93" s="46" t="s">
        <v>224</v>
      </c>
      <c r="I93" s="46" t="s">
        <v>570</v>
      </c>
      <c r="J93" s="46" t="s">
        <v>571</v>
      </c>
      <c r="K93" s="46" t="s">
        <v>572</v>
      </c>
      <c r="L93" s="46"/>
      <c r="M93" s="46" t="s">
        <v>499</v>
      </c>
      <c r="N93" s="46"/>
      <c r="O93" s="46" t="s">
        <v>500</v>
      </c>
      <c r="P93" s="46" t="s">
        <v>172</v>
      </c>
      <c r="Q93" s="46">
        <v>77389</v>
      </c>
      <c r="R93" s="46" t="s">
        <v>483</v>
      </c>
      <c r="S93" s="46" t="s">
        <v>573</v>
      </c>
      <c r="T93" s="46"/>
      <c r="U93" s="46">
        <v>15</v>
      </c>
      <c r="V93" s="46" t="s">
        <v>485</v>
      </c>
      <c r="W93" s="46"/>
      <c r="X93" s="46"/>
      <c r="Y93" s="46"/>
      <c r="Z93" s="54">
        <v>43616</v>
      </c>
      <c r="AA93" s="46">
        <v>90</v>
      </c>
      <c r="AB93" s="46">
        <v>450</v>
      </c>
      <c r="AC93" s="46"/>
      <c r="AD93" s="46"/>
      <c r="AE93" s="46"/>
      <c r="AF93" s="46"/>
      <c r="AG93" s="46"/>
      <c r="AH93" s="46"/>
      <c r="AI93" s="46"/>
      <c r="AJ93" s="46"/>
      <c r="AK93" s="46"/>
      <c r="AL93" s="46"/>
      <c r="AM93" s="46"/>
      <c r="AN93" s="46"/>
      <c r="AO93" s="46"/>
      <c r="AP93" s="46"/>
      <c r="AQ93" s="46"/>
      <c r="AR93" s="46"/>
      <c r="AS93" s="46"/>
      <c r="AT93" s="46"/>
      <c r="AU93" s="46"/>
      <c r="AV93" s="46"/>
      <c r="AW93" s="46"/>
      <c r="AX93" s="46" t="s">
        <v>97</v>
      </c>
      <c r="AY93" s="46"/>
      <c r="AZ93" s="46" t="s">
        <v>486</v>
      </c>
      <c r="BA93" s="46"/>
      <c r="BB93" s="46" t="s">
        <v>246</v>
      </c>
      <c r="BC93" s="46" t="s">
        <v>487</v>
      </c>
      <c r="BD93" s="46" t="s">
        <v>488</v>
      </c>
      <c r="BE93" s="55">
        <v>43631.112526655095</v>
      </c>
      <c r="BF93" s="46"/>
      <c r="BG93" s="46"/>
      <c r="BH93" s="46"/>
      <c r="BI93" s="46" t="s">
        <v>489</v>
      </c>
      <c r="BJ93" s="46">
        <v>4.0614201916580198E+18</v>
      </c>
      <c r="BK93" s="46" t="s">
        <v>490</v>
      </c>
      <c r="BL93" s="46" t="s">
        <v>574</v>
      </c>
      <c r="BM93" s="46">
        <v>2020</v>
      </c>
      <c r="BN93" s="46" t="s">
        <v>492</v>
      </c>
      <c r="BO93" s="46"/>
      <c r="BP93" s="46">
        <v>4.0614201916580803E+18</v>
      </c>
      <c r="BQ93" s="46" t="s">
        <v>575</v>
      </c>
      <c r="BR93" s="46" t="s">
        <v>494</v>
      </c>
      <c r="BS93" s="51">
        <v>90</v>
      </c>
      <c r="BT93" s="52" t="s">
        <v>16</v>
      </c>
      <c r="BU93" s="49">
        <v>70.279665446941976</v>
      </c>
      <c r="BV93" s="49">
        <v>19.720334553058024</v>
      </c>
      <c r="BW93" s="46"/>
      <c r="BX93" s="53">
        <v>0.78088517163268867</v>
      </c>
      <c r="BY93" s="53">
        <v>0.21911482836731139</v>
      </c>
    </row>
    <row r="94" spans="1:77">
      <c r="A94" s="46" t="s">
        <v>473</v>
      </c>
      <c r="B94" s="46" t="s">
        <v>474</v>
      </c>
      <c r="C94" s="46"/>
      <c r="D94" s="46"/>
      <c r="E94" s="46" t="s">
        <v>576</v>
      </c>
      <c r="F94" s="46" t="s">
        <v>476</v>
      </c>
      <c r="G94" s="46" t="s">
        <v>477</v>
      </c>
      <c r="H94" s="46" t="s">
        <v>224</v>
      </c>
      <c r="I94" s="46" t="s">
        <v>577</v>
      </c>
      <c r="J94" s="46" t="s">
        <v>224</v>
      </c>
      <c r="K94" s="46" t="s">
        <v>578</v>
      </c>
      <c r="L94" s="46"/>
      <c r="M94" s="46" t="s">
        <v>579</v>
      </c>
      <c r="N94" s="46"/>
      <c r="O94" s="46" t="s">
        <v>580</v>
      </c>
      <c r="P94" s="46" t="s">
        <v>172</v>
      </c>
      <c r="Q94" s="46">
        <v>75039</v>
      </c>
      <c r="R94" s="46" t="s">
        <v>483</v>
      </c>
      <c r="S94" s="46" t="s">
        <v>581</v>
      </c>
      <c r="T94" s="46"/>
      <c r="U94" s="46">
        <v>15</v>
      </c>
      <c r="V94" s="46" t="s">
        <v>485</v>
      </c>
      <c r="W94" s="46"/>
      <c r="X94" s="46"/>
      <c r="Y94" s="46"/>
      <c r="Z94" s="54">
        <v>43769</v>
      </c>
      <c r="AA94" s="46">
        <v>70</v>
      </c>
      <c r="AB94" s="46">
        <v>700</v>
      </c>
      <c r="AC94" s="46"/>
      <c r="AD94" s="46"/>
      <c r="AE94" s="46"/>
      <c r="AF94" s="46"/>
      <c r="AG94" s="46"/>
      <c r="AH94" s="46"/>
      <c r="AI94" s="46"/>
      <c r="AJ94" s="46"/>
      <c r="AK94" s="46"/>
      <c r="AL94" s="46"/>
      <c r="AM94" s="46"/>
      <c r="AN94" s="46"/>
      <c r="AO94" s="46"/>
      <c r="AP94" s="46"/>
      <c r="AQ94" s="46"/>
      <c r="AR94" s="46"/>
      <c r="AS94" s="46"/>
      <c r="AT94" s="46"/>
      <c r="AU94" s="46"/>
      <c r="AV94" s="46"/>
      <c r="AW94" s="46"/>
      <c r="AX94" s="46" t="s">
        <v>97</v>
      </c>
      <c r="AY94" s="46"/>
      <c r="AZ94" s="46" t="s">
        <v>486</v>
      </c>
      <c r="BA94" s="46"/>
      <c r="BB94" s="46" t="s">
        <v>246</v>
      </c>
      <c r="BC94" s="46" t="s">
        <v>487</v>
      </c>
      <c r="BD94" s="46" t="s">
        <v>488</v>
      </c>
      <c r="BE94" s="55">
        <v>43782.06843388889</v>
      </c>
      <c r="BF94" s="46"/>
      <c r="BG94" s="46"/>
      <c r="BH94" s="46"/>
      <c r="BI94" s="46" t="s">
        <v>489</v>
      </c>
      <c r="BJ94" s="46">
        <v>4.1112201916786299E+18</v>
      </c>
      <c r="BK94" s="46" t="s">
        <v>490</v>
      </c>
      <c r="BL94" s="46" t="s">
        <v>582</v>
      </c>
      <c r="BM94" s="46">
        <v>2020</v>
      </c>
      <c r="BN94" s="46" t="s">
        <v>492</v>
      </c>
      <c r="BO94" s="46"/>
      <c r="BP94" s="46">
        <v>4.1112201916786401E+18</v>
      </c>
      <c r="BQ94" s="46" t="s">
        <v>583</v>
      </c>
      <c r="BR94" s="46" t="s">
        <v>494</v>
      </c>
      <c r="BS94" s="51">
        <v>70</v>
      </c>
      <c r="BT94" s="52" t="s">
        <v>16</v>
      </c>
      <c r="BU94" s="49">
        <v>54.661962014288207</v>
      </c>
      <c r="BV94" s="49">
        <v>15.338037985711797</v>
      </c>
      <c r="BW94" s="46"/>
      <c r="BX94" s="53">
        <v>0.78088517163268867</v>
      </c>
      <c r="BY94" s="53">
        <v>0.21911482836731139</v>
      </c>
    </row>
    <row r="95" spans="1:77">
      <c r="A95" s="46" t="s">
        <v>473</v>
      </c>
      <c r="B95" s="46" t="s">
        <v>474</v>
      </c>
      <c r="C95" s="46" t="s">
        <v>584</v>
      </c>
      <c r="D95" s="46"/>
      <c r="E95" s="46" t="s">
        <v>585</v>
      </c>
      <c r="F95" s="46" t="s">
        <v>526</v>
      </c>
      <c r="G95" s="46"/>
      <c r="H95" s="46" t="s">
        <v>527</v>
      </c>
      <c r="I95" s="46" t="s">
        <v>586</v>
      </c>
      <c r="J95" s="46"/>
      <c r="K95" s="46" t="s">
        <v>587</v>
      </c>
      <c r="L95" s="46"/>
      <c r="M95" s="46" t="s">
        <v>588</v>
      </c>
      <c r="N95" s="46"/>
      <c r="O95" s="46" t="s">
        <v>500</v>
      </c>
      <c r="P95" s="46" t="s">
        <v>172</v>
      </c>
      <c r="Q95" s="46">
        <v>773797207</v>
      </c>
      <c r="R95" s="46" t="s">
        <v>532</v>
      </c>
      <c r="S95" s="46" t="s">
        <v>533</v>
      </c>
      <c r="T95" s="46" t="s">
        <v>584</v>
      </c>
      <c r="U95" s="46" t="s">
        <v>589</v>
      </c>
      <c r="V95" s="46" t="s">
        <v>590</v>
      </c>
      <c r="W95" s="46" t="s">
        <v>591</v>
      </c>
      <c r="X95" s="46"/>
      <c r="Y95" s="46"/>
      <c r="Z95" s="54">
        <v>44098</v>
      </c>
      <c r="AA95" s="46">
        <v>100</v>
      </c>
      <c r="AB95" s="46">
        <v>300</v>
      </c>
      <c r="AC95" s="46" t="s">
        <v>592</v>
      </c>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t="s">
        <v>246</v>
      </c>
      <c r="BC95" s="46" t="s">
        <v>487</v>
      </c>
      <c r="BD95" s="46" t="s">
        <v>488</v>
      </c>
      <c r="BE95" s="55">
        <v>44252.618193981485</v>
      </c>
      <c r="BF95" s="46"/>
      <c r="BG95" s="46"/>
      <c r="BH95" s="46"/>
      <c r="BI95" s="46" t="s">
        <v>489</v>
      </c>
      <c r="BJ95" s="46">
        <v>4.0125202121377597E+18</v>
      </c>
      <c r="BK95" s="46" t="s">
        <v>490</v>
      </c>
      <c r="BL95" s="46"/>
      <c r="BM95" s="46">
        <v>2020</v>
      </c>
      <c r="BN95" s="46" t="s">
        <v>492</v>
      </c>
      <c r="BO95" s="46"/>
      <c r="BP95" s="46">
        <v>4.0224202111785098E+18</v>
      </c>
      <c r="BQ95" s="46" t="s">
        <v>593</v>
      </c>
      <c r="BR95" s="46" t="s">
        <v>494</v>
      </c>
      <c r="BS95" s="51">
        <v>100</v>
      </c>
      <c r="BT95" s="46" t="s">
        <v>16</v>
      </c>
      <c r="BU95" s="49">
        <v>100</v>
      </c>
      <c r="BV95" s="49"/>
      <c r="BW95" s="46"/>
      <c r="BX95" s="53">
        <v>1</v>
      </c>
      <c r="BY95" s="53"/>
    </row>
    <row r="96" spans="1:77">
      <c r="A96" s="46" t="s">
        <v>473</v>
      </c>
      <c r="B96" s="46" t="s">
        <v>474</v>
      </c>
      <c r="C96" s="46"/>
      <c r="D96" s="46"/>
      <c r="E96" s="46" t="s">
        <v>594</v>
      </c>
      <c r="F96" s="46" t="s">
        <v>476</v>
      </c>
      <c r="G96" s="46" t="s">
        <v>477</v>
      </c>
      <c r="H96" s="46" t="s">
        <v>224</v>
      </c>
      <c r="I96" s="46" t="s">
        <v>595</v>
      </c>
      <c r="J96" s="46" t="s">
        <v>240</v>
      </c>
      <c r="K96" s="46" t="s">
        <v>596</v>
      </c>
      <c r="L96" s="46"/>
      <c r="M96" s="46" t="s">
        <v>597</v>
      </c>
      <c r="N96" s="46"/>
      <c r="O96" s="46" t="s">
        <v>580</v>
      </c>
      <c r="P96" s="46" t="s">
        <v>172</v>
      </c>
      <c r="Q96" s="46">
        <v>75039</v>
      </c>
      <c r="R96" s="46" t="s">
        <v>483</v>
      </c>
      <c r="S96" s="46" t="s">
        <v>598</v>
      </c>
      <c r="T96" s="46"/>
      <c r="U96" s="46">
        <v>15</v>
      </c>
      <c r="V96" s="46" t="s">
        <v>485</v>
      </c>
      <c r="W96" s="46"/>
      <c r="X96" s="46"/>
      <c r="Y96" s="46"/>
      <c r="Z96" s="54">
        <v>43738</v>
      </c>
      <c r="AA96" s="46">
        <v>60</v>
      </c>
      <c r="AB96" s="46">
        <v>540</v>
      </c>
      <c r="AC96" s="46"/>
      <c r="AD96" s="46"/>
      <c r="AE96" s="46"/>
      <c r="AF96" s="46"/>
      <c r="AG96" s="46"/>
      <c r="AH96" s="46"/>
      <c r="AI96" s="46"/>
      <c r="AJ96" s="46"/>
      <c r="AK96" s="46"/>
      <c r="AL96" s="46"/>
      <c r="AM96" s="46"/>
      <c r="AN96" s="46"/>
      <c r="AO96" s="46"/>
      <c r="AP96" s="46"/>
      <c r="AQ96" s="46"/>
      <c r="AR96" s="46"/>
      <c r="AS96" s="46"/>
      <c r="AT96" s="46"/>
      <c r="AU96" s="46"/>
      <c r="AV96" s="46"/>
      <c r="AW96" s="46"/>
      <c r="AX96" s="46" t="s">
        <v>97</v>
      </c>
      <c r="AY96" s="46"/>
      <c r="AZ96" s="46" t="s">
        <v>486</v>
      </c>
      <c r="BA96" s="46"/>
      <c r="BB96" s="46" t="s">
        <v>246</v>
      </c>
      <c r="BC96" s="46" t="s">
        <v>487</v>
      </c>
      <c r="BD96" s="46" t="s">
        <v>488</v>
      </c>
      <c r="BE96" s="55">
        <v>43746.104349513887</v>
      </c>
      <c r="BF96" s="46"/>
      <c r="BG96" s="46"/>
      <c r="BH96" s="46"/>
      <c r="BI96" s="46" t="s">
        <v>489</v>
      </c>
      <c r="BJ96" s="46">
        <v>4.1007201916737802E+18</v>
      </c>
      <c r="BK96" s="46" t="s">
        <v>490</v>
      </c>
      <c r="BL96" s="46" t="s">
        <v>599</v>
      </c>
      <c r="BM96" s="46">
        <v>2020</v>
      </c>
      <c r="BN96" s="46" t="s">
        <v>492</v>
      </c>
      <c r="BO96" s="46"/>
      <c r="BP96" s="46">
        <v>4.1007201916740198E+18</v>
      </c>
      <c r="BQ96" s="46" t="s">
        <v>600</v>
      </c>
      <c r="BR96" s="46" t="s">
        <v>494</v>
      </c>
      <c r="BS96" s="51">
        <v>60</v>
      </c>
      <c r="BT96" s="52" t="s">
        <v>16</v>
      </c>
      <c r="BU96" s="49">
        <v>46.853110297961322</v>
      </c>
      <c r="BV96" s="49">
        <v>13.146889702038683</v>
      </c>
      <c r="BW96" s="46"/>
      <c r="BX96" s="53">
        <v>0.78088517163268867</v>
      </c>
      <c r="BY96" s="53">
        <v>0.21911482836731139</v>
      </c>
    </row>
    <row r="97" spans="1:77">
      <c r="A97" s="46" t="s">
        <v>473</v>
      </c>
      <c r="B97" s="46" t="s">
        <v>474</v>
      </c>
      <c r="C97" s="46"/>
      <c r="D97" s="46"/>
      <c r="E97" s="46" t="s">
        <v>601</v>
      </c>
      <c r="F97" s="46" t="s">
        <v>571</v>
      </c>
      <c r="G97" s="46"/>
      <c r="H97" s="46" t="s">
        <v>527</v>
      </c>
      <c r="I97" s="46" t="s">
        <v>602</v>
      </c>
      <c r="J97" s="46"/>
      <c r="K97" s="46" t="s">
        <v>603</v>
      </c>
      <c r="L97" s="46"/>
      <c r="M97" s="46" t="s">
        <v>604</v>
      </c>
      <c r="N97" s="46"/>
      <c r="O97" s="46" t="s">
        <v>605</v>
      </c>
      <c r="P97" s="46" t="s">
        <v>606</v>
      </c>
      <c r="Q97" s="46">
        <v>19971</v>
      </c>
      <c r="R97" s="46" t="s">
        <v>532</v>
      </c>
      <c r="S97" s="46" t="s">
        <v>607</v>
      </c>
      <c r="T97" s="46"/>
      <c r="U97" s="46"/>
      <c r="V97" s="46"/>
      <c r="W97" s="46" t="s">
        <v>534</v>
      </c>
      <c r="X97" s="46"/>
      <c r="Y97" s="46"/>
      <c r="Z97" s="54">
        <v>43557</v>
      </c>
      <c r="AA97" s="46">
        <v>100</v>
      </c>
      <c r="AB97" s="46">
        <v>100</v>
      </c>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t="s">
        <v>246</v>
      </c>
      <c r="BC97" s="46" t="s">
        <v>487</v>
      </c>
      <c r="BD97" s="46" t="s">
        <v>488</v>
      </c>
      <c r="BE97" s="55">
        <v>43706.829009675923</v>
      </c>
      <c r="BF97" s="46"/>
      <c r="BG97" s="46"/>
      <c r="BH97" s="46"/>
      <c r="BI97" s="46" t="s">
        <v>489</v>
      </c>
      <c r="BJ97" s="46">
        <v>4.0801201916624399E+18</v>
      </c>
      <c r="BK97" s="46" t="s">
        <v>490</v>
      </c>
      <c r="BL97" s="46" t="s">
        <v>608</v>
      </c>
      <c r="BM97" s="46">
        <v>2020</v>
      </c>
      <c r="BN97" s="46" t="s">
        <v>492</v>
      </c>
      <c r="BO97" s="46"/>
      <c r="BP97" s="46">
        <v>4.0828201911328599E+18</v>
      </c>
      <c r="BQ97" s="46" t="s">
        <v>609</v>
      </c>
      <c r="BR97" s="46" t="s">
        <v>494</v>
      </c>
      <c r="BS97" s="51">
        <v>100</v>
      </c>
      <c r="BT97" s="46" t="s">
        <v>15</v>
      </c>
      <c r="BU97" s="49"/>
      <c r="BV97" s="49">
        <v>100</v>
      </c>
      <c r="BW97" s="46"/>
      <c r="BX97" s="53"/>
      <c r="BY97" s="53">
        <v>1</v>
      </c>
    </row>
    <row r="98" spans="1:77">
      <c r="A98" s="46" t="s">
        <v>473</v>
      </c>
      <c r="B98" s="46" t="s">
        <v>474</v>
      </c>
      <c r="C98" s="46"/>
      <c r="D98" s="46"/>
      <c r="E98" s="46" t="s">
        <v>610</v>
      </c>
      <c r="F98" s="46" t="s">
        <v>476</v>
      </c>
      <c r="G98" s="46" t="s">
        <v>477</v>
      </c>
      <c r="H98" s="46" t="s">
        <v>224</v>
      </c>
      <c r="I98" s="46" t="s">
        <v>611</v>
      </c>
      <c r="J98" s="46" t="s">
        <v>226</v>
      </c>
      <c r="K98" s="46" t="s">
        <v>612</v>
      </c>
      <c r="L98" s="46"/>
      <c r="M98" s="46" t="s">
        <v>613</v>
      </c>
      <c r="N98" s="46"/>
      <c r="O98" s="46" t="s">
        <v>614</v>
      </c>
      <c r="P98" s="46" t="s">
        <v>338</v>
      </c>
      <c r="Q98" s="46">
        <v>20006</v>
      </c>
      <c r="R98" s="46" t="s">
        <v>483</v>
      </c>
      <c r="S98" s="46" t="s">
        <v>615</v>
      </c>
      <c r="T98" s="46"/>
      <c r="U98" s="46">
        <v>15</v>
      </c>
      <c r="V98" s="46" t="s">
        <v>485</v>
      </c>
      <c r="W98" s="46"/>
      <c r="X98" s="46"/>
      <c r="Y98" s="46"/>
      <c r="Z98" s="54">
        <v>43738</v>
      </c>
      <c r="AA98" s="46">
        <v>80</v>
      </c>
      <c r="AB98" s="46">
        <v>720</v>
      </c>
      <c r="AC98" s="46"/>
      <c r="AD98" s="46"/>
      <c r="AE98" s="46"/>
      <c r="AF98" s="46"/>
      <c r="AG98" s="46"/>
      <c r="AH98" s="46"/>
      <c r="AI98" s="46"/>
      <c r="AJ98" s="46"/>
      <c r="AK98" s="46"/>
      <c r="AL98" s="46"/>
      <c r="AM98" s="46"/>
      <c r="AN98" s="46"/>
      <c r="AO98" s="46"/>
      <c r="AP98" s="46"/>
      <c r="AQ98" s="46"/>
      <c r="AR98" s="46"/>
      <c r="AS98" s="46"/>
      <c r="AT98" s="46"/>
      <c r="AU98" s="46"/>
      <c r="AV98" s="46"/>
      <c r="AW98" s="46"/>
      <c r="AX98" s="46" t="s">
        <v>97</v>
      </c>
      <c r="AY98" s="46"/>
      <c r="AZ98" s="46" t="s">
        <v>486</v>
      </c>
      <c r="BA98" s="46"/>
      <c r="BB98" s="46" t="s">
        <v>246</v>
      </c>
      <c r="BC98" s="46" t="s">
        <v>487</v>
      </c>
      <c r="BD98" s="46" t="s">
        <v>488</v>
      </c>
      <c r="BE98" s="55">
        <v>43746.104349606481</v>
      </c>
      <c r="BF98" s="46"/>
      <c r="BG98" s="46"/>
      <c r="BH98" s="46"/>
      <c r="BI98" s="46" t="s">
        <v>489</v>
      </c>
      <c r="BJ98" s="46">
        <v>4.1007201916737802E+18</v>
      </c>
      <c r="BK98" s="46" t="s">
        <v>490</v>
      </c>
      <c r="BL98" s="46" t="s">
        <v>616</v>
      </c>
      <c r="BM98" s="46">
        <v>2020</v>
      </c>
      <c r="BN98" s="46" t="s">
        <v>492</v>
      </c>
      <c r="BO98" s="46"/>
      <c r="BP98" s="46">
        <v>4.1007201916740198E+18</v>
      </c>
      <c r="BQ98" s="46" t="s">
        <v>617</v>
      </c>
      <c r="BR98" s="46" t="s">
        <v>494</v>
      </c>
      <c r="BS98" s="51">
        <v>80</v>
      </c>
      <c r="BT98" s="52" t="s">
        <v>16</v>
      </c>
      <c r="BU98" s="49">
        <v>62.470813730615092</v>
      </c>
      <c r="BV98" s="49">
        <v>17.529186269384912</v>
      </c>
      <c r="BW98" s="46"/>
      <c r="BX98" s="53">
        <v>0.78088517163268867</v>
      </c>
      <c r="BY98" s="53">
        <v>0.21911482836731139</v>
      </c>
    </row>
    <row r="99" spans="1:77">
      <c r="A99" s="46" t="s">
        <v>473</v>
      </c>
      <c r="B99" s="46" t="s">
        <v>474</v>
      </c>
      <c r="C99" s="46"/>
      <c r="D99" s="46"/>
      <c r="E99" s="46" t="s">
        <v>618</v>
      </c>
      <c r="F99" s="46" t="s">
        <v>526</v>
      </c>
      <c r="G99" s="46"/>
      <c r="H99" s="46" t="s">
        <v>527</v>
      </c>
      <c r="I99" s="46" t="s">
        <v>619</v>
      </c>
      <c r="J99" s="46"/>
      <c r="K99" s="46" t="s">
        <v>620</v>
      </c>
      <c r="L99" s="46"/>
      <c r="M99" s="46" t="s">
        <v>621</v>
      </c>
      <c r="N99" s="46"/>
      <c r="O99" s="46" t="s">
        <v>622</v>
      </c>
      <c r="P99" s="46" t="s">
        <v>172</v>
      </c>
      <c r="Q99" s="46">
        <v>78232</v>
      </c>
      <c r="R99" s="46" t="s">
        <v>483</v>
      </c>
      <c r="S99" s="46" t="s">
        <v>623</v>
      </c>
      <c r="T99" s="46"/>
      <c r="U99" s="46"/>
      <c r="V99" s="46"/>
      <c r="W99" s="46" t="s">
        <v>534</v>
      </c>
      <c r="X99" s="46"/>
      <c r="Y99" s="46"/>
      <c r="Z99" s="54">
        <v>44073</v>
      </c>
      <c r="AA99" s="46">
        <v>100</v>
      </c>
      <c r="AB99" s="46">
        <v>100</v>
      </c>
      <c r="AC99" s="46"/>
      <c r="AD99" s="46"/>
      <c r="AE99" s="46"/>
      <c r="AF99" s="46"/>
      <c r="AG99" s="46"/>
      <c r="AH99" s="46"/>
      <c r="AI99" s="46"/>
      <c r="AJ99" s="46"/>
      <c r="AK99" s="46"/>
      <c r="AL99" s="46"/>
      <c r="AM99" s="46"/>
      <c r="AN99" s="46"/>
      <c r="AO99" s="46"/>
      <c r="AP99" s="46"/>
      <c r="AQ99" s="46"/>
      <c r="AR99" s="46"/>
      <c r="AS99" s="46"/>
      <c r="AT99" s="46"/>
      <c r="AU99" s="46"/>
      <c r="AV99" s="46"/>
      <c r="AW99" s="46" t="s">
        <v>543</v>
      </c>
      <c r="AX99" s="46"/>
      <c r="AY99" s="46"/>
      <c r="AZ99" s="46"/>
      <c r="BA99" s="46"/>
      <c r="BB99" s="46" t="s">
        <v>246</v>
      </c>
      <c r="BC99" s="46" t="s">
        <v>487</v>
      </c>
      <c r="BD99" s="46" t="s">
        <v>488</v>
      </c>
      <c r="BE99" s="55">
        <v>44209.418404097225</v>
      </c>
      <c r="BF99" s="46"/>
      <c r="BG99" s="46"/>
      <c r="BH99" s="46"/>
      <c r="BI99" s="46" t="s">
        <v>489</v>
      </c>
      <c r="BJ99" s="46">
        <v>4.1215202019740099E+18</v>
      </c>
      <c r="BK99" s="46" t="s">
        <v>490</v>
      </c>
      <c r="BL99" s="46" t="s">
        <v>624</v>
      </c>
      <c r="BM99" s="46">
        <v>2020</v>
      </c>
      <c r="BN99" s="46" t="s">
        <v>492</v>
      </c>
      <c r="BO99" s="46"/>
      <c r="BP99" s="46">
        <v>4.0112202120797599E+18</v>
      </c>
      <c r="BQ99" s="46" t="s">
        <v>625</v>
      </c>
      <c r="BR99" s="46" t="s">
        <v>494</v>
      </c>
      <c r="BS99" s="51">
        <v>100</v>
      </c>
      <c r="BT99" s="46" t="s">
        <v>15</v>
      </c>
      <c r="BU99" s="49"/>
      <c r="BV99" s="49">
        <v>100</v>
      </c>
      <c r="BW99" s="46"/>
      <c r="BX99" s="53"/>
      <c r="BY99" s="53">
        <v>1</v>
      </c>
    </row>
    <row r="100" spans="1:77">
      <c r="A100" s="46" t="s">
        <v>473</v>
      </c>
      <c r="B100" s="46" t="s">
        <v>474</v>
      </c>
      <c r="C100" s="46" t="s">
        <v>626</v>
      </c>
      <c r="D100" s="46"/>
      <c r="E100" s="46" t="s">
        <v>618</v>
      </c>
      <c r="F100" s="46" t="s">
        <v>97</v>
      </c>
      <c r="G100" s="46"/>
      <c r="H100" s="46" t="s">
        <v>97</v>
      </c>
      <c r="I100" s="46" t="s">
        <v>619</v>
      </c>
      <c r="J100" s="46"/>
      <c r="K100" s="46" t="s">
        <v>620</v>
      </c>
      <c r="L100" s="46"/>
      <c r="M100" s="46" t="s">
        <v>627</v>
      </c>
      <c r="N100" s="46"/>
      <c r="O100" s="46" t="s">
        <v>622</v>
      </c>
      <c r="P100" s="46" t="s">
        <v>172</v>
      </c>
      <c r="Q100" s="46">
        <v>782324617</v>
      </c>
      <c r="R100" s="46" t="s">
        <v>483</v>
      </c>
      <c r="S100" s="46" t="s">
        <v>623</v>
      </c>
      <c r="T100" s="46" t="s">
        <v>626</v>
      </c>
      <c r="U100" s="46" t="s">
        <v>589</v>
      </c>
      <c r="V100" s="46" t="s">
        <v>590</v>
      </c>
      <c r="W100" s="46"/>
      <c r="X100" s="46"/>
      <c r="Y100" s="46"/>
      <c r="Z100" s="54">
        <v>44080</v>
      </c>
      <c r="AA100" s="46">
        <v>100</v>
      </c>
      <c r="AB100" s="46">
        <v>900</v>
      </c>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t="s">
        <v>628</v>
      </c>
      <c r="AY100" s="46"/>
      <c r="AZ100" s="46" t="s">
        <v>629</v>
      </c>
      <c r="BA100" s="46">
        <v>2020</v>
      </c>
      <c r="BB100" s="46" t="s">
        <v>246</v>
      </c>
      <c r="BC100" s="46" t="s">
        <v>487</v>
      </c>
      <c r="BD100" s="46" t="s">
        <v>488</v>
      </c>
      <c r="BE100" s="55">
        <v>44140.227744641204</v>
      </c>
      <c r="BF100" s="46"/>
      <c r="BG100" s="46" t="s">
        <v>630</v>
      </c>
      <c r="BH100" s="46" t="s">
        <v>631</v>
      </c>
      <c r="BI100" s="46" t="s">
        <v>632</v>
      </c>
      <c r="BJ100" s="46">
        <v>4.1022202018826598E+18</v>
      </c>
      <c r="BK100" s="46" t="s">
        <v>490</v>
      </c>
      <c r="BL100" s="46" t="s">
        <v>633</v>
      </c>
      <c r="BM100" s="46">
        <v>2020</v>
      </c>
      <c r="BN100" s="46" t="s">
        <v>492</v>
      </c>
      <c r="BO100" s="46"/>
      <c r="BP100" s="46">
        <v>4.10232020188307E+18</v>
      </c>
      <c r="BQ100" s="46" t="s">
        <v>634</v>
      </c>
      <c r="BR100" s="46" t="s">
        <v>494</v>
      </c>
      <c r="BS100" s="51">
        <v>100</v>
      </c>
      <c r="BT100" s="46" t="s">
        <v>15</v>
      </c>
      <c r="BU100" s="49"/>
      <c r="BV100" s="49">
        <v>100</v>
      </c>
      <c r="BW100" s="46"/>
      <c r="BX100" s="53"/>
      <c r="BY100" s="53">
        <v>1</v>
      </c>
    </row>
    <row r="101" spans="1:77">
      <c r="A101" s="46" t="s">
        <v>473</v>
      </c>
      <c r="B101" s="46" t="s">
        <v>474</v>
      </c>
      <c r="C101" s="46"/>
      <c r="D101" s="46"/>
      <c r="E101" s="46" t="s">
        <v>635</v>
      </c>
      <c r="F101" s="46" t="s">
        <v>476</v>
      </c>
      <c r="G101" s="46" t="s">
        <v>477</v>
      </c>
      <c r="H101" s="46" t="s">
        <v>224</v>
      </c>
      <c r="I101" s="46" t="s">
        <v>636</v>
      </c>
      <c r="J101" s="46" t="s">
        <v>268</v>
      </c>
      <c r="K101" s="46" t="s">
        <v>637</v>
      </c>
      <c r="L101" s="46"/>
      <c r="M101" s="46" t="s">
        <v>638</v>
      </c>
      <c r="N101" s="46"/>
      <c r="O101" s="46" t="s">
        <v>500</v>
      </c>
      <c r="P101" s="46" t="s">
        <v>172</v>
      </c>
      <c r="Q101" s="46">
        <v>77389</v>
      </c>
      <c r="R101" s="46" t="s">
        <v>483</v>
      </c>
      <c r="S101" s="46" t="s">
        <v>639</v>
      </c>
      <c r="T101" s="46"/>
      <c r="U101" s="46">
        <v>15</v>
      </c>
      <c r="V101" s="46" t="s">
        <v>485</v>
      </c>
      <c r="W101" s="46"/>
      <c r="X101" s="46"/>
      <c r="Y101" s="46"/>
      <c r="Z101" s="54">
        <v>43616</v>
      </c>
      <c r="AA101" s="46">
        <v>100</v>
      </c>
      <c r="AB101" s="46">
        <v>500</v>
      </c>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t="s">
        <v>97</v>
      </c>
      <c r="AY101" s="46"/>
      <c r="AZ101" s="46" t="s">
        <v>486</v>
      </c>
      <c r="BA101" s="46"/>
      <c r="BB101" s="46" t="s">
        <v>246</v>
      </c>
      <c r="BC101" s="46" t="s">
        <v>487</v>
      </c>
      <c r="BD101" s="46" t="s">
        <v>488</v>
      </c>
      <c r="BE101" s="55">
        <v>43631.112526319448</v>
      </c>
      <c r="BF101" s="46"/>
      <c r="BG101" s="46"/>
      <c r="BH101" s="46"/>
      <c r="BI101" s="46" t="s">
        <v>489</v>
      </c>
      <c r="BJ101" s="46">
        <v>4.0614201916580198E+18</v>
      </c>
      <c r="BK101" s="46" t="s">
        <v>490</v>
      </c>
      <c r="BL101" s="46" t="s">
        <v>640</v>
      </c>
      <c r="BM101" s="46">
        <v>2020</v>
      </c>
      <c r="BN101" s="46" t="s">
        <v>492</v>
      </c>
      <c r="BO101" s="46"/>
      <c r="BP101" s="46">
        <v>4.0614201916580803E+18</v>
      </c>
      <c r="BQ101" s="46" t="s">
        <v>641</v>
      </c>
      <c r="BR101" s="46" t="s">
        <v>494</v>
      </c>
      <c r="BS101" s="51">
        <v>100</v>
      </c>
      <c r="BT101" s="52" t="s">
        <v>16</v>
      </c>
      <c r="BU101" s="49">
        <v>78.088517163268861</v>
      </c>
      <c r="BV101" s="49">
        <v>21.911482836731139</v>
      </c>
      <c r="BW101" s="46"/>
      <c r="BX101" s="53">
        <v>0.78088517163268867</v>
      </c>
      <c r="BY101" s="53">
        <v>0.21911482836731139</v>
      </c>
    </row>
    <row r="102" spans="1:77">
      <c r="A102" s="46" t="s">
        <v>473</v>
      </c>
      <c r="B102" s="46" t="s">
        <v>474</v>
      </c>
      <c r="C102" s="46"/>
      <c r="D102" s="46"/>
      <c r="E102" s="46" t="s">
        <v>642</v>
      </c>
      <c r="F102" s="46" t="s">
        <v>476</v>
      </c>
      <c r="G102" s="46" t="s">
        <v>477</v>
      </c>
      <c r="H102" s="46" t="s">
        <v>224</v>
      </c>
      <c r="I102" s="46" t="s">
        <v>643</v>
      </c>
      <c r="J102" s="46" t="s">
        <v>268</v>
      </c>
      <c r="K102" s="46" t="s">
        <v>644</v>
      </c>
      <c r="L102" s="46"/>
      <c r="M102" s="46" t="s">
        <v>638</v>
      </c>
      <c r="N102" s="46"/>
      <c r="O102" s="46" t="s">
        <v>500</v>
      </c>
      <c r="P102" s="46" t="s">
        <v>172</v>
      </c>
      <c r="Q102" s="46">
        <v>77389</v>
      </c>
      <c r="R102" s="46" t="s">
        <v>483</v>
      </c>
      <c r="S102" s="46" t="s">
        <v>645</v>
      </c>
      <c r="T102" s="46"/>
      <c r="U102" s="46">
        <v>15</v>
      </c>
      <c r="V102" s="46" t="s">
        <v>485</v>
      </c>
      <c r="W102" s="46"/>
      <c r="X102" s="46"/>
      <c r="Y102" s="46"/>
      <c r="Z102" s="54">
        <v>43555</v>
      </c>
      <c r="AA102" s="46">
        <v>100</v>
      </c>
      <c r="AB102" s="46">
        <v>300</v>
      </c>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t="s">
        <v>97</v>
      </c>
      <c r="AY102" s="46"/>
      <c r="AZ102" s="46" t="s">
        <v>486</v>
      </c>
      <c r="BA102" s="46"/>
      <c r="BB102" s="46" t="s">
        <v>246</v>
      </c>
      <c r="BC102" s="46" t="s">
        <v>487</v>
      </c>
      <c r="BD102" s="46" t="s">
        <v>488</v>
      </c>
      <c r="BE102" s="55">
        <v>43571.116482048608</v>
      </c>
      <c r="BF102" s="46"/>
      <c r="BG102" s="46"/>
      <c r="BH102" s="46"/>
      <c r="BI102" s="46" t="s">
        <v>489</v>
      </c>
      <c r="BJ102" s="46">
        <v>4.0414201916463099E+18</v>
      </c>
      <c r="BK102" s="46" t="s">
        <v>490</v>
      </c>
      <c r="BL102" s="46" t="s">
        <v>640</v>
      </c>
      <c r="BM102" s="46">
        <v>2020</v>
      </c>
      <c r="BN102" s="46" t="s">
        <v>492</v>
      </c>
      <c r="BO102" s="46"/>
      <c r="BP102" s="46">
        <v>4.0415201916463601E+18</v>
      </c>
      <c r="BQ102" s="46" t="s">
        <v>646</v>
      </c>
      <c r="BR102" s="46" t="s">
        <v>494</v>
      </c>
      <c r="BS102" s="51">
        <v>100</v>
      </c>
      <c r="BT102" s="52" t="s">
        <v>16</v>
      </c>
      <c r="BU102" s="49">
        <v>78.088517163268861</v>
      </c>
      <c r="BV102" s="49">
        <v>21.911482836731139</v>
      </c>
      <c r="BW102" s="46"/>
      <c r="BX102" s="53">
        <v>0.78088517163268867</v>
      </c>
      <c r="BY102" s="53">
        <v>0.21911482836731139</v>
      </c>
    </row>
    <row r="103" spans="1:77">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1"/>
      <c r="BT103" s="56"/>
      <c r="BU103" s="57"/>
      <c r="BV103" s="57"/>
      <c r="BW103" s="56"/>
      <c r="BX103" s="58"/>
      <c r="BY103" s="58"/>
    </row>
    <row r="104" spans="1:77">
      <c r="A104" s="46" t="s">
        <v>473</v>
      </c>
      <c r="B104" s="46" t="s">
        <v>474</v>
      </c>
      <c r="C104" s="46"/>
      <c r="D104" s="46" t="s">
        <v>647</v>
      </c>
      <c r="E104" s="46" t="s">
        <v>648</v>
      </c>
      <c r="F104" s="46" t="s">
        <v>229</v>
      </c>
      <c r="G104" s="46"/>
      <c r="H104" s="46" t="s">
        <v>527</v>
      </c>
      <c r="I104" s="46" t="s">
        <v>649</v>
      </c>
      <c r="J104" s="46" t="s">
        <v>650</v>
      </c>
      <c r="K104" s="46" t="s">
        <v>651</v>
      </c>
      <c r="L104" s="46"/>
      <c r="M104" s="46" t="s">
        <v>652</v>
      </c>
      <c r="N104" s="46"/>
      <c r="O104" s="46" t="s">
        <v>653</v>
      </c>
      <c r="P104" s="46" t="s">
        <v>358</v>
      </c>
      <c r="Q104" s="46">
        <v>882605137</v>
      </c>
      <c r="R104" s="46" t="s">
        <v>532</v>
      </c>
      <c r="S104" s="46" t="s">
        <v>654</v>
      </c>
      <c r="T104" s="46"/>
      <c r="U104" s="46">
        <v>15</v>
      </c>
      <c r="V104" s="46" t="s">
        <v>485</v>
      </c>
      <c r="W104" s="46" t="s">
        <v>485</v>
      </c>
      <c r="X104" s="46"/>
      <c r="Y104" s="46"/>
      <c r="Z104" s="54">
        <v>44096</v>
      </c>
      <c r="AA104" s="46">
        <v>200</v>
      </c>
      <c r="AB104" s="46">
        <v>225</v>
      </c>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t="s">
        <v>97</v>
      </c>
      <c r="AY104" s="46"/>
      <c r="AZ104" s="46" t="s">
        <v>486</v>
      </c>
      <c r="BA104" s="46"/>
      <c r="BB104" s="46" t="s">
        <v>246</v>
      </c>
      <c r="BC104" s="46" t="s">
        <v>487</v>
      </c>
      <c r="BD104" s="46" t="s">
        <v>488</v>
      </c>
      <c r="BE104" s="55">
        <v>44155.323494837961</v>
      </c>
      <c r="BF104" s="46"/>
      <c r="BG104" s="46"/>
      <c r="BH104" s="46"/>
      <c r="BI104" s="46" t="s">
        <v>489</v>
      </c>
      <c r="BJ104" s="46">
        <v>4.1021202018822298E+18</v>
      </c>
      <c r="BK104" s="46" t="s">
        <v>490</v>
      </c>
      <c r="BL104" s="46"/>
      <c r="BM104" s="46">
        <v>2020</v>
      </c>
      <c r="BN104" s="46" t="s">
        <v>492</v>
      </c>
      <c r="BO104" s="46"/>
      <c r="BP104" s="46">
        <v>4.11192020195774E+18</v>
      </c>
      <c r="BQ104" s="46" t="s">
        <v>655</v>
      </c>
      <c r="BR104" s="46" t="s">
        <v>494</v>
      </c>
      <c r="BS104" s="51">
        <v>200</v>
      </c>
      <c r="BT104" s="46" t="s">
        <v>16</v>
      </c>
      <c r="BU104" s="49">
        <v>200</v>
      </c>
      <c r="BV104" s="49"/>
      <c r="BW104" s="46"/>
      <c r="BX104" s="53">
        <v>1</v>
      </c>
      <c r="BY104" s="53"/>
    </row>
    <row r="105" spans="1:77">
      <c r="A105" s="46" t="s">
        <v>473</v>
      </c>
      <c r="B105" s="46" t="s">
        <v>474</v>
      </c>
      <c r="C105" s="46"/>
      <c r="D105" s="46"/>
      <c r="E105" s="46" t="s">
        <v>656</v>
      </c>
      <c r="F105" s="46" t="s">
        <v>476</v>
      </c>
      <c r="G105" s="46" t="s">
        <v>477</v>
      </c>
      <c r="H105" s="46" t="s">
        <v>224</v>
      </c>
      <c r="I105" s="46" t="s">
        <v>519</v>
      </c>
      <c r="J105" s="46" t="s">
        <v>226</v>
      </c>
      <c r="K105" s="46" t="s">
        <v>657</v>
      </c>
      <c r="L105" s="46"/>
      <c r="M105" s="46" t="s">
        <v>658</v>
      </c>
      <c r="N105" s="46"/>
      <c r="O105" s="46" t="s">
        <v>580</v>
      </c>
      <c r="P105" s="46" t="s">
        <v>172</v>
      </c>
      <c r="Q105" s="46">
        <v>75039</v>
      </c>
      <c r="R105" s="46" t="s">
        <v>483</v>
      </c>
      <c r="S105" s="46" t="s">
        <v>659</v>
      </c>
      <c r="T105" s="46"/>
      <c r="U105" s="46">
        <v>15</v>
      </c>
      <c r="V105" s="46" t="s">
        <v>485</v>
      </c>
      <c r="W105" s="46"/>
      <c r="X105" s="46"/>
      <c r="Y105" s="46"/>
      <c r="Z105" s="54">
        <v>43585</v>
      </c>
      <c r="AA105" s="46">
        <v>200</v>
      </c>
      <c r="AB105" s="46">
        <v>800</v>
      </c>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t="s">
        <v>97</v>
      </c>
      <c r="AY105" s="46"/>
      <c r="AZ105" s="46" t="s">
        <v>486</v>
      </c>
      <c r="BA105" s="46"/>
      <c r="BB105" s="46" t="s">
        <v>246</v>
      </c>
      <c r="BC105" s="46" t="s">
        <v>487</v>
      </c>
      <c r="BD105" s="46" t="s">
        <v>488</v>
      </c>
      <c r="BE105" s="55">
        <v>43601.107904363424</v>
      </c>
      <c r="BF105" s="46"/>
      <c r="BG105" s="46"/>
      <c r="BH105" s="46"/>
      <c r="BI105" s="46" t="s">
        <v>489</v>
      </c>
      <c r="BJ105" s="46">
        <v>4.0515201916567798E+18</v>
      </c>
      <c r="BK105" s="46" t="s">
        <v>490</v>
      </c>
      <c r="BL105" s="46" t="s">
        <v>640</v>
      </c>
      <c r="BM105" s="46">
        <v>2020</v>
      </c>
      <c r="BN105" s="46" t="s">
        <v>492</v>
      </c>
      <c r="BO105" s="46"/>
      <c r="BP105" s="46">
        <v>4.0515201916568003E+18</v>
      </c>
      <c r="BQ105" s="46" t="s">
        <v>660</v>
      </c>
      <c r="BR105" s="46" t="s">
        <v>494</v>
      </c>
      <c r="BS105" s="51">
        <v>200</v>
      </c>
      <c r="BT105" s="52" t="s">
        <v>16</v>
      </c>
      <c r="BU105" s="49">
        <v>156.17703432653772</v>
      </c>
      <c r="BV105" s="49">
        <v>43.822965673462278</v>
      </c>
      <c r="BW105" s="46"/>
      <c r="BX105" s="53">
        <v>0.78088517163268867</v>
      </c>
      <c r="BY105" s="53">
        <v>0.21911482836731139</v>
      </c>
    </row>
    <row r="106" spans="1:77">
      <c r="A106" s="46" t="s">
        <v>473</v>
      </c>
      <c r="B106" s="46" t="s">
        <v>474</v>
      </c>
      <c r="C106" s="46" t="s">
        <v>661</v>
      </c>
      <c r="D106" s="46"/>
      <c r="E106" s="46" t="s">
        <v>585</v>
      </c>
      <c r="F106" s="46" t="s">
        <v>229</v>
      </c>
      <c r="G106" s="46"/>
      <c r="H106" s="46" t="s">
        <v>527</v>
      </c>
      <c r="I106" s="46" t="s">
        <v>586</v>
      </c>
      <c r="J106" s="46"/>
      <c r="K106" s="46" t="s">
        <v>587</v>
      </c>
      <c r="L106" s="46"/>
      <c r="M106" s="46" t="s">
        <v>588</v>
      </c>
      <c r="N106" s="46"/>
      <c r="O106" s="46" t="s">
        <v>500</v>
      </c>
      <c r="P106" s="46" t="s">
        <v>172</v>
      </c>
      <c r="Q106" s="46">
        <v>773797207</v>
      </c>
      <c r="R106" s="46" t="s">
        <v>532</v>
      </c>
      <c r="S106" s="46" t="s">
        <v>533</v>
      </c>
      <c r="T106" s="46" t="s">
        <v>661</v>
      </c>
      <c r="U106" s="46" t="s">
        <v>589</v>
      </c>
      <c r="V106" s="46" t="s">
        <v>590</v>
      </c>
      <c r="W106" s="46" t="s">
        <v>662</v>
      </c>
      <c r="X106" s="46"/>
      <c r="Y106" s="46"/>
      <c r="Z106" s="54">
        <v>44104</v>
      </c>
      <c r="AA106" s="46">
        <v>200</v>
      </c>
      <c r="AB106" s="46">
        <v>400</v>
      </c>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t="s">
        <v>97</v>
      </c>
      <c r="AY106" s="46"/>
      <c r="AZ106" s="46" t="s">
        <v>486</v>
      </c>
      <c r="BA106" s="46"/>
      <c r="BB106" s="46" t="s">
        <v>477</v>
      </c>
      <c r="BC106" s="46" t="s">
        <v>663</v>
      </c>
      <c r="BD106" s="46" t="s">
        <v>488</v>
      </c>
      <c r="BE106" s="55">
        <v>44327.149270289352</v>
      </c>
      <c r="BF106" s="46"/>
      <c r="BG106" s="46"/>
      <c r="BH106" s="46"/>
      <c r="BI106" s="46" t="s">
        <v>489</v>
      </c>
      <c r="BJ106" s="46">
        <v>4.0423202112787502E+18</v>
      </c>
      <c r="BK106" s="46" t="s">
        <v>490</v>
      </c>
      <c r="BL106" s="46"/>
      <c r="BM106" s="46">
        <v>2020</v>
      </c>
      <c r="BN106" s="46" t="s">
        <v>492</v>
      </c>
      <c r="BO106" s="46"/>
      <c r="BP106" s="46">
        <v>4.0511202112927898E+18</v>
      </c>
      <c r="BQ106" s="46" t="s">
        <v>664</v>
      </c>
      <c r="BR106" s="46" t="s">
        <v>494</v>
      </c>
      <c r="BS106" s="51">
        <v>200</v>
      </c>
      <c r="BT106" s="46" t="s">
        <v>16</v>
      </c>
      <c r="BU106" s="49">
        <v>200</v>
      </c>
      <c r="BV106" s="49"/>
      <c r="BW106" s="46"/>
      <c r="BX106" s="53">
        <v>1</v>
      </c>
      <c r="BY106" s="53">
        <v>0.21911482836731139</v>
      </c>
    </row>
    <row r="107" spans="1:77">
      <c r="A107" s="46" t="s">
        <v>473</v>
      </c>
      <c r="B107" s="46" t="s">
        <v>474</v>
      </c>
      <c r="C107" s="46"/>
      <c r="D107" s="46"/>
      <c r="E107" s="46" t="s">
        <v>665</v>
      </c>
      <c r="F107" s="46" t="s">
        <v>476</v>
      </c>
      <c r="G107" s="46" t="s">
        <v>477</v>
      </c>
      <c r="H107" s="46" t="s">
        <v>224</v>
      </c>
      <c r="I107" s="46" t="s">
        <v>666</v>
      </c>
      <c r="J107" s="46" t="s">
        <v>477</v>
      </c>
      <c r="K107" s="46" t="s">
        <v>667</v>
      </c>
      <c r="L107" s="46"/>
      <c r="M107" s="46" t="s">
        <v>499</v>
      </c>
      <c r="N107" s="46"/>
      <c r="O107" s="46" t="s">
        <v>500</v>
      </c>
      <c r="P107" s="46" t="s">
        <v>172</v>
      </c>
      <c r="Q107" s="46">
        <v>77389</v>
      </c>
      <c r="R107" s="46" t="s">
        <v>483</v>
      </c>
      <c r="S107" s="46" t="s">
        <v>668</v>
      </c>
      <c r="T107" s="46"/>
      <c r="U107" s="46">
        <v>15</v>
      </c>
      <c r="V107" s="46" t="s">
        <v>485</v>
      </c>
      <c r="W107" s="46"/>
      <c r="X107" s="46"/>
      <c r="Y107" s="46"/>
      <c r="Z107" s="54">
        <v>43496</v>
      </c>
      <c r="AA107" s="46">
        <v>250</v>
      </c>
      <c r="AB107" s="46">
        <v>250</v>
      </c>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t="s">
        <v>97</v>
      </c>
      <c r="AY107" s="46"/>
      <c r="AZ107" s="46" t="s">
        <v>486</v>
      </c>
      <c r="BA107" s="46"/>
      <c r="BB107" s="46" t="s">
        <v>246</v>
      </c>
      <c r="BC107" s="46" t="s">
        <v>487</v>
      </c>
      <c r="BD107" s="46" t="s">
        <v>488</v>
      </c>
      <c r="BE107" s="55">
        <v>43524.149592407404</v>
      </c>
      <c r="BF107" s="46"/>
      <c r="BG107" s="46"/>
      <c r="BH107" s="46"/>
      <c r="BI107" s="46" t="s">
        <v>489</v>
      </c>
      <c r="BJ107" s="46">
        <v>4.02152019163953E+18</v>
      </c>
      <c r="BK107" s="46" t="s">
        <v>490</v>
      </c>
      <c r="BL107" s="46" t="s">
        <v>669</v>
      </c>
      <c r="BM107" s="46">
        <v>2020</v>
      </c>
      <c r="BN107" s="46" t="s">
        <v>492</v>
      </c>
      <c r="BO107" s="46"/>
      <c r="BP107" s="46">
        <v>4.0227201916444001E+18</v>
      </c>
      <c r="BQ107" s="46" t="s">
        <v>670</v>
      </c>
      <c r="BR107" s="46" t="s">
        <v>494</v>
      </c>
      <c r="BS107" s="51">
        <v>250</v>
      </c>
      <c r="BT107" s="52" t="s">
        <v>16</v>
      </c>
      <c r="BU107" s="49">
        <v>195.22129290817216</v>
      </c>
      <c r="BV107" s="49">
        <v>54.778707091827847</v>
      </c>
      <c r="BW107" s="46"/>
      <c r="BX107" s="53">
        <v>0.78088517163268867</v>
      </c>
      <c r="BY107" s="53">
        <v>0.21911482836731139</v>
      </c>
    </row>
    <row r="108" spans="1:77">
      <c r="A108" s="46" t="s">
        <v>473</v>
      </c>
      <c r="B108" s="46" t="s">
        <v>474</v>
      </c>
      <c r="C108" s="46"/>
      <c r="D108" s="46"/>
      <c r="E108" s="46" t="s">
        <v>671</v>
      </c>
      <c r="F108" s="46" t="s">
        <v>476</v>
      </c>
      <c r="G108" s="46" t="s">
        <v>477</v>
      </c>
      <c r="H108" s="46" t="s">
        <v>224</v>
      </c>
      <c r="I108" s="46" t="s">
        <v>672</v>
      </c>
      <c r="J108" s="46" t="s">
        <v>97</v>
      </c>
      <c r="K108" s="46" t="s">
        <v>673</v>
      </c>
      <c r="L108" s="46"/>
      <c r="M108" s="46" t="s">
        <v>674</v>
      </c>
      <c r="N108" s="46"/>
      <c r="O108" s="46" t="s">
        <v>580</v>
      </c>
      <c r="P108" s="46" t="s">
        <v>172</v>
      </c>
      <c r="Q108" s="46">
        <v>75039</v>
      </c>
      <c r="R108" s="46" t="s">
        <v>483</v>
      </c>
      <c r="S108" s="46" t="s">
        <v>675</v>
      </c>
      <c r="T108" s="46"/>
      <c r="U108" s="46">
        <v>15</v>
      </c>
      <c r="V108" s="46" t="s">
        <v>485</v>
      </c>
      <c r="W108" s="46"/>
      <c r="X108" s="46"/>
      <c r="Y108" s="46"/>
      <c r="Z108" s="54">
        <v>43980</v>
      </c>
      <c r="AA108" s="46">
        <v>200</v>
      </c>
      <c r="AB108" s="46">
        <v>1000</v>
      </c>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t="s">
        <v>97</v>
      </c>
      <c r="AY108" s="46"/>
      <c r="AZ108" s="46" t="s">
        <v>486</v>
      </c>
      <c r="BA108" s="46"/>
      <c r="BB108" s="46" t="s">
        <v>246</v>
      </c>
      <c r="BC108" s="46" t="s">
        <v>487</v>
      </c>
      <c r="BD108" s="46" t="s">
        <v>488</v>
      </c>
      <c r="BE108" s="55">
        <v>43992.066234155092</v>
      </c>
      <c r="BF108" s="46"/>
      <c r="BG108" s="46"/>
      <c r="BH108" s="46"/>
      <c r="BI108" s="46" t="s">
        <v>489</v>
      </c>
      <c r="BJ108" s="46">
        <v>4.06092020177453E+18</v>
      </c>
      <c r="BK108" s="46" t="s">
        <v>490</v>
      </c>
      <c r="BL108" s="46" t="s">
        <v>676</v>
      </c>
      <c r="BM108" s="46">
        <v>2020</v>
      </c>
      <c r="BN108" s="46" t="s">
        <v>492</v>
      </c>
      <c r="BO108" s="46"/>
      <c r="BP108" s="46">
        <v>4.06092020177455E+18</v>
      </c>
      <c r="BQ108" s="46" t="s">
        <v>677</v>
      </c>
      <c r="BR108" s="46" t="s">
        <v>494</v>
      </c>
      <c r="BS108" s="51">
        <v>200</v>
      </c>
      <c r="BT108" s="52" t="s">
        <v>16</v>
      </c>
      <c r="BU108" s="49">
        <v>156.17703432653772</v>
      </c>
      <c r="BV108" s="49">
        <v>43.822965673462278</v>
      </c>
      <c r="BW108" s="46"/>
      <c r="BX108" s="53">
        <v>0.78088517163268867</v>
      </c>
      <c r="BY108" s="53">
        <v>0.21911482836731139</v>
      </c>
    </row>
    <row r="109" spans="1:77">
      <c r="A109" s="46" t="s">
        <v>473</v>
      </c>
      <c r="B109" s="46" t="s">
        <v>474</v>
      </c>
      <c r="C109" s="46"/>
      <c r="D109" s="46"/>
      <c r="E109" s="46" t="s">
        <v>678</v>
      </c>
      <c r="F109" s="46" t="s">
        <v>476</v>
      </c>
      <c r="G109" s="46" t="s">
        <v>477</v>
      </c>
      <c r="H109" s="46" t="s">
        <v>224</v>
      </c>
      <c r="I109" s="46" t="s">
        <v>679</v>
      </c>
      <c r="J109" s="46" t="s">
        <v>571</v>
      </c>
      <c r="K109" s="46" t="s">
        <v>680</v>
      </c>
      <c r="L109" s="46"/>
      <c r="M109" s="46" t="s">
        <v>681</v>
      </c>
      <c r="N109" s="46"/>
      <c r="O109" s="46" t="s">
        <v>580</v>
      </c>
      <c r="P109" s="46" t="s">
        <v>172</v>
      </c>
      <c r="Q109" s="46">
        <v>75039</v>
      </c>
      <c r="R109" s="46" t="s">
        <v>483</v>
      </c>
      <c r="S109" s="46" t="s">
        <v>682</v>
      </c>
      <c r="T109" s="46"/>
      <c r="U109" s="46">
        <v>15</v>
      </c>
      <c r="V109" s="46" t="s">
        <v>485</v>
      </c>
      <c r="W109" s="46"/>
      <c r="X109" s="46"/>
      <c r="Y109" s="46"/>
      <c r="Z109" s="54">
        <v>44012</v>
      </c>
      <c r="AA109" s="46">
        <v>250</v>
      </c>
      <c r="AB109" s="46">
        <v>1500</v>
      </c>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t="s">
        <v>97</v>
      </c>
      <c r="AY109" s="46"/>
      <c r="AZ109" s="46" t="s">
        <v>486</v>
      </c>
      <c r="BA109" s="46"/>
      <c r="BB109" s="46" t="s">
        <v>246</v>
      </c>
      <c r="BC109" s="46" t="s">
        <v>487</v>
      </c>
      <c r="BD109" s="46" t="s">
        <v>488</v>
      </c>
      <c r="BE109" s="55">
        <v>44021.062293819443</v>
      </c>
      <c r="BF109" s="46"/>
      <c r="BG109" s="46"/>
      <c r="BH109" s="46"/>
      <c r="BI109" s="46" t="s">
        <v>489</v>
      </c>
      <c r="BJ109" s="46">
        <v>4.07082020177986E+18</v>
      </c>
      <c r="BK109" s="46" t="s">
        <v>490</v>
      </c>
      <c r="BL109" s="46" t="s">
        <v>683</v>
      </c>
      <c r="BM109" s="46">
        <v>2020</v>
      </c>
      <c r="BN109" s="46" t="s">
        <v>492</v>
      </c>
      <c r="BO109" s="46"/>
      <c r="BP109" s="46">
        <v>4.0708202017799398E+18</v>
      </c>
      <c r="BQ109" s="46" t="s">
        <v>684</v>
      </c>
      <c r="BR109" s="46" t="s">
        <v>494</v>
      </c>
      <c r="BS109" s="51">
        <v>250</v>
      </c>
      <c r="BT109" s="52" t="s">
        <v>16</v>
      </c>
      <c r="BU109" s="49">
        <v>195.22129290817216</v>
      </c>
      <c r="BV109" s="49">
        <v>54.778707091827847</v>
      </c>
      <c r="BW109" s="46"/>
      <c r="BX109" s="53">
        <v>0.78088517163268867</v>
      </c>
      <c r="BY109" s="53">
        <v>0.21911482836731139</v>
      </c>
    </row>
    <row r="110" spans="1:77">
      <c r="A110" s="46" t="s">
        <v>473</v>
      </c>
      <c r="B110" s="46" t="s">
        <v>474</v>
      </c>
      <c r="C110" s="46"/>
      <c r="D110" s="46"/>
      <c r="E110" s="46" t="s">
        <v>685</v>
      </c>
      <c r="F110" s="46" t="s">
        <v>476</v>
      </c>
      <c r="G110" s="46" t="s">
        <v>477</v>
      </c>
      <c r="H110" s="46" t="s">
        <v>224</v>
      </c>
      <c r="I110" s="46" t="s">
        <v>686</v>
      </c>
      <c r="J110" s="46"/>
      <c r="K110" s="46" t="s">
        <v>687</v>
      </c>
      <c r="L110" s="46"/>
      <c r="M110" s="46" t="s">
        <v>499</v>
      </c>
      <c r="N110" s="46"/>
      <c r="O110" s="46" t="s">
        <v>500</v>
      </c>
      <c r="P110" s="46" t="s">
        <v>172</v>
      </c>
      <c r="Q110" s="46">
        <v>77389</v>
      </c>
      <c r="R110" s="46" t="s">
        <v>688</v>
      </c>
      <c r="S110" s="46" t="s">
        <v>689</v>
      </c>
      <c r="T110" s="46"/>
      <c r="U110" s="46">
        <v>15</v>
      </c>
      <c r="V110" s="46" t="s">
        <v>485</v>
      </c>
      <c r="W110" s="46"/>
      <c r="X110" s="46"/>
      <c r="Y110" s="46"/>
      <c r="Z110" s="54">
        <v>43889</v>
      </c>
      <c r="AA110" s="46">
        <v>250</v>
      </c>
      <c r="AB110" s="46">
        <v>500</v>
      </c>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t="s">
        <v>97</v>
      </c>
      <c r="AY110" s="46"/>
      <c r="AZ110" s="46" t="s">
        <v>486</v>
      </c>
      <c r="BA110" s="46"/>
      <c r="BB110" s="46" t="s">
        <v>246</v>
      </c>
      <c r="BC110" s="46" t="s">
        <v>487</v>
      </c>
      <c r="BD110" s="46" t="s">
        <v>488</v>
      </c>
      <c r="BE110" s="55">
        <v>43908.075155416664</v>
      </c>
      <c r="BF110" s="46"/>
      <c r="BG110" s="46"/>
      <c r="BH110" s="46"/>
      <c r="BI110" s="46" t="s">
        <v>489</v>
      </c>
      <c r="BJ110" s="46">
        <v>4.03172020170321E+18</v>
      </c>
      <c r="BK110" s="46" t="s">
        <v>490</v>
      </c>
      <c r="BL110" s="46" t="s">
        <v>683</v>
      </c>
      <c r="BM110" s="46">
        <v>2020</v>
      </c>
      <c r="BN110" s="46" t="s">
        <v>492</v>
      </c>
      <c r="BO110" s="46"/>
      <c r="BP110" s="46">
        <v>4.03172020170323E+18</v>
      </c>
      <c r="BQ110" s="46" t="s">
        <v>690</v>
      </c>
      <c r="BR110" s="46" t="s">
        <v>494</v>
      </c>
      <c r="BS110" s="51">
        <v>250</v>
      </c>
      <c r="BT110" s="52" t="s">
        <v>16</v>
      </c>
      <c r="BU110" s="49">
        <v>195.22129290817216</v>
      </c>
      <c r="BV110" s="49">
        <v>54.778707091827847</v>
      </c>
      <c r="BW110" s="46"/>
      <c r="BX110" s="53">
        <v>0.78088517163268867</v>
      </c>
      <c r="BY110" s="53">
        <v>0.21911482836731139</v>
      </c>
    </row>
    <row r="111" spans="1:77">
      <c r="A111" s="46" t="s">
        <v>473</v>
      </c>
      <c r="B111" s="46" t="s">
        <v>474</v>
      </c>
      <c r="C111" s="46"/>
      <c r="D111" s="46"/>
      <c r="E111" s="46" t="s">
        <v>691</v>
      </c>
      <c r="F111" s="46" t="s">
        <v>476</v>
      </c>
      <c r="G111" s="46" t="s">
        <v>477</v>
      </c>
      <c r="H111" s="46" t="s">
        <v>224</v>
      </c>
      <c r="I111" s="46" t="s">
        <v>692</v>
      </c>
      <c r="J111" s="46" t="s">
        <v>506</v>
      </c>
      <c r="K111" s="46" t="s">
        <v>693</v>
      </c>
      <c r="L111" s="46"/>
      <c r="M111" s="46" t="s">
        <v>694</v>
      </c>
      <c r="N111" s="46"/>
      <c r="O111" s="46" t="s">
        <v>695</v>
      </c>
      <c r="P111" s="46" t="s">
        <v>696</v>
      </c>
      <c r="Q111" s="46">
        <v>334180000</v>
      </c>
      <c r="R111" s="46" t="s">
        <v>483</v>
      </c>
      <c r="S111" s="46" t="s">
        <v>48</v>
      </c>
      <c r="T111" s="46"/>
      <c r="U111" s="46">
        <v>15</v>
      </c>
      <c r="V111" s="46" t="s">
        <v>485</v>
      </c>
      <c r="W111" s="46"/>
      <c r="X111" s="46"/>
      <c r="Y111" s="46"/>
      <c r="Z111" s="54">
        <v>44098</v>
      </c>
      <c r="AA111" s="46">
        <v>250</v>
      </c>
      <c r="AB111" s="46">
        <v>250</v>
      </c>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t="s">
        <v>97</v>
      </c>
      <c r="AY111" s="46"/>
      <c r="AZ111" s="46" t="s">
        <v>486</v>
      </c>
      <c r="BA111" s="46"/>
      <c r="BB111" s="46" t="s">
        <v>246</v>
      </c>
      <c r="BC111" s="46" t="s">
        <v>487</v>
      </c>
      <c r="BD111" s="46" t="s">
        <v>488</v>
      </c>
      <c r="BE111" s="55">
        <v>44121.755114143518</v>
      </c>
      <c r="BF111" s="46"/>
      <c r="BG111" s="46"/>
      <c r="BH111" s="46"/>
      <c r="BI111" s="46" t="s">
        <v>489</v>
      </c>
      <c r="BJ111" s="46">
        <v>4.1015202018575601E+18</v>
      </c>
      <c r="BK111" s="46" t="s">
        <v>490</v>
      </c>
      <c r="BL111" s="46"/>
      <c r="BM111" s="46">
        <v>2020</v>
      </c>
      <c r="BN111" s="46" t="s">
        <v>492</v>
      </c>
      <c r="BO111" s="46"/>
      <c r="BP111" s="46">
        <v>4.1016202018796498E+18</v>
      </c>
      <c r="BQ111" s="46" t="s">
        <v>697</v>
      </c>
      <c r="BR111" s="46" t="s">
        <v>494</v>
      </c>
      <c r="BS111" s="51">
        <v>250</v>
      </c>
      <c r="BT111" s="52" t="s">
        <v>16</v>
      </c>
      <c r="BU111" s="49">
        <v>195.22129290817216</v>
      </c>
      <c r="BV111" s="49">
        <v>54.778707091827847</v>
      </c>
      <c r="BW111" s="46"/>
      <c r="BX111" s="53">
        <v>0.78088517163268867</v>
      </c>
      <c r="BY111" s="53">
        <v>0.21911482836731139</v>
      </c>
    </row>
    <row r="112" spans="1:77">
      <c r="A112" s="46" t="s">
        <v>473</v>
      </c>
      <c r="B112" s="46" t="s">
        <v>474</v>
      </c>
      <c r="C112" s="46"/>
      <c r="D112" s="46"/>
      <c r="E112" s="46" t="s">
        <v>698</v>
      </c>
      <c r="F112" s="46" t="s">
        <v>476</v>
      </c>
      <c r="G112" s="46" t="s">
        <v>477</v>
      </c>
      <c r="H112" s="46" t="s">
        <v>224</v>
      </c>
      <c r="I112" s="46" t="s">
        <v>699</v>
      </c>
      <c r="J112" s="46"/>
      <c r="K112" s="46" t="s">
        <v>700</v>
      </c>
      <c r="L112" s="46"/>
      <c r="M112" s="46" t="s">
        <v>499</v>
      </c>
      <c r="N112" s="46"/>
      <c r="O112" s="46" t="s">
        <v>500</v>
      </c>
      <c r="P112" s="46" t="s">
        <v>172</v>
      </c>
      <c r="Q112" s="46">
        <v>77389</v>
      </c>
      <c r="R112" s="46" t="s">
        <v>688</v>
      </c>
      <c r="S112" s="46" t="s">
        <v>701</v>
      </c>
      <c r="T112" s="46"/>
      <c r="U112" s="46">
        <v>15</v>
      </c>
      <c r="V112" s="46" t="s">
        <v>485</v>
      </c>
      <c r="W112" s="46"/>
      <c r="X112" s="46"/>
      <c r="Y112" s="46"/>
      <c r="Z112" s="54">
        <v>43951</v>
      </c>
      <c r="AA112" s="46">
        <v>120</v>
      </c>
      <c r="AB112" s="46">
        <v>480</v>
      </c>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t="s">
        <v>97</v>
      </c>
      <c r="AY112" s="46"/>
      <c r="AZ112" s="46" t="s">
        <v>486</v>
      </c>
      <c r="BA112" s="46"/>
      <c r="BB112" s="46" t="s">
        <v>246</v>
      </c>
      <c r="BC112" s="46" t="s">
        <v>487</v>
      </c>
      <c r="BD112" s="46" t="s">
        <v>488</v>
      </c>
      <c r="BE112" s="55">
        <v>43965.059127534725</v>
      </c>
      <c r="BF112" s="46"/>
      <c r="BG112" s="46"/>
      <c r="BH112" s="46"/>
      <c r="BI112" s="46" t="s">
        <v>489</v>
      </c>
      <c r="BJ112" s="46">
        <v>4.05132020174272E+18</v>
      </c>
      <c r="BK112" s="46" t="s">
        <v>490</v>
      </c>
      <c r="BL112" s="46" t="s">
        <v>599</v>
      </c>
      <c r="BM112" s="46">
        <v>2020</v>
      </c>
      <c r="BN112" s="46" t="s">
        <v>492</v>
      </c>
      <c r="BO112" s="46"/>
      <c r="BP112" s="46">
        <v>4.05132020174287E+18</v>
      </c>
      <c r="BQ112" s="46" t="s">
        <v>702</v>
      </c>
      <c r="BR112" s="46" t="s">
        <v>494</v>
      </c>
      <c r="BS112" s="51">
        <v>120</v>
      </c>
      <c r="BT112" s="52" t="s">
        <v>16</v>
      </c>
      <c r="BU112" s="49">
        <v>93.706220595922645</v>
      </c>
      <c r="BV112" s="49">
        <v>26.293779404077366</v>
      </c>
      <c r="BW112" s="46"/>
      <c r="BX112" s="53">
        <v>0.78088517163268867</v>
      </c>
      <c r="BY112" s="53">
        <v>0.21911482836731139</v>
      </c>
    </row>
    <row r="113" spans="1:77">
      <c r="A113" s="46" t="s">
        <v>473</v>
      </c>
      <c r="B113" s="46" t="s">
        <v>474</v>
      </c>
      <c r="C113" s="46"/>
      <c r="D113" s="46"/>
      <c r="E113" s="46" t="s">
        <v>594</v>
      </c>
      <c r="F113" s="46" t="s">
        <v>476</v>
      </c>
      <c r="G113" s="46" t="s">
        <v>477</v>
      </c>
      <c r="H113" s="46" t="s">
        <v>224</v>
      </c>
      <c r="I113" s="46" t="s">
        <v>595</v>
      </c>
      <c r="J113" s="46" t="s">
        <v>240</v>
      </c>
      <c r="K113" s="46" t="s">
        <v>596</v>
      </c>
      <c r="L113" s="46"/>
      <c r="M113" s="46" t="s">
        <v>597</v>
      </c>
      <c r="N113" s="46"/>
      <c r="O113" s="46" t="s">
        <v>580</v>
      </c>
      <c r="P113" s="46" t="s">
        <v>172</v>
      </c>
      <c r="Q113" s="46">
        <v>75039</v>
      </c>
      <c r="R113" s="46" t="s">
        <v>483</v>
      </c>
      <c r="S113" s="46" t="s">
        <v>598</v>
      </c>
      <c r="T113" s="46"/>
      <c r="U113" s="46">
        <v>15</v>
      </c>
      <c r="V113" s="46" t="s">
        <v>485</v>
      </c>
      <c r="W113" s="46"/>
      <c r="X113" s="46"/>
      <c r="Y113" s="46"/>
      <c r="Z113" s="54">
        <v>43951</v>
      </c>
      <c r="AA113" s="46">
        <v>200</v>
      </c>
      <c r="AB113" s="46">
        <v>800</v>
      </c>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t="s">
        <v>97</v>
      </c>
      <c r="AY113" s="46"/>
      <c r="AZ113" s="46" t="s">
        <v>486</v>
      </c>
      <c r="BA113" s="46"/>
      <c r="BB113" s="46" t="s">
        <v>246</v>
      </c>
      <c r="BC113" s="46" t="s">
        <v>487</v>
      </c>
      <c r="BD113" s="46" t="s">
        <v>488</v>
      </c>
      <c r="BE113" s="55">
        <v>43965.059127442131</v>
      </c>
      <c r="BF113" s="46"/>
      <c r="BG113" s="46"/>
      <c r="BH113" s="46"/>
      <c r="BI113" s="46" t="s">
        <v>489</v>
      </c>
      <c r="BJ113" s="46">
        <v>4.05132020174272E+18</v>
      </c>
      <c r="BK113" s="46" t="s">
        <v>490</v>
      </c>
      <c r="BL113" s="46" t="s">
        <v>676</v>
      </c>
      <c r="BM113" s="46">
        <v>2020</v>
      </c>
      <c r="BN113" s="46" t="s">
        <v>492</v>
      </c>
      <c r="BO113" s="46"/>
      <c r="BP113" s="46">
        <v>4.05132020174287E+18</v>
      </c>
      <c r="BQ113" s="46" t="s">
        <v>703</v>
      </c>
      <c r="BR113" s="46" t="s">
        <v>494</v>
      </c>
      <c r="BS113" s="51">
        <v>200</v>
      </c>
      <c r="BT113" s="52" t="s">
        <v>16</v>
      </c>
      <c r="BU113" s="49">
        <v>156.17703432653772</v>
      </c>
      <c r="BV113" s="49">
        <v>43.822965673462278</v>
      </c>
      <c r="BW113" s="46"/>
      <c r="BX113" s="53">
        <v>0.78088517163268867</v>
      </c>
      <c r="BY113" s="53">
        <v>0.21911482836731139</v>
      </c>
    </row>
    <row r="114" spans="1:77">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1"/>
      <c r="BT114" s="56"/>
      <c r="BU114" s="57"/>
      <c r="BV114" s="57"/>
      <c r="BW114" s="56"/>
      <c r="BX114" s="58"/>
      <c r="BY114" s="58"/>
    </row>
    <row r="115" spans="1:77">
      <c r="A115" s="46" t="s">
        <v>473</v>
      </c>
      <c r="B115" s="46" t="s">
        <v>474</v>
      </c>
      <c r="C115" s="46" t="s">
        <v>661</v>
      </c>
      <c r="D115" s="46" t="s">
        <v>647</v>
      </c>
      <c r="E115" s="46" t="s">
        <v>704</v>
      </c>
      <c r="F115" s="46" t="s">
        <v>262</v>
      </c>
      <c r="G115" s="46"/>
      <c r="H115" s="46" t="s">
        <v>97</v>
      </c>
      <c r="I115" s="46" t="s">
        <v>705</v>
      </c>
      <c r="J115" s="46"/>
      <c r="K115" s="46" t="s">
        <v>706</v>
      </c>
      <c r="L115" s="46"/>
      <c r="M115" s="46" t="s">
        <v>707</v>
      </c>
      <c r="N115" s="46"/>
      <c r="O115" s="46" t="s">
        <v>708</v>
      </c>
      <c r="P115" s="46" t="s">
        <v>172</v>
      </c>
      <c r="Q115" s="46">
        <v>760924215</v>
      </c>
      <c r="R115" s="46" t="s">
        <v>483</v>
      </c>
      <c r="S115" s="46" t="s">
        <v>709</v>
      </c>
      <c r="T115" s="46" t="s">
        <v>661</v>
      </c>
      <c r="U115" s="46" t="s">
        <v>589</v>
      </c>
      <c r="V115" s="46" t="s">
        <v>590</v>
      </c>
      <c r="W115" s="46" t="s">
        <v>485</v>
      </c>
      <c r="X115" s="46"/>
      <c r="Y115" s="46"/>
      <c r="Z115" s="54">
        <v>43708</v>
      </c>
      <c r="AA115" s="46">
        <v>500</v>
      </c>
      <c r="AB115" s="46">
        <v>600</v>
      </c>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t="s">
        <v>710</v>
      </c>
      <c r="AY115" s="46"/>
      <c r="AZ115" s="46" t="s">
        <v>486</v>
      </c>
      <c r="BA115" s="46">
        <v>2020</v>
      </c>
      <c r="BB115" s="46" t="s">
        <v>14</v>
      </c>
      <c r="BC115" s="46" t="s">
        <v>711</v>
      </c>
      <c r="BD115" s="46" t="s">
        <v>488</v>
      </c>
      <c r="BE115" s="55">
        <v>43968.07615270833</v>
      </c>
      <c r="BF115" s="46"/>
      <c r="BG115" s="46" t="s">
        <v>712</v>
      </c>
      <c r="BH115" s="46" t="s">
        <v>713</v>
      </c>
      <c r="BI115" s="46" t="s">
        <v>714</v>
      </c>
      <c r="BJ115" s="46">
        <v>4.0515202017548001E+18</v>
      </c>
      <c r="BK115" s="46" t="s">
        <v>490</v>
      </c>
      <c r="BL115" s="46" t="s">
        <v>715</v>
      </c>
      <c r="BM115" s="46">
        <v>2020</v>
      </c>
      <c r="BN115" s="46" t="s">
        <v>492</v>
      </c>
      <c r="BO115" s="46"/>
      <c r="BP115" s="46">
        <v>4.05162020176145E+18</v>
      </c>
      <c r="BQ115" s="46" t="s">
        <v>716</v>
      </c>
      <c r="BR115" s="46" t="s">
        <v>494</v>
      </c>
      <c r="BS115" s="51">
        <v>500</v>
      </c>
      <c r="BT115" s="46" t="s">
        <v>16</v>
      </c>
      <c r="BU115" s="49">
        <v>500</v>
      </c>
      <c r="BV115" s="49"/>
      <c r="BW115" s="46"/>
      <c r="BX115" s="53">
        <v>1</v>
      </c>
      <c r="BY115" s="53"/>
    </row>
    <row r="116" spans="1:77">
      <c r="A116" s="46" t="s">
        <v>473</v>
      </c>
      <c r="B116" s="46" t="s">
        <v>474</v>
      </c>
      <c r="C116" s="46"/>
      <c r="D116" s="46"/>
      <c r="E116" s="46" t="s">
        <v>717</v>
      </c>
      <c r="F116" s="46" t="s">
        <v>476</v>
      </c>
      <c r="G116" s="46" t="s">
        <v>477</v>
      </c>
      <c r="H116" s="46" t="s">
        <v>224</v>
      </c>
      <c r="I116" s="46" t="s">
        <v>718</v>
      </c>
      <c r="J116" s="46" t="s">
        <v>226</v>
      </c>
      <c r="K116" s="46" t="s">
        <v>719</v>
      </c>
      <c r="L116" s="46"/>
      <c r="M116" s="46" t="s">
        <v>720</v>
      </c>
      <c r="N116" s="46"/>
      <c r="O116" s="46" t="s">
        <v>580</v>
      </c>
      <c r="P116" s="46" t="s">
        <v>172</v>
      </c>
      <c r="Q116" s="46">
        <v>75039</v>
      </c>
      <c r="R116" s="46" t="s">
        <v>483</v>
      </c>
      <c r="S116" s="46" t="s">
        <v>721</v>
      </c>
      <c r="T116" s="46"/>
      <c r="U116" s="46">
        <v>15</v>
      </c>
      <c r="V116" s="46" t="s">
        <v>485</v>
      </c>
      <c r="W116" s="46"/>
      <c r="X116" s="46"/>
      <c r="Y116" s="46"/>
      <c r="Z116" s="54">
        <v>43951</v>
      </c>
      <c r="AA116" s="46">
        <v>400</v>
      </c>
      <c r="AB116" s="46">
        <v>1600</v>
      </c>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t="s">
        <v>97</v>
      </c>
      <c r="AY116" s="46"/>
      <c r="AZ116" s="46" t="s">
        <v>486</v>
      </c>
      <c r="BA116" s="46"/>
      <c r="BB116" s="46" t="s">
        <v>246</v>
      </c>
      <c r="BC116" s="46" t="s">
        <v>487</v>
      </c>
      <c r="BD116" s="46" t="s">
        <v>488</v>
      </c>
      <c r="BE116" s="55">
        <v>43965.059127337961</v>
      </c>
      <c r="BF116" s="46"/>
      <c r="BG116" s="46"/>
      <c r="BH116" s="46"/>
      <c r="BI116" s="46" t="s">
        <v>489</v>
      </c>
      <c r="BJ116" s="46">
        <v>4.05132020174272E+18</v>
      </c>
      <c r="BK116" s="46" t="s">
        <v>490</v>
      </c>
      <c r="BL116" s="46" t="s">
        <v>676</v>
      </c>
      <c r="BM116" s="46">
        <v>2020</v>
      </c>
      <c r="BN116" s="46" t="s">
        <v>492</v>
      </c>
      <c r="BO116" s="46"/>
      <c r="BP116" s="46">
        <v>4.05132020174287E+18</v>
      </c>
      <c r="BQ116" s="46" t="s">
        <v>722</v>
      </c>
      <c r="BR116" s="46" t="s">
        <v>494</v>
      </c>
      <c r="BS116" s="51">
        <v>400</v>
      </c>
      <c r="BT116" s="52" t="s">
        <v>16</v>
      </c>
      <c r="BU116" s="49">
        <v>312.35406865307544</v>
      </c>
      <c r="BV116" s="49">
        <v>87.645931346924556</v>
      </c>
      <c r="BW116" s="46"/>
      <c r="BX116" s="53">
        <v>0.78088517163268867</v>
      </c>
      <c r="BY116" s="53">
        <v>0.21911482836731139</v>
      </c>
    </row>
    <row r="117" spans="1:77">
      <c r="A117" s="46" t="s">
        <v>473</v>
      </c>
      <c r="B117" s="46" t="s">
        <v>474</v>
      </c>
      <c r="C117" s="46"/>
      <c r="D117" s="46"/>
      <c r="E117" s="46" t="s">
        <v>723</v>
      </c>
      <c r="F117" s="46" t="s">
        <v>476</v>
      </c>
      <c r="G117" s="46" t="s">
        <v>477</v>
      </c>
      <c r="H117" s="46" t="s">
        <v>224</v>
      </c>
      <c r="I117" s="46" t="s">
        <v>724</v>
      </c>
      <c r="J117" s="46" t="s">
        <v>226</v>
      </c>
      <c r="K117" s="46" t="s">
        <v>725</v>
      </c>
      <c r="L117" s="46"/>
      <c r="M117" s="46" t="s">
        <v>499</v>
      </c>
      <c r="N117" s="46"/>
      <c r="O117" s="46" t="s">
        <v>500</v>
      </c>
      <c r="P117" s="46" t="s">
        <v>172</v>
      </c>
      <c r="Q117" s="46">
        <v>77389</v>
      </c>
      <c r="R117" s="46" t="s">
        <v>483</v>
      </c>
      <c r="S117" s="46" t="s">
        <v>726</v>
      </c>
      <c r="T117" s="46"/>
      <c r="U117" s="46">
        <v>15</v>
      </c>
      <c r="V117" s="46" t="s">
        <v>485</v>
      </c>
      <c r="W117" s="46"/>
      <c r="X117" s="46"/>
      <c r="Y117" s="46"/>
      <c r="Z117" s="54">
        <v>43585</v>
      </c>
      <c r="AA117" s="46">
        <v>416.66</v>
      </c>
      <c r="AB117" s="46">
        <v>1666.64</v>
      </c>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t="s">
        <v>97</v>
      </c>
      <c r="AY117" s="46"/>
      <c r="AZ117" s="46" t="s">
        <v>486</v>
      </c>
      <c r="BA117" s="46"/>
      <c r="BB117" s="46" t="s">
        <v>246</v>
      </c>
      <c r="BC117" s="46" t="s">
        <v>487</v>
      </c>
      <c r="BD117" s="46" t="s">
        <v>488</v>
      </c>
      <c r="BE117" s="55">
        <v>43601.107904131946</v>
      </c>
      <c r="BF117" s="46"/>
      <c r="BG117" s="46"/>
      <c r="BH117" s="46"/>
      <c r="BI117" s="46" t="s">
        <v>489</v>
      </c>
      <c r="BJ117" s="46">
        <v>4.0515201916567798E+18</v>
      </c>
      <c r="BK117" s="46" t="s">
        <v>490</v>
      </c>
      <c r="BL117" s="46" t="s">
        <v>727</v>
      </c>
      <c r="BM117" s="46">
        <v>2020</v>
      </c>
      <c r="BN117" s="46" t="s">
        <v>492</v>
      </c>
      <c r="BO117" s="46"/>
      <c r="BP117" s="46">
        <v>4.0515201916568003E+18</v>
      </c>
      <c r="BQ117" s="46" t="s">
        <v>728</v>
      </c>
      <c r="BR117" s="46" t="s">
        <v>494</v>
      </c>
      <c r="BS117" s="51">
        <v>416.66</v>
      </c>
      <c r="BT117" s="52" t="s">
        <v>16</v>
      </c>
      <c r="BU117" s="49">
        <v>325.36361561247605</v>
      </c>
      <c r="BV117" s="49">
        <v>91.296384387523972</v>
      </c>
      <c r="BW117" s="46"/>
      <c r="BX117" s="53">
        <v>0.78088517163268867</v>
      </c>
      <c r="BY117" s="53">
        <v>0.21911482836731139</v>
      </c>
    </row>
    <row r="118" spans="1:77">
      <c r="A118" s="46" t="s">
        <v>473</v>
      </c>
      <c r="B118" s="46" t="s">
        <v>474</v>
      </c>
      <c r="C118" s="46"/>
      <c r="D118" s="46"/>
      <c r="E118" s="46" t="s">
        <v>729</v>
      </c>
      <c r="F118" s="46" t="s">
        <v>476</v>
      </c>
      <c r="G118" s="46" t="s">
        <v>477</v>
      </c>
      <c r="H118" s="46" t="s">
        <v>224</v>
      </c>
      <c r="I118" s="46" t="s">
        <v>602</v>
      </c>
      <c r="J118" s="46" t="s">
        <v>730</v>
      </c>
      <c r="K118" s="46" t="s">
        <v>731</v>
      </c>
      <c r="L118" s="46"/>
      <c r="M118" s="46" t="s">
        <v>499</v>
      </c>
      <c r="N118" s="46"/>
      <c r="O118" s="46" t="s">
        <v>500</v>
      </c>
      <c r="P118" s="46" t="s">
        <v>172</v>
      </c>
      <c r="Q118" s="46">
        <v>77389</v>
      </c>
      <c r="R118" s="46" t="s">
        <v>483</v>
      </c>
      <c r="S118" s="46" t="s">
        <v>732</v>
      </c>
      <c r="T118" s="46"/>
      <c r="U118" s="46">
        <v>15</v>
      </c>
      <c r="V118" s="46" t="s">
        <v>485</v>
      </c>
      <c r="W118" s="46"/>
      <c r="X118" s="46"/>
      <c r="Y118" s="46"/>
      <c r="Z118" s="54">
        <v>43646</v>
      </c>
      <c r="AA118" s="46">
        <v>416.66</v>
      </c>
      <c r="AB118" s="46">
        <v>2499.96</v>
      </c>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t="s">
        <v>97</v>
      </c>
      <c r="AY118" s="46"/>
      <c r="AZ118" s="46" t="s">
        <v>486</v>
      </c>
      <c r="BA118" s="46"/>
      <c r="BB118" s="46" t="s">
        <v>246</v>
      </c>
      <c r="BC118" s="46" t="s">
        <v>487</v>
      </c>
      <c r="BD118" s="46" t="s">
        <v>488</v>
      </c>
      <c r="BE118" s="55">
        <v>43657.143775312499</v>
      </c>
      <c r="BF118" s="46"/>
      <c r="BG118" s="46"/>
      <c r="BH118" s="46"/>
      <c r="BI118" s="46" t="s">
        <v>489</v>
      </c>
      <c r="BJ118" s="46">
        <v>4.0710201916590899E+18</v>
      </c>
      <c r="BK118" s="46" t="s">
        <v>490</v>
      </c>
      <c r="BL118" s="46" t="s">
        <v>727</v>
      </c>
      <c r="BM118" s="46">
        <v>2020</v>
      </c>
      <c r="BN118" s="46" t="s">
        <v>492</v>
      </c>
      <c r="BO118" s="46"/>
      <c r="BP118" s="46">
        <v>4.0710201916592599E+18</v>
      </c>
      <c r="BQ118" s="46" t="s">
        <v>733</v>
      </c>
      <c r="BR118" s="46" t="s">
        <v>494</v>
      </c>
      <c r="BS118" s="51">
        <v>416.66</v>
      </c>
      <c r="BT118" s="52" t="s">
        <v>16</v>
      </c>
      <c r="BU118" s="49">
        <v>325.36361561247605</v>
      </c>
      <c r="BV118" s="49">
        <v>91.296384387523972</v>
      </c>
      <c r="BW118" s="46"/>
      <c r="BX118" s="53">
        <v>0.78088517163268867</v>
      </c>
      <c r="BY118" s="53">
        <v>0.21911482836731139</v>
      </c>
    </row>
    <row r="119" spans="1:77">
      <c r="A119" s="46" t="s">
        <v>473</v>
      </c>
      <c r="B119" s="46" t="s">
        <v>474</v>
      </c>
      <c r="C119" s="46"/>
      <c r="D119" s="46"/>
      <c r="E119" s="46" t="s">
        <v>734</v>
      </c>
      <c r="F119" s="46" t="s">
        <v>476</v>
      </c>
      <c r="G119" s="46" t="s">
        <v>477</v>
      </c>
      <c r="H119" s="46" t="s">
        <v>224</v>
      </c>
      <c r="I119" s="46" t="s">
        <v>735</v>
      </c>
      <c r="J119" s="46" t="s">
        <v>736</v>
      </c>
      <c r="K119" s="46" t="s">
        <v>737</v>
      </c>
      <c r="L119" s="46"/>
      <c r="M119" s="46" t="s">
        <v>499</v>
      </c>
      <c r="N119" s="46"/>
      <c r="O119" s="46" t="s">
        <v>500</v>
      </c>
      <c r="P119" s="46" t="s">
        <v>172</v>
      </c>
      <c r="Q119" s="46">
        <v>77389</v>
      </c>
      <c r="R119" s="46" t="s">
        <v>483</v>
      </c>
      <c r="S119" s="46" t="s">
        <v>738</v>
      </c>
      <c r="T119" s="46"/>
      <c r="U119" s="46">
        <v>15</v>
      </c>
      <c r="V119" s="46" t="s">
        <v>485</v>
      </c>
      <c r="W119" s="46"/>
      <c r="X119" s="46"/>
      <c r="Y119" s="46"/>
      <c r="Z119" s="54">
        <v>43951</v>
      </c>
      <c r="AA119" s="46">
        <v>416.67</v>
      </c>
      <c r="AB119" s="46">
        <v>1666.68</v>
      </c>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t="s">
        <v>97</v>
      </c>
      <c r="AY119" s="46"/>
      <c r="AZ119" s="46" t="s">
        <v>486</v>
      </c>
      <c r="BA119" s="46"/>
      <c r="BB119" s="46" t="s">
        <v>246</v>
      </c>
      <c r="BC119" s="46" t="s">
        <v>487</v>
      </c>
      <c r="BD119" s="46" t="s">
        <v>488</v>
      </c>
      <c r="BE119" s="55">
        <v>43965.059127673609</v>
      </c>
      <c r="BF119" s="46"/>
      <c r="BG119" s="46"/>
      <c r="BH119" s="46"/>
      <c r="BI119" s="46" t="s">
        <v>489</v>
      </c>
      <c r="BJ119" s="46">
        <v>4.05132020174272E+18</v>
      </c>
      <c r="BK119" s="46" t="s">
        <v>490</v>
      </c>
      <c r="BL119" s="46" t="s">
        <v>739</v>
      </c>
      <c r="BM119" s="46">
        <v>2020</v>
      </c>
      <c r="BN119" s="46" t="s">
        <v>492</v>
      </c>
      <c r="BO119" s="46"/>
      <c r="BP119" s="46">
        <v>4.05132020174287E+18</v>
      </c>
      <c r="BQ119" s="46" t="s">
        <v>740</v>
      </c>
      <c r="BR119" s="46" t="s">
        <v>494</v>
      </c>
      <c r="BS119" s="51">
        <v>416.67</v>
      </c>
      <c r="BT119" s="52" t="s">
        <v>16</v>
      </c>
      <c r="BU119" s="49">
        <v>325.37142446419239</v>
      </c>
      <c r="BV119" s="49">
        <v>91.298575535807643</v>
      </c>
      <c r="BW119" s="46"/>
      <c r="BX119" s="53">
        <v>0.78088517163268867</v>
      </c>
      <c r="BY119" s="53">
        <v>0.21911482836731139</v>
      </c>
    </row>
    <row r="120" spans="1:77">
      <c r="A120" s="46" t="s">
        <v>473</v>
      </c>
      <c r="B120" s="46" t="s">
        <v>474</v>
      </c>
      <c r="C120" s="46"/>
      <c r="D120" s="46"/>
      <c r="E120" s="46" t="s">
        <v>741</v>
      </c>
      <c r="F120" s="46" t="s">
        <v>476</v>
      </c>
      <c r="G120" s="46" t="s">
        <v>477</v>
      </c>
      <c r="H120" s="46" t="s">
        <v>224</v>
      </c>
      <c r="I120" s="46" t="s">
        <v>742</v>
      </c>
      <c r="J120" s="46" t="s">
        <v>240</v>
      </c>
      <c r="K120" s="46" t="s">
        <v>743</v>
      </c>
      <c r="L120" s="46"/>
      <c r="M120" s="46" t="s">
        <v>744</v>
      </c>
      <c r="N120" s="46"/>
      <c r="O120" s="46" t="s">
        <v>580</v>
      </c>
      <c r="P120" s="46" t="s">
        <v>172</v>
      </c>
      <c r="Q120" s="46">
        <v>75039</v>
      </c>
      <c r="R120" s="46" t="s">
        <v>483</v>
      </c>
      <c r="S120" s="46" t="s">
        <v>745</v>
      </c>
      <c r="T120" s="46"/>
      <c r="U120" s="46">
        <v>15</v>
      </c>
      <c r="V120" s="46" t="s">
        <v>485</v>
      </c>
      <c r="W120" s="46"/>
      <c r="X120" s="46"/>
      <c r="Y120" s="46"/>
      <c r="Z120" s="54">
        <v>43889</v>
      </c>
      <c r="AA120" s="46">
        <v>416.66</v>
      </c>
      <c r="AB120" s="46">
        <v>833.32</v>
      </c>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t="s">
        <v>97</v>
      </c>
      <c r="AY120" s="46"/>
      <c r="AZ120" s="46" t="s">
        <v>486</v>
      </c>
      <c r="BA120" s="46"/>
      <c r="BB120" s="46" t="s">
        <v>246</v>
      </c>
      <c r="BC120" s="46" t="s">
        <v>487</v>
      </c>
      <c r="BD120" s="46" t="s">
        <v>488</v>
      </c>
      <c r="BE120" s="55">
        <v>43908.075155497689</v>
      </c>
      <c r="BF120" s="46"/>
      <c r="BG120" s="46"/>
      <c r="BH120" s="46"/>
      <c r="BI120" s="46" t="s">
        <v>489</v>
      </c>
      <c r="BJ120" s="46">
        <v>4.03172020170321E+18</v>
      </c>
      <c r="BK120" s="46" t="s">
        <v>490</v>
      </c>
      <c r="BL120" s="46" t="s">
        <v>746</v>
      </c>
      <c r="BM120" s="46">
        <v>2020</v>
      </c>
      <c r="BN120" s="46" t="s">
        <v>492</v>
      </c>
      <c r="BO120" s="46"/>
      <c r="BP120" s="46">
        <v>4.03172020170323E+18</v>
      </c>
      <c r="BQ120" s="46" t="s">
        <v>747</v>
      </c>
      <c r="BR120" s="46" t="s">
        <v>494</v>
      </c>
      <c r="BS120" s="51">
        <v>416.66</v>
      </c>
      <c r="BT120" s="52" t="s">
        <v>16</v>
      </c>
      <c r="BU120" s="49">
        <v>325.36361561247605</v>
      </c>
      <c r="BV120" s="49">
        <v>91.296384387523972</v>
      </c>
      <c r="BW120" s="46"/>
      <c r="BX120" s="53">
        <v>0.78088517163268867</v>
      </c>
      <c r="BY120" s="53">
        <v>0.21911482836731139</v>
      </c>
    </row>
    <row r="121" spans="1:77">
      <c r="A121" s="46" t="s">
        <v>473</v>
      </c>
      <c r="B121" s="46" t="s">
        <v>474</v>
      </c>
      <c r="C121" s="46"/>
      <c r="D121" s="46"/>
      <c r="E121" s="46" t="s">
        <v>748</v>
      </c>
      <c r="F121" s="46" t="s">
        <v>476</v>
      </c>
      <c r="G121" s="46" t="s">
        <v>477</v>
      </c>
      <c r="H121" s="46" t="s">
        <v>224</v>
      </c>
      <c r="I121" s="46" t="s">
        <v>749</v>
      </c>
      <c r="J121" s="46" t="s">
        <v>242</v>
      </c>
      <c r="K121" s="46" t="s">
        <v>750</v>
      </c>
      <c r="L121" s="46"/>
      <c r="M121" s="46" t="s">
        <v>751</v>
      </c>
      <c r="N121" s="46"/>
      <c r="O121" s="46" t="s">
        <v>752</v>
      </c>
      <c r="P121" s="46" t="s">
        <v>696</v>
      </c>
      <c r="Q121" s="46">
        <v>342361816</v>
      </c>
      <c r="R121" s="46" t="s">
        <v>483</v>
      </c>
      <c r="S121" s="46" t="s">
        <v>48</v>
      </c>
      <c r="T121" s="46"/>
      <c r="U121" s="46">
        <v>15</v>
      </c>
      <c r="V121" s="46" t="s">
        <v>485</v>
      </c>
      <c r="W121" s="46"/>
      <c r="X121" s="46"/>
      <c r="Y121" s="46"/>
      <c r="Z121" s="54">
        <v>43810</v>
      </c>
      <c r="AA121" s="46">
        <v>500</v>
      </c>
      <c r="AB121" s="46">
        <v>500</v>
      </c>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t="s">
        <v>97</v>
      </c>
      <c r="AY121" s="46"/>
      <c r="AZ121" s="46" t="s">
        <v>486</v>
      </c>
      <c r="BA121" s="46"/>
      <c r="BB121" s="46" t="s">
        <v>246</v>
      </c>
      <c r="BC121" s="46" t="s">
        <v>487</v>
      </c>
      <c r="BD121" s="46" t="s">
        <v>488</v>
      </c>
      <c r="BE121" s="55">
        <v>43853.069426585651</v>
      </c>
      <c r="BF121" s="46"/>
      <c r="BG121" s="46"/>
      <c r="BH121" s="46"/>
      <c r="BI121" s="46" t="s">
        <v>489</v>
      </c>
      <c r="BJ121" s="46">
        <v>4.0122202016854098E+18</v>
      </c>
      <c r="BK121" s="46" t="s">
        <v>490</v>
      </c>
      <c r="BL121" s="46"/>
      <c r="BM121" s="46">
        <v>2020</v>
      </c>
      <c r="BN121" s="46" t="s">
        <v>492</v>
      </c>
      <c r="BO121" s="46"/>
      <c r="BP121" s="46">
        <v>4.01222020168546E+18</v>
      </c>
      <c r="BQ121" s="46" t="s">
        <v>753</v>
      </c>
      <c r="BR121" s="46" t="s">
        <v>494</v>
      </c>
      <c r="BS121" s="51">
        <v>500</v>
      </c>
      <c r="BT121" s="52" t="s">
        <v>16</v>
      </c>
      <c r="BU121" s="49">
        <v>390.44258581634432</v>
      </c>
      <c r="BV121" s="49">
        <v>109.55741418365569</v>
      </c>
      <c r="BW121" s="46"/>
      <c r="BX121" s="53">
        <v>0.78088517163268867</v>
      </c>
      <c r="BY121" s="53">
        <v>0.21911482836731139</v>
      </c>
    </row>
    <row r="122" spans="1:77">
      <c r="A122" s="46" t="s">
        <v>473</v>
      </c>
      <c r="B122" s="46" t="s">
        <v>474</v>
      </c>
      <c r="C122" s="46"/>
      <c r="D122" s="46"/>
      <c r="E122" s="46" t="s">
        <v>754</v>
      </c>
      <c r="F122" s="46" t="s">
        <v>476</v>
      </c>
      <c r="G122" s="46" t="s">
        <v>477</v>
      </c>
      <c r="H122" s="46" t="s">
        <v>224</v>
      </c>
      <c r="I122" s="46" t="s">
        <v>611</v>
      </c>
      <c r="J122" s="46" t="s">
        <v>14</v>
      </c>
      <c r="K122" s="46" t="s">
        <v>755</v>
      </c>
      <c r="L122" s="46"/>
      <c r="M122" s="46" t="s">
        <v>756</v>
      </c>
      <c r="N122" s="46"/>
      <c r="O122" s="46" t="s">
        <v>580</v>
      </c>
      <c r="P122" s="46" t="s">
        <v>172</v>
      </c>
      <c r="Q122" s="46">
        <v>75039</v>
      </c>
      <c r="R122" s="46" t="s">
        <v>483</v>
      </c>
      <c r="S122" s="46" t="s">
        <v>757</v>
      </c>
      <c r="T122" s="46"/>
      <c r="U122" s="46">
        <v>15</v>
      </c>
      <c r="V122" s="46" t="s">
        <v>485</v>
      </c>
      <c r="W122" s="46"/>
      <c r="X122" s="46"/>
      <c r="Y122" s="46"/>
      <c r="Z122" s="54">
        <v>43830</v>
      </c>
      <c r="AA122" s="46">
        <v>300</v>
      </c>
      <c r="AB122" s="46">
        <v>4700</v>
      </c>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t="s">
        <v>97</v>
      </c>
      <c r="AY122" s="46"/>
      <c r="AZ122" s="46" t="s">
        <v>486</v>
      </c>
      <c r="BA122" s="46"/>
      <c r="BB122" s="46" t="s">
        <v>246</v>
      </c>
      <c r="BC122" s="46" t="s">
        <v>487</v>
      </c>
      <c r="BD122" s="46" t="s">
        <v>488</v>
      </c>
      <c r="BE122" s="55">
        <v>43853.069426863425</v>
      </c>
      <c r="BF122" s="46"/>
      <c r="BG122" s="46"/>
      <c r="BH122" s="46"/>
      <c r="BI122" s="46" t="s">
        <v>489</v>
      </c>
      <c r="BJ122" s="46">
        <v>4.0122202016854098E+18</v>
      </c>
      <c r="BK122" s="46" t="s">
        <v>490</v>
      </c>
      <c r="BL122" s="46" t="s">
        <v>676</v>
      </c>
      <c r="BM122" s="46">
        <v>2020</v>
      </c>
      <c r="BN122" s="46" t="s">
        <v>492</v>
      </c>
      <c r="BO122" s="46"/>
      <c r="BP122" s="46">
        <v>4.01222020168546E+18</v>
      </c>
      <c r="BQ122" s="46" t="s">
        <v>758</v>
      </c>
      <c r="BR122" s="46" t="s">
        <v>494</v>
      </c>
      <c r="BS122" s="51">
        <v>300</v>
      </c>
      <c r="BT122" s="52" t="s">
        <v>16</v>
      </c>
      <c r="BU122" s="49">
        <v>234.2655514898066</v>
      </c>
      <c r="BV122" s="49">
        <v>65.734448510193417</v>
      </c>
      <c r="BW122" s="46"/>
      <c r="BX122" s="53">
        <v>0.78088517163268867</v>
      </c>
      <c r="BY122" s="53">
        <v>0.21911482836731139</v>
      </c>
    </row>
    <row r="123" spans="1:77">
      <c r="A123" s="46" t="s">
        <v>473</v>
      </c>
      <c r="B123" s="46" t="s">
        <v>474</v>
      </c>
      <c r="C123" s="46"/>
      <c r="D123" s="46"/>
      <c r="E123" s="46" t="s">
        <v>759</v>
      </c>
      <c r="F123" s="46" t="s">
        <v>262</v>
      </c>
      <c r="G123" s="46"/>
      <c r="H123" s="46" t="s">
        <v>97</v>
      </c>
      <c r="I123" s="46" t="s">
        <v>760</v>
      </c>
      <c r="J123" s="46"/>
      <c r="K123" s="46" t="s">
        <v>761</v>
      </c>
      <c r="L123" s="46"/>
      <c r="M123" s="46" t="s">
        <v>762</v>
      </c>
      <c r="N123" s="46"/>
      <c r="O123" s="46" t="s">
        <v>531</v>
      </c>
      <c r="P123" s="46" t="s">
        <v>172</v>
      </c>
      <c r="Q123" s="46">
        <v>770247710</v>
      </c>
      <c r="R123" s="46" t="s">
        <v>763</v>
      </c>
      <c r="S123" s="46" t="s">
        <v>764</v>
      </c>
      <c r="T123" s="46"/>
      <c r="U123" s="46" t="s">
        <v>589</v>
      </c>
      <c r="V123" s="46" t="s">
        <v>590</v>
      </c>
      <c r="W123" s="46" t="s">
        <v>485</v>
      </c>
      <c r="X123" s="46"/>
      <c r="Y123" s="46"/>
      <c r="Z123" s="54">
        <v>44089</v>
      </c>
      <c r="AA123" s="46">
        <v>1000</v>
      </c>
      <c r="AB123" s="46">
        <v>1200</v>
      </c>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t="s">
        <v>628</v>
      </c>
      <c r="AY123" s="46"/>
      <c r="AZ123" s="46" t="s">
        <v>629</v>
      </c>
      <c r="BA123" s="46">
        <v>2020</v>
      </c>
      <c r="BB123" s="46" t="s">
        <v>246</v>
      </c>
      <c r="BC123" s="46" t="s">
        <v>487</v>
      </c>
      <c r="BD123" s="46" t="s">
        <v>488</v>
      </c>
      <c r="BE123" s="55">
        <v>44324.200905613427</v>
      </c>
      <c r="BF123" s="46"/>
      <c r="BG123" s="46" t="s">
        <v>765</v>
      </c>
      <c r="BH123" s="46" t="s">
        <v>713</v>
      </c>
      <c r="BI123" s="46" t="s">
        <v>714</v>
      </c>
      <c r="BJ123" s="46">
        <v>4.0423202112787502E+18</v>
      </c>
      <c r="BK123" s="46" t="s">
        <v>490</v>
      </c>
      <c r="BL123" s="46" t="s">
        <v>715</v>
      </c>
      <c r="BM123" s="46">
        <v>2020</v>
      </c>
      <c r="BN123" s="46" t="s">
        <v>492</v>
      </c>
      <c r="BO123" s="46"/>
      <c r="BP123" s="46">
        <v>4.0508202112872202E+18</v>
      </c>
      <c r="BQ123" s="46" t="s">
        <v>766</v>
      </c>
      <c r="BR123" s="46" t="s">
        <v>494</v>
      </c>
      <c r="BS123" s="51">
        <v>1000</v>
      </c>
      <c r="BT123" s="46" t="s">
        <v>16</v>
      </c>
      <c r="BU123" s="49">
        <v>1000</v>
      </c>
      <c r="BV123" s="49"/>
      <c r="BW123" s="46"/>
      <c r="BX123" s="53">
        <v>1</v>
      </c>
      <c r="BY123" s="53"/>
    </row>
    <row r="124" spans="1:77">
      <c r="A124" s="46" t="s">
        <v>473</v>
      </c>
      <c r="B124" s="46" t="s">
        <v>474</v>
      </c>
      <c r="C124" s="46"/>
      <c r="D124" s="46"/>
      <c r="E124" s="46" t="s">
        <v>767</v>
      </c>
      <c r="F124" s="46" t="s">
        <v>476</v>
      </c>
      <c r="G124" s="46" t="s">
        <v>477</v>
      </c>
      <c r="H124" s="46" t="s">
        <v>224</v>
      </c>
      <c r="I124" s="46" t="s">
        <v>768</v>
      </c>
      <c r="J124" s="46" t="s">
        <v>769</v>
      </c>
      <c r="K124" s="46" t="s">
        <v>770</v>
      </c>
      <c r="L124" s="46"/>
      <c r="M124" s="46" t="s">
        <v>499</v>
      </c>
      <c r="N124" s="46"/>
      <c r="O124" s="46" t="s">
        <v>500</v>
      </c>
      <c r="P124" s="46" t="s">
        <v>172</v>
      </c>
      <c r="Q124" s="46">
        <v>77389</v>
      </c>
      <c r="R124" s="46" t="s">
        <v>483</v>
      </c>
      <c r="S124" s="46" t="s">
        <v>771</v>
      </c>
      <c r="T124" s="46"/>
      <c r="U124" s="46">
        <v>15</v>
      </c>
      <c r="V124" s="46" t="s">
        <v>485</v>
      </c>
      <c r="W124" s="46"/>
      <c r="X124" s="46"/>
      <c r="Y124" s="46"/>
      <c r="Z124" s="54">
        <v>43646</v>
      </c>
      <c r="AA124" s="46">
        <v>416</v>
      </c>
      <c r="AB124" s="46">
        <v>2496</v>
      </c>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t="s">
        <v>97</v>
      </c>
      <c r="AY124" s="46"/>
      <c r="AZ124" s="46" t="s">
        <v>486</v>
      </c>
      <c r="BA124" s="46"/>
      <c r="BB124" s="46" t="s">
        <v>246</v>
      </c>
      <c r="BC124" s="46" t="s">
        <v>487</v>
      </c>
      <c r="BD124" s="46" t="s">
        <v>488</v>
      </c>
      <c r="BE124" s="55">
        <v>43657.143775682867</v>
      </c>
      <c r="BF124" s="46"/>
      <c r="BG124" s="46"/>
      <c r="BH124" s="46"/>
      <c r="BI124" s="46" t="s">
        <v>489</v>
      </c>
      <c r="BJ124" s="46">
        <v>4.0710201916590899E+18</v>
      </c>
      <c r="BK124" s="46" t="s">
        <v>490</v>
      </c>
      <c r="BL124" s="46" t="s">
        <v>772</v>
      </c>
      <c r="BM124" s="46">
        <v>2020</v>
      </c>
      <c r="BN124" s="46" t="s">
        <v>492</v>
      </c>
      <c r="BO124" s="46"/>
      <c r="BP124" s="46">
        <v>4.0710201916592599E+18</v>
      </c>
      <c r="BQ124" s="46" t="s">
        <v>773</v>
      </c>
      <c r="BR124" s="46" t="s">
        <v>494</v>
      </c>
      <c r="BS124" s="51">
        <v>416</v>
      </c>
      <c r="BT124" s="52" t="s">
        <v>16</v>
      </c>
      <c r="BU124" s="49">
        <v>324.84823139919848</v>
      </c>
      <c r="BV124" s="49">
        <v>91.151768600801532</v>
      </c>
      <c r="BW124" s="46"/>
      <c r="BX124" s="53">
        <v>0.78088517163268867</v>
      </c>
      <c r="BY124" s="53">
        <v>0.21911482836731139</v>
      </c>
    </row>
    <row r="125" spans="1:77">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1"/>
      <c r="BT125" s="59"/>
      <c r="BU125" s="60"/>
      <c r="BV125" s="60"/>
      <c r="BW125" s="59"/>
      <c r="BX125" s="61"/>
      <c r="BY125" s="61"/>
    </row>
    <row r="126" spans="1:77">
      <c r="A126" s="46" t="s">
        <v>473</v>
      </c>
      <c r="B126" s="46" t="s">
        <v>474</v>
      </c>
      <c r="C126" s="46"/>
      <c r="D126" s="46"/>
      <c r="E126" s="46" t="s">
        <v>774</v>
      </c>
      <c r="F126" s="46" t="s">
        <v>97</v>
      </c>
      <c r="G126" s="46"/>
      <c r="H126" s="46" t="s">
        <v>97</v>
      </c>
      <c r="I126" s="46" t="s">
        <v>775</v>
      </c>
      <c r="J126" s="46"/>
      <c r="K126" s="46" t="s">
        <v>776</v>
      </c>
      <c r="L126" s="46"/>
      <c r="M126" s="46" t="s">
        <v>777</v>
      </c>
      <c r="N126" s="46"/>
      <c r="O126" s="46" t="s">
        <v>531</v>
      </c>
      <c r="P126" s="46" t="s">
        <v>172</v>
      </c>
      <c r="Q126" s="46">
        <v>77227</v>
      </c>
      <c r="R126" s="46" t="s">
        <v>532</v>
      </c>
      <c r="S126" s="46" t="s">
        <v>778</v>
      </c>
      <c r="T126" s="46"/>
      <c r="U126" s="46" t="s">
        <v>779</v>
      </c>
      <c r="V126" s="46" t="s">
        <v>780</v>
      </c>
      <c r="W126" s="46" t="s">
        <v>781</v>
      </c>
      <c r="X126" s="46" t="s">
        <v>782</v>
      </c>
      <c r="Y126" s="46"/>
      <c r="Z126" s="54">
        <v>43896</v>
      </c>
      <c r="AA126" s="46">
        <v>2800</v>
      </c>
      <c r="AB126" s="46">
        <v>2800</v>
      </c>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t="s">
        <v>710</v>
      </c>
      <c r="AY126" s="46"/>
      <c r="AZ126" s="46" t="s">
        <v>486</v>
      </c>
      <c r="BA126" s="46">
        <v>2020</v>
      </c>
      <c r="BB126" s="46" t="s">
        <v>246</v>
      </c>
      <c r="BC126" s="46" t="s">
        <v>487</v>
      </c>
      <c r="BD126" s="46" t="s">
        <v>488</v>
      </c>
      <c r="BE126" s="55">
        <v>44001.120116851853</v>
      </c>
      <c r="BF126" s="46"/>
      <c r="BG126" s="46"/>
      <c r="BH126" s="46"/>
      <c r="BI126" s="46" t="s">
        <v>632</v>
      </c>
      <c r="BJ126" s="46">
        <v>4.0618202017751101E+18</v>
      </c>
      <c r="BK126" s="46" t="s">
        <v>490</v>
      </c>
      <c r="BL126" s="46"/>
      <c r="BM126" s="46">
        <v>2020</v>
      </c>
      <c r="BN126" s="46" t="s">
        <v>492</v>
      </c>
      <c r="BO126" s="46"/>
      <c r="BP126" s="46">
        <v>4.06182020177549E+18</v>
      </c>
      <c r="BQ126" s="46" t="s">
        <v>783</v>
      </c>
      <c r="BR126" s="46" t="s">
        <v>784</v>
      </c>
      <c r="BS126" s="51">
        <v>2800</v>
      </c>
      <c r="BT126" s="46" t="s">
        <v>16</v>
      </c>
      <c r="BU126" s="49">
        <v>2800</v>
      </c>
      <c r="BV126" s="49"/>
      <c r="BW126" s="46"/>
      <c r="BX126" s="53">
        <v>1</v>
      </c>
      <c r="BY126" s="53"/>
    </row>
    <row r="127" spans="1:77">
      <c r="A127" s="46" t="s">
        <v>473</v>
      </c>
      <c r="B127" s="46" t="s">
        <v>474</v>
      </c>
      <c r="C127" s="46"/>
      <c r="D127" s="46"/>
      <c r="E127" s="46" t="s">
        <v>785</v>
      </c>
      <c r="F127" s="46" t="s">
        <v>476</v>
      </c>
      <c r="G127" s="46" t="s">
        <v>477</v>
      </c>
      <c r="H127" s="46" t="s">
        <v>224</v>
      </c>
      <c r="I127" s="46" t="s">
        <v>786</v>
      </c>
      <c r="J127" s="46"/>
      <c r="K127" s="46" t="s">
        <v>787</v>
      </c>
      <c r="L127" s="46"/>
      <c r="M127" s="46" t="s">
        <v>788</v>
      </c>
      <c r="N127" s="46"/>
      <c r="O127" s="46" t="s">
        <v>789</v>
      </c>
      <c r="P127" s="46" t="s">
        <v>331</v>
      </c>
      <c r="Q127" s="46">
        <v>46260</v>
      </c>
      <c r="R127" s="46" t="s">
        <v>483</v>
      </c>
      <c r="S127" s="46" t="s">
        <v>790</v>
      </c>
      <c r="T127" s="46"/>
      <c r="U127" s="46">
        <v>15</v>
      </c>
      <c r="V127" s="46" t="s">
        <v>485</v>
      </c>
      <c r="W127" s="46"/>
      <c r="X127" s="46"/>
      <c r="Y127" s="46"/>
      <c r="Z127" s="54">
        <v>44084</v>
      </c>
      <c r="AA127" s="46">
        <v>5000</v>
      </c>
      <c r="AB127" s="46">
        <v>5000</v>
      </c>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t="s">
        <v>97</v>
      </c>
      <c r="AY127" s="46"/>
      <c r="AZ127" s="46" t="s">
        <v>486</v>
      </c>
      <c r="BA127" s="46"/>
      <c r="BB127" s="46" t="s">
        <v>246</v>
      </c>
      <c r="BC127" s="46" t="s">
        <v>487</v>
      </c>
      <c r="BD127" s="46" t="s">
        <v>488</v>
      </c>
      <c r="BE127" s="55">
        <v>44121.755114108797</v>
      </c>
      <c r="BF127" s="46"/>
      <c r="BG127" s="46"/>
      <c r="BH127" s="46"/>
      <c r="BI127" s="46" t="s">
        <v>489</v>
      </c>
      <c r="BJ127" s="46">
        <v>4.1015202018575601E+18</v>
      </c>
      <c r="BK127" s="46" t="s">
        <v>490</v>
      </c>
      <c r="BL127" s="46"/>
      <c r="BM127" s="46">
        <v>2020</v>
      </c>
      <c r="BN127" s="46" t="s">
        <v>492</v>
      </c>
      <c r="BO127" s="46"/>
      <c r="BP127" s="46">
        <v>4.1016202018796498E+18</v>
      </c>
      <c r="BQ127" s="46" t="s">
        <v>791</v>
      </c>
      <c r="BR127" s="46" t="s">
        <v>494</v>
      </c>
      <c r="BS127" s="51">
        <v>5000</v>
      </c>
      <c r="BT127" s="52" t="s">
        <v>16</v>
      </c>
      <c r="BU127" s="49">
        <v>3904.4258581634435</v>
      </c>
      <c r="BV127" s="49">
        <v>1095.5741418365569</v>
      </c>
      <c r="BW127" s="46"/>
      <c r="BX127" s="53">
        <v>0.78088517163268867</v>
      </c>
      <c r="BY127" s="53">
        <v>0.21911482836731139</v>
      </c>
    </row>
    <row r="128" spans="1:77">
      <c r="A128" s="46" t="s">
        <v>473</v>
      </c>
      <c r="B128" s="46" t="s">
        <v>474</v>
      </c>
      <c r="C128" s="46" t="s">
        <v>792</v>
      </c>
      <c r="D128" s="46"/>
      <c r="E128" s="46" t="s">
        <v>793</v>
      </c>
      <c r="F128" s="46" t="s">
        <v>526</v>
      </c>
      <c r="G128" s="46"/>
      <c r="H128" s="46" t="s">
        <v>527</v>
      </c>
      <c r="I128" s="46" t="s">
        <v>794</v>
      </c>
      <c r="J128" s="46"/>
      <c r="K128" s="46" t="s">
        <v>795</v>
      </c>
      <c r="L128" s="46"/>
      <c r="M128" s="46" t="s">
        <v>796</v>
      </c>
      <c r="N128" s="46"/>
      <c r="O128" s="46" t="s">
        <v>797</v>
      </c>
      <c r="P128" s="46" t="s">
        <v>172</v>
      </c>
      <c r="Q128" s="46">
        <v>752305235</v>
      </c>
      <c r="R128" s="46" t="s">
        <v>532</v>
      </c>
      <c r="S128" s="46" t="s">
        <v>798</v>
      </c>
      <c r="T128" s="46" t="s">
        <v>792</v>
      </c>
      <c r="U128" s="46" t="s">
        <v>589</v>
      </c>
      <c r="V128" s="46" t="s">
        <v>590</v>
      </c>
      <c r="W128" s="46" t="s">
        <v>799</v>
      </c>
      <c r="X128" s="46"/>
      <c r="Y128" s="46"/>
      <c r="Z128" s="54">
        <v>44099</v>
      </c>
      <c r="AA128" s="46">
        <v>3000</v>
      </c>
      <c r="AB128" s="46">
        <v>3000</v>
      </c>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t="s">
        <v>246</v>
      </c>
      <c r="BC128" s="46" t="s">
        <v>487</v>
      </c>
      <c r="BD128" s="46" t="s">
        <v>488</v>
      </c>
      <c r="BE128" s="55">
        <v>44252.593871296296</v>
      </c>
      <c r="BF128" s="46"/>
      <c r="BG128" s="46"/>
      <c r="BH128" s="46"/>
      <c r="BI128" s="46" t="s">
        <v>489</v>
      </c>
      <c r="BJ128" s="46">
        <v>4.0125202121377597E+18</v>
      </c>
      <c r="BK128" s="46" t="s">
        <v>490</v>
      </c>
      <c r="BL128" s="46"/>
      <c r="BM128" s="46">
        <v>2020</v>
      </c>
      <c r="BN128" s="46" t="s">
        <v>492</v>
      </c>
      <c r="BO128" s="46"/>
      <c r="BP128" s="46">
        <v>4.0224202111880202E+18</v>
      </c>
      <c r="BQ128" s="46" t="s">
        <v>800</v>
      </c>
      <c r="BR128" s="46" t="s">
        <v>494</v>
      </c>
      <c r="BS128" s="51">
        <v>3000</v>
      </c>
      <c r="BT128" s="46" t="s">
        <v>16</v>
      </c>
      <c r="BU128" s="49">
        <v>3000</v>
      </c>
      <c r="BV128" s="49"/>
      <c r="BW128" s="46"/>
      <c r="BX128" s="53">
        <v>1</v>
      </c>
      <c r="BY128" s="53"/>
    </row>
    <row r="129" spans="1:77">
      <c r="A129" s="46" t="s">
        <v>473</v>
      </c>
      <c r="B129" s="46" t="s">
        <v>474</v>
      </c>
      <c r="C129" s="46"/>
      <c r="D129" s="46"/>
      <c r="E129" s="46" t="s">
        <v>801</v>
      </c>
      <c r="F129" s="46" t="s">
        <v>229</v>
      </c>
      <c r="G129" s="46"/>
      <c r="H129" s="46" t="s">
        <v>527</v>
      </c>
      <c r="I129" s="46" t="s">
        <v>611</v>
      </c>
      <c r="J129" s="46"/>
      <c r="K129" s="46" t="s">
        <v>755</v>
      </c>
      <c r="L129" s="46"/>
      <c r="M129" s="46" t="s">
        <v>802</v>
      </c>
      <c r="N129" s="46"/>
      <c r="O129" s="46" t="s">
        <v>797</v>
      </c>
      <c r="P129" s="46" t="s">
        <v>172</v>
      </c>
      <c r="Q129" s="46">
        <v>752304158</v>
      </c>
      <c r="R129" s="46" t="s">
        <v>803</v>
      </c>
      <c r="S129" s="46" t="s">
        <v>804</v>
      </c>
      <c r="T129" s="46"/>
      <c r="U129" s="46">
        <v>15</v>
      </c>
      <c r="V129" s="46" t="s">
        <v>485</v>
      </c>
      <c r="W129" s="46" t="s">
        <v>485</v>
      </c>
      <c r="X129" s="46"/>
      <c r="Y129" s="46"/>
      <c r="Z129" s="54">
        <v>43768</v>
      </c>
      <c r="AA129" s="46">
        <v>5000</v>
      </c>
      <c r="AB129" s="46">
        <v>5000</v>
      </c>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t="s">
        <v>97</v>
      </c>
      <c r="AY129" s="46"/>
      <c r="AZ129" s="46" t="s">
        <v>486</v>
      </c>
      <c r="BA129" s="46"/>
      <c r="BB129" s="46" t="s">
        <v>246</v>
      </c>
      <c r="BC129" s="46" t="s">
        <v>487</v>
      </c>
      <c r="BD129" s="46" t="s">
        <v>488</v>
      </c>
      <c r="BE129" s="55">
        <v>43793.087239016204</v>
      </c>
      <c r="BF129" s="46"/>
      <c r="BG129" s="46"/>
      <c r="BH129" s="46"/>
      <c r="BI129" s="46" t="s">
        <v>489</v>
      </c>
      <c r="BJ129" s="46">
        <v>4.1120201916795197E+18</v>
      </c>
      <c r="BK129" s="46" t="s">
        <v>490</v>
      </c>
      <c r="BL129" s="46"/>
      <c r="BM129" s="46">
        <v>2020</v>
      </c>
      <c r="BN129" s="46" t="s">
        <v>492</v>
      </c>
      <c r="BO129" s="46"/>
      <c r="BP129" s="46">
        <v>4.1123201916803999E+18</v>
      </c>
      <c r="BQ129" s="46" t="s">
        <v>805</v>
      </c>
      <c r="BR129" s="46" t="s">
        <v>494</v>
      </c>
      <c r="BS129" s="51">
        <v>5000</v>
      </c>
      <c r="BT129" s="46" t="s">
        <v>16</v>
      </c>
      <c r="BU129" s="49">
        <v>5000</v>
      </c>
      <c r="BV129" s="49"/>
      <c r="BW129" s="46"/>
      <c r="BX129" s="53">
        <v>1</v>
      </c>
      <c r="BY129" s="53"/>
    </row>
    <row r="130" spans="1:77">
      <c r="A130" s="46" t="s">
        <v>473</v>
      </c>
      <c r="B130" s="46" t="s">
        <v>474</v>
      </c>
      <c r="C130" s="46"/>
      <c r="D130" s="46"/>
      <c r="E130" s="46" t="s">
        <v>806</v>
      </c>
      <c r="F130" s="46" t="s">
        <v>476</v>
      </c>
      <c r="G130" s="46" t="s">
        <v>477</v>
      </c>
      <c r="H130" s="46" t="s">
        <v>224</v>
      </c>
      <c r="I130" s="46" t="s">
        <v>760</v>
      </c>
      <c r="J130" s="46"/>
      <c r="K130" s="46" t="s">
        <v>807</v>
      </c>
      <c r="L130" s="46"/>
      <c r="M130" s="46" t="s">
        <v>808</v>
      </c>
      <c r="N130" s="46"/>
      <c r="O130" s="46" t="s">
        <v>809</v>
      </c>
      <c r="P130" s="46" t="s">
        <v>696</v>
      </c>
      <c r="Q130" s="46">
        <v>33408</v>
      </c>
      <c r="R130" s="46" t="s">
        <v>483</v>
      </c>
      <c r="S130" s="46" t="s">
        <v>790</v>
      </c>
      <c r="T130" s="46"/>
      <c r="U130" s="46">
        <v>15</v>
      </c>
      <c r="V130" s="46" t="s">
        <v>485</v>
      </c>
      <c r="W130" s="46"/>
      <c r="X130" s="46"/>
      <c r="Y130" s="46"/>
      <c r="Z130" s="54">
        <v>44119</v>
      </c>
      <c r="AA130" s="46">
        <v>5000</v>
      </c>
      <c r="AB130" s="46">
        <v>5000</v>
      </c>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t="s">
        <v>97</v>
      </c>
      <c r="AY130" s="46"/>
      <c r="AZ130" s="46" t="s">
        <v>486</v>
      </c>
      <c r="BA130" s="46"/>
      <c r="BB130" s="46" t="s">
        <v>246</v>
      </c>
      <c r="BC130" s="46" t="s">
        <v>487</v>
      </c>
      <c r="BD130" s="46" t="s">
        <v>488</v>
      </c>
      <c r="BE130" s="55">
        <v>44176.213705405091</v>
      </c>
      <c r="BF130" s="46"/>
      <c r="BG130" s="46"/>
      <c r="BH130" s="46"/>
      <c r="BI130" s="46" t="s">
        <v>489</v>
      </c>
      <c r="BJ130" s="46">
        <v>4.1201202019626998E+18</v>
      </c>
      <c r="BK130" s="46" t="s">
        <v>490</v>
      </c>
      <c r="BL130" s="46"/>
      <c r="BM130" s="46">
        <v>2020</v>
      </c>
      <c r="BN130" s="46" t="s">
        <v>492</v>
      </c>
      <c r="BO130" s="46"/>
      <c r="BP130" s="46">
        <v>4.1211202019690399E+18</v>
      </c>
      <c r="BQ130" s="46" t="s">
        <v>810</v>
      </c>
      <c r="BR130" s="46" t="s">
        <v>494</v>
      </c>
      <c r="BS130" s="51">
        <v>5000</v>
      </c>
      <c r="BT130" s="52" t="s">
        <v>16</v>
      </c>
      <c r="BU130" s="49">
        <v>3904.4258581634435</v>
      </c>
      <c r="BV130" s="49">
        <v>1095.5741418365569</v>
      </c>
      <c r="BW130" s="46"/>
      <c r="BX130" s="53">
        <v>0.78088517163268867</v>
      </c>
      <c r="BY130" s="53">
        <v>0.21911482836731139</v>
      </c>
    </row>
    <row r="131" spans="1:77">
      <c r="A131" s="46" t="s">
        <v>473</v>
      </c>
      <c r="B131" s="46" t="s">
        <v>474</v>
      </c>
      <c r="C131" s="46"/>
      <c r="D131" s="46"/>
      <c r="E131" s="46" t="s">
        <v>811</v>
      </c>
      <c r="F131" s="46" t="s">
        <v>476</v>
      </c>
      <c r="G131" s="46" t="s">
        <v>477</v>
      </c>
      <c r="H131" s="46" t="s">
        <v>224</v>
      </c>
      <c r="I131" s="46" t="s">
        <v>812</v>
      </c>
      <c r="J131" s="46" t="s">
        <v>268</v>
      </c>
      <c r="K131" s="46" t="s">
        <v>813</v>
      </c>
      <c r="L131" s="46"/>
      <c r="M131" s="46"/>
      <c r="N131" s="46"/>
      <c r="O131" s="46"/>
      <c r="P131" s="46"/>
      <c r="Q131" s="46"/>
      <c r="R131" s="46" t="s">
        <v>814</v>
      </c>
      <c r="S131" s="46" t="s">
        <v>815</v>
      </c>
      <c r="T131" s="46"/>
      <c r="U131" s="46">
        <v>15</v>
      </c>
      <c r="V131" s="46" t="s">
        <v>485</v>
      </c>
      <c r="W131" s="46"/>
      <c r="X131" s="46"/>
      <c r="Y131" s="46"/>
      <c r="Z131" s="54">
        <v>44098</v>
      </c>
      <c r="AA131" s="46">
        <v>5000</v>
      </c>
      <c r="AB131" s="46">
        <v>5000</v>
      </c>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t="s">
        <v>97</v>
      </c>
      <c r="AY131" s="46"/>
      <c r="AZ131" s="46" t="s">
        <v>486</v>
      </c>
      <c r="BA131" s="46"/>
      <c r="BB131" s="46" t="s">
        <v>246</v>
      </c>
      <c r="BC131" s="46" t="s">
        <v>487</v>
      </c>
      <c r="BD131" s="46" t="s">
        <v>488</v>
      </c>
      <c r="BE131" s="55">
        <v>44121.755114143518</v>
      </c>
      <c r="BF131" s="46"/>
      <c r="BG131" s="46"/>
      <c r="BH131" s="46"/>
      <c r="BI131" s="46" t="s">
        <v>489</v>
      </c>
      <c r="BJ131" s="46">
        <v>4.1015202018575601E+18</v>
      </c>
      <c r="BK131" s="46" t="s">
        <v>490</v>
      </c>
      <c r="BL131" s="46"/>
      <c r="BM131" s="46">
        <v>2020</v>
      </c>
      <c r="BN131" s="46" t="s">
        <v>492</v>
      </c>
      <c r="BO131" s="46"/>
      <c r="BP131" s="46">
        <v>4.1016202018796498E+18</v>
      </c>
      <c r="BQ131" s="46" t="s">
        <v>816</v>
      </c>
      <c r="BR131" s="46" t="s">
        <v>494</v>
      </c>
      <c r="BS131" s="51">
        <v>5000</v>
      </c>
      <c r="BT131" s="52" t="s">
        <v>16</v>
      </c>
      <c r="BU131" s="49">
        <v>3904.4258581634435</v>
      </c>
      <c r="BV131" s="49">
        <v>1095.5741418365569</v>
      </c>
      <c r="BW131" s="46"/>
      <c r="BX131" s="53">
        <v>0.78088517163268867</v>
      </c>
      <c r="BY131" s="53">
        <v>0.21911482836731139</v>
      </c>
    </row>
    <row r="132" spans="1:77">
      <c r="A132" s="46" t="s">
        <v>473</v>
      </c>
      <c r="B132" s="46" t="s">
        <v>474</v>
      </c>
      <c r="C132" s="46" t="s">
        <v>792</v>
      </c>
      <c r="D132" s="46"/>
      <c r="E132" s="46" t="s">
        <v>817</v>
      </c>
      <c r="F132" s="46" t="s">
        <v>526</v>
      </c>
      <c r="G132" s="46"/>
      <c r="H132" s="46" t="s">
        <v>527</v>
      </c>
      <c r="I132" s="46" t="s">
        <v>818</v>
      </c>
      <c r="J132" s="46"/>
      <c r="K132" s="46" t="s">
        <v>819</v>
      </c>
      <c r="L132" s="46"/>
      <c r="M132" s="46" t="s">
        <v>820</v>
      </c>
      <c r="N132" s="46"/>
      <c r="O132" s="46" t="s">
        <v>797</v>
      </c>
      <c r="P132" s="46" t="s">
        <v>172</v>
      </c>
      <c r="Q132" s="46">
        <v>752305106</v>
      </c>
      <c r="R132" s="46" t="s">
        <v>483</v>
      </c>
      <c r="S132" s="46" t="s">
        <v>821</v>
      </c>
      <c r="T132" s="46" t="s">
        <v>792</v>
      </c>
      <c r="U132" s="46" t="s">
        <v>589</v>
      </c>
      <c r="V132" s="46" t="s">
        <v>590</v>
      </c>
      <c r="W132" s="46" t="s">
        <v>799</v>
      </c>
      <c r="X132" s="46"/>
      <c r="Y132" s="46"/>
      <c r="Z132" s="54">
        <v>44083</v>
      </c>
      <c r="AA132" s="46">
        <v>3000</v>
      </c>
      <c r="AB132" s="46">
        <v>3000</v>
      </c>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t="s">
        <v>246</v>
      </c>
      <c r="BC132" s="46" t="s">
        <v>487</v>
      </c>
      <c r="BD132" s="46" t="s">
        <v>488</v>
      </c>
      <c r="BE132" s="55">
        <v>44252.588967303243</v>
      </c>
      <c r="BF132" s="46"/>
      <c r="BG132" s="46"/>
      <c r="BH132" s="46"/>
      <c r="BI132" s="46" t="s">
        <v>489</v>
      </c>
      <c r="BJ132" s="46">
        <v>4.0125202121377597E+18</v>
      </c>
      <c r="BK132" s="46" t="s">
        <v>490</v>
      </c>
      <c r="BL132" s="46"/>
      <c r="BM132" s="46">
        <v>2020</v>
      </c>
      <c r="BN132" s="46" t="s">
        <v>492</v>
      </c>
      <c r="BO132" s="46"/>
      <c r="BP132" s="46">
        <v>4.0224202111867402E+18</v>
      </c>
      <c r="BQ132" s="46" t="s">
        <v>822</v>
      </c>
      <c r="BR132" s="46" t="s">
        <v>494</v>
      </c>
      <c r="BS132" s="51">
        <v>3000</v>
      </c>
      <c r="BT132" s="46" t="s">
        <v>16</v>
      </c>
      <c r="BU132" s="49">
        <v>3000</v>
      </c>
      <c r="BV132" s="49"/>
      <c r="BW132" s="46"/>
      <c r="BX132" s="53">
        <v>1</v>
      </c>
      <c r="BY132" s="53"/>
    </row>
    <row r="133" spans="1:77">
      <c r="A133" s="46" t="s">
        <v>473</v>
      </c>
      <c r="B133" s="46" t="s">
        <v>474</v>
      </c>
      <c r="C133" s="46"/>
      <c r="D133" s="46"/>
      <c r="E133" s="46" t="s">
        <v>823</v>
      </c>
      <c r="F133" s="46" t="s">
        <v>476</v>
      </c>
      <c r="G133" s="46" t="s">
        <v>477</v>
      </c>
      <c r="H133" s="46" t="s">
        <v>224</v>
      </c>
      <c r="I133" s="46" t="s">
        <v>595</v>
      </c>
      <c r="J133" s="46" t="s">
        <v>226</v>
      </c>
      <c r="K133" s="46" t="s">
        <v>824</v>
      </c>
      <c r="L133" s="46"/>
      <c r="M133" s="46" t="s">
        <v>825</v>
      </c>
      <c r="N133" s="46" t="s">
        <v>826</v>
      </c>
      <c r="O133" s="46" t="s">
        <v>531</v>
      </c>
      <c r="P133" s="46" t="s">
        <v>172</v>
      </c>
      <c r="Q133" s="46">
        <v>770560000</v>
      </c>
      <c r="R133" s="46" t="s">
        <v>483</v>
      </c>
      <c r="S133" s="46" t="s">
        <v>48</v>
      </c>
      <c r="T133" s="46"/>
      <c r="U133" s="46">
        <v>15</v>
      </c>
      <c r="V133" s="46" t="s">
        <v>485</v>
      </c>
      <c r="W133" s="46"/>
      <c r="X133" s="46"/>
      <c r="Y133" s="46"/>
      <c r="Z133" s="54">
        <v>44119</v>
      </c>
      <c r="AA133" s="46">
        <v>2000</v>
      </c>
      <c r="AB133" s="46">
        <v>2000</v>
      </c>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t="s">
        <v>97</v>
      </c>
      <c r="AY133" s="46"/>
      <c r="AZ133" s="46" t="s">
        <v>486</v>
      </c>
      <c r="BA133" s="46"/>
      <c r="BB133" s="46" t="s">
        <v>246</v>
      </c>
      <c r="BC133" s="46" t="s">
        <v>487</v>
      </c>
      <c r="BD133" s="46" t="s">
        <v>488</v>
      </c>
      <c r="BE133" s="55">
        <v>44176.213704259259</v>
      </c>
      <c r="BF133" s="46"/>
      <c r="BG133" s="46"/>
      <c r="BH133" s="46"/>
      <c r="BI133" s="46" t="s">
        <v>489</v>
      </c>
      <c r="BJ133" s="46">
        <v>4.1201202019626998E+18</v>
      </c>
      <c r="BK133" s="46" t="s">
        <v>490</v>
      </c>
      <c r="BL133" s="46"/>
      <c r="BM133" s="46">
        <v>2020</v>
      </c>
      <c r="BN133" s="46" t="s">
        <v>492</v>
      </c>
      <c r="BO133" s="46"/>
      <c r="BP133" s="46">
        <v>4.1211202019690399E+18</v>
      </c>
      <c r="BQ133" s="46" t="s">
        <v>827</v>
      </c>
      <c r="BR133" s="46" t="s">
        <v>494</v>
      </c>
      <c r="BS133" s="51">
        <v>2000</v>
      </c>
      <c r="BT133" s="52" t="s">
        <v>16</v>
      </c>
      <c r="BU133" s="49">
        <v>1561.7703432653773</v>
      </c>
      <c r="BV133" s="49">
        <v>438.22965673462278</v>
      </c>
      <c r="BW133" s="46"/>
      <c r="BX133" s="53">
        <v>0.78088517163268867</v>
      </c>
      <c r="BY133" s="53">
        <v>0.21911482836731139</v>
      </c>
    </row>
    <row r="134" spans="1:77">
      <c r="A134" s="46" t="s">
        <v>473</v>
      </c>
      <c r="B134" s="46" t="s">
        <v>474</v>
      </c>
      <c r="C134" s="46"/>
      <c r="D134" s="46"/>
      <c r="E134" s="46" t="s">
        <v>828</v>
      </c>
      <c r="F134" s="46" t="s">
        <v>476</v>
      </c>
      <c r="G134" s="46" t="s">
        <v>477</v>
      </c>
      <c r="H134" s="46" t="s">
        <v>224</v>
      </c>
      <c r="I134" s="46" t="s">
        <v>829</v>
      </c>
      <c r="J134" s="46"/>
      <c r="K134" s="46" t="s">
        <v>830</v>
      </c>
      <c r="L134" s="46"/>
      <c r="M134" s="46" t="s">
        <v>831</v>
      </c>
      <c r="N134" s="46"/>
      <c r="O134" s="46" t="s">
        <v>809</v>
      </c>
      <c r="P134" s="46" t="s">
        <v>696</v>
      </c>
      <c r="Q134" s="46">
        <v>33408</v>
      </c>
      <c r="R134" s="46" t="s">
        <v>483</v>
      </c>
      <c r="S134" s="46" t="s">
        <v>790</v>
      </c>
      <c r="T134" s="46"/>
      <c r="U134" s="46">
        <v>15</v>
      </c>
      <c r="V134" s="46" t="s">
        <v>485</v>
      </c>
      <c r="W134" s="46"/>
      <c r="X134" s="46"/>
      <c r="Y134" s="46"/>
      <c r="Z134" s="54">
        <v>44084</v>
      </c>
      <c r="AA134" s="46">
        <v>5000</v>
      </c>
      <c r="AB134" s="46">
        <v>5000</v>
      </c>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t="s">
        <v>97</v>
      </c>
      <c r="AY134" s="46"/>
      <c r="AZ134" s="46" t="s">
        <v>486</v>
      </c>
      <c r="BA134" s="46"/>
      <c r="BB134" s="46" t="s">
        <v>246</v>
      </c>
      <c r="BC134" s="46" t="s">
        <v>487</v>
      </c>
      <c r="BD134" s="46" t="s">
        <v>488</v>
      </c>
      <c r="BE134" s="55">
        <v>44121.714626122688</v>
      </c>
      <c r="BF134" s="46"/>
      <c r="BG134" s="46"/>
      <c r="BH134" s="46"/>
      <c r="BI134" s="46" t="s">
        <v>489</v>
      </c>
      <c r="BJ134" s="46">
        <v>4.1015202018575601E+18</v>
      </c>
      <c r="BK134" s="46" t="s">
        <v>490</v>
      </c>
      <c r="BL134" s="46"/>
      <c r="BM134" s="46">
        <v>2020</v>
      </c>
      <c r="BN134" s="46" t="s">
        <v>492</v>
      </c>
      <c r="BO134" s="46"/>
      <c r="BP134" s="46">
        <v>4.1016202018796498E+18</v>
      </c>
      <c r="BQ134" s="46" t="s">
        <v>832</v>
      </c>
      <c r="BR134" s="46" t="s">
        <v>494</v>
      </c>
      <c r="BS134" s="51">
        <v>5000</v>
      </c>
      <c r="BT134" s="52" t="s">
        <v>16</v>
      </c>
      <c r="BU134" s="49">
        <v>3904.4258581634435</v>
      </c>
      <c r="BV134" s="49">
        <v>1095.5741418365569</v>
      </c>
      <c r="BW134" s="46"/>
      <c r="BX134" s="53">
        <v>0.78088517163268867</v>
      </c>
      <c r="BY134" s="53">
        <v>0.21911482836731139</v>
      </c>
    </row>
    <row r="135" spans="1:77">
      <c r="A135" s="46" t="s">
        <v>473</v>
      </c>
      <c r="B135" s="46" t="s">
        <v>474</v>
      </c>
      <c r="C135" s="46"/>
      <c r="D135" s="46"/>
      <c r="E135" s="46" t="s">
        <v>833</v>
      </c>
      <c r="F135" s="46" t="s">
        <v>97</v>
      </c>
      <c r="G135" s="46"/>
      <c r="H135" s="46" t="s">
        <v>97</v>
      </c>
      <c r="I135" s="46" t="s">
        <v>834</v>
      </c>
      <c r="J135" s="46"/>
      <c r="K135" s="46" t="s">
        <v>835</v>
      </c>
      <c r="L135" s="46"/>
      <c r="M135" s="46" t="s">
        <v>836</v>
      </c>
      <c r="N135" s="46" t="s">
        <v>837</v>
      </c>
      <c r="O135" s="46" t="s">
        <v>838</v>
      </c>
      <c r="P135" s="46" t="s">
        <v>172</v>
      </c>
      <c r="Q135" s="46">
        <v>77550</v>
      </c>
      <c r="R135" s="46" t="s">
        <v>483</v>
      </c>
      <c r="S135" s="46" t="s">
        <v>839</v>
      </c>
      <c r="T135" s="46"/>
      <c r="U135" s="46">
        <v>15</v>
      </c>
      <c r="V135" s="46" t="s">
        <v>485</v>
      </c>
      <c r="W135" s="46"/>
      <c r="X135" s="46"/>
      <c r="Y135" s="46"/>
      <c r="Z135" s="54">
        <v>43821</v>
      </c>
      <c r="AA135" s="46">
        <v>2800</v>
      </c>
      <c r="AB135" s="46">
        <v>2800</v>
      </c>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t="s">
        <v>710</v>
      </c>
      <c r="AY135" s="46" t="s">
        <v>486</v>
      </c>
      <c r="AZ135" s="46" t="s">
        <v>486</v>
      </c>
      <c r="BA135" s="46">
        <v>2020</v>
      </c>
      <c r="BB135" s="46" t="s">
        <v>246</v>
      </c>
      <c r="BC135" s="46" t="s">
        <v>487</v>
      </c>
      <c r="BD135" s="46" t="s">
        <v>488</v>
      </c>
      <c r="BE135" s="55">
        <v>43948.055327002316</v>
      </c>
      <c r="BF135" s="46"/>
      <c r="BG135" s="46"/>
      <c r="BH135" s="46"/>
      <c r="BI135" s="46" t="s">
        <v>632</v>
      </c>
      <c r="BJ135" s="46">
        <v>4.0320202017039401E+18</v>
      </c>
      <c r="BK135" s="46" t="s">
        <v>490</v>
      </c>
      <c r="BL135" s="46"/>
      <c r="BM135" s="46">
        <v>2020</v>
      </c>
      <c r="BN135" s="46" t="s">
        <v>492</v>
      </c>
      <c r="BO135" s="46"/>
      <c r="BP135" s="46">
        <v>4.0322202017042202E+18</v>
      </c>
      <c r="BQ135" s="46" t="s">
        <v>840</v>
      </c>
      <c r="BR135" s="46" t="s">
        <v>494</v>
      </c>
      <c r="BS135" s="51">
        <v>2800</v>
      </c>
      <c r="BT135" s="46" t="s">
        <v>15</v>
      </c>
      <c r="BU135" s="49"/>
      <c r="BV135" s="49">
        <v>2800</v>
      </c>
      <c r="BW135" s="46"/>
      <c r="BX135" s="53"/>
      <c r="BY135" s="53">
        <v>1</v>
      </c>
    </row>
    <row r="136" spans="1:77">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1"/>
      <c r="BT136" s="59"/>
      <c r="BU136" s="60"/>
      <c r="BV136" s="60"/>
      <c r="BW136" s="59"/>
      <c r="BX136" s="61"/>
      <c r="BY136" s="61"/>
    </row>
    <row r="137" spans="1:77">
      <c r="A137" s="46" t="s">
        <v>473</v>
      </c>
      <c r="B137" s="46" t="s">
        <v>474</v>
      </c>
      <c r="C137" s="46"/>
      <c r="D137" s="46"/>
      <c r="E137" s="46" t="s">
        <v>841</v>
      </c>
      <c r="F137" s="46" t="s">
        <v>229</v>
      </c>
      <c r="G137" s="46"/>
      <c r="H137" s="46" t="s">
        <v>527</v>
      </c>
      <c r="I137" s="46" t="s">
        <v>842</v>
      </c>
      <c r="J137" s="46"/>
      <c r="K137" s="46" t="s">
        <v>843</v>
      </c>
      <c r="L137" s="46"/>
      <c r="M137" s="46" t="s">
        <v>844</v>
      </c>
      <c r="N137" s="46"/>
      <c r="O137" s="46" t="s">
        <v>580</v>
      </c>
      <c r="P137" s="46" t="s">
        <v>172</v>
      </c>
      <c r="Q137" s="46">
        <v>750394202</v>
      </c>
      <c r="R137" s="46" t="s">
        <v>532</v>
      </c>
      <c r="S137" s="46" t="s">
        <v>845</v>
      </c>
      <c r="T137" s="46"/>
      <c r="U137" s="46">
        <v>15</v>
      </c>
      <c r="V137" s="46" t="s">
        <v>485</v>
      </c>
      <c r="W137" s="46" t="s">
        <v>485</v>
      </c>
      <c r="X137" s="46"/>
      <c r="Y137" s="46"/>
      <c r="Z137" s="54">
        <v>44084</v>
      </c>
      <c r="AA137" s="46">
        <v>10000</v>
      </c>
      <c r="AB137" s="46">
        <v>10000</v>
      </c>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t="s">
        <v>97</v>
      </c>
      <c r="AY137" s="46"/>
      <c r="AZ137" s="46" t="s">
        <v>486</v>
      </c>
      <c r="BA137" s="46"/>
      <c r="BB137" s="46" t="s">
        <v>246</v>
      </c>
      <c r="BC137" s="46" t="s">
        <v>487</v>
      </c>
      <c r="BD137" s="46" t="s">
        <v>488</v>
      </c>
      <c r="BE137" s="55">
        <v>44225.154229525462</v>
      </c>
      <c r="BF137" s="46"/>
      <c r="BG137" s="46"/>
      <c r="BH137" s="46"/>
      <c r="BI137" s="46" t="s">
        <v>489</v>
      </c>
      <c r="BJ137" s="46">
        <v>4.0111202120681999E+18</v>
      </c>
      <c r="BK137" s="46" t="s">
        <v>490</v>
      </c>
      <c r="BL137" s="46"/>
      <c r="BM137" s="46">
        <v>2020</v>
      </c>
      <c r="BN137" s="46" t="s">
        <v>492</v>
      </c>
      <c r="BO137" s="46"/>
      <c r="BP137" s="46">
        <v>4.0129202121382902E+18</v>
      </c>
      <c r="BQ137" s="46" t="s">
        <v>846</v>
      </c>
      <c r="BR137" s="46" t="s">
        <v>494</v>
      </c>
      <c r="BS137" s="51">
        <v>10000</v>
      </c>
      <c r="BT137" s="46" t="s">
        <v>16</v>
      </c>
      <c r="BU137" s="49">
        <v>10000</v>
      </c>
      <c r="BV137" s="49"/>
      <c r="BW137" s="46"/>
      <c r="BX137" s="53">
        <v>1</v>
      </c>
      <c r="BY137" s="53"/>
    </row>
    <row r="138" spans="1:77">
      <c r="A138" s="46" t="s">
        <v>473</v>
      </c>
      <c r="B138" s="46" t="s">
        <v>474</v>
      </c>
      <c r="C138" s="46"/>
      <c r="D138" s="46"/>
      <c r="E138" s="46" t="s">
        <v>847</v>
      </c>
      <c r="F138" s="46" t="s">
        <v>229</v>
      </c>
      <c r="G138" s="46"/>
      <c r="H138" s="46" t="s">
        <v>527</v>
      </c>
      <c r="I138" s="46" t="s">
        <v>848</v>
      </c>
      <c r="J138" s="46" t="s">
        <v>849</v>
      </c>
      <c r="K138" s="46" t="s">
        <v>795</v>
      </c>
      <c r="L138" s="46" t="s">
        <v>850</v>
      </c>
      <c r="M138" s="46" t="s">
        <v>851</v>
      </c>
      <c r="N138" s="46"/>
      <c r="O138" s="46" t="s">
        <v>797</v>
      </c>
      <c r="P138" s="46" t="s">
        <v>172</v>
      </c>
      <c r="Q138" s="46">
        <v>752305235</v>
      </c>
      <c r="R138" s="46" t="s">
        <v>483</v>
      </c>
      <c r="S138" s="46" t="s">
        <v>798</v>
      </c>
      <c r="T138" s="46"/>
      <c r="U138" s="46">
        <v>15</v>
      </c>
      <c r="V138" s="46" t="s">
        <v>485</v>
      </c>
      <c r="W138" s="46" t="s">
        <v>485</v>
      </c>
      <c r="X138" s="46"/>
      <c r="Y138" s="46"/>
      <c r="Z138" s="54">
        <v>43818</v>
      </c>
      <c r="AA138" s="46">
        <v>6500</v>
      </c>
      <c r="AB138" s="46">
        <v>6500</v>
      </c>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t="s">
        <v>97</v>
      </c>
      <c r="AY138" s="46"/>
      <c r="AZ138" s="46" t="s">
        <v>486</v>
      </c>
      <c r="BA138" s="46"/>
      <c r="BB138" s="46" t="s">
        <v>246</v>
      </c>
      <c r="BC138" s="46" t="s">
        <v>487</v>
      </c>
      <c r="BD138" s="46" t="s">
        <v>488</v>
      </c>
      <c r="BE138" s="55">
        <v>43869.069224108796</v>
      </c>
      <c r="BF138" s="46"/>
      <c r="BG138" s="46"/>
      <c r="BH138" s="46"/>
      <c r="BI138" s="46" t="s">
        <v>489</v>
      </c>
      <c r="BJ138" s="46">
        <v>4.0131202016861901E+18</v>
      </c>
      <c r="BK138" s="46" t="s">
        <v>490</v>
      </c>
      <c r="BL138" s="46"/>
      <c r="BM138" s="46">
        <v>2020</v>
      </c>
      <c r="BN138" s="46" t="s">
        <v>492</v>
      </c>
      <c r="BO138" s="46"/>
      <c r="BP138" s="46">
        <v>4.0207202016876298E+18</v>
      </c>
      <c r="BQ138" s="46" t="s">
        <v>852</v>
      </c>
      <c r="BR138" s="46" t="s">
        <v>494</v>
      </c>
      <c r="BS138" s="51">
        <v>6500</v>
      </c>
      <c r="BT138" s="46" t="s">
        <v>16</v>
      </c>
      <c r="BU138" s="49">
        <v>6500</v>
      </c>
      <c r="BV138" s="49"/>
      <c r="BW138" s="46"/>
      <c r="BX138" s="53">
        <v>1</v>
      </c>
      <c r="BY138" s="53"/>
    </row>
    <row r="139" spans="1:77">
      <c r="A139" s="46" t="s">
        <v>473</v>
      </c>
      <c r="B139" s="46" t="s">
        <v>474</v>
      </c>
      <c r="C139" s="46"/>
      <c r="D139" s="46"/>
      <c r="E139" s="46" t="s">
        <v>853</v>
      </c>
      <c r="F139" s="46" t="s">
        <v>229</v>
      </c>
      <c r="G139" s="46"/>
      <c r="H139" s="46" t="s">
        <v>527</v>
      </c>
      <c r="I139" s="46" t="s">
        <v>848</v>
      </c>
      <c r="J139" s="46" t="s">
        <v>226</v>
      </c>
      <c r="K139" s="46" t="s">
        <v>795</v>
      </c>
      <c r="L139" s="46" t="s">
        <v>850</v>
      </c>
      <c r="M139" s="46" t="s">
        <v>851</v>
      </c>
      <c r="N139" s="46"/>
      <c r="O139" s="46" t="s">
        <v>797</v>
      </c>
      <c r="P139" s="46" t="s">
        <v>172</v>
      </c>
      <c r="Q139" s="46">
        <v>752305235</v>
      </c>
      <c r="R139" s="46" t="s">
        <v>483</v>
      </c>
      <c r="S139" s="46" t="s">
        <v>798</v>
      </c>
      <c r="T139" s="46"/>
      <c r="U139" s="46">
        <v>15</v>
      </c>
      <c r="V139" s="46" t="s">
        <v>485</v>
      </c>
      <c r="W139" s="46" t="s">
        <v>485</v>
      </c>
      <c r="X139" s="46"/>
      <c r="Y139" s="46"/>
      <c r="Z139" s="54">
        <v>44099</v>
      </c>
      <c r="AA139" s="46">
        <v>10000</v>
      </c>
      <c r="AB139" s="46">
        <v>10000</v>
      </c>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t="s">
        <v>97</v>
      </c>
      <c r="AY139" s="46"/>
      <c r="AZ139" s="46" t="s">
        <v>486</v>
      </c>
      <c r="BA139" s="46"/>
      <c r="BB139" s="46" t="s">
        <v>246</v>
      </c>
      <c r="BC139" s="46" t="s">
        <v>487</v>
      </c>
      <c r="BD139" s="46" t="s">
        <v>488</v>
      </c>
      <c r="BE139" s="55">
        <v>44141.541442835645</v>
      </c>
      <c r="BF139" s="46"/>
      <c r="BG139" s="46"/>
      <c r="BH139" s="46"/>
      <c r="BI139" s="46" t="s">
        <v>489</v>
      </c>
      <c r="BJ139" s="46">
        <v>4.1021202018822298E+18</v>
      </c>
      <c r="BK139" s="46" t="s">
        <v>490</v>
      </c>
      <c r="BL139" s="46"/>
      <c r="BM139" s="46">
        <v>2020</v>
      </c>
      <c r="BN139" s="46" t="s">
        <v>492</v>
      </c>
      <c r="BO139" s="46"/>
      <c r="BP139" s="46">
        <v>4.1105202018912701E+18</v>
      </c>
      <c r="BQ139" s="46" t="s">
        <v>854</v>
      </c>
      <c r="BR139" s="46" t="s">
        <v>494</v>
      </c>
      <c r="BS139" s="51">
        <v>10000</v>
      </c>
      <c r="BT139" s="46" t="s">
        <v>16</v>
      </c>
      <c r="BU139" s="49">
        <v>10000</v>
      </c>
      <c r="BV139" s="49"/>
      <c r="BW139" s="46"/>
      <c r="BX139" s="53">
        <v>1</v>
      </c>
      <c r="BY139" s="53"/>
    </row>
    <row r="140" spans="1:77">
      <c r="A140" s="46" t="s">
        <v>473</v>
      </c>
      <c r="B140" s="46" t="s">
        <v>474</v>
      </c>
      <c r="C140" s="46"/>
      <c r="D140" s="46"/>
      <c r="E140" s="46" t="s">
        <v>855</v>
      </c>
      <c r="F140" s="46" t="s">
        <v>229</v>
      </c>
      <c r="G140" s="46"/>
      <c r="H140" s="46" t="s">
        <v>527</v>
      </c>
      <c r="I140" s="46" t="s">
        <v>856</v>
      </c>
      <c r="J140" s="46"/>
      <c r="K140" s="46" t="s">
        <v>857</v>
      </c>
      <c r="L140" s="46"/>
      <c r="M140" s="46" t="s">
        <v>858</v>
      </c>
      <c r="N140" s="46"/>
      <c r="O140" s="46" t="s">
        <v>859</v>
      </c>
      <c r="P140" s="46" t="s">
        <v>172</v>
      </c>
      <c r="Q140" s="46">
        <v>761094858</v>
      </c>
      <c r="R140" s="46" t="s">
        <v>860</v>
      </c>
      <c r="S140" s="46" t="s">
        <v>861</v>
      </c>
      <c r="T140" s="46"/>
      <c r="U140" s="46">
        <v>15</v>
      </c>
      <c r="V140" s="46" t="s">
        <v>485</v>
      </c>
      <c r="W140" s="46" t="s">
        <v>485</v>
      </c>
      <c r="X140" s="46"/>
      <c r="Y140" s="46"/>
      <c r="Z140" s="54">
        <v>44061</v>
      </c>
      <c r="AA140" s="46">
        <v>25000</v>
      </c>
      <c r="AB140" s="46">
        <v>25000</v>
      </c>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t="s">
        <v>97</v>
      </c>
      <c r="AY140" s="46"/>
      <c r="AZ140" s="46" t="s">
        <v>486</v>
      </c>
      <c r="BA140" s="46"/>
      <c r="BB140" s="46" t="s">
        <v>246</v>
      </c>
      <c r="BC140" s="46" t="s">
        <v>487</v>
      </c>
      <c r="BD140" s="46" t="s">
        <v>488</v>
      </c>
      <c r="BE140" s="55">
        <v>44331.163317847226</v>
      </c>
      <c r="BF140" s="46"/>
      <c r="BG140" s="46"/>
      <c r="BH140" s="46"/>
      <c r="BI140" s="46" t="s">
        <v>489</v>
      </c>
      <c r="BJ140" s="46">
        <v>4.0421202112784799E+18</v>
      </c>
      <c r="BK140" s="46" t="s">
        <v>490</v>
      </c>
      <c r="BL140" s="46"/>
      <c r="BM140" s="46">
        <v>2020</v>
      </c>
      <c r="BN140" s="46" t="s">
        <v>492</v>
      </c>
      <c r="BO140" s="46"/>
      <c r="BP140" s="46">
        <v>4.0515202112937702E+18</v>
      </c>
      <c r="BQ140" s="46" t="s">
        <v>862</v>
      </c>
      <c r="BR140" s="46" t="s">
        <v>494</v>
      </c>
      <c r="BS140" s="51">
        <v>25000</v>
      </c>
      <c r="BT140" s="46" t="s">
        <v>16</v>
      </c>
      <c r="BU140" s="49">
        <v>25000</v>
      </c>
      <c r="BV140" s="49"/>
      <c r="BW140" s="46"/>
      <c r="BX140" s="53">
        <v>1</v>
      </c>
      <c r="BY140" s="53"/>
    </row>
    <row r="141" spans="1:77">
      <c r="A141" s="46" t="s">
        <v>473</v>
      </c>
      <c r="B141" s="46" t="s">
        <v>474</v>
      </c>
      <c r="C141" s="46"/>
      <c r="D141" s="46" t="s">
        <v>647</v>
      </c>
      <c r="E141" s="46" t="s">
        <v>863</v>
      </c>
      <c r="F141" s="46" t="s">
        <v>229</v>
      </c>
      <c r="G141" s="46"/>
      <c r="H141" s="46" t="s">
        <v>527</v>
      </c>
      <c r="I141" s="46" t="s">
        <v>864</v>
      </c>
      <c r="J141" s="46"/>
      <c r="K141" s="46" t="s">
        <v>743</v>
      </c>
      <c r="L141" s="46"/>
      <c r="M141" s="46" t="s">
        <v>865</v>
      </c>
      <c r="N141" s="46" t="s">
        <v>866</v>
      </c>
      <c r="O141" s="46" t="s">
        <v>797</v>
      </c>
      <c r="P141" s="46" t="s">
        <v>172</v>
      </c>
      <c r="Q141" s="46">
        <v>752017055</v>
      </c>
      <c r="R141" s="46" t="s">
        <v>532</v>
      </c>
      <c r="S141" s="46" t="s">
        <v>867</v>
      </c>
      <c r="T141" s="46"/>
      <c r="U141" s="46">
        <v>15</v>
      </c>
      <c r="V141" s="46" t="s">
        <v>485</v>
      </c>
      <c r="W141" s="46" t="s">
        <v>485</v>
      </c>
      <c r="X141" s="46"/>
      <c r="Y141" s="46"/>
      <c r="Z141" s="54">
        <v>43787</v>
      </c>
      <c r="AA141" s="46">
        <v>6500</v>
      </c>
      <c r="AB141" s="46">
        <v>6500</v>
      </c>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t="s">
        <v>97</v>
      </c>
      <c r="AY141" s="46"/>
      <c r="AZ141" s="46" t="s">
        <v>486</v>
      </c>
      <c r="BA141" s="46"/>
      <c r="BB141" s="46" t="s">
        <v>246</v>
      </c>
      <c r="BC141" s="46" t="s">
        <v>487</v>
      </c>
      <c r="BD141" s="46" t="s">
        <v>488</v>
      </c>
      <c r="BE141" s="55">
        <v>43833.068949814813</v>
      </c>
      <c r="BF141" s="46"/>
      <c r="BG141" s="46"/>
      <c r="BH141" s="46"/>
      <c r="BI141" s="46" t="s">
        <v>489</v>
      </c>
      <c r="BJ141" s="46">
        <v>4.1220201916818601E+18</v>
      </c>
      <c r="BK141" s="46" t="s">
        <v>490</v>
      </c>
      <c r="BL141" s="46"/>
      <c r="BM141" s="46">
        <v>2020</v>
      </c>
      <c r="BN141" s="46" t="s">
        <v>492</v>
      </c>
      <c r="BO141" s="46"/>
      <c r="BP141" s="46">
        <v>4.0102202016828099E+18</v>
      </c>
      <c r="BQ141" s="46" t="s">
        <v>868</v>
      </c>
      <c r="BR141" s="46" t="s">
        <v>494</v>
      </c>
      <c r="BS141" s="51">
        <v>6500</v>
      </c>
      <c r="BT141" s="46" t="s">
        <v>16</v>
      </c>
      <c r="BU141" s="49">
        <v>6500</v>
      </c>
      <c r="BV141" s="49"/>
      <c r="BW141" s="46"/>
      <c r="BX141" s="53">
        <v>1</v>
      </c>
      <c r="BY141" s="53"/>
    </row>
    <row r="142" spans="1:77">
      <c r="A142" s="46" t="s">
        <v>473</v>
      </c>
      <c r="B142" s="46" t="s">
        <v>474</v>
      </c>
      <c r="C142" s="46"/>
      <c r="D142" s="46"/>
      <c r="E142" s="46" t="s">
        <v>869</v>
      </c>
      <c r="F142" s="46" t="s">
        <v>229</v>
      </c>
      <c r="G142" s="46"/>
      <c r="H142" s="46" t="s">
        <v>527</v>
      </c>
      <c r="I142" s="46" t="s">
        <v>870</v>
      </c>
      <c r="J142" s="46"/>
      <c r="K142" s="46" t="s">
        <v>871</v>
      </c>
      <c r="L142" s="46"/>
      <c r="M142" s="46" t="s">
        <v>872</v>
      </c>
      <c r="N142" s="46"/>
      <c r="O142" s="46" t="s">
        <v>531</v>
      </c>
      <c r="P142" s="46" t="s">
        <v>172</v>
      </c>
      <c r="Q142" s="46">
        <v>770196025</v>
      </c>
      <c r="R142" s="46" t="s">
        <v>803</v>
      </c>
      <c r="S142" s="46" t="s">
        <v>873</v>
      </c>
      <c r="T142" s="46"/>
      <c r="U142" s="46">
        <v>15</v>
      </c>
      <c r="V142" s="46" t="s">
        <v>485</v>
      </c>
      <c r="W142" s="46" t="s">
        <v>485</v>
      </c>
      <c r="X142" s="46"/>
      <c r="Y142" s="46"/>
      <c r="Z142" s="54">
        <v>44113</v>
      </c>
      <c r="AA142" s="46">
        <v>20000</v>
      </c>
      <c r="AB142" s="46">
        <v>20000</v>
      </c>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t="s">
        <v>97</v>
      </c>
      <c r="AY142" s="46"/>
      <c r="AZ142" s="46" t="s">
        <v>486</v>
      </c>
      <c r="BA142" s="46"/>
      <c r="BB142" s="46" t="s">
        <v>246</v>
      </c>
      <c r="BC142" s="46" t="s">
        <v>487</v>
      </c>
      <c r="BD142" s="46" t="s">
        <v>488</v>
      </c>
      <c r="BE142" s="55">
        <v>44324.20561041667</v>
      </c>
      <c r="BF142" s="46"/>
      <c r="BG142" s="46"/>
      <c r="BH142" s="46"/>
      <c r="BI142" s="46" t="s">
        <v>489</v>
      </c>
      <c r="BJ142" s="46">
        <v>4.0421202112784799E+18</v>
      </c>
      <c r="BK142" s="46" t="s">
        <v>490</v>
      </c>
      <c r="BL142" s="46"/>
      <c r="BM142" s="46">
        <v>2020</v>
      </c>
      <c r="BN142" s="46" t="s">
        <v>492</v>
      </c>
      <c r="BO142" s="46"/>
      <c r="BP142" s="46">
        <v>4.0508202112898601E+18</v>
      </c>
      <c r="BQ142" s="46" t="s">
        <v>874</v>
      </c>
      <c r="BR142" s="46" t="s">
        <v>494</v>
      </c>
      <c r="BS142" s="51">
        <v>20000</v>
      </c>
      <c r="BT142" s="46" t="s">
        <v>16</v>
      </c>
      <c r="BU142" s="49">
        <v>20000</v>
      </c>
      <c r="BV142" s="49"/>
      <c r="BW142" s="46"/>
      <c r="BX142" s="53">
        <v>1</v>
      </c>
      <c r="BY142" s="53"/>
    </row>
    <row r="143" spans="1:77">
      <c r="A143" s="46" t="s">
        <v>473</v>
      </c>
      <c r="B143" s="46" t="s">
        <v>474</v>
      </c>
      <c r="C143" s="46"/>
      <c r="D143" s="46"/>
      <c r="E143" s="46" t="s">
        <v>817</v>
      </c>
      <c r="F143" s="46" t="s">
        <v>229</v>
      </c>
      <c r="G143" s="46"/>
      <c r="H143" s="46" t="s">
        <v>527</v>
      </c>
      <c r="I143" s="46" t="s">
        <v>818</v>
      </c>
      <c r="J143" s="46"/>
      <c r="K143" s="46" t="s">
        <v>819</v>
      </c>
      <c r="L143" s="46"/>
      <c r="M143" s="46" t="s">
        <v>820</v>
      </c>
      <c r="N143" s="46"/>
      <c r="O143" s="46" t="s">
        <v>797</v>
      </c>
      <c r="P143" s="46" t="s">
        <v>172</v>
      </c>
      <c r="Q143" s="46">
        <v>752305106</v>
      </c>
      <c r="R143" s="46" t="s">
        <v>483</v>
      </c>
      <c r="S143" s="46" t="s">
        <v>875</v>
      </c>
      <c r="T143" s="46"/>
      <c r="U143" s="46">
        <v>15</v>
      </c>
      <c r="V143" s="46" t="s">
        <v>485</v>
      </c>
      <c r="W143" s="46" t="s">
        <v>485</v>
      </c>
      <c r="X143" s="46"/>
      <c r="Y143" s="46"/>
      <c r="Z143" s="54">
        <v>44082</v>
      </c>
      <c r="AA143" s="46">
        <v>10000</v>
      </c>
      <c r="AB143" s="46">
        <v>10000</v>
      </c>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t="s">
        <v>97</v>
      </c>
      <c r="AY143" s="46"/>
      <c r="AZ143" s="46" t="s">
        <v>486</v>
      </c>
      <c r="BA143" s="46"/>
      <c r="BB143" s="46" t="s">
        <v>246</v>
      </c>
      <c r="BC143" s="46" t="s">
        <v>487</v>
      </c>
      <c r="BD143" s="46" t="s">
        <v>488</v>
      </c>
      <c r="BE143" s="55">
        <v>44141.541398275462</v>
      </c>
      <c r="BF143" s="46"/>
      <c r="BG143" s="46"/>
      <c r="BH143" s="46"/>
      <c r="BI143" s="46" t="s">
        <v>489</v>
      </c>
      <c r="BJ143" s="46">
        <v>4.1021202018822298E+18</v>
      </c>
      <c r="BK143" s="46" t="s">
        <v>490</v>
      </c>
      <c r="BL143" s="46"/>
      <c r="BM143" s="46">
        <v>2020</v>
      </c>
      <c r="BN143" s="46" t="s">
        <v>492</v>
      </c>
      <c r="BO143" s="46"/>
      <c r="BP143" s="46">
        <v>4.1105202018912701E+18</v>
      </c>
      <c r="BQ143" s="46" t="s">
        <v>876</v>
      </c>
      <c r="BR143" s="46" t="s">
        <v>494</v>
      </c>
      <c r="BS143" s="51">
        <v>10000</v>
      </c>
      <c r="BT143" s="46" t="s">
        <v>16</v>
      </c>
      <c r="BU143" s="49">
        <v>10000</v>
      </c>
      <c r="BV143" s="49"/>
      <c r="BW143" s="46"/>
      <c r="BX143" s="53">
        <v>1</v>
      </c>
      <c r="BY143" s="53"/>
    </row>
    <row r="144" spans="1:77">
      <c r="A144" s="46" t="s">
        <v>473</v>
      </c>
      <c r="B144" s="46" t="s">
        <v>474</v>
      </c>
      <c r="C144" s="46"/>
      <c r="D144" s="46"/>
      <c r="E144" s="46" t="s">
        <v>877</v>
      </c>
      <c r="F144" s="46" t="s">
        <v>229</v>
      </c>
      <c r="G144" s="46"/>
      <c r="H144" s="46" t="s">
        <v>527</v>
      </c>
      <c r="I144" s="46" t="s">
        <v>878</v>
      </c>
      <c r="J144" s="46"/>
      <c r="K144" s="46" t="s">
        <v>879</v>
      </c>
      <c r="L144" s="46"/>
      <c r="M144" s="46" t="s">
        <v>844</v>
      </c>
      <c r="N144" s="46"/>
      <c r="O144" s="46" t="s">
        <v>580</v>
      </c>
      <c r="P144" s="46" t="s">
        <v>172</v>
      </c>
      <c r="Q144" s="46">
        <v>750394202</v>
      </c>
      <c r="R144" s="46" t="s">
        <v>532</v>
      </c>
      <c r="S144" s="46" t="s">
        <v>861</v>
      </c>
      <c r="T144" s="46"/>
      <c r="U144" s="46">
        <v>15</v>
      </c>
      <c r="V144" s="46" t="s">
        <v>485</v>
      </c>
      <c r="W144" s="46" t="s">
        <v>485</v>
      </c>
      <c r="X144" s="46"/>
      <c r="Y144" s="46"/>
      <c r="Z144" s="54">
        <v>44078</v>
      </c>
      <c r="AA144" s="46">
        <v>10000</v>
      </c>
      <c r="AB144" s="46">
        <v>10000</v>
      </c>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t="s">
        <v>97</v>
      </c>
      <c r="AY144" s="46"/>
      <c r="AZ144" s="46" t="s">
        <v>486</v>
      </c>
      <c r="BA144" s="46"/>
      <c r="BB144" s="46" t="s">
        <v>246</v>
      </c>
      <c r="BC144" s="46" t="s">
        <v>487</v>
      </c>
      <c r="BD144" s="46" t="s">
        <v>488</v>
      </c>
      <c r="BE144" s="55">
        <v>44225.154230902779</v>
      </c>
      <c r="BF144" s="46"/>
      <c r="BG144" s="46"/>
      <c r="BH144" s="46"/>
      <c r="BI144" s="46" t="s">
        <v>489</v>
      </c>
      <c r="BJ144" s="46">
        <v>4.0111202120681999E+18</v>
      </c>
      <c r="BK144" s="46" t="s">
        <v>490</v>
      </c>
      <c r="BL144" s="46"/>
      <c r="BM144" s="46">
        <v>2020</v>
      </c>
      <c r="BN144" s="46" t="s">
        <v>492</v>
      </c>
      <c r="BO144" s="46"/>
      <c r="BP144" s="46">
        <v>4.0129202121382902E+18</v>
      </c>
      <c r="BQ144" s="46" t="s">
        <v>880</v>
      </c>
      <c r="BR144" s="46" t="s">
        <v>494</v>
      </c>
      <c r="BS144" s="51">
        <v>10000</v>
      </c>
      <c r="BT144" s="46" t="s">
        <v>16</v>
      </c>
      <c r="BU144" s="49">
        <v>10000</v>
      </c>
      <c r="BV144" s="49"/>
      <c r="BW144" s="46"/>
      <c r="BX144" s="53">
        <v>1</v>
      </c>
      <c r="BY144" s="53"/>
    </row>
    <row r="145" spans="1:77">
      <c r="A145" s="46" t="s">
        <v>473</v>
      </c>
      <c r="B145" s="46" t="s">
        <v>474</v>
      </c>
      <c r="C145" s="46"/>
      <c r="D145" s="46"/>
      <c r="E145" s="46" t="s">
        <v>881</v>
      </c>
      <c r="F145" s="46" t="s">
        <v>229</v>
      </c>
      <c r="G145" s="46"/>
      <c r="H145" s="46" t="s">
        <v>527</v>
      </c>
      <c r="I145" s="46" t="s">
        <v>856</v>
      </c>
      <c r="J145" s="46" t="s">
        <v>882</v>
      </c>
      <c r="K145" s="46" t="s">
        <v>857</v>
      </c>
      <c r="L145" s="46" t="s">
        <v>850</v>
      </c>
      <c r="M145" s="46" t="s">
        <v>858</v>
      </c>
      <c r="N145" s="46"/>
      <c r="O145" s="46" t="s">
        <v>859</v>
      </c>
      <c r="P145" s="46" t="s">
        <v>172</v>
      </c>
      <c r="Q145" s="46">
        <v>761094858</v>
      </c>
      <c r="R145" s="46" t="s">
        <v>860</v>
      </c>
      <c r="S145" s="46" t="s">
        <v>861</v>
      </c>
      <c r="T145" s="46"/>
      <c r="U145" s="46">
        <v>15</v>
      </c>
      <c r="V145" s="46" t="s">
        <v>485</v>
      </c>
      <c r="W145" s="46" t="s">
        <v>485</v>
      </c>
      <c r="X145" s="46"/>
      <c r="Y145" s="46"/>
      <c r="Z145" s="54">
        <v>43801</v>
      </c>
      <c r="AA145" s="46">
        <v>10000</v>
      </c>
      <c r="AB145" s="46">
        <v>10000</v>
      </c>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t="s">
        <v>97</v>
      </c>
      <c r="AY145" s="46"/>
      <c r="AZ145" s="46" t="s">
        <v>486</v>
      </c>
      <c r="BA145" s="46"/>
      <c r="BB145" s="46" t="s">
        <v>246</v>
      </c>
      <c r="BC145" s="46" t="s">
        <v>487</v>
      </c>
      <c r="BD145" s="46" t="s">
        <v>488</v>
      </c>
      <c r="BE145" s="55">
        <v>43869.069246377316</v>
      </c>
      <c r="BF145" s="46"/>
      <c r="BG145" s="46"/>
      <c r="BH145" s="46"/>
      <c r="BI145" s="46" t="s">
        <v>489</v>
      </c>
      <c r="BJ145" s="46">
        <v>4.0131202016861901E+18</v>
      </c>
      <c r="BK145" s="46" t="s">
        <v>490</v>
      </c>
      <c r="BL145" s="46"/>
      <c r="BM145" s="46">
        <v>2020</v>
      </c>
      <c r="BN145" s="46" t="s">
        <v>492</v>
      </c>
      <c r="BO145" s="46"/>
      <c r="BP145" s="46">
        <v>4.0207202016876298E+18</v>
      </c>
      <c r="BQ145" s="46" t="s">
        <v>883</v>
      </c>
      <c r="BR145" s="46" t="s">
        <v>494</v>
      </c>
      <c r="BS145" s="51">
        <v>10000</v>
      </c>
      <c r="BT145" s="46" t="s">
        <v>16</v>
      </c>
      <c r="BU145" s="49">
        <v>10000</v>
      </c>
      <c r="BV145" s="49"/>
      <c r="BW145" s="46"/>
      <c r="BX145" s="53">
        <v>1</v>
      </c>
      <c r="BY145" s="53"/>
    </row>
    <row r="146" spans="1:77">
      <c r="A146" s="46" t="s">
        <v>473</v>
      </c>
      <c r="B146" s="46" t="s">
        <v>474</v>
      </c>
      <c r="C146" s="46"/>
      <c r="D146" s="46" t="s">
        <v>647</v>
      </c>
      <c r="E146" s="46" t="s">
        <v>884</v>
      </c>
      <c r="F146" s="46" t="s">
        <v>14</v>
      </c>
      <c r="G146" s="46"/>
      <c r="H146" s="46" t="s">
        <v>240</v>
      </c>
      <c r="I146" s="46" t="s">
        <v>775</v>
      </c>
      <c r="J146" s="46" t="s">
        <v>885</v>
      </c>
      <c r="K146" s="46" t="s">
        <v>776</v>
      </c>
      <c r="L146" s="46"/>
      <c r="M146" s="46" t="s">
        <v>777</v>
      </c>
      <c r="N146" s="46"/>
      <c r="O146" s="46" t="s">
        <v>531</v>
      </c>
      <c r="P146" s="46" t="s">
        <v>172</v>
      </c>
      <c r="Q146" s="46">
        <v>77227</v>
      </c>
      <c r="R146" s="46" t="s">
        <v>532</v>
      </c>
      <c r="S146" s="46" t="s">
        <v>778</v>
      </c>
      <c r="T146" s="46"/>
      <c r="U146" s="46">
        <v>15</v>
      </c>
      <c r="V146" s="46" t="s">
        <v>485</v>
      </c>
      <c r="W146" s="46"/>
      <c r="X146" s="46"/>
      <c r="Y146" s="46"/>
      <c r="Z146" s="54">
        <v>43896</v>
      </c>
      <c r="AA146" s="46">
        <v>10000</v>
      </c>
      <c r="AB146" s="46">
        <v>10000</v>
      </c>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t="s">
        <v>97</v>
      </c>
      <c r="AY146" s="46"/>
      <c r="AZ146" s="46" t="s">
        <v>486</v>
      </c>
      <c r="BA146" s="46"/>
      <c r="BB146" s="46" t="s">
        <v>14</v>
      </c>
      <c r="BC146" s="46" t="s">
        <v>711</v>
      </c>
      <c r="BD146" s="46" t="s">
        <v>488</v>
      </c>
      <c r="BE146" s="55">
        <v>44005.094231215277</v>
      </c>
      <c r="BF146" s="46"/>
      <c r="BG146" s="46"/>
      <c r="BH146" s="46"/>
      <c r="BI146" s="46" t="s">
        <v>489</v>
      </c>
      <c r="BJ146" s="46">
        <v>4.0619202017759299E+18</v>
      </c>
      <c r="BK146" s="46" t="s">
        <v>490</v>
      </c>
      <c r="BL146" s="46"/>
      <c r="BM146" s="46">
        <v>2020</v>
      </c>
      <c r="BN146" s="46" t="s">
        <v>492</v>
      </c>
      <c r="BO146" s="46"/>
      <c r="BP146" s="46">
        <v>4.06222020177649E+18</v>
      </c>
      <c r="BQ146" s="46" t="s">
        <v>886</v>
      </c>
      <c r="BR146" s="46" t="s">
        <v>494</v>
      </c>
      <c r="BS146" s="51">
        <v>10000</v>
      </c>
      <c r="BT146" s="46" t="s">
        <v>16</v>
      </c>
      <c r="BU146" s="49">
        <v>10000</v>
      </c>
      <c r="BV146" s="49"/>
      <c r="BW146" s="46"/>
      <c r="BX146" s="53">
        <v>1</v>
      </c>
      <c r="BY146" s="53"/>
    </row>
    <row r="148" spans="1:77">
      <c r="BS148" s="62">
        <v>164710.49</v>
      </c>
      <c r="BT148" s="49"/>
      <c r="BU148" s="62">
        <v>155457.57692542253</v>
      </c>
      <c r="BV148" s="62">
        <v>9252.9130745774528</v>
      </c>
    </row>
    <row r="149" spans="1:77">
      <c r="BS149" s="47">
        <v>51</v>
      </c>
    </row>
    <row r="150" spans="1:77">
      <c r="BS150" s="47">
        <v>9</v>
      </c>
    </row>
    <row r="151" spans="1:77">
      <c r="BU151" s="53">
        <v>0.94382317073686406</v>
      </c>
      <c r="BV151" s="53">
        <v>5.61768292631359E-2</v>
      </c>
    </row>
    <row r="152" spans="1:77">
      <c r="BS152" s="47">
        <v>943259.17000000086</v>
      </c>
    </row>
    <row r="153" spans="1:77">
      <c r="BS153" s="53">
        <v>0.17461848793900392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35"/>
  <sheetViews>
    <sheetView workbookViewId="0">
      <selection activeCell="A3" sqref="A3"/>
    </sheetView>
  </sheetViews>
  <sheetFormatPr defaultRowHeight="15"/>
  <cols>
    <col min="7" max="7" width="8.85546875" style="2"/>
    <col min="8" max="8" width="15.28515625" customWidth="1"/>
    <col min="11" max="11" width="22.140625" customWidth="1"/>
    <col min="17" max="17" width="8.85546875" style="2"/>
    <col min="18" max="18" width="16" customWidth="1"/>
  </cols>
  <sheetData>
    <row r="1" spans="1:18">
      <c r="A1" t="s">
        <v>22</v>
      </c>
      <c r="D1">
        <v>2020</v>
      </c>
    </row>
    <row r="2" spans="1:18">
      <c r="A2" t="s">
        <v>29</v>
      </c>
      <c r="D2" s="12" t="s">
        <v>21</v>
      </c>
      <c r="E2" t="s">
        <v>17</v>
      </c>
      <c r="F2" s="2" t="s">
        <v>19</v>
      </c>
      <c r="G2" t="s">
        <v>18</v>
      </c>
      <c r="H2" s="12" t="s">
        <v>26</v>
      </c>
      <c r="I2" s="12" t="s">
        <v>27</v>
      </c>
      <c r="R2" s="1"/>
    </row>
    <row r="3" spans="1:18" ht="15.75">
      <c r="A3" t="s">
        <v>28</v>
      </c>
      <c r="D3" t="s">
        <v>14</v>
      </c>
      <c r="E3" s="9">
        <v>596000</v>
      </c>
      <c r="F3" s="9">
        <v>596000</v>
      </c>
      <c r="G3"/>
      <c r="H3" s="7">
        <f>(+E3/(E3+F3))*100</f>
        <v>50</v>
      </c>
      <c r="I3" s="7">
        <f>(+F3/(E3+F3))*100</f>
        <v>50</v>
      </c>
      <c r="R3" s="1"/>
    </row>
    <row r="4" spans="1:18">
      <c r="H4" s="1"/>
      <c r="R4" s="1"/>
    </row>
    <row r="5" spans="1:18">
      <c r="H5" s="1"/>
      <c r="R5" s="1"/>
    </row>
    <row r="6" spans="1:18" ht="15.75">
      <c r="B6" s="9"/>
      <c r="C6" s="11"/>
      <c r="E6" s="7"/>
      <c r="F6" s="7"/>
      <c r="H6" s="1"/>
      <c r="R6" s="1"/>
    </row>
    <row r="7" spans="1:18">
      <c r="H7" s="1"/>
      <c r="R7" s="1"/>
    </row>
    <row r="8" spans="1:18">
      <c r="H8" s="1"/>
      <c r="R8" s="1"/>
    </row>
    <row r="9" spans="1:18">
      <c r="H9" s="1"/>
      <c r="R9" s="1"/>
    </row>
    <row r="10" spans="1:18">
      <c r="H10" s="1"/>
      <c r="R10" s="1"/>
    </row>
    <row r="11" spans="1:18">
      <c r="H11" s="1"/>
      <c r="R11" s="1"/>
    </row>
    <row r="12" spans="1:18">
      <c r="H12" s="1"/>
      <c r="R12" s="1"/>
    </row>
    <row r="13" spans="1:18">
      <c r="H13" s="1"/>
      <c r="R13" s="1"/>
    </row>
    <row r="14" spans="1:18">
      <c r="H14" s="1"/>
      <c r="R14" s="1"/>
    </row>
    <row r="15" spans="1:18">
      <c r="H15" s="1"/>
      <c r="R15" s="1"/>
    </row>
    <row r="16" spans="1:18">
      <c r="H16" s="1"/>
      <c r="R16" s="1"/>
    </row>
    <row r="17" spans="8:18">
      <c r="H17" s="1"/>
      <c r="R17" s="1"/>
    </row>
    <row r="18" spans="8:18">
      <c r="H18" s="1"/>
      <c r="R18" s="1"/>
    </row>
    <row r="19" spans="8:18">
      <c r="H19" s="1"/>
      <c r="R19" s="1"/>
    </row>
    <row r="20" spans="8:18">
      <c r="H20" s="1"/>
      <c r="R20" s="1"/>
    </row>
    <row r="21" spans="8:18">
      <c r="H21" s="1"/>
      <c r="R21" s="1"/>
    </row>
    <row r="22" spans="8:18">
      <c r="H22" s="1"/>
      <c r="R22" s="1"/>
    </row>
    <row r="23" spans="8:18">
      <c r="H23" s="1"/>
      <c r="R23" s="1"/>
    </row>
    <row r="24" spans="8:18">
      <c r="H24" s="1"/>
      <c r="R24" s="1"/>
    </row>
    <row r="25" spans="8:18">
      <c r="H25" s="1"/>
      <c r="R25" s="1"/>
    </row>
    <row r="26" spans="8:18">
      <c r="H26" s="1"/>
      <c r="R26" s="1"/>
    </row>
    <row r="27" spans="8:18">
      <c r="H27" s="1"/>
      <c r="R27" s="1"/>
    </row>
    <row r="28" spans="8:18">
      <c r="H28" s="1"/>
      <c r="R28" s="1"/>
    </row>
    <row r="29" spans="8:18">
      <c r="H29" s="1"/>
      <c r="R29" s="1"/>
    </row>
    <row r="30" spans="8:18">
      <c r="H30" s="1"/>
      <c r="R30" s="1"/>
    </row>
    <row r="31" spans="8:18">
      <c r="H31" s="1"/>
      <c r="R31" s="1"/>
    </row>
    <row r="32" spans="8:18">
      <c r="H32" s="1"/>
      <c r="R32" s="1"/>
    </row>
    <row r="33" spans="8:18">
      <c r="H33" s="1"/>
      <c r="R33" s="1"/>
    </row>
    <row r="34" spans="8:18">
      <c r="H34" s="1"/>
      <c r="R34" s="1"/>
    </row>
    <row r="35" spans="8:18">
      <c r="H35" s="1"/>
      <c r="R35" s="1"/>
    </row>
    <row r="36" spans="8:18">
      <c r="H36" s="1"/>
      <c r="R36" s="1"/>
    </row>
    <row r="37" spans="8:18">
      <c r="H37" s="1"/>
      <c r="R37" s="1"/>
    </row>
    <row r="38" spans="8:18">
      <c r="H38" s="1"/>
      <c r="R38" s="1"/>
    </row>
    <row r="39" spans="8:18">
      <c r="H39" s="1"/>
      <c r="R39" s="1"/>
    </row>
    <row r="40" spans="8:18">
      <c r="H40" s="1"/>
      <c r="R40" s="1"/>
    </row>
    <row r="41" spans="8:18">
      <c r="H41" s="1"/>
      <c r="R41" s="1"/>
    </row>
    <row r="42" spans="8:18">
      <c r="H42" s="1"/>
      <c r="R42" s="1"/>
    </row>
    <row r="43" spans="8:18">
      <c r="H43" s="1"/>
      <c r="R43" s="1"/>
    </row>
    <row r="44" spans="8:18">
      <c r="H44" s="1"/>
      <c r="R44" s="1"/>
    </row>
    <row r="45" spans="8:18">
      <c r="H45" s="1"/>
      <c r="R45" s="1"/>
    </row>
    <row r="46" spans="8:18">
      <c r="H46" s="1"/>
      <c r="R46" s="1"/>
    </row>
    <row r="47" spans="8:18">
      <c r="H47" s="1"/>
      <c r="R47" s="1"/>
    </row>
    <row r="48" spans="8:18">
      <c r="H48" s="1"/>
      <c r="R48" s="1"/>
    </row>
    <row r="49" spans="8:18">
      <c r="H49" s="1"/>
      <c r="R49" s="1"/>
    </row>
    <row r="50" spans="8:18">
      <c r="H50" s="1"/>
      <c r="R50" s="1"/>
    </row>
    <row r="51" spans="8:18">
      <c r="H51" s="1"/>
      <c r="R51" s="1"/>
    </row>
    <row r="52" spans="8:18">
      <c r="H52" s="1"/>
      <c r="R52" s="1"/>
    </row>
    <row r="53" spans="8:18">
      <c r="H53" s="1"/>
      <c r="R53" s="1"/>
    </row>
    <row r="54" spans="8:18">
      <c r="H54" s="1"/>
      <c r="R54" s="1"/>
    </row>
    <row r="55" spans="8:18">
      <c r="H55" s="1"/>
      <c r="R55" s="1"/>
    </row>
    <row r="56" spans="8:18">
      <c r="H56" s="1"/>
      <c r="R56" s="1"/>
    </row>
    <row r="57" spans="8:18">
      <c r="H57" s="1"/>
      <c r="R57" s="1"/>
    </row>
    <row r="58" spans="8:18">
      <c r="H58" s="1"/>
      <c r="R58" s="1"/>
    </row>
    <row r="59" spans="8:18">
      <c r="H59" s="1"/>
      <c r="R59" s="1"/>
    </row>
    <row r="60" spans="8:18">
      <c r="H60" s="1"/>
      <c r="R60" s="1"/>
    </row>
    <row r="61" spans="8:18">
      <c r="H61" s="1"/>
      <c r="R61" s="1"/>
    </row>
    <row r="62" spans="8:18">
      <c r="H62" s="1"/>
      <c r="R62" s="1"/>
    </row>
    <row r="63" spans="8:18">
      <c r="H63" s="1"/>
      <c r="R63" s="1"/>
    </row>
    <row r="64" spans="8:18">
      <c r="H64" s="1"/>
      <c r="R64" s="1"/>
    </row>
    <row r="65" spans="8:18">
      <c r="H65" s="1"/>
      <c r="R65" s="1"/>
    </row>
    <row r="66" spans="8:18">
      <c r="H66" s="1"/>
      <c r="R66" s="1"/>
    </row>
    <row r="67" spans="8:18">
      <c r="H67" s="1"/>
      <c r="R67" s="1"/>
    </row>
    <row r="68" spans="8:18">
      <c r="H68" s="1"/>
      <c r="R68" s="1"/>
    </row>
    <row r="69" spans="8:18">
      <c r="H69" s="1"/>
      <c r="R69" s="1"/>
    </row>
    <row r="70" spans="8:18">
      <c r="H70" s="1"/>
      <c r="R70" s="1"/>
    </row>
    <row r="71" spans="8:18">
      <c r="H71" s="1"/>
      <c r="R71" s="1"/>
    </row>
    <row r="72" spans="8:18">
      <c r="H72" s="1"/>
      <c r="R72" s="1"/>
    </row>
    <row r="73" spans="8:18">
      <c r="H73" s="1"/>
      <c r="R73" s="1"/>
    </row>
    <row r="74" spans="8:18">
      <c r="H74" s="1"/>
      <c r="R74" s="1"/>
    </row>
    <row r="75" spans="8:18">
      <c r="H75" s="1"/>
      <c r="R75" s="1"/>
    </row>
    <row r="76" spans="8:18">
      <c r="H76" s="1"/>
      <c r="R76" s="1"/>
    </row>
    <row r="77" spans="8:18">
      <c r="H77" s="1"/>
      <c r="R77" s="1"/>
    </row>
    <row r="78" spans="8:18">
      <c r="H78" s="1"/>
      <c r="R78" s="1"/>
    </row>
    <row r="79" spans="8:18">
      <c r="H79" s="1"/>
      <c r="R79" s="1"/>
    </row>
    <row r="80" spans="8:18">
      <c r="H80" s="1"/>
      <c r="R80" s="1"/>
    </row>
    <row r="81" spans="8:18">
      <c r="H81" s="1"/>
      <c r="R81" s="1"/>
    </row>
    <row r="82" spans="8:18">
      <c r="H82" s="1"/>
      <c r="R82" s="1"/>
    </row>
    <row r="83" spans="8:18">
      <c r="H83" s="1"/>
      <c r="R83" s="1"/>
    </row>
    <row r="84" spans="8:18">
      <c r="H84" s="1"/>
      <c r="R84" s="1"/>
    </row>
    <row r="85" spans="8:18">
      <c r="H85" s="1"/>
      <c r="R85" s="1"/>
    </row>
    <row r="86" spans="8:18">
      <c r="H86" s="1"/>
      <c r="R86" s="1"/>
    </row>
    <row r="87" spans="8:18">
      <c r="H87" s="1"/>
      <c r="R87" s="1"/>
    </row>
    <row r="88" spans="8:18">
      <c r="H88" s="1"/>
      <c r="R88" s="1"/>
    </row>
    <row r="89" spans="8:18">
      <c r="H89" s="1"/>
      <c r="R89" s="1"/>
    </row>
    <row r="90" spans="8:18">
      <c r="H90" s="1"/>
      <c r="R90" s="1"/>
    </row>
    <row r="91" spans="8:18">
      <c r="H91" s="1"/>
      <c r="R91" s="1"/>
    </row>
    <row r="92" spans="8:18">
      <c r="H92" s="1"/>
      <c r="R92" s="1"/>
    </row>
    <row r="93" spans="8:18">
      <c r="H93" s="1"/>
      <c r="R93" s="1"/>
    </row>
    <row r="94" spans="8:18">
      <c r="H94" s="1"/>
      <c r="R94" s="1"/>
    </row>
    <row r="95" spans="8:18">
      <c r="H95" s="1"/>
      <c r="R95" s="1"/>
    </row>
    <row r="96" spans="8:18">
      <c r="H96" s="1"/>
      <c r="R96" s="1"/>
    </row>
    <row r="97" spans="8:18">
      <c r="H97" s="1"/>
      <c r="R97" s="1"/>
    </row>
    <row r="98" spans="8:18">
      <c r="H98" s="1"/>
      <c r="R98" s="1"/>
    </row>
    <row r="99" spans="8:18">
      <c r="H99" s="1"/>
      <c r="R99" s="1"/>
    </row>
    <row r="100" spans="8:18">
      <c r="H100" s="1"/>
      <c r="R100" s="1"/>
    </row>
    <row r="101" spans="8:18">
      <c r="H101" s="1"/>
      <c r="R101" s="1"/>
    </row>
    <row r="102" spans="8:18">
      <c r="H102" s="1"/>
      <c r="R102" s="1"/>
    </row>
    <row r="103" spans="8:18">
      <c r="H103" s="1"/>
      <c r="R103" s="1"/>
    </row>
    <row r="104" spans="8:18">
      <c r="H104" s="1"/>
      <c r="R104" s="1"/>
    </row>
    <row r="105" spans="8:18">
      <c r="H105" s="1"/>
      <c r="R105" s="1"/>
    </row>
    <row r="106" spans="8:18">
      <c r="H106" s="1"/>
      <c r="R106" s="1"/>
    </row>
    <row r="107" spans="8:18">
      <c r="H107" s="1"/>
      <c r="R107" s="1"/>
    </row>
    <row r="108" spans="8:18">
      <c r="H108" s="1"/>
      <c r="R108" s="1"/>
    </row>
    <row r="109" spans="8:18">
      <c r="H109" s="1"/>
      <c r="R109" s="1"/>
    </row>
    <row r="110" spans="8:18">
      <c r="H110" s="1"/>
      <c r="R110" s="1"/>
    </row>
    <row r="111" spans="8:18">
      <c r="H111" s="1"/>
      <c r="R111" s="1"/>
    </row>
    <row r="112" spans="8:18">
      <c r="H112" s="1"/>
      <c r="R112" s="1"/>
    </row>
    <row r="113" spans="8:18">
      <c r="H113" s="1"/>
      <c r="R113" s="1"/>
    </row>
    <row r="114" spans="8:18">
      <c r="H114" s="1"/>
      <c r="R114" s="1"/>
    </row>
    <row r="115" spans="8:18">
      <c r="H115" s="1"/>
      <c r="R115" s="1"/>
    </row>
    <row r="116" spans="8:18">
      <c r="H116" s="1"/>
      <c r="R116" s="1"/>
    </row>
    <row r="117" spans="8:18">
      <c r="H117" s="1"/>
      <c r="R117" s="1"/>
    </row>
    <row r="118" spans="8:18">
      <c r="H118" s="1"/>
      <c r="R118" s="1"/>
    </row>
    <row r="119" spans="8:18">
      <c r="H119" s="1"/>
      <c r="R119" s="1"/>
    </row>
    <row r="120" spans="8:18">
      <c r="H120" s="1"/>
      <c r="R120" s="1"/>
    </row>
    <row r="121" spans="8:18">
      <c r="H121" s="1"/>
      <c r="R121" s="1"/>
    </row>
    <row r="122" spans="8:18">
      <c r="H122" s="1"/>
      <c r="R122" s="1"/>
    </row>
    <row r="123" spans="8:18">
      <c r="H123" s="1"/>
      <c r="R123" s="1"/>
    </row>
    <row r="124" spans="8:18">
      <c r="H124" s="1"/>
      <c r="R124" s="1"/>
    </row>
    <row r="125" spans="8:18">
      <c r="H125" s="1"/>
      <c r="R125" s="1"/>
    </row>
    <row r="126" spans="8:18">
      <c r="H126" s="1"/>
      <c r="R126" s="1"/>
    </row>
    <row r="127" spans="8:18">
      <c r="H127" s="1"/>
      <c r="R127" s="1"/>
    </row>
    <row r="128" spans="8:18">
      <c r="H128" s="1"/>
      <c r="R128" s="1"/>
    </row>
    <row r="129" spans="8:18">
      <c r="H129" s="1"/>
      <c r="R129" s="1"/>
    </row>
    <row r="130" spans="8:18">
      <c r="H130" s="1"/>
      <c r="R130" s="1"/>
    </row>
    <row r="131" spans="8:18">
      <c r="H131" s="1"/>
      <c r="R131" s="1"/>
    </row>
    <row r="132" spans="8:18">
      <c r="H132" s="1"/>
      <c r="R132" s="1"/>
    </row>
    <row r="133" spans="8:18">
      <c r="H133" s="1"/>
      <c r="R133" s="1"/>
    </row>
    <row r="134" spans="8:18">
      <c r="H134" s="1"/>
      <c r="R134" s="1"/>
    </row>
    <row r="135" spans="8:18">
      <c r="H135" s="1"/>
      <c r="R135" s="1"/>
    </row>
    <row r="136" spans="8:18">
      <c r="H136" s="1"/>
      <c r="R136" s="1"/>
    </row>
    <row r="137" spans="8:18">
      <c r="H137" s="1"/>
      <c r="R137" s="1"/>
    </row>
    <row r="138" spans="8:18">
      <c r="H138" s="1"/>
      <c r="R138" s="1"/>
    </row>
    <row r="139" spans="8:18">
      <c r="H139" s="1"/>
      <c r="R139" s="1"/>
    </row>
    <row r="140" spans="8:18">
      <c r="H140" s="1"/>
      <c r="R140" s="1"/>
    </row>
    <row r="141" spans="8:18">
      <c r="H141" s="1"/>
      <c r="R141" s="1"/>
    </row>
    <row r="142" spans="8:18">
      <c r="H142" s="1"/>
      <c r="R142" s="1"/>
    </row>
    <row r="143" spans="8:18">
      <c r="H143" s="1"/>
      <c r="R143" s="1"/>
    </row>
    <row r="144" spans="8:18">
      <c r="H144" s="1"/>
      <c r="R144" s="1"/>
    </row>
    <row r="145" spans="8:18">
      <c r="H145" s="1"/>
      <c r="R145" s="1"/>
    </row>
    <row r="146" spans="8:18">
      <c r="H146" s="1"/>
      <c r="R146" s="1"/>
    </row>
    <row r="147" spans="8:18">
      <c r="H147" s="1"/>
      <c r="R147" s="1"/>
    </row>
    <row r="148" spans="8:18">
      <c r="H148" s="1"/>
      <c r="R148" s="1"/>
    </row>
    <row r="149" spans="8:18">
      <c r="H149" s="1"/>
      <c r="R149" s="1"/>
    </row>
    <row r="150" spans="8:18">
      <c r="H150" s="1"/>
      <c r="R150" s="1"/>
    </row>
    <row r="151" spans="8:18">
      <c r="H151" s="1"/>
      <c r="R151" s="1"/>
    </row>
    <row r="152" spans="8:18">
      <c r="H152" s="1"/>
      <c r="R152" s="1"/>
    </row>
    <row r="153" spans="8:18">
      <c r="H153" s="1"/>
      <c r="R153" s="1"/>
    </row>
    <row r="154" spans="8:18">
      <c r="H154" s="1"/>
      <c r="R154" s="1"/>
    </row>
    <row r="155" spans="8:18">
      <c r="H155" s="1"/>
      <c r="R155" s="1"/>
    </row>
    <row r="156" spans="8:18">
      <c r="H156" s="1"/>
      <c r="R156" s="1"/>
    </row>
    <row r="157" spans="8:18">
      <c r="H157" s="1"/>
      <c r="R157" s="1"/>
    </row>
    <row r="158" spans="8:18">
      <c r="H158" s="1"/>
      <c r="R158" s="1"/>
    </row>
    <row r="159" spans="8:18">
      <c r="H159" s="1"/>
      <c r="R159" s="1"/>
    </row>
    <row r="160" spans="8:18">
      <c r="H160" s="1"/>
      <c r="R160" s="1"/>
    </row>
    <row r="161" spans="8:18">
      <c r="H161" s="1"/>
      <c r="R161" s="1"/>
    </row>
    <row r="162" spans="8:18">
      <c r="H162" s="1"/>
      <c r="R162" s="1"/>
    </row>
    <row r="163" spans="8:18">
      <c r="H163" s="1"/>
      <c r="R163" s="1"/>
    </row>
    <row r="164" spans="8:18">
      <c r="H164" s="1"/>
      <c r="R164" s="1"/>
    </row>
    <row r="165" spans="8:18">
      <c r="H165" s="1"/>
      <c r="R165" s="1"/>
    </row>
    <row r="166" spans="8:18">
      <c r="H166" s="1"/>
      <c r="R166" s="1"/>
    </row>
    <row r="167" spans="8:18">
      <c r="H167" s="1"/>
      <c r="R167" s="1"/>
    </row>
    <row r="168" spans="8:18">
      <c r="H168" s="1"/>
      <c r="R168" s="1"/>
    </row>
    <row r="169" spans="8:18">
      <c r="H169" s="1"/>
      <c r="R169" s="1"/>
    </row>
    <row r="170" spans="8:18">
      <c r="H170" s="1"/>
      <c r="R170" s="1"/>
    </row>
    <row r="171" spans="8:18">
      <c r="H171" s="1"/>
      <c r="R171" s="1"/>
    </row>
    <row r="172" spans="8:18">
      <c r="H172" s="1"/>
      <c r="R172" s="1"/>
    </row>
    <row r="173" spans="8:18">
      <c r="H173" s="1"/>
      <c r="R173" s="1"/>
    </row>
    <row r="174" spans="8:18">
      <c r="H174" s="1"/>
      <c r="R174" s="1"/>
    </row>
    <row r="175" spans="8:18">
      <c r="H175" s="1"/>
      <c r="R175" s="1"/>
    </row>
    <row r="176" spans="8:18">
      <c r="H176" s="1"/>
      <c r="R176" s="1"/>
    </row>
    <row r="177" spans="8:18">
      <c r="H177" s="1"/>
      <c r="R177" s="1"/>
    </row>
    <row r="178" spans="8:18">
      <c r="H178" s="1"/>
      <c r="R178" s="1"/>
    </row>
    <row r="179" spans="8:18">
      <c r="H179" s="1"/>
      <c r="R179" s="1"/>
    </row>
    <row r="180" spans="8:18">
      <c r="H180" s="1"/>
      <c r="R180" s="1"/>
    </row>
    <row r="181" spans="8:18">
      <c r="H181" s="1"/>
      <c r="R181" s="1"/>
    </row>
    <row r="182" spans="8:18">
      <c r="H182" s="1"/>
      <c r="R182" s="1"/>
    </row>
    <row r="183" spans="8:18">
      <c r="H183" s="1"/>
      <c r="R183" s="1"/>
    </row>
    <row r="184" spans="8:18">
      <c r="H184" s="1"/>
      <c r="R184" s="1"/>
    </row>
    <row r="185" spans="8:18">
      <c r="H185" s="1"/>
      <c r="R185" s="1"/>
    </row>
    <row r="186" spans="8:18">
      <c r="H186" s="1"/>
      <c r="R186" s="1"/>
    </row>
    <row r="187" spans="8:18">
      <c r="H187" s="1"/>
      <c r="R187" s="1"/>
    </row>
    <row r="188" spans="8:18">
      <c r="H188" s="1"/>
      <c r="R188" s="1"/>
    </row>
    <row r="189" spans="8:18">
      <c r="H189" s="1"/>
      <c r="R189" s="1"/>
    </row>
    <row r="190" spans="8:18">
      <c r="H190" s="1"/>
      <c r="R190" s="1"/>
    </row>
    <row r="191" spans="8:18">
      <c r="H191" s="1"/>
      <c r="R191" s="1"/>
    </row>
    <row r="192" spans="8:18">
      <c r="H192" s="1"/>
      <c r="R192" s="1"/>
    </row>
    <row r="193" spans="8:18">
      <c r="H193" s="1"/>
      <c r="R193" s="1"/>
    </row>
    <row r="194" spans="8:18">
      <c r="H194" s="1"/>
      <c r="R194" s="1"/>
    </row>
    <row r="195" spans="8:18">
      <c r="H195" s="1"/>
      <c r="R195" s="1"/>
    </row>
    <row r="196" spans="8:18">
      <c r="H196" s="1"/>
      <c r="R196" s="1"/>
    </row>
    <row r="197" spans="8:18">
      <c r="H197" s="1"/>
      <c r="R197" s="1"/>
    </row>
    <row r="198" spans="8:18">
      <c r="H198" s="1"/>
      <c r="R198" s="1"/>
    </row>
    <row r="199" spans="8:18">
      <c r="H199" s="1"/>
      <c r="R199" s="1"/>
    </row>
    <row r="200" spans="8:18">
      <c r="H200" s="1"/>
      <c r="R200" s="1"/>
    </row>
    <row r="201" spans="8:18">
      <c r="H201" s="1"/>
      <c r="R201" s="1"/>
    </row>
    <row r="202" spans="8:18">
      <c r="H202" s="1"/>
      <c r="R202" s="1"/>
    </row>
    <row r="203" spans="8:18">
      <c r="H203" s="1"/>
      <c r="R203" s="1"/>
    </row>
    <row r="204" spans="8:18">
      <c r="H204" s="1"/>
      <c r="R204" s="1"/>
    </row>
    <row r="205" spans="8:18">
      <c r="H205" s="1"/>
      <c r="R205" s="1"/>
    </row>
    <row r="206" spans="8:18">
      <c r="H206" s="1"/>
      <c r="R206" s="1"/>
    </row>
    <row r="207" spans="8:18">
      <c r="H207" s="1"/>
      <c r="R207" s="1"/>
    </row>
    <row r="208" spans="8:18">
      <c r="H208" s="1"/>
      <c r="R208" s="1"/>
    </row>
    <row r="209" spans="8:18">
      <c r="H209" s="1"/>
      <c r="R209" s="1"/>
    </row>
    <row r="210" spans="8:18">
      <c r="H210" s="1"/>
      <c r="R210" s="1"/>
    </row>
    <row r="211" spans="8:18">
      <c r="H211" s="1"/>
      <c r="R211" s="1"/>
    </row>
    <row r="212" spans="8:18">
      <c r="H212" s="1"/>
      <c r="R212" s="1"/>
    </row>
    <row r="213" spans="8:18">
      <c r="H213" s="1"/>
      <c r="R213" s="1"/>
    </row>
    <row r="214" spans="8:18">
      <c r="H214" s="1"/>
      <c r="R214" s="1"/>
    </row>
    <row r="215" spans="8:18">
      <c r="H215" s="1"/>
      <c r="R215" s="1"/>
    </row>
    <row r="216" spans="8:18">
      <c r="H216" s="1"/>
      <c r="R216" s="1"/>
    </row>
    <row r="217" spans="8:18">
      <c r="H217" s="1"/>
      <c r="R217" s="1"/>
    </row>
    <row r="218" spans="8:18">
      <c r="H218" s="1"/>
      <c r="R218" s="1"/>
    </row>
    <row r="219" spans="8:18">
      <c r="H219" s="1"/>
      <c r="R219" s="1"/>
    </row>
    <row r="220" spans="8:18">
      <c r="H220" s="1"/>
      <c r="R220" s="1"/>
    </row>
    <row r="221" spans="8:18">
      <c r="H221" s="1"/>
      <c r="R221" s="1"/>
    </row>
    <row r="222" spans="8:18">
      <c r="H222" s="1"/>
      <c r="R222" s="1"/>
    </row>
    <row r="223" spans="8:18">
      <c r="H223" s="1"/>
      <c r="R223" s="1"/>
    </row>
    <row r="224" spans="8:18">
      <c r="H224" s="1"/>
      <c r="R224" s="1"/>
    </row>
    <row r="225" spans="8:18">
      <c r="H225" s="1"/>
      <c r="R225" s="1"/>
    </row>
    <row r="226" spans="8:18">
      <c r="H226" s="1"/>
      <c r="R226" s="1"/>
    </row>
    <row r="227" spans="8:18">
      <c r="H227" s="1"/>
      <c r="R227" s="1"/>
    </row>
    <row r="228" spans="8:18">
      <c r="H228" s="1"/>
      <c r="R228" s="1"/>
    </row>
    <row r="229" spans="8:18">
      <c r="H229" s="1"/>
      <c r="R229" s="1"/>
    </row>
    <row r="230" spans="8:18">
      <c r="H230" s="1"/>
      <c r="R230" s="1"/>
    </row>
    <row r="231" spans="8:18">
      <c r="H231" s="1"/>
      <c r="R231" s="1"/>
    </row>
    <row r="232" spans="8:18">
      <c r="H232" s="1"/>
      <c r="R232" s="1"/>
    </row>
    <row r="233" spans="8:18">
      <c r="H233" s="1"/>
      <c r="R233" s="1"/>
    </row>
    <row r="234" spans="8:18">
      <c r="H234" s="1"/>
      <c r="R234" s="1"/>
    </row>
    <row r="235" spans="8:18">
      <c r="H235" s="1"/>
      <c r="R235" s="1"/>
    </row>
    <row r="236" spans="8:18">
      <c r="H236" s="1"/>
      <c r="R236" s="1"/>
    </row>
    <row r="237" spans="8:18">
      <c r="H237" s="1"/>
      <c r="R237" s="1"/>
    </row>
    <row r="238" spans="8:18">
      <c r="H238" s="1"/>
      <c r="R238" s="1"/>
    </row>
    <row r="239" spans="8:18">
      <c r="H239" s="1"/>
      <c r="R239" s="1"/>
    </row>
    <row r="240" spans="8:18">
      <c r="H240" s="1"/>
      <c r="R240" s="1"/>
    </row>
    <row r="241" spans="8:18">
      <c r="H241" s="1"/>
      <c r="R241" s="1"/>
    </row>
    <row r="242" spans="8:18">
      <c r="H242" s="1"/>
      <c r="R242" s="1"/>
    </row>
    <row r="243" spans="8:18">
      <c r="H243" s="1"/>
      <c r="R243" s="1"/>
    </row>
    <row r="244" spans="8:18">
      <c r="H244" s="1"/>
      <c r="R244" s="1"/>
    </row>
    <row r="245" spans="8:18">
      <c r="H245" s="1"/>
      <c r="R245" s="1"/>
    </row>
    <row r="246" spans="8:18">
      <c r="H246" s="1"/>
      <c r="R246" s="1"/>
    </row>
    <row r="247" spans="8:18">
      <c r="H247" s="1"/>
      <c r="R247" s="1"/>
    </row>
    <row r="248" spans="8:18">
      <c r="H248" s="1"/>
      <c r="R248" s="1"/>
    </row>
    <row r="249" spans="8:18">
      <c r="H249" s="1"/>
      <c r="R249" s="1"/>
    </row>
    <row r="250" spans="8:18">
      <c r="H250" s="1"/>
      <c r="R250" s="1"/>
    </row>
    <row r="251" spans="8:18">
      <c r="H251" s="1"/>
      <c r="R251" s="1"/>
    </row>
    <row r="252" spans="8:18">
      <c r="H252" s="1"/>
      <c r="R252" s="1"/>
    </row>
    <row r="253" spans="8:18">
      <c r="H253" s="1"/>
      <c r="R253" s="1"/>
    </row>
    <row r="254" spans="8:18">
      <c r="H254" s="1"/>
      <c r="R254" s="1"/>
    </row>
    <row r="255" spans="8:18">
      <c r="H255" s="1"/>
      <c r="R255" s="1"/>
    </row>
    <row r="256" spans="8:18">
      <c r="H256" s="1"/>
      <c r="R256" s="1"/>
    </row>
    <row r="257" spans="8:18">
      <c r="H257" s="1"/>
      <c r="R257" s="1"/>
    </row>
    <row r="258" spans="8:18">
      <c r="H258" s="1"/>
      <c r="R258" s="1"/>
    </row>
    <row r="259" spans="8:18">
      <c r="H259" s="1"/>
      <c r="R259" s="1"/>
    </row>
    <row r="260" spans="8:18">
      <c r="H260" s="1"/>
      <c r="R260" s="1"/>
    </row>
    <row r="261" spans="8:18">
      <c r="H261" s="1"/>
      <c r="R261" s="1"/>
    </row>
    <row r="262" spans="8:18">
      <c r="H262" s="1"/>
      <c r="R262" s="1"/>
    </row>
    <row r="263" spans="8:18">
      <c r="H263" s="1"/>
      <c r="R263" s="1"/>
    </row>
    <row r="264" spans="8:18">
      <c r="H264" s="1"/>
      <c r="R264" s="1"/>
    </row>
    <row r="265" spans="8:18">
      <c r="H265" s="1"/>
      <c r="R265" s="1"/>
    </row>
    <row r="266" spans="8:18">
      <c r="H266" s="1"/>
      <c r="R266" s="1"/>
    </row>
    <row r="267" spans="8:18">
      <c r="H267" s="1"/>
      <c r="R267" s="1"/>
    </row>
    <row r="268" spans="8:18">
      <c r="H268" s="1"/>
      <c r="R268" s="1"/>
    </row>
    <row r="269" spans="8:18">
      <c r="H269" s="1"/>
      <c r="R269" s="1"/>
    </row>
    <row r="270" spans="8:18">
      <c r="H270" s="1"/>
      <c r="R270" s="1"/>
    </row>
    <row r="271" spans="8:18">
      <c r="H271" s="1"/>
      <c r="R271" s="1"/>
    </row>
    <row r="272" spans="8:18">
      <c r="H272" s="1"/>
      <c r="R272" s="1"/>
    </row>
    <row r="273" spans="8:18">
      <c r="H273" s="1"/>
      <c r="R273" s="1"/>
    </row>
    <row r="274" spans="8:18">
      <c r="H274" s="1"/>
      <c r="R274" s="1"/>
    </row>
    <row r="275" spans="8:18">
      <c r="H275" s="1"/>
      <c r="R275" s="1"/>
    </row>
    <row r="276" spans="8:18">
      <c r="H276" s="1"/>
      <c r="R276" s="1"/>
    </row>
    <row r="277" spans="8:18">
      <c r="H277" s="1"/>
      <c r="R277" s="1"/>
    </row>
    <row r="278" spans="8:18">
      <c r="H278" s="1"/>
      <c r="R278" s="1"/>
    </row>
    <row r="279" spans="8:18">
      <c r="H279" s="1"/>
      <c r="R279" s="1"/>
    </row>
    <row r="280" spans="8:18">
      <c r="H280" s="1"/>
      <c r="R280" s="1"/>
    </row>
    <row r="281" spans="8:18">
      <c r="H281" s="1"/>
      <c r="R281" s="1"/>
    </row>
    <row r="282" spans="8:18">
      <c r="H282" s="1"/>
      <c r="R282" s="1"/>
    </row>
    <row r="283" spans="8:18">
      <c r="H283" s="1"/>
      <c r="R283" s="1"/>
    </row>
    <row r="284" spans="8:18">
      <c r="H284" s="1"/>
      <c r="R284" s="1"/>
    </row>
    <row r="285" spans="8:18">
      <c r="H285" s="1"/>
      <c r="R285" s="1"/>
    </row>
    <row r="286" spans="8:18">
      <c r="H286" s="1"/>
      <c r="R286" s="1"/>
    </row>
    <row r="287" spans="8:18">
      <c r="H287" s="1"/>
      <c r="R287" s="1"/>
    </row>
    <row r="288" spans="8:18">
      <c r="H288" s="1"/>
      <c r="R288" s="1"/>
    </row>
    <row r="289" spans="8:18">
      <c r="H289" s="1"/>
      <c r="R289" s="1"/>
    </row>
    <row r="290" spans="8:18">
      <c r="H290" s="1"/>
      <c r="R290" s="1"/>
    </row>
    <row r="291" spans="8:18">
      <c r="H291" s="1"/>
      <c r="R291" s="1"/>
    </row>
    <row r="292" spans="8:18">
      <c r="H292" s="1"/>
      <c r="R292" s="1"/>
    </row>
    <row r="293" spans="8:18">
      <c r="H293" s="1"/>
      <c r="R293" s="1"/>
    </row>
    <row r="294" spans="8:18">
      <c r="H294" s="1"/>
      <c r="R294" s="1"/>
    </row>
    <row r="295" spans="8:18">
      <c r="H295" s="1"/>
      <c r="R295" s="1"/>
    </row>
    <row r="296" spans="8:18">
      <c r="H296" s="1"/>
      <c r="R296" s="1"/>
    </row>
    <row r="297" spans="8:18">
      <c r="H297" s="1"/>
      <c r="R297" s="1"/>
    </row>
    <row r="298" spans="8:18">
      <c r="H298" s="1"/>
      <c r="R298" s="1"/>
    </row>
    <row r="299" spans="8:18">
      <c r="H299" s="1"/>
      <c r="R299" s="1"/>
    </row>
    <row r="300" spans="8:18">
      <c r="H300" s="1"/>
      <c r="R300" s="1"/>
    </row>
    <row r="301" spans="8:18">
      <c r="H301" s="1"/>
      <c r="R301" s="1"/>
    </row>
    <row r="302" spans="8:18">
      <c r="H302" s="1"/>
      <c r="R302" s="1"/>
    </row>
    <row r="303" spans="8:18">
      <c r="H303" s="1"/>
      <c r="R303" s="1"/>
    </row>
    <row r="304" spans="8:18">
      <c r="H304" s="1"/>
      <c r="R304" s="1"/>
    </row>
    <row r="305" spans="8:18">
      <c r="H305" s="1"/>
      <c r="R305" s="1"/>
    </row>
    <row r="306" spans="8:18">
      <c r="H306" s="1"/>
      <c r="R306" s="1"/>
    </row>
    <row r="307" spans="8:18">
      <c r="H307" s="1"/>
      <c r="R307" s="1"/>
    </row>
    <row r="308" spans="8:18">
      <c r="H308" s="1"/>
      <c r="R308" s="1"/>
    </row>
    <row r="309" spans="8:18">
      <c r="H309" s="1"/>
      <c r="R309" s="1"/>
    </row>
    <row r="310" spans="8:18">
      <c r="H310" s="1"/>
      <c r="R310" s="1"/>
    </row>
    <row r="311" spans="8:18">
      <c r="H311" s="1"/>
      <c r="R311" s="1"/>
    </row>
    <row r="312" spans="8:18">
      <c r="H312" s="1"/>
      <c r="R312" s="1"/>
    </row>
    <row r="313" spans="8:18">
      <c r="H313" s="1"/>
      <c r="R313" s="1"/>
    </row>
    <row r="314" spans="8:18">
      <c r="H314" s="1"/>
      <c r="R314" s="1"/>
    </row>
    <row r="315" spans="8:18">
      <c r="H315" s="1"/>
      <c r="R315" s="1"/>
    </row>
    <row r="316" spans="8:18">
      <c r="H316" s="1"/>
      <c r="R316" s="1"/>
    </row>
    <row r="317" spans="8:18">
      <c r="H317" s="1"/>
      <c r="R317" s="1"/>
    </row>
    <row r="318" spans="8:18">
      <c r="H318" s="1"/>
      <c r="R318" s="1"/>
    </row>
    <row r="319" spans="8:18">
      <c r="H319" s="1"/>
      <c r="R319" s="1"/>
    </row>
    <row r="320" spans="8:18">
      <c r="H320" s="1"/>
      <c r="R320" s="1"/>
    </row>
    <row r="321" spans="8:18">
      <c r="H321" s="1"/>
      <c r="R321" s="1"/>
    </row>
    <row r="322" spans="8:18">
      <c r="H322" s="1"/>
      <c r="R322" s="1"/>
    </row>
    <row r="323" spans="8:18">
      <c r="H323" s="1"/>
      <c r="R323" s="1"/>
    </row>
    <row r="324" spans="8:18">
      <c r="H324" s="1"/>
      <c r="R324" s="1"/>
    </row>
    <row r="325" spans="8:18">
      <c r="H325" s="1"/>
      <c r="R325" s="1"/>
    </row>
    <row r="326" spans="8:18">
      <c r="H326" s="1"/>
      <c r="R326" s="1"/>
    </row>
    <row r="327" spans="8:18">
      <c r="H327" s="1"/>
      <c r="R327" s="1"/>
    </row>
    <row r="328" spans="8:18">
      <c r="H328" s="1"/>
      <c r="R328" s="1"/>
    </row>
    <row r="329" spans="8:18">
      <c r="H329" s="1"/>
      <c r="R329" s="1"/>
    </row>
    <row r="330" spans="8:18">
      <c r="H330" s="1"/>
      <c r="R330" s="1"/>
    </row>
    <row r="331" spans="8:18">
      <c r="H331" s="1"/>
      <c r="R331" s="1"/>
    </row>
    <row r="332" spans="8:18">
      <c r="H332" s="1"/>
      <c r="R332" s="1"/>
    </row>
    <row r="333" spans="8:18">
      <c r="H333" s="1"/>
      <c r="R333" s="1"/>
    </row>
    <row r="334" spans="8:18">
      <c r="H334" s="1"/>
      <c r="R334" s="1"/>
    </row>
    <row r="335" spans="8:18">
      <c r="H335" s="1"/>
      <c r="R335" s="1"/>
    </row>
    <row r="336" spans="8:18">
      <c r="H336" s="1"/>
      <c r="R336" s="1"/>
    </row>
    <row r="337" spans="8:18">
      <c r="H337" s="1"/>
      <c r="R337" s="1"/>
    </row>
    <row r="338" spans="8:18">
      <c r="H338" s="1"/>
      <c r="R338" s="1"/>
    </row>
    <row r="339" spans="8:18">
      <c r="H339" s="1"/>
      <c r="R339" s="1"/>
    </row>
    <row r="340" spans="8:18">
      <c r="H340" s="1"/>
      <c r="R340" s="1"/>
    </row>
    <row r="341" spans="8:18">
      <c r="H341" s="1"/>
      <c r="R341" s="1"/>
    </row>
    <row r="342" spans="8:18">
      <c r="H342" s="1"/>
      <c r="R342" s="1"/>
    </row>
    <row r="343" spans="8:18">
      <c r="H343" s="1"/>
      <c r="R343" s="1"/>
    </row>
    <row r="344" spans="8:18">
      <c r="H344" s="1"/>
      <c r="R344" s="1"/>
    </row>
    <row r="345" spans="8:18">
      <c r="H345" s="1"/>
      <c r="R345" s="1"/>
    </row>
    <row r="346" spans="8:18">
      <c r="H346" s="1"/>
      <c r="R346" s="1"/>
    </row>
    <row r="347" spans="8:18">
      <c r="H347" s="1"/>
      <c r="R347" s="1"/>
    </row>
    <row r="348" spans="8:18">
      <c r="H348" s="1"/>
      <c r="R348" s="1"/>
    </row>
    <row r="349" spans="8:18">
      <c r="H349" s="1"/>
      <c r="R349" s="1"/>
    </row>
    <row r="350" spans="8:18">
      <c r="H350" s="1"/>
      <c r="R350" s="1"/>
    </row>
    <row r="351" spans="8:18">
      <c r="H351" s="1"/>
      <c r="R351" s="1"/>
    </row>
    <row r="352" spans="8:18">
      <c r="H352" s="1"/>
      <c r="R352" s="1"/>
    </row>
    <row r="353" spans="8:18">
      <c r="H353" s="1"/>
      <c r="R353" s="1"/>
    </row>
    <row r="354" spans="8:18">
      <c r="H354" s="1"/>
      <c r="R354" s="1"/>
    </row>
    <row r="355" spans="8:18">
      <c r="H355" s="1"/>
      <c r="R355" s="1"/>
    </row>
    <row r="356" spans="8:18">
      <c r="H356" s="1"/>
      <c r="R356" s="1"/>
    </row>
    <row r="357" spans="8:18">
      <c r="H357" s="1"/>
      <c r="R357" s="1"/>
    </row>
    <row r="358" spans="8:18">
      <c r="H358" s="1"/>
      <c r="R358" s="1"/>
    </row>
    <row r="359" spans="8:18">
      <c r="H359" s="1"/>
      <c r="R359" s="1"/>
    </row>
    <row r="360" spans="8:18">
      <c r="H360" s="1"/>
      <c r="R360" s="1"/>
    </row>
    <row r="361" spans="8:18">
      <c r="H361" s="1"/>
      <c r="R361" s="1"/>
    </row>
    <row r="362" spans="8:18">
      <c r="H362" s="1"/>
      <c r="R362" s="1"/>
    </row>
    <row r="363" spans="8:18">
      <c r="H363" s="1"/>
      <c r="R363" s="1"/>
    </row>
    <row r="364" spans="8:18">
      <c r="H364" s="1"/>
      <c r="R364" s="1"/>
    </row>
    <row r="365" spans="8:18">
      <c r="H365" s="1"/>
      <c r="R365" s="1"/>
    </row>
    <row r="366" spans="8:18">
      <c r="H366" s="1"/>
      <c r="R366" s="1"/>
    </row>
    <row r="367" spans="8:18">
      <c r="H367" s="1"/>
      <c r="R367" s="1"/>
    </row>
    <row r="368" spans="8:18">
      <c r="H368" s="1"/>
      <c r="R368" s="1"/>
    </row>
    <row r="369" spans="8:18">
      <c r="H369" s="1"/>
      <c r="R369" s="1"/>
    </row>
    <row r="370" spans="8:18">
      <c r="H370" s="1"/>
      <c r="R370" s="1"/>
    </row>
    <row r="371" spans="8:18">
      <c r="H371" s="1"/>
      <c r="R371" s="1"/>
    </row>
    <row r="372" spans="8:18">
      <c r="H372" s="1"/>
      <c r="R372" s="1"/>
    </row>
    <row r="373" spans="8:18">
      <c r="H373" s="1"/>
      <c r="R373" s="1"/>
    </row>
    <row r="374" spans="8:18">
      <c r="H374" s="1"/>
      <c r="R374" s="1"/>
    </row>
    <row r="375" spans="8:18">
      <c r="H375" s="1"/>
      <c r="R375" s="1"/>
    </row>
    <row r="376" spans="8:18">
      <c r="H376" s="1"/>
      <c r="R376" s="1"/>
    </row>
    <row r="377" spans="8:18">
      <c r="H377" s="1"/>
      <c r="R377" s="1"/>
    </row>
    <row r="378" spans="8:18">
      <c r="H378" s="1"/>
      <c r="R378" s="1"/>
    </row>
    <row r="379" spans="8:18">
      <c r="H379" s="1"/>
      <c r="R379" s="1"/>
    </row>
    <row r="380" spans="8:18">
      <c r="H380" s="1"/>
      <c r="R380" s="1"/>
    </row>
    <row r="381" spans="8:18">
      <c r="H381" s="1"/>
      <c r="R381" s="1"/>
    </row>
    <row r="382" spans="8:18">
      <c r="H382" s="1"/>
      <c r="R382" s="1"/>
    </row>
    <row r="383" spans="8:18">
      <c r="H383" s="1"/>
      <c r="R383" s="1"/>
    </row>
    <row r="384" spans="8:18">
      <c r="H384" s="1"/>
      <c r="R384" s="1"/>
    </row>
    <row r="385" spans="8:18">
      <c r="H385" s="1"/>
      <c r="R385" s="1"/>
    </row>
    <row r="386" spans="8:18">
      <c r="H386" s="1"/>
      <c r="R386" s="1"/>
    </row>
    <row r="387" spans="8:18">
      <c r="H387" s="1"/>
      <c r="R387" s="1"/>
    </row>
    <row r="388" spans="8:18">
      <c r="H388" s="1"/>
      <c r="R388" s="1"/>
    </row>
    <row r="389" spans="8:18">
      <c r="H389" s="1"/>
      <c r="R389" s="1"/>
    </row>
    <row r="390" spans="8:18">
      <c r="H390" s="1"/>
      <c r="R390" s="1"/>
    </row>
    <row r="391" spans="8:18">
      <c r="H391" s="1"/>
      <c r="R391" s="1"/>
    </row>
    <row r="392" spans="8:18">
      <c r="H392" s="1"/>
      <c r="R392" s="1"/>
    </row>
    <row r="393" spans="8:18">
      <c r="H393" s="1"/>
      <c r="R393" s="1"/>
    </row>
    <row r="394" spans="8:18">
      <c r="H394" s="1"/>
      <c r="R394" s="1"/>
    </row>
    <row r="395" spans="8:18">
      <c r="H395" s="1"/>
      <c r="R395" s="1"/>
    </row>
    <row r="396" spans="8:18">
      <c r="H396" s="1"/>
      <c r="R396" s="1"/>
    </row>
    <row r="397" spans="8:18">
      <c r="H397" s="1"/>
      <c r="R397" s="1"/>
    </row>
    <row r="398" spans="8:18">
      <c r="H398" s="1"/>
      <c r="R398" s="1"/>
    </row>
    <row r="399" spans="8:18">
      <c r="H399" s="1"/>
      <c r="R399" s="1"/>
    </row>
    <row r="400" spans="8:18">
      <c r="H400" s="1"/>
      <c r="R400" s="1"/>
    </row>
    <row r="401" spans="8:18">
      <c r="H401" s="1"/>
      <c r="R401" s="1"/>
    </row>
    <row r="402" spans="8:18">
      <c r="H402" s="1"/>
      <c r="R402" s="1"/>
    </row>
    <row r="403" spans="8:18">
      <c r="H403" s="1"/>
      <c r="R403" s="1"/>
    </row>
    <row r="404" spans="8:18">
      <c r="H404" s="1"/>
      <c r="R404" s="1"/>
    </row>
    <row r="405" spans="8:18">
      <c r="H405" s="1"/>
      <c r="R405" s="1"/>
    </row>
    <row r="406" spans="8:18">
      <c r="H406" s="1"/>
      <c r="R406" s="1"/>
    </row>
    <row r="407" spans="8:18">
      <c r="H407" s="1"/>
      <c r="R407" s="1"/>
    </row>
    <row r="408" spans="8:18">
      <c r="H408" s="1"/>
      <c r="R408" s="1"/>
    </row>
    <row r="409" spans="8:18">
      <c r="H409" s="1"/>
      <c r="R409" s="1"/>
    </row>
    <row r="410" spans="8:18">
      <c r="H410" s="1"/>
      <c r="R410" s="1"/>
    </row>
    <row r="411" spans="8:18">
      <c r="H411" s="1"/>
      <c r="R411" s="1"/>
    </row>
    <row r="412" spans="8:18">
      <c r="H412" s="1"/>
      <c r="R412" s="1"/>
    </row>
    <row r="413" spans="8:18">
      <c r="H413" s="1"/>
      <c r="R413" s="1"/>
    </row>
    <row r="414" spans="8:18">
      <c r="H414" s="1"/>
      <c r="R414" s="1"/>
    </row>
    <row r="415" spans="8:18">
      <c r="H415" s="1"/>
      <c r="R415" s="1"/>
    </row>
    <row r="416" spans="8:18">
      <c r="H416" s="1"/>
      <c r="R416" s="1"/>
    </row>
    <row r="417" spans="8:18">
      <c r="H417" s="1"/>
      <c r="R417" s="1"/>
    </row>
    <row r="418" spans="8:18">
      <c r="H418" s="1"/>
      <c r="R418" s="1"/>
    </row>
    <row r="419" spans="8:18">
      <c r="H419" s="1"/>
      <c r="R419" s="1"/>
    </row>
    <row r="420" spans="8:18">
      <c r="H420" s="1"/>
      <c r="R420" s="1"/>
    </row>
    <row r="421" spans="8:18">
      <c r="H421" s="1"/>
      <c r="R421" s="1"/>
    </row>
    <row r="422" spans="8:18">
      <c r="H422" s="1"/>
      <c r="R422" s="1"/>
    </row>
    <row r="423" spans="8:18">
      <c r="H423" s="1"/>
      <c r="R423" s="1"/>
    </row>
    <row r="424" spans="8:18">
      <c r="H424" s="1"/>
      <c r="R424" s="1"/>
    </row>
    <row r="425" spans="8:18">
      <c r="H425" s="1"/>
      <c r="R425" s="1"/>
    </row>
    <row r="426" spans="8:18">
      <c r="H426" s="1"/>
      <c r="R426" s="1"/>
    </row>
    <row r="427" spans="8:18">
      <c r="H427" s="1"/>
      <c r="R427" s="1"/>
    </row>
    <row r="428" spans="8:18">
      <c r="H428" s="1"/>
      <c r="R428" s="1"/>
    </row>
    <row r="429" spans="8:18">
      <c r="H429" s="1"/>
      <c r="R429" s="1"/>
    </row>
    <row r="430" spans="8:18">
      <c r="H430" s="1"/>
      <c r="R430" s="1"/>
    </row>
    <row r="431" spans="8:18">
      <c r="H431" s="1"/>
      <c r="R431" s="1"/>
    </row>
    <row r="432" spans="8:18">
      <c r="H432" s="1"/>
      <c r="R432" s="1"/>
    </row>
    <row r="433" spans="8:18">
      <c r="H433" s="1"/>
      <c r="R433" s="1"/>
    </row>
    <row r="434" spans="8:18">
      <c r="H434" s="1"/>
      <c r="R434" s="1"/>
    </row>
    <row r="435" spans="8:18">
      <c r="H435" s="1"/>
      <c r="R435" s="1"/>
    </row>
    <row r="436" spans="8:18">
      <c r="H436" s="1"/>
      <c r="R436" s="1"/>
    </row>
    <row r="437" spans="8:18">
      <c r="H437" s="1"/>
      <c r="R437" s="1"/>
    </row>
    <row r="438" spans="8:18">
      <c r="H438" s="1"/>
      <c r="R438" s="1"/>
    </row>
    <row r="439" spans="8:18">
      <c r="H439" s="1"/>
      <c r="R439" s="1"/>
    </row>
    <row r="440" spans="8:18">
      <c r="H440" s="1"/>
      <c r="R440" s="1"/>
    </row>
    <row r="441" spans="8:18">
      <c r="H441" s="1"/>
      <c r="R441" s="1"/>
    </row>
    <row r="442" spans="8:18">
      <c r="H442" s="1"/>
      <c r="R442" s="1"/>
    </row>
    <row r="443" spans="8:18">
      <c r="H443" s="1"/>
      <c r="R443" s="1"/>
    </row>
    <row r="444" spans="8:18">
      <c r="H444" s="1"/>
      <c r="R444" s="1"/>
    </row>
    <row r="445" spans="8:18">
      <c r="H445" s="1"/>
      <c r="R445" s="1"/>
    </row>
    <row r="446" spans="8:18">
      <c r="H446" s="1"/>
      <c r="R446" s="1"/>
    </row>
    <row r="447" spans="8:18">
      <c r="H447" s="1"/>
      <c r="R447" s="1"/>
    </row>
    <row r="448" spans="8:18">
      <c r="H448" s="1"/>
      <c r="R448" s="1"/>
    </row>
    <row r="449" spans="8:18">
      <c r="H449" s="1"/>
      <c r="R449" s="1"/>
    </row>
    <row r="450" spans="8:18">
      <c r="H450" s="1"/>
      <c r="R450" s="1"/>
    </row>
    <row r="451" spans="8:18">
      <c r="H451" s="1"/>
      <c r="R451" s="1"/>
    </row>
    <row r="452" spans="8:18">
      <c r="H452" s="1"/>
      <c r="R452" s="1"/>
    </row>
    <row r="453" spans="8:18">
      <c r="H453" s="1"/>
      <c r="R453" s="1"/>
    </row>
    <row r="454" spans="8:18">
      <c r="H454" s="1"/>
      <c r="R454" s="1"/>
    </row>
    <row r="455" spans="8:18">
      <c r="H455" s="1"/>
      <c r="R455" s="1"/>
    </row>
    <row r="456" spans="8:18">
      <c r="H456" s="1"/>
      <c r="R456" s="1"/>
    </row>
    <row r="457" spans="8:18">
      <c r="H457" s="1"/>
      <c r="R457" s="1"/>
    </row>
    <row r="458" spans="8:18">
      <c r="H458" s="1"/>
      <c r="R458" s="1"/>
    </row>
    <row r="459" spans="8:18">
      <c r="H459" s="1"/>
      <c r="R459" s="1"/>
    </row>
    <row r="460" spans="8:18">
      <c r="H460" s="1"/>
      <c r="R460" s="1"/>
    </row>
    <row r="461" spans="8:18">
      <c r="H461" s="1"/>
      <c r="R461" s="1"/>
    </row>
    <row r="462" spans="8:18">
      <c r="H462" s="1"/>
      <c r="R462" s="1"/>
    </row>
    <row r="463" spans="8:18">
      <c r="H463" s="1"/>
      <c r="R463" s="1"/>
    </row>
    <row r="464" spans="8:18">
      <c r="H464" s="1"/>
      <c r="R464" s="1"/>
    </row>
    <row r="465" spans="8:18">
      <c r="H465" s="1"/>
      <c r="R465" s="1"/>
    </row>
    <row r="466" spans="8:18">
      <c r="H466" s="1"/>
      <c r="R466" s="1"/>
    </row>
    <row r="467" spans="8:18">
      <c r="H467" s="1"/>
      <c r="R467" s="1"/>
    </row>
    <row r="468" spans="8:18">
      <c r="H468" s="1"/>
      <c r="R468" s="1"/>
    </row>
    <row r="469" spans="8:18">
      <c r="H469" s="1"/>
      <c r="R469" s="1"/>
    </row>
    <row r="470" spans="8:18">
      <c r="H470" s="1"/>
      <c r="R470" s="1"/>
    </row>
    <row r="471" spans="8:18">
      <c r="H471" s="1"/>
      <c r="R471" s="1"/>
    </row>
    <row r="472" spans="8:18">
      <c r="H472" s="1"/>
      <c r="R472" s="1"/>
    </row>
    <row r="473" spans="8:18">
      <c r="H473" s="1"/>
      <c r="R473" s="1"/>
    </row>
    <row r="474" spans="8:18">
      <c r="H474" s="1"/>
      <c r="R474" s="1"/>
    </row>
    <row r="475" spans="8:18">
      <c r="H475" s="1"/>
      <c r="R475" s="1"/>
    </row>
    <row r="476" spans="8:18">
      <c r="H476" s="1"/>
      <c r="R476" s="1"/>
    </row>
    <row r="477" spans="8:18">
      <c r="H477" s="1"/>
      <c r="R477" s="1"/>
    </row>
    <row r="478" spans="8:18">
      <c r="H478" s="1"/>
      <c r="R478" s="1"/>
    </row>
    <row r="479" spans="8:18">
      <c r="H479" s="1"/>
      <c r="R479" s="1"/>
    </row>
    <row r="480" spans="8:18">
      <c r="H480" s="1"/>
      <c r="R480" s="1"/>
    </row>
    <row r="481" spans="8:18">
      <c r="H481" s="1"/>
      <c r="R481" s="1"/>
    </row>
    <row r="482" spans="8:18">
      <c r="H482" s="1"/>
      <c r="R482" s="1"/>
    </row>
    <row r="483" spans="8:18">
      <c r="H483" s="1"/>
      <c r="R483" s="1"/>
    </row>
    <row r="484" spans="8:18">
      <c r="H484" s="1"/>
      <c r="R484" s="1"/>
    </row>
    <row r="485" spans="8:18">
      <c r="H485" s="1"/>
      <c r="R485" s="1"/>
    </row>
    <row r="486" spans="8:18">
      <c r="H486" s="1"/>
      <c r="R486" s="1"/>
    </row>
    <row r="487" spans="8:18">
      <c r="H487" s="1"/>
      <c r="R487" s="1"/>
    </row>
    <row r="488" spans="8:18">
      <c r="H488" s="1"/>
      <c r="R488" s="1"/>
    </row>
    <row r="489" spans="8:18">
      <c r="H489" s="1"/>
      <c r="R489" s="1"/>
    </row>
    <row r="490" spans="8:18">
      <c r="H490" s="1"/>
      <c r="R490" s="1"/>
    </row>
    <row r="491" spans="8:18">
      <c r="H491" s="1"/>
      <c r="R491" s="1"/>
    </row>
    <row r="492" spans="8:18">
      <c r="H492" s="1"/>
      <c r="R492" s="1"/>
    </row>
    <row r="493" spans="8:18">
      <c r="H493" s="1"/>
      <c r="R493" s="1"/>
    </row>
    <row r="494" spans="8:18">
      <c r="H494" s="1"/>
      <c r="R494" s="1"/>
    </row>
    <row r="495" spans="8:18">
      <c r="H495" s="1"/>
      <c r="R495" s="1"/>
    </row>
    <row r="496" spans="8:18">
      <c r="H496" s="1"/>
      <c r="R496" s="1"/>
    </row>
    <row r="497" spans="8:18">
      <c r="H497" s="1"/>
      <c r="R497" s="1"/>
    </row>
    <row r="498" spans="8:18">
      <c r="H498" s="1"/>
      <c r="R498" s="1"/>
    </row>
    <row r="499" spans="8:18">
      <c r="H499" s="1"/>
      <c r="R499" s="1"/>
    </row>
    <row r="500" spans="8:18">
      <c r="H500" s="1"/>
      <c r="R500" s="1"/>
    </row>
    <row r="501" spans="8:18">
      <c r="H501" s="1"/>
      <c r="R501" s="1"/>
    </row>
    <row r="502" spans="8:18">
      <c r="H502" s="1"/>
      <c r="R502" s="1"/>
    </row>
    <row r="503" spans="8:18">
      <c r="H503" s="1"/>
      <c r="R503" s="1"/>
    </row>
    <row r="504" spans="8:18">
      <c r="H504" s="1"/>
      <c r="R504" s="1"/>
    </row>
    <row r="505" spans="8:18">
      <c r="H505" s="1"/>
      <c r="R505" s="1"/>
    </row>
    <row r="506" spans="8:18">
      <c r="H506" s="1"/>
      <c r="R506" s="1"/>
    </row>
    <row r="507" spans="8:18">
      <c r="H507" s="1"/>
      <c r="R507" s="1"/>
    </row>
    <row r="508" spans="8:18">
      <c r="H508" s="1"/>
      <c r="R508" s="1"/>
    </row>
    <row r="509" spans="8:18">
      <c r="H509" s="1"/>
      <c r="R509" s="1"/>
    </row>
    <row r="510" spans="8:18">
      <c r="H510" s="1"/>
      <c r="R510" s="1"/>
    </row>
    <row r="511" spans="8:18">
      <c r="H511" s="1"/>
      <c r="R511" s="1"/>
    </row>
    <row r="512" spans="8:18">
      <c r="H512" s="1"/>
      <c r="R512" s="1"/>
    </row>
    <row r="513" spans="8:18">
      <c r="H513" s="1"/>
      <c r="R513" s="1"/>
    </row>
    <row r="514" spans="8:18">
      <c r="H514" s="1"/>
      <c r="R514" s="1"/>
    </row>
    <row r="515" spans="8:18">
      <c r="H515" s="1"/>
      <c r="R515" s="1"/>
    </row>
    <row r="516" spans="8:18">
      <c r="H516" s="1"/>
      <c r="R516" s="1"/>
    </row>
    <row r="517" spans="8:18">
      <c r="H517" s="1"/>
      <c r="R517" s="1"/>
    </row>
    <row r="518" spans="8:18">
      <c r="H518" s="1"/>
      <c r="R518" s="1"/>
    </row>
    <row r="519" spans="8:18">
      <c r="H519" s="1"/>
      <c r="R519" s="1"/>
    </row>
    <row r="520" spans="8:18">
      <c r="H520" s="1"/>
      <c r="R520" s="1"/>
    </row>
    <row r="521" spans="8:18">
      <c r="H521" s="1"/>
      <c r="R521" s="1"/>
    </row>
    <row r="522" spans="8:18">
      <c r="H522" s="1"/>
      <c r="R522" s="1"/>
    </row>
    <row r="523" spans="8:18">
      <c r="H523" s="1"/>
      <c r="R523" s="1"/>
    </row>
    <row r="524" spans="8:18">
      <c r="H524" s="1"/>
      <c r="R524" s="1"/>
    </row>
    <row r="525" spans="8:18">
      <c r="H525" s="1"/>
      <c r="R525" s="1"/>
    </row>
    <row r="526" spans="8:18">
      <c r="H526" s="1"/>
      <c r="R526" s="1"/>
    </row>
    <row r="527" spans="8:18">
      <c r="H527" s="1"/>
      <c r="R527" s="1"/>
    </row>
    <row r="528" spans="8:18">
      <c r="H528" s="1"/>
      <c r="R528" s="1"/>
    </row>
    <row r="529" spans="8:18">
      <c r="H529" s="1"/>
      <c r="R529" s="1"/>
    </row>
    <row r="530" spans="8:18">
      <c r="H530" s="1"/>
      <c r="R530" s="1"/>
    </row>
    <row r="531" spans="8:18">
      <c r="H531" s="1"/>
      <c r="R531" s="1"/>
    </row>
    <row r="532" spans="8:18">
      <c r="H532" s="1"/>
      <c r="R532" s="1"/>
    </row>
    <row r="533" spans="8:18">
      <c r="H533" s="1"/>
      <c r="R533" s="1"/>
    </row>
    <row r="534" spans="8:18">
      <c r="H534" s="1"/>
      <c r="R534" s="1"/>
    </row>
    <row r="535" spans="8:18">
      <c r="H535" s="1"/>
      <c r="R535" s="1"/>
    </row>
    <row r="536" spans="8:18">
      <c r="H536" s="1"/>
      <c r="R536" s="1"/>
    </row>
    <row r="537" spans="8:18">
      <c r="H537" s="1"/>
      <c r="R537" s="1"/>
    </row>
    <row r="538" spans="8:18">
      <c r="H538" s="1"/>
      <c r="R538" s="1"/>
    </row>
    <row r="539" spans="8:18">
      <c r="H539" s="1"/>
      <c r="R539" s="1"/>
    </row>
    <row r="540" spans="8:18">
      <c r="H540" s="1"/>
      <c r="R540" s="1"/>
    </row>
    <row r="541" spans="8:18">
      <c r="H541" s="1"/>
      <c r="R541" s="1"/>
    </row>
    <row r="542" spans="8:18">
      <c r="H542" s="1"/>
      <c r="R542" s="1"/>
    </row>
    <row r="543" spans="8:18">
      <c r="H543" s="1"/>
      <c r="R543" s="1"/>
    </row>
    <row r="544" spans="8:18">
      <c r="H544" s="1"/>
      <c r="R544" s="1"/>
    </row>
    <row r="545" spans="8:18">
      <c r="H545" s="1"/>
      <c r="R545" s="1"/>
    </row>
    <row r="546" spans="8:18">
      <c r="H546" s="1"/>
      <c r="R546" s="1"/>
    </row>
    <row r="547" spans="8:18">
      <c r="H547" s="1"/>
      <c r="R547" s="1"/>
    </row>
    <row r="548" spans="8:18">
      <c r="H548" s="1"/>
      <c r="R548" s="1"/>
    </row>
    <row r="549" spans="8:18">
      <c r="H549" s="1"/>
      <c r="R549" s="1"/>
    </row>
    <row r="550" spans="8:18">
      <c r="H550" s="1"/>
      <c r="R550" s="1"/>
    </row>
    <row r="551" spans="8:18">
      <c r="H551" s="1"/>
      <c r="R551" s="1"/>
    </row>
    <row r="552" spans="8:18">
      <c r="H552" s="1"/>
      <c r="R552" s="1"/>
    </row>
    <row r="553" spans="8:18">
      <c r="H553" s="1"/>
      <c r="R553" s="1"/>
    </row>
    <row r="554" spans="8:18">
      <c r="H554" s="1"/>
      <c r="R554" s="1"/>
    </row>
    <row r="555" spans="8:18">
      <c r="H555" s="1"/>
      <c r="R555" s="1"/>
    </row>
    <row r="556" spans="8:18">
      <c r="H556" s="1"/>
      <c r="R556" s="1"/>
    </row>
    <row r="557" spans="8:18">
      <c r="H557" s="1"/>
      <c r="R557" s="1"/>
    </row>
    <row r="558" spans="8:18">
      <c r="H558" s="1"/>
      <c r="R558" s="1"/>
    </row>
    <row r="559" spans="8:18">
      <c r="H559" s="1"/>
      <c r="R559" s="1"/>
    </row>
    <row r="560" spans="8:18">
      <c r="H560" s="1"/>
      <c r="R560" s="1"/>
    </row>
    <row r="561" spans="8:18">
      <c r="H561" s="1"/>
      <c r="R561" s="1"/>
    </row>
    <row r="562" spans="8:18">
      <c r="H562" s="1"/>
      <c r="R562" s="1"/>
    </row>
    <row r="563" spans="8:18">
      <c r="H563" s="1"/>
      <c r="R563" s="1"/>
    </row>
    <row r="564" spans="8:18">
      <c r="H564" s="1"/>
      <c r="R564" s="1"/>
    </row>
    <row r="565" spans="8:18">
      <c r="H565" s="1"/>
      <c r="R565" s="1"/>
    </row>
    <row r="566" spans="8:18">
      <c r="H566" s="1"/>
      <c r="R566" s="1"/>
    </row>
    <row r="567" spans="8:18">
      <c r="H567" s="1"/>
      <c r="R567" s="1"/>
    </row>
    <row r="568" spans="8:18">
      <c r="H568" s="1"/>
      <c r="R568" s="1"/>
    </row>
    <row r="569" spans="8:18">
      <c r="H569" s="1"/>
      <c r="R569" s="1"/>
    </row>
    <row r="570" spans="8:18">
      <c r="H570" s="1"/>
      <c r="R570" s="1"/>
    </row>
    <row r="571" spans="8:18">
      <c r="H571" s="1"/>
      <c r="R571" s="1"/>
    </row>
    <row r="572" spans="8:18">
      <c r="H572" s="1"/>
      <c r="R572" s="1"/>
    </row>
    <row r="573" spans="8:18">
      <c r="H573" s="1"/>
      <c r="R573" s="1"/>
    </row>
    <row r="574" spans="8:18">
      <c r="H574" s="1"/>
      <c r="R574" s="1"/>
    </row>
    <row r="575" spans="8:18">
      <c r="H575" s="1"/>
      <c r="R575" s="1"/>
    </row>
    <row r="576" spans="8:18">
      <c r="H576" s="1"/>
      <c r="R576" s="1"/>
    </row>
    <row r="577" spans="8:18">
      <c r="H577" s="1"/>
      <c r="R577" s="1"/>
    </row>
    <row r="578" spans="8:18">
      <c r="H578" s="1"/>
      <c r="R578" s="1"/>
    </row>
    <row r="579" spans="8:18">
      <c r="H579" s="1"/>
      <c r="R579" s="1"/>
    </row>
    <row r="580" spans="8:18">
      <c r="H580" s="1"/>
      <c r="R580" s="1"/>
    </row>
    <row r="581" spans="8:18">
      <c r="H581" s="1"/>
      <c r="R581" s="1"/>
    </row>
    <row r="582" spans="8:18">
      <c r="H582" s="1"/>
      <c r="R582" s="1"/>
    </row>
    <row r="583" spans="8:18">
      <c r="H583" s="1"/>
      <c r="R583" s="1"/>
    </row>
    <row r="584" spans="8:18">
      <c r="H584" s="1"/>
      <c r="R584" s="1"/>
    </row>
    <row r="585" spans="8:18">
      <c r="H585" s="1"/>
      <c r="R585" s="1"/>
    </row>
    <row r="586" spans="8:18">
      <c r="H586" s="1"/>
      <c r="R586" s="1"/>
    </row>
    <row r="587" spans="8:18">
      <c r="H587" s="1"/>
      <c r="R587" s="1"/>
    </row>
    <row r="588" spans="8:18">
      <c r="H588" s="1"/>
      <c r="R588" s="1"/>
    </row>
    <row r="589" spans="8:18">
      <c r="H589" s="1"/>
      <c r="R589" s="1"/>
    </row>
    <row r="590" spans="8:18">
      <c r="H590" s="1"/>
      <c r="R590" s="1"/>
    </row>
    <row r="591" spans="8:18">
      <c r="H591" s="1"/>
      <c r="R591" s="1"/>
    </row>
    <row r="592" spans="8:18">
      <c r="H592" s="1"/>
      <c r="R592" s="1"/>
    </row>
    <row r="593" spans="8:18">
      <c r="H593" s="1"/>
      <c r="R593" s="1"/>
    </row>
    <row r="594" spans="8:18">
      <c r="H594" s="1"/>
      <c r="R594" s="1"/>
    </row>
    <row r="595" spans="8:18">
      <c r="H595" s="1"/>
      <c r="R595" s="1"/>
    </row>
    <row r="596" spans="8:18">
      <c r="H596" s="1"/>
      <c r="R596" s="1"/>
    </row>
    <row r="597" spans="8:18">
      <c r="H597" s="1"/>
    </row>
    <row r="598" spans="8:18">
      <c r="H598" s="1"/>
    </row>
    <row r="599" spans="8:18">
      <c r="H599" s="1"/>
    </row>
    <row r="600" spans="8:18">
      <c r="H600" s="1"/>
    </row>
    <row r="601" spans="8:18">
      <c r="H601" s="1"/>
    </row>
    <row r="602" spans="8:18">
      <c r="H602" s="1"/>
    </row>
    <row r="603" spans="8:18">
      <c r="H603" s="1"/>
    </row>
    <row r="604" spans="8:18">
      <c r="H604" s="1"/>
    </row>
    <row r="605" spans="8:18">
      <c r="H605" s="1"/>
    </row>
    <row r="606" spans="8:18">
      <c r="H606" s="1"/>
    </row>
    <row r="607" spans="8:18">
      <c r="H607" s="1"/>
    </row>
    <row r="608" spans="8:1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sheetData>
  <sortState xmlns:xlrd2="http://schemas.microsoft.com/office/spreadsheetml/2017/richdata2" ref="K2:R594">
    <sortCondition ref="M2:M5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topLeftCell="E6" workbookViewId="0">
      <selection activeCell="H15" sqref="H15"/>
    </sheetView>
  </sheetViews>
  <sheetFormatPr defaultRowHeight="15"/>
  <cols>
    <col min="1" max="1" width="19.85546875" bestFit="1" customWidth="1"/>
    <col min="2" max="2" width="79.140625" bestFit="1" customWidth="1"/>
    <col min="3" max="3" width="32.140625" customWidth="1"/>
    <col min="4" max="4" width="38.7109375" customWidth="1"/>
    <col min="5" max="5" width="11.28515625" customWidth="1"/>
    <col min="6" max="6" width="11.85546875" style="2" customWidth="1"/>
    <col min="7" max="7" width="11.85546875" customWidth="1"/>
    <col min="8" max="8" width="10.85546875" bestFit="1" customWidth="1"/>
    <col min="9" max="9" width="11.5703125" style="2" bestFit="1" customWidth="1"/>
    <col min="10" max="10" width="12.5703125" bestFit="1" customWidth="1"/>
    <col min="12" max="12" width="14.5703125" bestFit="1" customWidth="1"/>
    <col min="13" max="13" width="17.85546875" bestFit="1" customWidth="1"/>
  </cols>
  <sheetData>
    <row r="1" spans="1:14">
      <c r="A1" t="s">
        <v>30</v>
      </c>
      <c r="B1" t="s">
        <v>31</v>
      </c>
      <c r="C1" t="s">
        <v>24</v>
      </c>
      <c r="D1" t="s">
        <v>32</v>
      </c>
      <c r="E1" t="s">
        <v>33</v>
      </c>
      <c r="F1" t="s">
        <v>34</v>
      </c>
      <c r="G1" s="12" t="s">
        <v>41</v>
      </c>
      <c r="H1" t="s">
        <v>17</v>
      </c>
      <c r="I1" s="2" t="s">
        <v>19</v>
      </c>
      <c r="J1" t="s">
        <v>18</v>
      </c>
      <c r="K1" s="12" t="s">
        <v>26</v>
      </c>
      <c r="L1" s="12" t="s">
        <v>27</v>
      </c>
      <c r="M1" s="12" t="s">
        <v>42</v>
      </c>
    </row>
    <row r="2" spans="1:14" ht="15.75">
      <c r="A2" t="s">
        <v>0</v>
      </c>
      <c r="B2" t="s">
        <v>1</v>
      </c>
      <c r="C2" t="s">
        <v>38</v>
      </c>
      <c r="D2" s="2" t="s">
        <v>39</v>
      </c>
      <c r="E2" s="1">
        <v>44006</v>
      </c>
      <c r="F2" s="2">
        <v>5000</v>
      </c>
      <c r="G2" t="s">
        <v>15</v>
      </c>
      <c r="H2">
        <v>0</v>
      </c>
      <c r="I2" s="2">
        <v>698500</v>
      </c>
      <c r="K2" s="7">
        <f t="shared" ref="K2:K8" si="0">(+H2/(H2+I2))*100</f>
        <v>0</v>
      </c>
      <c r="L2" s="7">
        <f t="shared" ref="L2:L8" si="1">(+I2/(H2+I2))*100</f>
        <v>100</v>
      </c>
    </row>
    <row r="3" spans="1:14" ht="15.75">
      <c r="A3" t="s">
        <v>0</v>
      </c>
      <c r="B3" t="s">
        <v>5</v>
      </c>
      <c r="C3" t="s">
        <v>40</v>
      </c>
      <c r="D3" s="2" t="s">
        <v>39</v>
      </c>
      <c r="E3" s="1">
        <v>43801</v>
      </c>
      <c r="F3" s="2">
        <v>2800</v>
      </c>
      <c r="G3" t="s">
        <v>15</v>
      </c>
      <c r="H3">
        <v>0</v>
      </c>
      <c r="I3" s="2">
        <v>100</v>
      </c>
      <c r="K3" s="7">
        <f t="shared" si="0"/>
        <v>0</v>
      </c>
      <c r="L3" s="7">
        <f t="shared" si="1"/>
        <v>100</v>
      </c>
    </row>
    <row r="4" spans="1:14" ht="15.75">
      <c r="A4" t="s">
        <v>0</v>
      </c>
      <c r="B4" t="s">
        <v>5</v>
      </c>
      <c r="C4" t="s">
        <v>40</v>
      </c>
      <c r="D4" s="2" t="s">
        <v>39</v>
      </c>
      <c r="E4" s="1">
        <v>43801</v>
      </c>
      <c r="F4" s="2">
        <v>2800</v>
      </c>
      <c r="G4" t="s">
        <v>15</v>
      </c>
      <c r="H4">
        <v>0</v>
      </c>
      <c r="I4" s="2">
        <v>100</v>
      </c>
      <c r="K4" s="7">
        <f t="shared" si="0"/>
        <v>0</v>
      </c>
      <c r="L4" s="7">
        <f t="shared" si="1"/>
        <v>100</v>
      </c>
    </row>
    <row r="5" spans="1:14" ht="15.75">
      <c r="A5" t="s">
        <v>8</v>
      </c>
      <c r="B5" t="s">
        <v>9</v>
      </c>
      <c r="C5" t="s">
        <v>40</v>
      </c>
      <c r="D5" s="2" t="s">
        <v>39</v>
      </c>
      <c r="E5" s="1">
        <v>43791</v>
      </c>
      <c r="F5" s="2">
        <v>12500</v>
      </c>
      <c r="G5" t="s">
        <v>15</v>
      </c>
      <c r="H5" s="9">
        <v>6900</v>
      </c>
      <c r="I5" s="11">
        <v>149542</v>
      </c>
      <c r="K5" s="7">
        <f t="shared" si="0"/>
        <v>4.4105802789532227</v>
      </c>
      <c r="L5" s="7">
        <f t="shared" si="1"/>
        <v>95.589419721046781</v>
      </c>
    </row>
    <row r="6" spans="1:14" ht="15.75">
      <c r="A6" t="s">
        <v>8</v>
      </c>
      <c r="B6" t="s">
        <v>10</v>
      </c>
      <c r="C6" t="s">
        <v>40</v>
      </c>
      <c r="D6" s="2" t="s">
        <v>39</v>
      </c>
      <c r="E6" s="1">
        <v>43622</v>
      </c>
      <c r="F6" s="2">
        <v>2800</v>
      </c>
      <c r="G6" t="s">
        <v>15</v>
      </c>
      <c r="H6">
        <v>0</v>
      </c>
      <c r="I6" s="2">
        <v>100</v>
      </c>
      <c r="K6" s="7">
        <f t="shared" si="0"/>
        <v>0</v>
      </c>
      <c r="L6" s="7">
        <f t="shared" si="1"/>
        <v>100</v>
      </c>
    </row>
    <row r="7" spans="1:14" ht="15.75">
      <c r="A7" t="s">
        <v>3</v>
      </c>
      <c r="B7" t="s">
        <v>11</v>
      </c>
      <c r="C7" t="s">
        <v>40</v>
      </c>
      <c r="D7" s="2" t="s">
        <v>39</v>
      </c>
      <c r="E7" s="1">
        <v>43613</v>
      </c>
      <c r="F7" s="2">
        <v>2800</v>
      </c>
      <c r="G7" t="s">
        <v>15</v>
      </c>
      <c r="H7">
        <v>0</v>
      </c>
      <c r="I7" s="2">
        <v>100</v>
      </c>
      <c r="K7" s="7">
        <f t="shared" si="0"/>
        <v>0</v>
      </c>
      <c r="L7" s="7">
        <f t="shared" si="1"/>
        <v>100</v>
      </c>
    </row>
    <row r="8" spans="1:14" ht="15.75">
      <c r="A8" t="s">
        <v>3</v>
      </c>
      <c r="B8" t="s">
        <v>12</v>
      </c>
      <c r="C8" t="s">
        <v>40</v>
      </c>
      <c r="D8" s="2" t="s">
        <v>39</v>
      </c>
      <c r="E8" s="1">
        <v>43566</v>
      </c>
      <c r="F8" s="2">
        <v>5000</v>
      </c>
      <c r="G8" t="s">
        <v>15</v>
      </c>
      <c r="H8">
        <v>0</v>
      </c>
      <c r="I8" s="2">
        <v>142000</v>
      </c>
      <c r="K8" s="7">
        <f t="shared" si="0"/>
        <v>0</v>
      </c>
      <c r="L8" s="7">
        <f t="shared" si="1"/>
        <v>100</v>
      </c>
    </row>
    <row r="9" spans="1:14" ht="15.75">
      <c r="A9" t="s">
        <v>0</v>
      </c>
      <c r="B9" t="s">
        <v>13</v>
      </c>
      <c r="C9" t="s">
        <v>40</v>
      </c>
      <c r="D9" s="2" t="s">
        <v>39</v>
      </c>
      <c r="E9" s="1">
        <v>43546</v>
      </c>
      <c r="F9" s="2">
        <v>5600</v>
      </c>
      <c r="G9" t="s">
        <v>15</v>
      </c>
      <c r="H9">
        <v>0</v>
      </c>
      <c r="I9" s="2">
        <v>100</v>
      </c>
      <c r="K9" s="7">
        <f>(+H9/(H9+I9))*100</f>
        <v>0</v>
      </c>
      <c r="L9" s="7">
        <f>(+I9/(H9+I9))*100</f>
        <v>100</v>
      </c>
    </row>
    <row r="10" spans="1:14" ht="15.75">
      <c r="E10" s="1"/>
      <c r="F10" s="2">
        <f>SUM(F2:F9)</f>
        <v>39300</v>
      </c>
      <c r="K10" s="7"/>
      <c r="L10" s="7"/>
    </row>
    <row r="11" spans="1:14" ht="15.75">
      <c r="E11" s="1"/>
      <c r="K11" s="7"/>
      <c r="L11" s="7"/>
      <c r="M11" s="9"/>
      <c r="N11" s="9"/>
    </row>
    <row r="12" spans="1:14" ht="15.75">
      <c r="A12" t="s">
        <v>3</v>
      </c>
      <c r="B12" t="s">
        <v>7</v>
      </c>
      <c r="C12" t="s">
        <v>40</v>
      </c>
      <c r="D12" s="2" t="s">
        <v>39</v>
      </c>
      <c r="E12" s="1">
        <v>43791</v>
      </c>
      <c r="F12" s="2">
        <v>125000</v>
      </c>
      <c r="G12" t="s">
        <v>14</v>
      </c>
      <c r="H12">
        <v>5100137</v>
      </c>
      <c r="I12" s="2">
        <v>5231609</v>
      </c>
      <c r="K12" s="7">
        <f>(+H12/(H12+I12))*100</f>
        <v>49.363747424685045</v>
      </c>
      <c r="L12" s="7">
        <f>(+I12/(H12+I12))*100</f>
        <v>50.636252575314955</v>
      </c>
    </row>
    <row r="13" spans="1:14" ht="15.75">
      <c r="A13" t="s">
        <v>0</v>
      </c>
      <c r="B13" t="s">
        <v>2</v>
      </c>
      <c r="C13" t="s">
        <v>40</v>
      </c>
      <c r="D13" s="2" t="s">
        <v>39</v>
      </c>
      <c r="E13" s="1">
        <v>44001</v>
      </c>
      <c r="F13" s="2">
        <v>5000</v>
      </c>
      <c r="G13" t="s">
        <v>14</v>
      </c>
      <c r="H13" s="13">
        <v>39000</v>
      </c>
      <c r="I13" s="10">
        <v>46950</v>
      </c>
      <c r="K13" s="7">
        <f>(+H13/(H13+I13))*100</f>
        <v>45.375218150087257</v>
      </c>
      <c r="L13" s="7">
        <f>(+I13/(H13+I13))*100</f>
        <v>54.624781849912743</v>
      </c>
    </row>
    <row r="14" spans="1:14" ht="15.75">
      <c r="A14" t="s">
        <v>0</v>
      </c>
      <c r="B14" t="s">
        <v>6</v>
      </c>
      <c r="C14" t="s">
        <v>40</v>
      </c>
      <c r="D14" s="2" t="s">
        <v>39</v>
      </c>
      <c r="E14" s="1">
        <v>43791</v>
      </c>
      <c r="F14" s="2">
        <v>5000</v>
      </c>
      <c r="G14" t="s">
        <v>14</v>
      </c>
      <c r="H14">
        <v>25000</v>
      </c>
      <c r="I14" s="2">
        <v>27000</v>
      </c>
      <c r="K14" s="7">
        <f>(+H14/(H14+I14))*100</f>
        <v>48.07692307692308</v>
      </c>
      <c r="L14" s="7">
        <f>(+I14/(H14+I14))*100</f>
        <v>51.923076923076927</v>
      </c>
      <c r="N14" s="9"/>
    </row>
    <row r="15" spans="1:14" ht="15.75">
      <c r="E15" s="1"/>
      <c r="F15" s="2">
        <f>SUM(F12:F14)</f>
        <v>135000</v>
      </c>
      <c r="K15" s="7"/>
      <c r="L15" s="7"/>
    </row>
    <row r="16" spans="1:14" ht="15.75">
      <c r="E16" s="1"/>
      <c r="K16" s="7"/>
      <c r="L16" s="7"/>
    </row>
    <row r="17" spans="1:14" ht="15.75">
      <c r="A17" t="s">
        <v>3</v>
      </c>
      <c r="B17" t="s">
        <v>4</v>
      </c>
      <c r="C17" t="s">
        <v>40</v>
      </c>
      <c r="D17" s="2" t="s">
        <v>39</v>
      </c>
      <c r="E17" s="1">
        <v>43804</v>
      </c>
      <c r="F17" s="2">
        <v>10000</v>
      </c>
      <c r="G17" t="s">
        <v>16</v>
      </c>
      <c r="H17" s="2">
        <v>3049227</v>
      </c>
      <c r="I17" s="2">
        <v>275000</v>
      </c>
      <c r="K17" s="7">
        <f>(+H17/(H17+I17))*100</f>
        <v>91.727400084290281</v>
      </c>
      <c r="L17" s="7">
        <f>(+I17/(H17+I17))*100</f>
        <v>8.2725999157097281</v>
      </c>
      <c r="M17" s="8"/>
      <c r="N17" s="8"/>
    </row>
    <row r="18" spans="1:14">
      <c r="F18" s="2">
        <f>SUM(F17:F17)</f>
        <v>10000</v>
      </c>
      <c r="M18" s="8"/>
    </row>
    <row r="19" spans="1:14">
      <c r="M19" s="8"/>
    </row>
    <row r="20" spans="1:14">
      <c r="J20" s="6"/>
      <c r="M20" s="8"/>
    </row>
    <row r="22" spans="1:14">
      <c r="E22" s="2" t="s">
        <v>51</v>
      </c>
      <c r="F22" s="1"/>
      <c r="G22" s="14"/>
      <c r="H22" s="14"/>
    </row>
    <row r="23" spans="1:14">
      <c r="E23" s="1" t="s">
        <v>25</v>
      </c>
      <c r="F23" s="14"/>
      <c r="G23" s="14"/>
      <c r="H23" s="14"/>
    </row>
    <row r="24" spans="1:14">
      <c r="E24" s="1" t="s">
        <v>52</v>
      </c>
      <c r="F24" s="14"/>
      <c r="G24" s="14"/>
      <c r="H24" s="14"/>
    </row>
    <row r="25" spans="1:14">
      <c r="E25" s="1"/>
      <c r="F25" s="14"/>
      <c r="G25" s="14"/>
      <c r="H25" s="14"/>
    </row>
    <row r="26" spans="1:14">
      <c r="E26" s="1"/>
      <c r="F26" s="14"/>
      <c r="G26" s="14"/>
      <c r="H26" s="14"/>
    </row>
    <row r="27" spans="1:14">
      <c r="E27" s="1"/>
      <c r="F27" s="14"/>
      <c r="G27" s="14"/>
      <c r="H27" s="14"/>
    </row>
    <row r="28" spans="1:14">
      <c r="E28" s="1"/>
      <c r="F28" s="14"/>
      <c r="G28" s="14"/>
      <c r="H28" s="14"/>
    </row>
    <row r="29" spans="1:14">
      <c r="E29" s="1"/>
      <c r="F29" s="14"/>
      <c r="G29" s="14"/>
      <c r="H29" s="14"/>
    </row>
    <row r="30" spans="1:14">
      <c r="E30" s="1"/>
      <c r="F30" s="14"/>
      <c r="G30" s="14"/>
      <c r="H30" s="14"/>
    </row>
    <row r="31" spans="1:14">
      <c r="E31" s="1"/>
      <c r="F31" s="14"/>
      <c r="G31" s="14"/>
      <c r="H31" s="14"/>
    </row>
    <row r="32" spans="1:14">
      <c r="E32" s="1"/>
      <c r="F32" s="14"/>
      <c r="G32" s="14"/>
      <c r="H32" s="14"/>
    </row>
    <row r="33" spans="3:8">
      <c r="E33" s="1"/>
      <c r="F33" s="14"/>
      <c r="G33" s="14"/>
      <c r="H33" s="14"/>
    </row>
    <row r="34" spans="3:8">
      <c r="E34" s="1"/>
      <c r="F34" s="14"/>
      <c r="G34" s="14"/>
      <c r="H34" s="14"/>
    </row>
    <row r="35" spans="3:8">
      <c r="E35" s="1"/>
      <c r="F35" s="14"/>
      <c r="G35" s="14"/>
      <c r="H35" s="14"/>
    </row>
    <row r="36" spans="3:8">
      <c r="E36" s="1"/>
      <c r="F36" s="14"/>
    </row>
    <row r="37" spans="3:8">
      <c r="C37">
        <v>100</v>
      </c>
    </row>
  </sheetData>
  <sortState xmlns:xlrd2="http://schemas.microsoft.com/office/spreadsheetml/2017/richdata2" ref="A1:G14">
    <sortCondition ref="G1:G1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8"/>
  <sheetViews>
    <sheetView workbookViewId="0">
      <selection activeCell="A7" sqref="A7"/>
    </sheetView>
  </sheetViews>
  <sheetFormatPr defaultRowHeight="15"/>
  <cols>
    <col min="1" max="1" width="20.140625" customWidth="1"/>
    <col min="2" max="2" width="10.42578125" customWidth="1"/>
    <col min="4" max="4" width="18.7109375" customWidth="1"/>
    <col min="5" max="5" width="17.42578125" customWidth="1"/>
    <col min="7" max="7" width="18.42578125" customWidth="1"/>
  </cols>
  <sheetData>
    <row r="1" spans="1:13">
      <c r="A1" t="s">
        <v>30</v>
      </c>
      <c r="B1" t="s">
        <v>31</v>
      </c>
      <c r="C1" t="s">
        <v>24</v>
      </c>
      <c r="D1" t="s">
        <v>32</v>
      </c>
      <c r="E1" t="s">
        <v>33</v>
      </c>
      <c r="F1" t="s">
        <v>34</v>
      </c>
      <c r="G1" s="12" t="s">
        <v>41</v>
      </c>
      <c r="H1" t="s">
        <v>17</v>
      </c>
      <c r="I1" s="2" t="s">
        <v>19</v>
      </c>
      <c r="J1" t="s">
        <v>18</v>
      </c>
      <c r="K1" s="12" t="s">
        <v>26</v>
      </c>
      <c r="L1" s="12" t="s">
        <v>27</v>
      </c>
      <c r="M1" s="12" t="s">
        <v>42</v>
      </c>
    </row>
    <row r="2" spans="1:13" ht="15.75">
      <c r="E2" s="1"/>
      <c r="F2" s="14"/>
      <c r="K2" s="7"/>
      <c r="L2" s="7"/>
    </row>
    <row r="3" spans="1:13" ht="15.75">
      <c r="A3" t="s">
        <v>107</v>
      </c>
      <c r="E3" s="1"/>
      <c r="F3" s="14"/>
      <c r="K3" s="7"/>
      <c r="L3" s="7"/>
    </row>
    <row r="4" spans="1:13" ht="15.75">
      <c r="E4" s="1"/>
      <c r="F4" s="14"/>
      <c r="K4" s="7"/>
      <c r="L4" s="7"/>
    </row>
    <row r="5" spans="1:13" ht="15.75">
      <c r="A5" t="s">
        <v>108</v>
      </c>
      <c r="E5" s="1"/>
      <c r="F5" s="14"/>
      <c r="K5" s="7"/>
      <c r="L5" s="7"/>
    </row>
    <row r="6" spans="1:13" ht="15.75">
      <c r="A6" t="s">
        <v>109</v>
      </c>
      <c r="E6" s="1"/>
      <c r="F6" s="14"/>
      <c r="K6" s="7"/>
      <c r="L6" s="7"/>
    </row>
    <row r="7" spans="1:13" ht="15.75">
      <c r="E7" s="1"/>
      <c r="F7" s="14"/>
      <c r="K7" s="7"/>
      <c r="L7" s="7"/>
    </row>
    <row r="8" spans="1:13">
      <c r="E8" s="1"/>
      <c r="F8" s="14"/>
    </row>
    <row r="9" spans="1:13">
      <c r="E9" s="1"/>
      <c r="F9" s="14"/>
    </row>
    <row r="10" spans="1:13" ht="15.75">
      <c r="E10" s="1"/>
      <c r="F10" s="14"/>
      <c r="K10" s="7"/>
      <c r="L10" s="7"/>
    </row>
    <row r="11" spans="1:13" ht="15.75">
      <c r="E11" s="1"/>
      <c r="F11" s="14"/>
      <c r="K11" s="7"/>
      <c r="L11" s="7"/>
    </row>
    <row r="12" spans="1:13" ht="15.75">
      <c r="E12" s="1"/>
      <c r="F12" s="14"/>
      <c r="K12" s="7"/>
      <c r="L12" s="7"/>
    </row>
    <row r="13" spans="1:13" ht="15.75">
      <c r="E13" s="1"/>
      <c r="F13" s="14"/>
      <c r="K13" s="7"/>
      <c r="L13" s="7"/>
    </row>
    <row r="14" spans="1:13" ht="15.75">
      <c r="E14" s="1"/>
      <c r="F14" s="14"/>
      <c r="K14" s="7"/>
      <c r="L14" s="7"/>
    </row>
    <row r="15" spans="1:13" ht="15.75">
      <c r="E15" s="1"/>
      <c r="F15" s="14"/>
      <c r="K15" s="7"/>
      <c r="L15" s="7"/>
    </row>
    <row r="16" spans="1:13" ht="15.75">
      <c r="E16" s="1"/>
      <c r="F16" s="14"/>
      <c r="K16" s="7"/>
      <c r="L16" s="7"/>
    </row>
    <row r="17" spans="1:12" ht="15.75">
      <c r="E17" s="1"/>
      <c r="F17" s="14"/>
      <c r="K17" s="7"/>
      <c r="L17" s="7"/>
    </row>
    <row r="18" spans="1:12" ht="15.75">
      <c r="E18" s="1"/>
      <c r="F18" s="14"/>
      <c r="K18" s="7"/>
      <c r="L18" s="7"/>
    </row>
    <row r="19" spans="1:12" ht="15.75">
      <c r="E19" s="1"/>
      <c r="F19" s="14"/>
      <c r="K19" s="7"/>
      <c r="L19" s="7"/>
    </row>
    <row r="20" spans="1:12">
      <c r="E20" s="1"/>
      <c r="F20" s="14"/>
    </row>
    <row r="22" spans="1:12">
      <c r="C22" t="s">
        <v>51</v>
      </c>
    </row>
    <row r="23" spans="1:12">
      <c r="A23" s="2" t="s">
        <v>53</v>
      </c>
      <c r="C23" s="19"/>
    </row>
    <row r="24" spans="1:12">
      <c r="A24" s="25" t="s">
        <v>87</v>
      </c>
    </row>
    <row r="25" spans="1:12">
      <c r="A25" s="63" t="s">
        <v>88</v>
      </c>
      <c r="B25" s="63" t="s">
        <v>89</v>
      </c>
      <c r="C25" s="27" t="s">
        <v>90</v>
      </c>
      <c r="D25" s="63" t="s">
        <v>91</v>
      </c>
      <c r="E25" s="26" t="s">
        <v>92</v>
      </c>
      <c r="F25" s="63" t="s">
        <v>94</v>
      </c>
    </row>
    <row r="26" spans="1:12">
      <c r="A26" s="63"/>
      <c r="B26" s="63"/>
      <c r="C26" s="27" t="s">
        <v>34</v>
      </c>
      <c r="D26" s="63"/>
      <c r="E26" s="26" t="s">
        <v>93</v>
      </c>
      <c r="F26" s="63"/>
    </row>
    <row r="27" spans="1:12" ht="129.6" customHeight="1">
      <c r="A27" s="28" t="s">
        <v>35</v>
      </c>
      <c r="B27" s="64" t="s">
        <v>96</v>
      </c>
      <c r="C27" s="65">
        <v>2500</v>
      </c>
      <c r="D27" s="66">
        <v>41949</v>
      </c>
      <c r="E27" s="64" t="s">
        <v>97</v>
      </c>
      <c r="F27" s="67" t="s">
        <v>98</v>
      </c>
    </row>
    <row r="28" spans="1:12">
      <c r="A28" s="29" t="s">
        <v>95</v>
      </c>
      <c r="B28" s="64"/>
      <c r="C28" s="65"/>
      <c r="D28" s="66"/>
      <c r="E28" s="64"/>
      <c r="F28" s="67"/>
    </row>
    <row r="29" spans="1:12">
      <c r="A29" s="29">
        <v>10112</v>
      </c>
      <c r="B29" s="64"/>
      <c r="C29" s="65"/>
      <c r="D29" s="66"/>
      <c r="E29" s="64"/>
      <c r="F29" s="67"/>
    </row>
    <row r="30" spans="1:12" ht="100.9" customHeight="1">
      <c r="A30" s="30" t="s">
        <v>35</v>
      </c>
      <c r="B30" s="68" t="s">
        <v>100</v>
      </c>
      <c r="C30" s="69">
        <v>208</v>
      </c>
      <c r="D30" s="70">
        <v>41530</v>
      </c>
      <c r="E30" s="68" t="s">
        <v>97</v>
      </c>
      <c r="F30" s="71" t="s">
        <v>101</v>
      </c>
    </row>
    <row r="31" spans="1:12">
      <c r="A31" s="31" t="s">
        <v>99</v>
      </c>
      <c r="B31" s="68"/>
      <c r="C31" s="69"/>
      <c r="D31" s="70"/>
      <c r="E31" s="68"/>
      <c r="F31" s="71"/>
    </row>
    <row r="32" spans="1:12">
      <c r="A32" s="31">
        <v>90045</v>
      </c>
      <c r="B32" s="68"/>
      <c r="C32" s="69"/>
      <c r="D32" s="70"/>
      <c r="E32" s="68"/>
      <c r="F32" s="71"/>
    </row>
    <row r="33" spans="1:6" ht="100.9" customHeight="1">
      <c r="A33" s="28" t="s">
        <v>35</v>
      </c>
      <c r="B33" s="64" t="s">
        <v>100</v>
      </c>
      <c r="C33" s="65">
        <v>208</v>
      </c>
      <c r="D33" s="66">
        <v>41516</v>
      </c>
      <c r="E33" s="64" t="s">
        <v>97</v>
      </c>
      <c r="F33" s="67" t="s">
        <v>101</v>
      </c>
    </row>
    <row r="34" spans="1:6">
      <c r="A34" s="29" t="s">
        <v>99</v>
      </c>
      <c r="B34" s="64"/>
      <c r="C34" s="65"/>
      <c r="D34" s="66"/>
      <c r="E34" s="64"/>
      <c r="F34" s="67"/>
    </row>
    <row r="35" spans="1:6">
      <c r="A35" s="29">
        <v>90045</v>
      </c>
      <c r="B35" s="64"/>
      <c r="C35" s="65"/>
      <c r="D35" s="66"/>
      <c r="E35" s="64"/>
      <c r="F35" s="67"/>
    </row>
    <row r="36" spans="1:6" ht="100.9" customHeight="1">
      <c r="A36" s="30" t="s">
        <v>35</v>
      </c>
      <c r="B36" s="68" t="s">
        <v>100</v>
      </c>
      <c r="C36" s="69">
        <v>208</v>
      </c>
      <c r="D36" s="70">
        <v>41501</v>
      </c>
      <c r="E36" s="68" t="s">
        <v>97</v>
      </c>
      <c r="F36" s="71" t="s">
        <v>101</v>
      </c>
    </row>
    <row r="37" spans="1:6">
      <c r="A37" s="31" t="s">
        <v>99</v>
      </c>
      <c r="B37" s="68"/>
      <c r="C37" s="69"/>
      <c r="D37" s="70"/>
      <c r="E37" s="68"/>
      <c r="F37" s="71"/>
    </row>
    <row r="38" spans="1:6">
      <c r="A38" s="31">
        <v>90045</v>
      </c>
      <c r="B38" s="68"/>
      <c r="C38" s="69"/>
      <c r="D38" s="70"/>
      <c r="E38" s="68"/>
      <c r="F38" s="71"/>
    </row>
    <row r="39" spans="1:6" ht="100.9" customHeight="1">
      <c r="A39" s="28" t="s">
        <v>35</v>
      </c>
      <c r="B39" s="64" t="s">
        <v>100</v>
      </c>
      <c r="C39" s="65">
        <v>208</v>
      </c>
      <c r="D39" s="66">
        <v>41486</v>
      </c>
      <c r="E39" s="64" t="s">
        <v>97</v>
      </c>
      <c r="F39" s="67" t="s">
        <v>101</v>
      </c>
    </row>
    <row r="40" spans="1:6">
      <c r="A40" s="29" t="s">
        <v>99</v>
      </c>
      <c r="B40" s="64"/>
      <c r="C40" s="65"/>
      <c r="D40" s="66"/>
      <c r="E40" s="64"/>
      <c r="F40" s="67"/>
    </row>
    <row r="41" spans="1:6">
      <c r="A41" s="29">
        <v>90045</v>
      </c>
      <c r="B41" s="64"/>
      <c r="C41" s="65"/>
      <c r="D41" s="66"/>
      <c r="E41" s="64"/>
      <c r="F41" s="67"/>
    </row>
    <row r="42" spans="1:6" ht="100.9" customHeight="1">
      <c r="A42" s="30" t="s">
        <v>35</v>
      </c>
      <c r="B42" s="68" t="s">
        <v>100</v>
      </c>
      <c r="C42" s="69">
        <v>208</v>
      </c>
      <c r="D42" s="70">
        <v>41470</v>
      </c>
      <c r="E42" s="68" t="s">
        <v>97</v>
      </c>
      <c r="F42" s="71" t="s">
        <v>101</v>
      </c>
    </row>
    <row r="43" spans="1:6">
      <c r="A43" s="31" t="s">
        <v>99</v>
      </c>
      <c r="B43" s="68"/>
      <c r="C43" s="69"/>
      <c r="D43" s="70"/>
      <c r="E43" s="68"/>
      <c r="F43" s="71"/>
    </row>
    <row r="44" spans="1:6">
      <c r="A44" s="31">
        <v>90045</v>
      </c>
      <c r="B44" s="68"/>
      <c r="C44" s="69"/>
      <c r="D44" s="70"/>
      <c r="E44" s="68"/>
      <c r="F44" s="71"/>
    </row>
    <row r="45" spans="1:6" ht="100.9" customHeight="1">
      <c r="A45" s="28" t="s">
        <v>35</v>
      </c>
      <c r="B45" s="64" t="s">
        <v>100</v>
      </c>
      <c r="C45" s="65">
        <v>208</v>
      </c>
      <c r="D45" s="66">
        <v>41453</v>
      </c>
      <c r="E45" s="64" t="s">
        <v>97</v>
      </c>
      <c r="F45" s="67" t="s">
        <v>101</v>
      </c>
    </row>
    <row r="46" spans="1:6">
      <c r="A46" s="29" t="s">
        <v>99</v>
      </c>
      <c r="B46" s="64"/>
      <c r="C46" s="65"/>
      <c r="D46" s="66"/>
      <c r="E46" s="64"/>
      <c r="F46" s="67"/>
    </row>
    <row r="47" spans="1:6">
      <c r="A47" s="29">
        <v>90045</v>
      </c>
      <c r="B47" s="64"/>
      <c r="C47" s="65"/>
      <c r="D47" s="66"/>
      <c r="E47" s="64"/>
      <c r="F47" s="67"/>
    </row>
    <row r="48" spans="1:6" ht="100.9" customHeight="1">
      <c r="A48" s="30" t="s">
        <v>35</v>
      </c>
      <c r="B48" s="68" t="s">
        <v>100</v>
      </c>
      <c r="C48" s="69">
        <v>208</v>
      </c>
      <c r="D48" s="70">
        <v>41439</v>
      </c>
      <c r="E48" s="68" t="s">
        <v>97</v>
      </c>
      <c r="F48" s="71" t="s">
        <v>101</v>
      </c>
    </row>
    <row r="49" spans="1:6">
      <c r="A49" s="31" t="s">
        <v>99</v>
      </c>
      <c r="B49" s="68"/>
      <c r="C49" s="69"/>
      <c r="D49" s="70"/>
      <c r="E49" s="68"/>
      <c r="F49" s="71"/>
    </row>
    <row r="50" spans="1:6">
      <c r="A50" s="31">
        <v>90045</v>
      </c>
      <c r="B50" s="68"/>
      <c r="C50" s="69"/>
      <c r="D50" s="70"/>
      <c r="E50" s="68"/>
      <c r="F50" s="71"/>
    </row>
    <row r="51" spans="1:6" ht="100.9" customHeight="1">
      <c r="A51" s="28" t="s">
        <v>35</v>
      </c>
      <c r="B51" s="64" t="s">
        <v>100</v>
      </c>
      <c r="C51" s="65">
        <v>208</v>
      </c>
      <c r="D51" s="66">
        <v>41425</v>
      </c>
      <c r="E51" s="64" t="s">
        <v>97</v>
      </c>
      <c r="F51" s="67" t="s">
        <v>101</v>
      </c>
    </row>
    <row r="52" spans="1:6">
      <c r="A52" s="29" t="s">
        <v>99</v>
      </c>
      <c r="B52" s="64"/>
      <c r="C52" s="65"/>
      <c r="D52" s="66"/>
      <c r="E52" s="64"/>
      <c r="F52" s="67"/>
    </row>
    <row r="53" spans="1:6">
      <c r="A53" s="29">
        <v>90045</v>
      </c>
      <c r="B53" s="64"/>
      <c r="C53" s="65"/>
      <c r="D53" s="66"/>
      <c r="E53" s="64"/>
      <c r="F53" s="67"/>
    </row>
    <row r="54" spans="1:6" ht="100.9" customHeight="1">
      <c r="A54" s="30" t="s">
        <v>35</v>
      </c>
      <c r="B54" s="68" t="s">
        <v>100</v>
      </c>
      <c r="C54" s="69">
        <v>208</v>
      </c>
      <c r="D54" s="70">
        <v>41409</v>
      </c>
      <c r="E54" s="68" t="s">
        <v>97</v>
      </c>
      <c r="F54" s="71" t="s">
        <v>101</v>
      </c>
    </row>
    <row r="55" spans="1:6">
      <c r="A55" s="31" t="s">
        <v>99</v>
      </c>
      <c r="B55" s="68"/>
      <c r="C55" s="69"/>
      <c r="D55" s="70"/>
      <c r="E55" s="68"/>
      <c r="F55" s="71"/>
    </row>
    <row r="56" spans="1:6">
      <c r="A56" s="31">
        <v>90045</v>
      </c>
      <c r="B56" s="68"/>
      <c r="C56" s="69"/>
      <c r="D56" s="70"/>
      <c r="E56" s="68"/>
      <c r="F56" s="71"/>
    </row>
    <row r="57" spans="1:6" ht="100.9" customHeight="1">
      <c r="A57" s="28" t="s">
        <v>35</v>
      </c>
      <c r="B57" s="64" t="s">
        <v>100</v>
      </c>
      <c r="C57" s="65">
        <v>208</v>
      </c>
      <c r="D57" s="66">
        <v>41394</v>
      </c>
      <c r="E57" s="64"/>
      <c r="F57" s="67" t="s">
        <v>101</v>
      </c>
    </row>
    <row r="58" spans="1:6">
      <c r="A58" s="29" t="s">
        <v>99</v>
      </c>
      <c r="B58" s="64"/>
      <c r="C58" s="65"/>
      <c r="D58" s="66"/>
      <c r="E58" s="64"/>
      <c r="F58" s="67"/>
    </row>
    <row r="59" spans="1:6">
      <c r="A59" s="29">
        <v>90045</v>
      </c>
      <c r="B59" s="64"/>
      <c r="C59" s="65"/>
      <c r="D59" s="66"/>
      <c r="E59" s="64"/>
      <c r="F59" s="67"/>
    </row>
    <row r="60" spans="1:6" ht="100.9" customHeight="1">
      <c r="A60" s="30" t="s">
        <v>35</v>
      </c>
      <c r="B60" s="68" t="s">
        <v>100</v>
      </c>
      <c r="C60" s="69">
        <v>208</v>
      </c>
      <c r="D60" s="70">
        <v>41379</v>
      </c>
      <c r="E60" s="68"/>
      <c r="F60" s="71" t="s">
        <v>101</v>
      </c>
    </row>
    <row r="61" spans="1:6">
      <c r="A61" s="31" t="s">
        <v>99</v>
      </c>
      <c r="B61" s="68"/>
      <c r="C61" s="69"/>
      <c r="D61" s="70"/>
      <c r="E61" s="68"/>
      <c r="F61" s="71"/>
    </row>
    <row r="62" spans="1:6">
      <c r="A62" s="31">
        <v>90045</v>
      </c>
      <c r="B62" s="68"/>
      <c r="C62" s="69"/>
      <c r="D62" s="70"/>
      <c r="E62" s="68"/>
      <c r="F62" s="71"/>
    </row>
    <row r="63" spans="1:6" ht="100.9" customHeight="1">
      <c r="A63" s="28" t="s">
        <v>35</v>
      </c>
      <c r="B63" s="64" t="s">
        <v>100</v>
      </c>
      <c r="C63" s="65">
        <v>208</v>
      </c>
      <c r="D63" s="66">
        <v>41362</v>
      </c>
      <c r="E63" s="64"/>
      <c r="F63" s="67" t="s">
        <v>101</v>
      </c>
    </row>
    <row r="64" spans="1:6">
      <c r="A64" s="29" t="s">
        <v>99</v>
      </c>
      <c r="B64" s="64"/>
      <c r="C64" s="65"/>
      <c r="D64" s="66"/>
      <c r="E64" s="64"/>
      <c r="F64" s="67"/>
    </row>
    <row r="65" spans="1:6">
      <c r="A65" s="29">
        <v>90045</v>
      </c>
      <c r="B65" s="64"/>
      <c r="C65" s="65"/>
      <c r="D65" s="66"/>
      <c r="E65" s="64"/>
      <c r="F65" s="67"/>
    </row>
    <row r="66" spans="1:6" ht="100.9" customHeight="1">
      <c r="A66" s="30" t="s">
        <v>35</v>
      </c>
      <c r="B66" s="68" t="s">
        <v>100</v>
      </c>
      <c r="C66" s="69">
        <v>208</v>
      </c>
      <c r="D66" s="70">
        <v>41348</v>
      </c>
      <c r="E66" s="68"/>
      <c r="F66" s="71" t="s">
        <v>101</v>
      </c>
    </row>
    <row r="67" spans="1:6">
      <c r="A67" s="31" t="s">
        <v>99</v>
      </c>
      <c r="B67" s="68"/>
      <c r="C67" s="69"/>
      <c r="D67" s="70"/>
      <c r="E67" s="68"/>
      <c r="F67" s="71"/>
    </row>
    <row r="68" spans="1:6">
      <c r="A68" s="31">
        <v>90045</v>
      </c>
      <c r="B68" s="68"/>
      <c r="C68" s="69"/>
      <c r="D68" s="70"/>
      <c r="E68" s="68"/>
      <c r="F68" s="71"/>
    </row>
    <row r="69" spans="1:6" ht="100.9" customHeight="1">
      <c r="A69" s="28" t="s">
        <v>35</v>
      </c>
      <c r="B69" s="64" t="s">
        <v>100</v>
      </c>
      <c r="C69" s="65">
        <v>208</v>
      </c>
      <c r="D69" s="66">
        <v>41333</v>
      </c>
      <c r="E69" s="64"/>
      <c r="F69" s="67" t="s">
        <v>101</v>
      </c>
    </row>
    <row r="70" spans="1:6">
      <c r="A70" s="29" t="s">
        <v>99</v>
      </c>
      <c r="B70" s="64"/>
      <c r="C70" s="65"/>
      <c r="D70" s="66"/>
      <c r="E70" s="64"/>
      <c r="F70" s="67"/>
    </row>
    <row r="71" spans="1:6">
      <c r="A71" s="29">
        <v>90045</v>
      </c>
      <c r="B71" s="64"/>
      <c r="C71" s="65"/>
      <c r="D71" s="66"/>
      <c r="E71" s="64"/>
      <c r="F71" s="67"/>
    </row>
    <row r="72" spans="1:6" ht="100.9" customHeight="1">
      <c r="A72" s="30" t="s">
        <v>35</v>
      </c>
      <c r="B72" s="68" t="s">
        <v>100</v>
      </c>
      <c r="C72" s="69">
        <v>208</v>
      </c>
      <c r="D72" s="70">
        <v>41320</v>
      </c>
      <c r="E72" s="68"/>
      <c r="F72" s="71" t="s">
        <v>101</v>
      </c>
    </row>
    <row r="73" spans="1:6">
      <c r="A73" s="31" t="s">
        <v>99</v>
      </c>
      <c r="B73" s="68"/>
      <c r="C73" s="69"/>
      <c r="D73" s="70"/>
      <c r="E73" s="68"/>
      <c r="F73" s="71"/>
    </row>
    <row r="74" spans="1:6">
      <c r="A74" s="31">
        <v>90045</v>
      </c>
      <c r="B74" s="68"/>
      <c r="C74" s="69"/>
      <c r="D74" s="70"/>
      <c r="E74" s="68"/>
      <c r="F74" s="71"/>
    </row>
    <row r="75" spans="1:6" ht="100.9" customHeight="1">
      <c r="A75" s="28" t="s">
        <v>35</v>
      </c>
      <c r="B75" s="64" t="s">
        <v>100</v>
      </c>
      <c r="C75" s="65">
        <v>208</v>
      </c>
      <c r="D75" s="66">
        <v>41305</v>
      </c>
      <c r="E75" s="64"/>
      <c r="F75" s="67" t="s">
        <v>101</v>
      </c>
    </row>
    <row r="76" spans="1:6">
      <c r="A76" s="29" t="s">
        <v>99</v>
      </c>
      <c r="B76" s="64"/>
      <c r="C76" s="65"/>
      <c r="D76" s="66"/>
      <c r="E76" s="64"/>
      <c r="F76" s="67"/>
    </row>
    <row r="77" spans="1:6">
      <c r="A77" s="29">
        <v>90045</v>
      </c>
      <c r="B77" s="64"/>
      <c r="C77" s="65"/>
      <c r="D77" s="66"/>
      <c r="E77" s="64"/>
      <c r="F77" s="67"/>
    </row>
    <row r="78" spans="1:6" ht="100.9" customHeight="1">
      <c r="A78" s="30" t="s">
        <v>35</v>
      </c>
      <c r="B78" s="68" t="s">
        <v>100</v>
      </c>
      <c r="C78" s="69">
        <v>208</v>
      </c>
      <c r="D78" s="70">
        <v>41289</v>
      </c>
      <c r="E78" s="68"/>
      <c r="F78" s="71" t="s">
        <v>101</v>
      </c>
    </row>
    <row r="79" spans="1:6">
      <c r="A79" s="31" t="s">
        <v>99</v>
      </c>
      <c r="B79" s="68"/>
      <c r="C79" s="69"/>
      <c r="D79" s="70"/>
      <c r="E79" s="68"/>
      <c r="F79" s="71"/>
    </row>
    <row r="80" spans="1:6">
      <c r="A80" s="31">
        <v>90045</v>
      </c>
      <c r="B80" s="68"/>
      <c r="C80" s="69"/>
      <c r="D80" s="70"/>
      <c r="E80" s="68"/>
      <c r="F80" s="71"/>
    </row>
    <row r="81" spans="1:6" ht="129.6" customHeight="1">
      <c r="A81" s="28" t="s">
        <v>35</v>
      </c>
      <c r="B81" s="64" t="s">
        <v>103</v>
      </c>
      <c r="C81" s="65">
        <v>2000</v>
      </c>
      <c r="D81" s="66">
        <v>42300</v>
      </c>
      <c r="E81" s="64" t="s">
        <v>97</v>
      </c>
      <c r="F81" s="67" t="s">
        <v>98</v>
      </c>
    </row>
    <row r="82" spans="1:6">
      <c r="A82" s="29" t="s">
        <v>102</v>
      </c>
      <c r="B82" s="64"/>
      <c r="C82" s="65"/>
      <c r="D82" s="66"/>
      <c r="E82" s="64"/>
      <c r="F82" s="67"/>
    </row>
    <row r="83" spans="1:6">
      <c r="A83" s="29">
        <v>33010</v>
      </c>
      <c r="B83" s="64"/>
      <c r="C83" s="65"/>
      <c r="D83" s="66"/>
      <c r="E83" s="64"/>
      <c r="F83" s="67"/>
    </row>
    <row r="84" spans="1:6" ht="100.9" customHeight="1">
      <c r="A84" s="28" t="s">
        <v>104</v>
      </c>
      <c r="B84" s="64" t="s">
        <v>105</v>
      </c>
      <c r="C84" s="65">
        <v>208</v>
      </c>
      <c r="D84" s="66">
        <v>40543</v>
      </c>
      <c r="E84" s="64" t="s">
        <v>97</v>
      </c>
      <c r="F84" s="67" t="s">
        <v>101</v>
      </c>
    </row>
    <row r="85" spans="1:6">
      <c r="A85" s="29" t="s">
        <v>99</v>
      </c>
      <c r="B85" s="64"/>
      <c r="C85" s="65"/>
      <c r="D85" s="66"/>
      <c r="E85" s="64"/>
      <c r="F85" s="67"/>
    </row>
    <row r="86" spans="1:6">
      <c r="A86" s="29">
        <v>90045</v>
      </c>
      <c r="B86" s="64"/>
      <c r="C86" s="65"/>
      <c r="D86" s="66"/>
      <c r="E86" s="64"/>
      <c r="F86" s="67"/>
    </row>
    <row r="87" spans="1:6" ht="100.9" customHeight="1">
      <c r="A87" s="30" t="s">
        <v>104</v>
      </c>
      <c r="B87" s="68" t="s">
        <v>105</v>
      </c>
      <c r="C87" s="69">
        <v>208</v>
      </c>
      <c r="D87" s="70">
        <v>40527</v>
      </c>
      <c r="E87" s="68" t="s">
        <v>97</v>
      </c>
      <c r="F87" s="71" t="s">
        <v>101</v>
      </c>
    </row>
    <row r="88" spans="1:6">
      <c r="A88" s="31" t="s">
        <v>99</v>
      </c>
      <c r="B88" s="68"/>
      <c r="C88" s="69"/>
      <c r="D88" s="70"/>
      <c r="E88" s="68"/>
      <c r="F88" s="71"/>
    </row>
    <row r="89" spans="1:6">
      <c r="A89" s="31">
        <v>90045</v>
      </c>
      <c r="B89" s="68"/>
      <c r="C89" s="69"/>
      <c r="D89" s="70"/>
      <c r="E89" s="68"/>
      <c r="F89" s="71"/>
    </row>
    <row r="90" spans="1:6" ht="100.9" customHeight="1">
      <c r="A90" s="28" t="s">
        <v>104</v>
      </c>
      <c r="B90" s="64" t="s">
        <v>105</v>
      </c>
      <c r="C90" s="65">
        <v>208</v>
      </c>
      <c r="D90" s="66">
        <v>40512</v>
      </c>
      <c r="E90" s="64" t="s">
        <v>97</v>
      </c>
      <c r="F90" s="67" t="s">
        <v>101</v>
      </c>
    </row>
    <row r="91" spans="1:6">
      <c r="A91" s="29" t="s">
        <v>99</v>
      </c>
      <c r="B91" s="64"/>
      <c r="C91" s="65"/>
      <c r="D91" s="66"/>
      <c r="E91" s="64"/>
      <c r="F91" s="67"/>
    </row>
    <row r="92" spans="1:6">
      <c r="A92" s="29">
        <v>90045</v>
      </c>
      <c r="B92" s="64"/>
      <c r="C92" s="65"/>
      <c r="D92" s="66"/>
      <c r="E92" s="64"/>
      <c r="F92" s="67"/>
    </row>
    <row r="93" spans="1:6" ht="100.9" customHeight="1">
      <c r="A93" s="30" t="s">
        <v>104</v>
      </c>
      <c r="B93" s="68" t="s">
        <v>106</v>
      </c>
      <c r="C93" s="69">
        <v>208</v>
      </c>
      <c r="D93" s="70">
        <v>40497</v>
      </c>
      <c r="E93" s="68" t="s">
        <v>97</v>
      </c>
      <c r="F93" s="71" t="s">
        <v>101</v>
      </c>
    </row>
    <row r="94" spans="1:6">
      <c r="A94" s="31" t="s">
        <v>99</v>
      </c>
      <c r="B94" s="68"/>
      <c r="C94" s="69"/>
      <c r="D94" s="70"/>
      <c r="E94" s="68"/>
      <c r="F94" s="71"/>
    </row>
    <row r="95" spans="1:6">
      <c r="A95" s="31">
        <v>90045</v>
      </c>
      <c r="B95" s="68"/>
      <c r="C95" s="69"/>
      <c r="D95" s="70"/>
      <c r="E95" s="68"/>
      <c r="F95" s="71"/>
    </row>
    <row r="96" spans="1:6" ht="100.9" customHeight="1">
      <c r="A96" s="28" t="s">
        <v>104</v>
      </c>
      <c r="B96" s="64" t="s">
        <v>106</v>
      </c>
      <c r="C96" s="65">
        <v>208</v>
      </c>
      <c r="D96" s="66">
        <v>40480</v>
      </c>
      <c r="E96" s="64" t="s">
        <v>97</v>
      </c>
      <c r="F96" s="67" t="s">
        <v>101</v>
      </c>
    </row>
    <row r="97" spans="1:6">
      <c r="A97" s="29" t="s">
        <v>99</v>
      </c>
      <c r="B97" s="64"/>
      <c r="C97" s="65"/>
      <c r="D97" s="66"/>
      <c r="E97" s="64"/>
      <c r="F97" s="67"/>
    </row>
    <row r="98" spans="1:6">
      <c r="A98" s="29">
        <v>90045</v>
      </c>
      <c r="B98" s="64"/>
      <c r="C98" s="65"/>
      <c r="D98" s="66"/>
      <c r="E98" s="64"/>
      <c r="F98" s="67"/>
    </row>
    <row r="99" spans="1:6" ht="100.9" customHeight="1">
      <c r="A99" s="30" t="s">
        <v>104</v>
      </c>
      <c r="B99" s="68" t="s">
        <v>106</v>
      </c>
      <c r="C99" s="69">
        <v>208</v>
      </c>
      <c r="D99" s="70">
        <v>40466</v>
      </c>
      <c r="E99" s="68" t="s">
        <v>97</v>
      </c>
      <c r="F99" s="71" t="s">
        <v>101</v>
      </c>
    </row>
    <row r="100" spans="1:6">
      <c r="A100" s="31" t="s">
        <v>99</v>
      </c>
      <c r="B100" s="68"/>
      <c r="C100" s="69"/>
      <c r="D100" s="70"/>
      <c r="E100" s="68"/>
      <c r="F100" s="71"/>
    </row>
    <row r="101" spans="1:6">
      <c r="A101" s="31">
        <v>90045</v>
      </c>
      <c r="B101" s="68"/>
      <c r="C101" s="69"/>
      <c r="D101" s="70"/>
      <c r="E101" s="68"/>
      <c r="F101" s="71"/>
    </row>
    <row r="102" spans="1:6" ht="100.9" customHeight="1">
      <c r="A102" s="28" t="s">
        <v>104</v>
      </c>
      <c r="B102" s="64" t="s">
        <v>106</v>
      </c>
      <c r="C102" s="65">
        <v>208</v>
      </c>
      <c r="D102" s="66">
        <v>40451</v>
      </c>
      <c r="E102" s="64" t="s">
        <v>97</v>
      </c>
      <c r="F102" s="67" t="s">
        <v>101</v>
      </c>
    </row>
    <row r="103" spans="1:6">
      <c r="A103" s="29" t="s">
        <v>99</v>
      </c>
      <c r="B103" s="64"/>
      <c r="C103" s="65"/>
      <c r="D103" s="66"/>
      <c r="E103" s="64"/>
      <c r="F103" s="67"/>
    </row>
    <row r="104" spans="1:6">
      <c r="A104" s="29">
        <v>90045</v>
      </c>
      <c r="B104" s="64"/>
      <c r="C104" s="65"/>
      <c r="D104" s="66"/>
      <c r="E104" s="64"/>
      <c r="F104" s="67"/>
    </row>
    <row r="105" spans="1:6" ht="100.9" customHeight="1">
      <c r="A105" s="30" t="s">
        <v>104</v>
      </c>
      <c r="B105" s="68" t="s">
        <v>106</v>
      </c>
      <c r="C105" s="69">
        <v>208</v>
      </c>
      <c r="D105" s="70">
        <v>40436</v>
      </c>
      <c r="E105" s="68" t="s">
        <v>97</v>
      </c>
      <c r="F105" s="71" t="s">
        <v>101</v>
      </c>
    </row>
    <row r="106" spans="1:6">
      <c r="A106" s="31" t="s">
        <v>99</v>
      </c>
      <c r="B106" s="68"/>
      <c r="C106" s="69"/>
      <c r="D106" s="70"/>
      <c r="E106" s="68"/>
      <c r="F106" s="71"/>
    </row>
    <row r="107" spans="1:6">
      <c r="A107" s="31">
        <v>90045</v>
      </c>
      <c r="B107" s="68"/>
      <c r="C107" s="69"/>
      <c r="D107" s="70"/>
      <c r="E107" s="68"/>
      <c r="F107" s="71"/>
    </row>
    <row r="108" spans="1:6" ht="100.9" customHeight="1">
      <c r="A108" s="28" t="s">
        <v>104</v>
      </c>
      <c r="B108" s="64" t="s">
        <v>106</v>
      </c>
      <c r="C108" s="65">
        <v>208</v>
      </c>
      <c r="D108" s="66">
        <v>40421</v>
      </c>
      <c r="E108" s="64" t="s">
        <v>97</v>
      </c>
      <c r="F108" s="67" t="s">
        <v>101</v>
      </c>
    </row>
    <row r="109" spans="1:6">
      <c r="A109" s="29" t="s">
        <v>99</v>
      </c>
      <c r="B109" s="64"/>
      <c r="C109" s="65"/>
      <c r="D109" s="66"/>
      <c r="E109" s="64"/>
      <c r="F109" s="67"/>
    </row>
    <row r="110" spans="1:6">
      <c r="A110" s="29">
        <v>90045</v>
      </c>
      <c r="B110" s="64"/>
      <c r="C110" s="65"/>
      <c r="D110" s="66"/>
      <c r="E110" s="64"/>
      <c r="F110" s="67"/>
    </row>
    <row r="111" spans="1:6" ht="100.9" customHeight="1">
      <c r="A111" s="30" t="s">
        <v>104</v>
      </c>
      <c r="B111" s="68" t="s">
        <v>106</v>
      </c>
      <c r="C111" s="69">
        <v>208</v>
      </c>
      <c r="D111" s="70">
        <v>40405</v>
      </c>
      <c r="E111" s="68" t="s">
        <v>97</v>
      </c>
      <c r="F111" s="71" t="s">
        <v>101</v>
      </c>
    </row>
    <row r="112" spans="1:6">
      <c r="A112" s="31" t="s">
        <v>99</v>
      </c>
      <c r="B112" s="68"/>
      <c r="C112" s="69"/>
      <c r="D112" s="70"/>
      <c r="E112" s="68"/>
      <c r="F112" s="71"/>
    </row>
    <row r="113" spans="1:6">
      <c r="A113" s="31">
        <v>90045</v>
      </c>
      <c r="B113" s="68"/>
      <c r="C113" s="69"/>
      <c r="D113" s="70"/>
      <c r="E113" s="68"/>
      <c r="F113" s="71"/>
    </row>
    <row r="114" spans="1:6" ht="100.9" customHeight="1">
      <c r="A114" s="28" t="s">
        <v>104</v>
      </c>
      <c r="B114" s="64" t="s">
        <v>106</v>
      </c>
      <c r="C114" s="65">
        <v>208</v>
      </c>
      <c r="D114" s="66">
        <v>40390</v>
      </c>
      <c r="E114" s="64" t="s">
        <v>97</v>
      </c>
      <c r="F114" s="67" t="s">
        <v>101</v>
      </c>
    </row>
    <row r="115" spans="1:6">
      <c r="A115" s="29" t="s">
        <v>99</v>
      </c>
      <c r="B115" s="64"/>
      <c r="C115" s="65"/>
      <c r="D115" s="66"/>
      <c r="E115" s="64"/>
      <c r="F115" s="67"/>
    </row>
    <row r="116" spans="1:6">
      <c r="A116" s="29">
        <v>90045</v>
      </c>
      <c r="B116" s="64"/>
      <c r="C116" s="65"/>
      <c r="D116" s="66"/>
      <c r="E116" s="64"/>
      <c r="F116" s="67"/>
    </row>
    <row r="117" spans="1:6" ht="100.9" customHeight="1">
      <c r="A117" s="30" t="s">
        <v>104</v>
      </c>
      <c r="B117" s="68" t="s">
        <v>106</v>
      </c>
      <c r="C117" s="69">
        <v>208</v>
      </c>
      <c r="D117" s="70">
        <v>40374</v>
      </c>
      <c r="E117" s="68" t="s">
        <v>97</v>
      </c>
      <c r="F117" s="71" t="s">
        <v>101</v>
      </c>
    </row>
    <row r="118" spans="1:6">
      <c r="A118" s="31" t="s">
        <v>99</v>
      </c>
      <c r="B118" s="68"/>
      <c r="C118" s="69"/>
      <c r="D118" s="70"/>
      <c r="E118" s="68"/>
      <c r="F118" s="71"/>
    </row>
    <row r="119" spans="1:6">
      <c r="A119" s="31">
        <v>90045</v>
      </c>
      <c r="B119" s="68"/>
      <c r="C119" s="69"/>
      <c r="D119" s="70"/>
      <c r="E119" s="68"/>
      <c r="F119" s="71"/>
    </row>
    <row r="120" spans="1:6" ht="100.9" customHeight="1">
      <c r="A120" s="28" t="s">
        <v>104</v>
      </c>
      <c r="B120" s="64" t="s">
        <v>106</v>
      </c>
      <c r="C120" s="65">
        <v>208</v>
      </c>
      <c r="D120" s="66">
        <v>40359</v>
      </c>
      <c r="E120" s="64" t="s">
        <v>97</v>
      </c>
      <c r="F120" s="67" t="s">
        <v>101</v>
      </c>
    </row>
    <row r="121" spans="1:6">
      <c r="A121" s="29" t="s">
        <v>99</v>
      </c>
      <c r="B121" s="64"/>
      <c r="C121" s="65"/>
      <c r="D121" s="66"/>
      <c r="E121" s="64"/>
      <c r="F121" s="67"/>
    </row>
    <row r="122" spans="1:6">
      <c r="A122" s="29">
        <v>90045</v>
      </c>
      <c r="B122" s="64"/>
      <c r="C122" s="65"/>
      <c r="D122" s="66"/>
      <c r="E122" s="64"/>
      <c r="F122" s="67"/>
    </row>
    <row r="123" spans="1:6" ht="100.9" customHeight="1">
      <c r="A123" s="30" t="s">
        <v>104</v>
      </c>
      <c r="B123" s="68" t="s">
        <v>106</v>
      </c>
      <c r="C123" s="69">
        <v>208</v>
      </c>
      <c r="D123" s="70">
        <v>40344</v>
      </c>
      <c r="E123" s="68" t="s">
        <v>97</v>
      </c>
      <c r="F123" s="71" t="s">
        <v>101</v>
      </c>
    </row>
    <row r="124" spans="1:6">
      <c r="A124" s="31" t="s">
        <v>99</v>
      </c>
      <c r="B124" s="68"/>
      <c r="C124" s="69"/>
      <c r="D124" s="70"/>
      <c r="E124" s="68"/>
      <c r="F124" s="71"/>
    </row>
    <row r="125" spans="1:6">
      <c r="A125" s="31">
        <v>90045</v>
      </c>
      <c r="B125" s="68"/>
      <c r="C125" s="69"/>
      <c r="D125" s="70"/>
      <c r="E125" s="68"/>
      <c r="F125" s="71"/>
    </row>
    <row r="126" spans="1:6" ht="100.9" customHeight="1">
      <c r="A126" s="28" t="s">
        <v>104</v>
      </c>
      <c r="B126" s="64" t="s">
        <v>106</v>
      </c>
      <c r="C126" s="65">
        <v>208</v>
      </c>
      <c r="D126" s="66">
        <v>40329</v>
      </c>
      <c r="E126" s="64" t="s">
        <v>97</v>
      </c>
      <c r="F126" s="67" t="s">
        <v>101</v>
      </c>
    </row>
    <row r="127" spans="1:6">
      <c r="A127" s="29" t="s">
        <v>99</v>
      </c>
      <c r="B127" s="64"/>
      <c r="C127" s="65"/>
      <c r="D127" s="66"/>
      <c r="E127" s="64"/>
      <c r="F127" s="67"/>
    </row>
    <row r="128" spans="1:6">
      <c r="A128" s="29">
        <v>90045</v>
      </c>
      <c r="B128" s="64"/>
      <c r="C128" s="65"/>
      <c r="D128" s="66"/>
      <c r="E128" s="64"/>
      <c r="F128" s="67"/>
    </row>
  </sheetData>
  <mergeCells count="174">
    <mergeCell ref="B126:B128"/>
    <mergeCell ref="C126:C128"/>
    <mergeCell ref="D126:D128"/>
    <mergeCell ref="E126:E128"/>
    <mergeCell ref="F126:F128"/>
    <mergeCell ref="B120:B122"/>
    <mergeCell ref="C120:C122"/>
    <mergeCell ref="D120:D122"/>
    <mergeCell ref="E120:E122"/>
    <mergeCell ref="F120:F122"/>
    <mergeCell ref="B123:B125"/>
    <mergeCell ref="C123:C125"/>
    <mergeCell ref="D123:D125"/>
    <mergeCell ref="E123:E125"/>
    <mergeCell ref="F123:F125"/>
    <mergeCell ref="B114:B116"/>
    <mergeCell ref="C114:C116"/>
    <mergeCell ref="D114:D116"/>
    <mergeCell ref="E114:E116"/>
    <mergeCell ref="F114:F116"/>
    <mergeCell ref="B117:B119"/>
    <mergeCell ref="C117:C119"/>
    <mergeCell ref="D117:D119"/>
    <mergeCell ref="E117:E119"/>
    <mergeCell ref="F117:F119"/>
    <mergeCell ref="B108:B110"/>
    <mergeCell ref="C108:C110"/>
    <mergeCell ref="D108:D110"/>
    <mergeCell ref="E108:E110"/>
    <mergeCell ref="F108:F110"/>
    <mergeCell ref="B111:B113"/>
    <mergeCell ref="C111:C113"/>
    <mergeCell ref="D111:D113"/>
    <mergeCell ref="E111:E113"/>
    <mergeCell ref="F111:F113"/>
    <mergeCell ref="B102:B104"/>
    <mergeCell ref="C102:C104"/>
    <mergeCell ref="D102:D104"/>
    <mergeCell ref="E102:E104"/>
    <mergeCell ref="F102:F104"/>
    <mergeCell ref="B105:B107"/>
    <mergeCell ref="C105:C107"/>
    <mergeCell ref="D105:D107"/>
    <mergeCell ref="E105:E107"/>
    <mergeCell ref="F105:F107"/>
    <mergeCell ref="B96:B98"/>
    <mergeCell ref="C96:C98"/>
    <mergeCell ref="D96:D98"/>
    <mergeCell ref="E96:E98"/>
    <mergeCell ref="F96:F98"/>
    <mergeCell ref="B99:B101"/>
    <mergeCell ref="C99:C101"/>
    <mergeCell ref="D99:D101"/>
    <mergeCell ref="E99:E101"/>
    <mergeCell ref="F99:F101"/>
    <mergeCell ref="B90:B92"/>
    <mergeCell ref="C90:C92"/>
    <mergeCell ref="D90:D92"/>
    <mergeCell ref="E90:E92"/>
    <mergeCell ref="F90:F92"/>
    <mergeCell ref="B93:B95"/>
    <mergeCell ref="C93:C95"/>
    <mergeCell ref="D93:D95"/>
    <mergeCell ref="E93:E95"/>
    <mergeCell ref="F93:F95"/>
    <mergeCell ref="B84:B86"/>
    <mergeCell ref="C84:C86"/>
    <mergeCell ref="D84:D86"/>
    <mergeCell ref="E84:E86"/>
    <mergeCell ref="F84:F86"/>
    <mergeCell ref="B87:B89"/>
    <mergeCell ref="C87:C89"/>
    <mergeCell ref="D87:D89"/>
    <mergeCell ref="E87:E89"/>
    <mergeCell ref="F87:F89"/>
    <mergeCell ref="B78:B80"/>
    <mergeCell ref="C78:C80"/>
    <mergeCell ref="D78:D80"/>
    <mergeCell ref="E78:E80"/>
    <mergeCell ref="F78:F80"/>
    <mergeCell ref="B81:B83"/>
    <mergeCell ref="C81:C83"/>
    <mergeCell ref="D81:D83"/>
    <mergeCell ref="E81:E83"/>
    <mergeCell ref="F81:F83"/>
    <mergeCell ref="B72:B74"/>
    <mergeCell ref="C72:C74"/>
    <mergeCell ref="D72:D74"/>
    <mergeCell ref="E72:E74"/>
    <mergeCell ref="F72:F74"/>
    <mergeCell ref="B75:B77"/>
    <mergeCell ref="C75:C77"/>
    <mergeCell ref="D75:D77"/>
    <mergeCell ref="E75:E77"/>
    <mergeCell ref="F75:F77"/>
    <mergeCell ref="B66:B68"/>
    <mergeCell ref="C66:C68"/>
    <mergeCell ref="D66:D68"/>
    <mergeCell ref="E66:E68"/>
    <mergeCell ref="F66:F68"/>
    <mergeCell ref="B69:B71"/>
    <mergeCell ref="C69:C71"/>
    <mergeCell ref="D69:D71"/>
    <mergeCell ref="E69:E71"/>
    <mergeCell ref="F69:F71"/>
    <mergeCell ref="B60:B62"/>
    <mergeCell ref="C60:C62"/>
    <mergeCell ref="D60:D62"/>
    <mergeCell ref="E60:E62"/>
    <mergeCell ref="F60:F62"/>
    <mergeCell ref="B63:B65"/>
    <mergeCell ref="C63:C65"/>
    <mergeCell ref="D63:D65"/>
    <mergeCell ref="E63:E65"/>
    <mergeCell ref="F63:F65"/>
    <mergeCell ref="B54:B56"/>
    <mergeCell ref="C54:C56"/>
    <mergeCell ref="D54:D56"/>
    <mergeCell ref="E54:E56"/>
    <mergeCell ref="F54:F56"/>
    <mergeCell ref="B57:B59"/>
    <mergeCell ref="C57:C59"/>
    <mergeCell ref="D57:D59"/>
    <mergeCell ref="E57:E59"/>
    <mergeCell ref="F57:F59"/>
    <mergeCell ref="B48:B50"/>
    <mergeCell ref="C48:C50"/>
    <mergeCell ref="D48:D50"/>
    <mergeCell ref="E48:E50"/>
    <mergeCell ref="F48:F50"/>
    <mergeCell ref="B51:B53"/>
    <mergeCell ref="C51:C53"/>
    <mergeCell ref="D51:D53"/>
    <mergeCell ref="E51:E53"/>
    <mergeCell ref="F51:F53"/>
    <mergeCell ref="B42:B44"/>
    <mergeCell ref="C42:C44"/>
    <mergeCell ref="D42:D44"/>
    <mergeCell ref="E42:E44"/>
    <mergeCell ref="F42:F44"/>
    <mergeCell ref="B45:B47"/>
    <mergeCell ref="C45:C47"/>
    <mergeCell ref="D45:D47"/>
    <mergeCell ref="E45:E47"/>
    <mergeCell ref="F45:F47"/>
    <mergeCell ref="B36:B38"/>
    <mergeCell ref="C36:C38"/>
    <mergeCell ref="D36:D38"/>
    <mergeCell ref="E36:E38"/>
    <mergeCell ref="F36:F38"/>
    <mergeCell ref="B39:B41"/>
    <mergeCell ref="C39:C41"/>
    <mergeCell ref="D39:D41"/>
    <mergeCell ref="E39:E41"/>
    <mergeCell ref="F39:F41"/>
    <mergeCell ref="B30:B32"/>
    <mergeCell ref="C30:C32"/>
    <mergeCell ref="D30:D32"/>
    <mergeCell ref="E30:E32"/>
    <mergeCell ref="F30:F32"/>
    <mergeCell ref="B33:B35"/>
    <mergeCell ref="C33:C35"/>
    <mergeCell ref="D33:D35"/>
    <mergeCell ref="E33:E35"/>
    <mergeCell ref="F33:F35"/>
    <mergeCell ref="A25:A26"/>
    <mergeCell ref="B25:B26"/>
    <mergeCell ref="D25:D26"/>
    <mergeCell ref="F25:F26"/>
    <mergeCell ref="B27:B29"/>
    <mergeCell ref="C27:C29"/>
    <mergeCell ref="D27:D29"/>
    <mergeCell ref="E27:E29"/>
    <mergeCell ref="F27:F29"/>
  </mergeCells>
  <hyperlinks>
    <hyperlink ref="A27" r:id="rId1" display="javascript:CenterPopup('http://docquery.fec.gov/cgi-bin/fecimg/?14952808283','700','800')" xr:uid="{00000000-0004-0000-0300-000000000000}"/>
    <hyperlink ref="F27" r:id="rId2" display="https://www.campaignmoney.com/political/committees/comcast-corporation-nbcuniversal-political-action-committee-federal.asp?cycle=14" xr:uid="{00000000-0004-0000-0300-000001000000}"/>
    <hyperlink ref="A30" r:id="rId3" display="javascript:CenterPopup('http://docquery.fec.gov/cgi-bin/fecimg/?13942117439','700','800')" xr:uid="{00000000-0004-0000-0300-000002000000}"/>
    <hyperlink ref="F30" r:id="rId4" display="https://www.campaignmoney.com/political/committees/univision-communications-inc-political-action-committee.asp?cycle=14" xr:uid="{00000000-0004-0000-0300-000003000000}"/>
    <hyperlink ref="A33" r:id="rId5" display="javascript:CenterPopup('http://docquery.fec.gov/cgi-bin/fecimg/?13941595877','700','800')" xr:uid="{00000000-0004-0000-0300-000004000000}"/>
    <hyperlink ref="F33" r:id="rId6" display="https://www.campaignmoney.com/political/committees/univision-communications-inc-political-action-committee.asp?cycle=14" xr:uid="{00000000-0004-0000-0300-000005000000}"/>
    <hyperlink ref="A36" r:id="rId7" display="javascript:CenterPopup('http://docquery.fec.gov/cgi-bin/fecimg/?13941595877','700','800')" xr:uid="{00000000-0004-0000-0300-000006000000}"/>
    <hyperlink ref="F36" r:id="rId8" display="https://www.campaignmoney.com/political/committees/univision-communications-inc-political-action-committee.asp?cycle=14" xr:uid="{00000000-0004-0000-0300-000007000000}"/>
    <hyperlink ref="A39" r:id="rId9" display="javascript:CenterPopup('http://docquery.fec.gov/cgi-bin/fecimg/?13964542711','700','800')" xr:uid="{00000000-0004-0000-0300-000008000000}"/>
    <hyperlink ref="F39" r:id="rId10" display="https://www.campaignmoney.com/political/committees/univision-communications-inc-political-action-committee.asp?cycle=14" xr:uid="{00000000-0004-0000-0300-000009000000}"/>
    <hyperlink ref="A42" r:id="rId11" display="javascript:CenterPopup('http://docquery.fec.gov/cgi-bin/fecimg/?13964542711','700','800')" xr:uid="{00000000-0004-0000-0300-00000A000000}"/>
    <hyperlink ref="F42" r:id="rId12" display="https://www.campaignmoney.com/political/committees/univision-communications-inc-political-action-committee.asp?cycle=14" xr:uid="{00000000-0004-0000-0300-00000B000000}"/>
    <hyperlink ref="A45" r:id="rId13" display="javascript:CenterPopup('http://docquery.fec.gov/cgi-bin/fecimg/?13941159738','700','800')" xr:uid="{00000000-0004-0000-0300-00000C000000}"/>
    <hyperlink ref="F45" r:id="rId14" display="https://www.campaignmoney.com/political/committees/univision-communications-inc-political-action-committee.asp?cycle=14" xr:uid="{00000000-0004-0000-0300-00000D000000}"/>
    <hyperlink ref="A48" r:id="rId15" display="javascript:CenterPopup('http://docquery.fec.gov/cgi-bin/fecimg/?13941159738','700','800')" xr:uid="{00000000-0004-0000-0300-00000E000000}"/>
    <hyperlink ref="F48" r:id="rId16" display="https://www.campaignmoney.com/political/committees/univision-communications-inc-political-action-committee.asp?cycle=14" xr:uid="{00000000-0004-0000-0300-00000F000000}"/>
    <hyperlink ref="A51" r:id="rId17" display="javascript:CenterPopup('http://docquery.fec.gov/cgi-bin/fecimg/?13940924169','700','800')" xr:uid="{00000000-0004-0000-0300-000010000000}"/>
    <hyperlink ref="F51" r:id="rId18" display="https://www.campaignmoney.com/political/committees/univision-communications-inc-political-action-committee.asp?cycle=14" xr:uid="{00000000-0004-0000-0300-000011000000}"/>
    <hyperlink ref="A54" r:id="rId19" display="javascript:CenterPopup('http://docquery.fec.gov/cgi-bin/fecimg/?13940924169','700','800')" xr:uid="{00000000-0004-0000-0300-000012000000}"/>
    <hyperlink ref="F54" r:id="rId20" display="https://www.campaignmoney.com/political/committees/univision-communications-inc-political-action-committee.asp?cycle=14" xr:uid="{00000000-0004-0000-0300-000013000000}"/>
    <hyperlink ref="A57" r:id="rId21" display="javascript:CenterPopup('http://docquery.fec.gov/cgi-bin/fecimg/?13962483617','700','800')" xr:uid="{00000000-0004-0000-0300-000014000000}"/>
    <hyperlink ref="F57" r:id="rId22" display="https://www.campaignmoney.com/political/committees/univision-communications-inc-political-action-committee.asp?cycle=14" xr:uid="{00000000-0004-0000-0300-000015000000}"/>
    <hyperlink ref="A60" r:id="rId23" display="javascript:CenterPopup('http://docquery.fec.gov/cgi-bin/fecimg/?13962483617','700','800')" xr:uid="{00000000-0004-0000-0300-000016000000}"/>
    <hyperlink ref="F60" r:id="rId24" display="https://www.campaignmoney.com/political/committees/univision-communications-inc-political-action-committee.asp?cycle=14" xr:uid="{00000000-0004-0000-0300-000017000000}"/>
    <hyperlink ref="A63" r:id="rId25" display="javascript:CenterPopup('http://docquery.fec.gov/cgi-bin/fecimg/?13940607831','700','800')" xr:uid="{00000000-0004-0000-0300-000018000000}"/>
    <hyperlink ref="F63" r:id="rId26" display="https://www.campaignmoney.com/political/committees/univision-communications-inc-political-action-committee.asp?cycle=14" xr:uid="{00000000-0004-0000-0300-000019000000}"/>
    <hyperlink ref="A66" r:id="rId27" display="javascript:CenterPopup('http://docquery.fec.gov/cgi-bin/fecimg/?13940607831','700','800')" xr:uid="{00000000-0004-0000-0300-00001A000000}"/>
    <hyperlink ref="F66" r:id="rId28" display="https://www.campaignmoney.com/political/committees/univision-communications-inc-political-action-committee.asp?cycle=14" xr:uid="{00000000-0004-0000-0300-00001B000000}"/>
    <hyperlink ref="A69" r:id="rId29" display="javascript:CenterPopup('http://docquery.fec.gov/cgi-bin/fecimg/?13940484198','700','800')" xr:uid="{00000000-0004-0000-0300-00001C000000}"/>
    <hyperlink ref="F69" r:id="rId30" display="https://www.campaignmoney.com/political/committees/univision-communications-inc-political-action-committee.asp?cycle=14" xr:uid="{00000000-0004-0000-0300-00001D000000}"/>
    <hyperlink ref="A72" r:id="rId31" display="javascript:CenterPopup('http://docquery.fec.gov/cgi-bin/fecimg/?13940484198','700','800')" xr:uid="{00000000-0004-0000-0300-00001E000000}"/>
    <hyperlink ref="F72" r:id="rId32" display="https://www.campaignmoney.com/political/committees/univision-communications-inc-political-action-committee.asp?cycle=14" xr:uid="{00000000-0004-0000-0300-00001F000000}"/>
    <hyperlink ref="A75" r:id="rId33" display="javascript:CenterPopup('http://docquery.fec.gov/cgi-bin/fecimg/?13960954630','700','800')" xr:uid="{00000000-0004-0000-0300-000020000000}"/>
    <hyperlink ref="F75" r:id="rId34" display="https://www.campaignmoney.com/political/committees/univision-communications-inc-political-action-committee.asp?cycle=14" xr:uid="{00000000-0004-0000-0300-000021000000}"/>
    <hyperlink ref="A78" r:id="rId35" display="javascript:CenterPopup('http://docquery.fec.gov/cgi-bin/fecimg/?13960954630','700','800')" xr:uid="{00000000-0004-0000-0300-000022000000}"/>
    <hyperlink ref="F78" r:id="rId36" display="https://www.campaignmoney.com/political/committees/univision-communications-inc-political-action-committee.asp?cycle=14" xr:uid="{00000000-0004-0000-0300-000023000000}"/>
    <hyperlink ref="A81" r:id="rId37" display="javascript:CenterPopup('http://docquery.fec.gov/cgi-bin/fecimg/?201511199003389894','700','800')" xr:uid="{00000000-0004-0000-0300-000024000000}"/>
    <hyperlink ref="F81" r:id="rId38" display="https://www.campaignmoney.com/political/committees/comcast-corporation-nbcuniversal-political-action-committee-federal.asp?cycle=16" xr:uid="{00000000-0004-0000-0300-000025000000}"/>
    <hyperlink ref="A84" r:id="rId39" display="javascript:CenterPopup('http://docquery.fec.gov/cgi-bin/fecimg/?11990095718','700','800')" xr:uid="{00000000-0004-0000-0300-000026000000}"/>
    <hyperlink ref="F84" r:id="rId40" display="https://www.campaignmoney.com/political/committees/univision-communications-inc-political-action-committee.asp?cycle=10" xr:uid="{00000000-0004-0000-0300-000027000000}"/>
    <hyperlink ref="A87" r:id="rId41" display="javascript:CenterPopup('http://docquery.fec.gov/cgi-bin/fecimg/?11990095718','700','800')" xr:uid="{00000000-0004-0000-0300-000028000000}"/>
    <hyperlink ref="F87" r:id="rId42" display="https://www.campaignmoney.com/political/committees/univision-communications-inc-political-action-committee.asp?cycle=10" xr:uid="{00000000-0004-0000-0300-000029000000}"/>
    <hyperlink ref="A90" r:id="rId43" display="javascript:CenterPopup('http://docquery.fec.gov/cgi-bin/fecimg/?11990095718','700','800')" xr:uid="{00000000-0004-0000-0300-00002A000000}"/>
    <hyperlink ref="F90" r:id="rId44" display="https://www.campaignmoney.com/political/committees/univision-communications-inc-political-action-committee.asp?cycle=10" xr:uid="{00000000-0004-0000-0300-00002B000000}"/>
    <hyperlink ref="A93" r:id="rId45" display="javascript:CenterPopup('http://docquery.fec.gov/cgi-bin/fecimg/?10992418308','700','800')" xr:uid="{00000000-0004-0000-0300-00002C000000}"/>
    <hyperlink ref="F93" r:id="rId46" display="https://www.campaignmoney.com/political/committees/univision-communications-inc-political-action-committee.asp?cycle=10" xr:uid="{00000000-0004-0000-0300-00002D000000}"/>
    <hyperlink ref="A96" r:id="rId47" display="javascript:CenterPopup('http://docquery.fec.gov/cgi-bin/fecimg/?10992418308','700','800')" xr:uid="{00000000-0004-0000-0300-00002E000000}"/>
    <hyperlink ref="F96" r:id="rId48" display="https://www.campaignmoney.com/political/committees/univision-communications-inc-political-action-committee.asp?cycle=10" xr:uid="{00000000-0004-0000-0300-00002F000000}"/>
    <hyperlink ref="A99" r:id="rId49" display="javascript:CenterPopup('http://docquery.fec.gov/cgi-bin/fecimg/?10992418308','700','800')" xr:uid="{00000000-0004-0000-0300-000030000000}"/>
    <hyperlink ref="F99" r:id="rId50" display="https://www.campaignmoney.com/political/committees/univision-communications-inc-political-action-committee.asp?cycle=10" xr:uid="{00000000-0004-0000-0300-000031000000}"/>
    <hyperlink ref="A102" r:id="rId51" display="javascript:CenterPopup('http://docquery.fec.gov/cgi-bin/fecimg/?10991466269','700','800')" xr:uid="{00000000-0004-0000-0300-000032000000}"/>
    <hyperlink ref="F102" r:id="rId52" display="https://www.campaignmoney.com/political/committees/univision-communications-inc-political-action-committee.asp?cycle=10" xr:uid="{00000000-0004-0000-0300-000033000000}"/>
    <hyperlink ref="A105" r:id="rId53" display="javascript:CenterPopup('http://docquery.fec.gov/cgi-bin/fecimg/?10991466269','700','800')" xr:uid="{00000000-0004-0000-0300-000034000000}"/>
    <hyperlink ref="F105" r:id="rId54" display="https://www.campaignmoney.com/political/committees/univision-communications-inc-political-action-committee.asp?cycle=10" xr:uid="{00000000-0004-0000-0300-000035000000}"/>
    <hyperlink ref="A108" r:id="rId55" display="javascript:CenterPopup('http://docquery.fec.gov/cgi-bin/fecimg/?10991190770','700','800')" xr:uid="{00000000-0004-0000-0300-000036000000}"/>
    <hyperlink ref="F108" r:id="rId56" display="https://www.campaignmoney.com/political/committees/univision-communications-inc-political-action-committee.asp?cycle=10" xr:uid="{00000000-0004-0000-0300-000037000000}"/>
    <hyperlink ref="A111" r:id="rId57" display="javascript:CenterPopup('http://docquery.fec.gov/cgi-bin/fecimg/?10991190770','700','800')" xr:uid="{00000000-0004-0000-0300-000038000000}"/>
    <hyperlink ref="F111" r:id="rId58" display="https://www.campaignmoney.com/political/committees/univision-communications-inc-political-action-committee.asp?cycle=10" xr:uid="{00000000-0004-0000-0300-000039000000}"/>
    <hyperlink ref="A114" r:id="rId59" display="javascript:CenterPopup('http://docquery.fec.gov/cgi-bin/fecimg/?10931135408','700','800')" xr:uid="{00000000-0004-0000-0300-00003A000000}"/>
    <hyperlink ref="F114" r:id="rId60" display="https://www.campaignmoney.com/political/committees/univision-communications-inc-political-action-committee.asp?cycle=10" xr:uid="{00000000-0004-0000-0300-00003B000000}"/>
    <hyperlink ref="A117" r:id="rId61" display="javascript:CenterPopup('http://docquery.fec.gov/cgi-bin/fecimg/?10931135408','700','800')" xr:uid="{00000000-0004-0000-0300-00003C000000}"/>
    <hyperlink ref="F117" r:id="rId62" display="https://www.campaignmoney.com/political/committees/univision-communications-inc-political-action-committee.asp?cycle=10" xr:uid="{00000000-0004-0000-0300-00003D000000}"/>
    <hyperlink ref="A120" r:id="rId63" display="javascript:CenterPopup('http://docquery.fec.gov/cgi-bin/fecimg/?10990978645','700','800')" xr:uid="{00000000-0004-0000-0300-00003E000000}"/>
    <hyperlink ref="F120" r:id="rId64" display="https://www.campaignmoney.com/political/committees/univision-communications-inc-political-action-committee.asp?cycle=10" xr:uid="{00000000-0004-0000-0300-00003F000000}"/>
    <hyperlink ref="A123" r:id="rId65" display="javascript:CenterPopup('http://docquery.fec.gov/cgi-bin/fecimg/?10990978644','700','800')" xr:uid="{00000000-0004-0000-0300-000040000000}"/>
    <hyperlink ref="F123" r:id="rId66" display="https://www.campaignmoney.com/political/committees/univision-communications-inc-political-action-committee.asp?cycle=10" xr:uid="{00000000-0004-0000-0300-000041000000}"/>
    <hyperlink ref="A126" r:id="rId67" display="javascript:CenterPopup('http://docquery.fec.gov/cgi-bin/fecimg/?10990793024','700','800')" xr:uid="{00000000-0004-0000-0300-000042000000}"/>
    <hyperlink ref="F126" r:id="rId68" display="https://www.campaignmoney.com/political/committees/univision-communications-inc-political-action-committee.asp?cycle=10" xr:uid="{00000000-0004-0000-0300-000043000000}"/>
  </hyperlinks>
  <pageMargins left="0.7" right="0.7" top="0.75" bottom="0.75" header="0.3" footer="0.3"/>
  <pageSetup orientation="portrait" r:id="rId6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5"/>
  <sheetViews>
    <sheetView workbookViewId="0">
      <selection activeCell="G16" sqref="G16"/>
    </sheetView>
  </sheetViews>
  <sheetFormatPr defaultColWidth="8.85546875" defaultRowHeight="15"/>
  <cols>
    <col min="1" max="1" width="54.28515625" style="12" customWidth="1"/>
    <col min="2" max="2" width="48.42578125" style="12" customWidth="1"/>
    <col min="3" max="3" width="9.5703125" style="12" customWidth="1"/>
    <col min="4" max="4" width="21.85546875" style="12" customWidth="1"/>
    <col min="5" max="5" width="12.7109375" style="12" customWidth="1"/>
    <col min="6" max="6" width="11.42578125" style="12" customWidth="1"/>
    <col min="7" max="16384" width="8.85546875" style="12"/>
  </cols>
  <sheetData>
    <row r="1" spans="1:13">
      <c r="A1" s="12" t="s">
        <v>30</v>
      </c>
      <c r="B1" s="12" t="s">
        <v>31</v>
      </c>
      <c r="C1" s="12" t="s">
        <v>24</v>
      </c>
      <c r="D1" s="12" t="s">
        <v>32</v>
      </c>
      <c r="E1" s="12" t="s">
        <v>33</v>
      </c>
      <c r="F1" s="12" t="s">
        <v>34</v>
      </c>
      <c r="G1" s="12" t="s">
        <v>41</v>
      </c>
      <c r="H1" s="12" t="s">
        <v>17</v>
      </c>
      <c r="I1" s="15" t="s">
        <v>19</v>
      </c>
      <c r="J1" s="12" t="s">
        <v>18</v>
      </c>
      <c r="K1" s="12" t="s">
        <v>26</v>
      </c>
      <c r="L1" s="12" t="s">
        <v>27</v>
      </c>
      <c r="M1" s="12" t="s">
        <v>42</v>
      </c>
    </row>
    <row r="2" spans="1:13" ht="15.75">
      <c r="A2" s="12" t="s">
        <v>46</v>
      </c>
      <c r="B2" s="12" t="s">
        <v>36</v>
      </c>
      <c r="C2" s="12" t="s">
        <v>50</v>
      </c>
      <c r="D2" s="12" t="s">
        <v>37</v>
      </c>
      <c r="E2" s="16">
        <v>44118</v>
      </c>
      <c r="F2" s="17">
        <v>5</v>
      </c>
      <c r="G2" s="12" t="s">
        <v>15</v>
      </c>
      <c r="H2" s="12">
        <v>0</v>
      </c>
      <c r="I2" s="12">
        <v>100</v>
      </c>
      <c r="K2" s="18">
        <f>(+H2/(H2+I2))*100</f>
        <v>0</v>
      </c>
      <c r="L2" s="18">
        <f>(+I2/(H2+I2))*100</f>
        <v>100</v>
      </c>
    </row>
    <row r="3" spans="1:13" ht="15.75">
      <c r="A3" s="12" t="s">
        <v>46</v>
      </c>
      <c r="B3" s="12" t="s">
        <v>36</v>
      </c>
      <c r="C3" s="12" t="s">
        <v>50</v>
      </c>
      <c r="D3" s="12" t="s">
        <v>37</v>
      </c>
      <c r="E3" s="16">
        <v>44118</v>
      </c>
      <c r="F3" s="17">
        <v>25</v>
      </c>
      <c r="G3" s="12" t="s">
        <v>15</v>
      </c>
      <c r="H3" s="12">
        <v>0</v>
      </c>
      <c r="I3" s="12">
        <v>100</v>
      </c>
      <c r="K3" s="18">
        <f>(+H3/(H3+I3))*100</f>
        <v>0</v>
      </c>
      <c r="L3" s="18">
        <f>(+I3/(H3+I3))*100</f>
        <v>100</v>
      </c>
    </row>
    <row r="4" spans="1:13">
      <c r="A4" s="12" t="s">
        <v>147</v>
      </c>
      <c r="E4" s="16"/>
      <c r="F4" s="17">
        <f>SUM(F2:F3)</f>
        <v>30</v>
      </c>
    </row>
    <row r="5" spans="1:13" ht="15.75">
      <c r="A5" s="12" t="s">
        <v>46</v>
      </c>
      <c r="B5" s="12" t="s">
        <v>148</v>
      </c>
      <c r="E5" s="16"/>
      <c r="F5" s="17">
        <v>27731</v>
      </c>
      <c r="G5" s="12" t="s">
        <v>14</v>
      </c>
      <c r="H5" s="12">
        <v>678000</v>
      </c>
      <c r="I5" s="12">
        <v>514000</v>
      </c>
      <c r="K5" s="18">
        <f>(+H5/(H5+I5))*100</f>
        <v>56.87919463087249</v>
      </c>
      <c r="L5" s="18">
        <f>(+I5/(H5+I5))*100</f>
        <v>43.120805369127517</v>
      </c>
    </row>
    <row r="6" spans="1:13">
      <c r="E6" s="16"/>
      <c r="F6" s="17"/>
    </row>
    <row r="7" spans="1:13" ht="15.75">
      <c r="B7" s="12" t="s">
        <v>149</v>
      </c>
      <c r="E7" s="16"/>
      <c r="F7" s="17">
        <v>3000</v>
      </c>
      <c r="G7" s="12" t="s">
        <v>15</v>
      </c>
      <c r="H7" s="12">
        <v>0</v>
      </c>
      <c r="I7" s="12">
        <v>100</v>
      </c>
      <c r="K7" s="18">
        <f>(+H7/(H7+I7))*100</f>
        <v>0</v>
      </c>
      <c r="L7" s="18">
        <f>(+I7/(H7+I7))*100</f>
        <v>100</v>
      </c>
    </row>
    <row r="8" spans="1:13" ht="15.75">
      <c r="B8" s="20" t="s">
        <v>150</v>
      </c>
      <c r="E8" s="16"/>
      <c r="F8" s="17">
        <v>2300</v>
      </c>
      <c r="G8" s="12" t="s">
        <v>15</v>
      </c>
      <c r="H8" s="12">
        <v>0</v>
      </c>
      <c r="I8" s="12">
        <v>100</v>
      </c>
      <c r="K8" s="18">
        <f>(+H8/(H8+I8))*100</f>
        <v>0</v>
      </c>
      <c r="L8" s="18">
        <f>(+I8/(H8+I8))*100</f>
        <v>100</v>
      </c>
    </row>
    <row r="9" spans="1:13" ht="15.75">
      <c r="B9" s="20" t="s">
        <v>154</v>
      </c>
      <c r="F9" s="12">
        <v>1000</v>
      </c>
      <c r="G9" s="12" t="s">
        <v>15</v>
      </c>
      <c r="H9" s="12">
        <v>0</v>
      </c>
      <c r="I9" s="12">
        <v>100</v>
      </c>
      <c r="K9" s="18"/>
      <c r="L9" s="18"/>
    </row>
    <row r="10" spans="1:13" ht="15.75">
      <c r="B10" s="20" t="s">
        <v>152</v>
      </c>
      <c r="F10" s="12">
        <v>2300</v>
      </c>
      <c r="G10" s="12" t="s">
        <v>15</v>
      </c>
      <c r="H10" s="12">
        <v>0</v>
      </c>
      <c r="I10" s="12">
        <v>100</v>
      </c>
      <c r="K10" s="18">
        <f>(+H10/(H10+I10))*100</f>
        <v>0</v>
      </c>
      <c r="L10" s="18">
        <f>(+I10/(H10+I10))*100</f>
        <v>100</v>
      </c>
    </row>
    <row r="11" spans="1:13" ht="15.75">
      <c r="B11" s="20"/>
      <c r="F11" s="17">
        <f>SUM(F7:F10)</f>
        <v>8600</v>
      </c>
      <c r="K11" s="18"/>
      <c r="L11" s="18"/>
    </row>
    <row r="12" spans="1:13" ht="15.75">
      <c r="B12" s="20"/>
      <c r="K12" s="18"/>
      <c r="L12" s="18"/>
    </row>
    <row r="13" spans="1:13" ht="15.75">
      <c r="B13" s="20"/>
      <c r="K13" s="18"/>
      <c r="L13" s="18"/>
    </row>
    <row r="14" spans="1:13" ht="15.75">
      <c r="B14" s="20" t="s">
        <v>151</v>
      </c>
      <c r="E14" s="16"/>
      <c r="F14" s="17">
        <v>2300</v>
      </c>
      <c r="G14" s="12" t="s">
        <v>16</v>
      </c>
      <c r="H14" s="12">
        <v>100</v>
      </c>
      <c r="I14" s="12">
        <v>0</v>
      </c>
      <c r="K14" s="18">
        <f>(+H14/(H14+I14))*100</f>
        <v>100</v>
      </c>
      <c r="L14" s="18">
        <f>(+I14/(H14+I14))*100</f>
        <v>0</v>
      </c>
    </row>
    <row r="15" spans="1:13" ht="15.75">
      <c r="B15" s="20" t="s">
        <v>153</v>
      </c>
      <c r="F15" s="12">
        <v>1000</v>
      </c>
      <c r="G15" s="12" t="s">
        <v>16</v>
      </c>
      <c r="H15" s="12">
        <v>100</v>
      </c>
      <c r="I15" s="12">
        <v>0</v>
      </c>
      <c r="K15" s="18">
        <f>(+H15/(H15+I15))*100</f>
        <v>100</v>
      </c>
      <c r="L15" s="18">
        <f>(+I15/(H15+I15))*100</f>
        <v>0</v>
      </c>
    </row>
    <row r="16" spans="1:13" ht="15.75">
      <c r="B16" s="20"/>
      <c r="F16" s="17">
        <f>SUM(F14:F15)</f>
        <v>3300</v>
      </c>
      <c r="K16" s="18"/>
      <c r="L16" s="18"/>
    </row>
    <row r="17" spans="1:1">
      <c r="A17" s="15" t="s">
        <v>54</v>
      </c>
    </row>
    <row r="18" spans="1:1" ht="16.5">
      <c r="A18" s="32" t="s">
        <v>110</v>
      </c>
    </row>
    <row r="19" spans="1:1" ht="45">
      <c r="A19" s="33" t="s">
        <v>111</v>
      </c>
    </row>
    <row r="20" spans="1:1">
      <c r="A20" s="33" t="s">
        <v>112</v>
      </c>
    </row>
    <row r="21" spans="1:1">
      <c r="A21" s="33" t="s">
        <v>113</v>
      </c>
    </row>
    <row r="22" spans="1:1">
      <c r="A22" s="33" t="s">
        <v>114</v>
      </c>
    </row>
    <row r="23" spans="1:1" ht="30">
      <c r="A23" s="33" t="s">
        <v>115</v>
      </c>
    </row>
    <row r="24" spans="1:1">
      <c r="A24" s="33" t="s">
        <v>116</v>
      </c>
    </row>
    <row r="25" spans="1:1" ht="30">
      <c r="A25" s="33" t="s">
        <v>117</v>
      </c>
    </row>
    <row r="26" spans="1:1">
      <c r="A26" s="33" t="s">
        <v>118</v>
      </c>
    </row>
    <row r="27" spans="1:1">
      <c r="A27" s="33" t="s">
        <v>119</v>
      </c>
    </row>
    <row r="28" spans="1:1">
      <c r="A28" s="33" t="s">
        <v>118</v>
      </c>
    </row>
    <row r="29" spans="1:1">
      <c r="A29" s="33" t="s">
        <v>120</v>
      </c>
    </row>
    <row r="30" spans="1:1">
      <c r="A30" s="33" t="s">
        <v>121</v>
      </c>
    </row>
    <row r="31" spans="1:1">
      <c r="A31" s="33" t="s">
        <v>122</v>
      </c>
    </row>
    <row r="32" spans="1:1">
      <c r="A32" s="33" t="s">
        <v>123</v>
      </c>
    </row>
    <row r="33" spans="1:1" ht="16.5">
      <c r="A33" s="32" t="s">
        <v>124</v>
      </c>
    </row>
    <row r="34" spans="1:1" ht="30">
      <c r="A34" s="33" t="s">
        <v>125</v>
      </c>
    </row>
    <row r="35" spans="1:1">
      <c r="A35" s="33" t="s">
        <v>126</v>
      </c>
    </row>
    <row r="36" spans="1:1" ht="16.5">
      <c r="A36" s="32" t="s">
        <v>127</v>
      </c>
    </row>
    <row r="37" spans="1:1">
      <c r="A37" s="33" t="s">
        <v>128</v>
      </c>
    </row>
    <row r="38" spans="1:1">
      <c r="A38" s="33" t="s">
        <v>118</v>
      </c>
    </row>
    <row r="39" spans="1:1" ht="16.5">
      <c r="A39" s="32" t="s">
        <v>129</v>
      </c>
    </row>
    <row r="40" spans="1:1">
      <c r="A40" s="33" t="s">
        <v>130</v>
      </c>
    </row>
    <row r="41" spans="1:1">
      <c r="A41" s="33" t="s">
        <v>131</v>
      </c>
    </row>
    <row r="42" spans="1:1" ht="30">
      <c r="A42" s="33" t="s">
        <v>132</v>
      </c>
    </row>
    <row r="43" spans="1:1">
      <c r="A43" s="33" t="s">
        <v>131</v>
      </c>
    </row>
    <row r="44" spans="1:1" ht="16.5">
      <c r="A44" s="32" t="s">
        <v>133</v>
      </c>
    </row>
    <row r="45" spans="1:1" ht="30">
      <c r="A45" s="33" t="s">
        <v>134</v>
      </c>
    </row>
    <row r="46" spans="1:1">
      <c r="A46" s="33" t="s">
        <v>135</v>
      </c>
    </row>
    <row r="47" spans="1:1" ht="30">
      <c r="A47" s="33" t="s">
        <v>136</v>
      </c>
    </row>
    <row r="48" spans="1:1">
      <c r="A48" s="33" t="s">
        <v>137</v>
      </c>
    </row>
    <row r="49" spans="1:2" ht="30">
      <c r="A49" s="33" t="s">
        <v>138</v>
      </c>
    </row>
    <row r="50" spans="1:2">
      <c r="A50" s="33" t="s">
        <v>139</v>
      </c>
    </row>
    <row r="51" spans="1:2" ht="30">
      <c r="A51" s="33" t="s">
        <v>140</v>
      </c>
    </row>
    <row r="52" spans="1:2">
      <c r="A52" s="33" t="s">
        <v>141</v>
      </c>
    </row>
    <row r="53" spans="1:2" ht="30">
      <c r="A53" s="33" t="s">
        <v>142</v>
      </c>
    </row>
    <row r="54" spans="1:2">
      <c r="A54" s="33" t="s">
        <v>141</v>
      </c>
    </row>
    <row r="55" spans="1:2" ht="30">
      <c r="A55" s="33" t="s">
        <v>143</v>
      </c>
    </row>
    <row r="56" spans="1:2">
      <c r="A56" s="33" t="s">
        <v>144</v>
      </c>
    </row>
    <row r="57" spans="1:2" ht="30">
      <c r="A57" s="33" t="s">
        <v>145</v>
      </c>
    </row>
    <row r="58" spans="1:2">
      <c r="A58" s="33" t="s">
        <v>146</v>
      </c>
    </row>
    <row r="62" spans="1:2">
      <c r="A62" s="20" t="s">
        <v>134</v>
      </c>
    </row>
    <row r="64" spans="1:2">
      <c r="A64" s="12">
        <v>678000</v>
      </c>
      <c r="B64" s="12" t="s">
        <v>17</v>
      </c>
    </row>
    <row r="65" spans="1:2">
      <c r="A65" s="12">
        <v>514000</v>
      </c>
      <c r="B65" s="12" t="s">
        <v>19</v>
      </c>
    </row>
  </sheetData>
  <sortState xmlns:xlrd2="http://schemas.microsoft.com/office/spreadsheetml/2017/richdata2" ref="A2:M715">
    <sortCondition ref="D2:D715"/>
  </sortState>
  <hyperlinks>
    <hyperlink ref="A19" r:id="rId1" display="https://littlesis.org/org/23785-The_Chubb_Corporation" xr:uid="{00000000-0004-0000-0400-000000000000}"/>
    <hyperlink ref="A20" r:id="rId2" display="https://littlesis.org/relationships/925739" xr:uid="{00000000-0004-0000-0400-000001000000}"/>
    <hyperlink ref="A21" r:id="rId3" display="https://littlesis.org/org/1-Walmart_Inc." xr:uid="{00000000-0004-0000-0400-000002000000}"/>
    <hyperlink ref="A22" r:id="rId4" display="https://littlesis.org/relationships/563903" xr:uid="{00000000-0004-0000-0400-000003000000}"/>
    <hyperlink ref="A23" r:id="rId5" display="https://littlesis.org/org/12-JPMorgan_Chase_&amp;_Co." xr:uid="{00000000-0004-0000-0400-000004000000}"/>
    <hyperlink ref="A24" r:id="rId6" display="https://littlesis.org/relationships/564106" xr:uid="{00000000-0004-0000-0400-000005000000}"/>
    <hyperlink ref="A25" r:id="rId7" display="https://littlesis.org/org/25-UnitedHealth_Group,_Inc." xr:uid="{00000000-0004-0000-0400-000006000000}"/>
    <hyperlink ref="A26" r:id="rId8" display="https://littlesis.org/relationships/1704287" xr:uid="{00000000-0004-0000-0400-000007000000}"/>
    <hyperlink ref="A27" r:id="rId9" display="https://littlesis.org/org/81-Alcoa_Inc." xr:uid="{00000000-0004-0000-0400-000008000000}"/>
    <hyperlink ref="A28" r:id="rId10" display="https://littlesis.org/relationships/1703107" xr:uid="{00000000-0004-0000-0400-000009000000}"/>
    <hyperlink ref="A29" r:id="rId11" display="https://littlesis.org/org/17667-KPMG_LLP" xr:uid="{00000000-0004-0000-0400-00000A000000}"/>
    <hyperlink ref="A30" r:id="rId12" display="https://littlesis.org/relationships/93087" xr:uid="{00000000-0004-0000-0400-00000B000000}"/>
    <hyperlink ref="A31" r:id="rId13" display="https://littlesis.org/org/283528-Wal-Mart_Stores_(uk)_Limited" xr:uid="{00000000-0004-0000-0400-00000C000000}"/>
    <hyperlink ref="A32" r:id="rId14" display="https://littlesis.org/relationships/1403237" xr:uid="{00000000-0004-0000-0400-00000D000000}"/>
    <hyperlink ref="A34" r:id="rId15" display="https://littlesis.org/org/39932-Financial_Accounting_Standards_Board" xr:uid="{00000000-0004-0000-0400-00000E000000}"/>
    <hyperlink ref="A35" r:id="rId16" display="https://littlesis.org/relationships/722686" xr:uid="{00000000-0004-0000-0400-00000F000000}"/>
    <hyperlink ref="A37" r:id="rId17" display="https://littlesis.org/org/85949-YMCA_of_Greater_New_York" xr:uid="{00000000-0004-0000-0400-000010000000}"/>
    <hyperlink ref="A38" r:id="rId18" display="https://littlesis.org/relationships/372801" xr:uid="{00000000-0004-0000-0400-000011000000}"/>
    <hyperlink ref="A40" r:id="rId19" display="https://littlesis.org/org/40361-World_Economic_Forum_-_International_Business_Council" xr:uid="{00000000-0004-0000-0400-000012000000}"/>
    <hyperlink ref="A41" r:id="rId20" display="https://littlesis.org/relationships/722687" xr:uid="{00000000-0004-0000-0400-000013000000}"/>
    <hyperlink ref="A42" r:id="rId21" display="https://littlesis.org/org/33791-Business_Roundtable" xr:uid="{00000000-0004-0000-0400-000014000000}"/>
    <hyperlink ref="A43" r:id="rId22" display="https://littlesis.org/relationships/93125" xr:uid="{00000000-0004-0000-0400-000015000000}"/>
    <hyperlink ref="A45" r:id="rId23" display="https://littlesis.org/org/30787-KPMG_Partners_&amp;_Principals_&amp;_Employees_Political_Action_Committee" xr:uid="{00000000-0004-0000-0400-000016000000}"/>
    <hyperlink ref="A46" r:id="rId24" display="https://littlesis.org/relationships/198419" xr:uid="{00000000-0004-0000-0400-000017000000}"/>
    <hyperlink ref="A47" r:id="rId25" display="https://littlesis.org/person/13248-Chris_Dodd" xr:uid="{00000000-0004-0000-0400-000018000000}"/>
    <hyperlink ref="A48" r:id="rId26" display="https://littlesis.org/relationships/198420" xr:uid="{00000000-0004-0000-0400-000019000000}"/>
    <hyperlink ref="A49" r:id="rId27" display="https://littlesis.org/person/13575-Chuck_Schumer" xr:uid="{00000000-0004-0000-0400-00001A000000}"/>
    <hyperlink ref="A50" r:id="rId28" display="https://littlesis.org/relationships/198423" xr:uid="{00000000-0004-0000-0400-00001B000000}"/>
    <hyperlink ref="A51" r:id="rId29" display="https://littlesis.org/person/28801-Rudy_Giuliani" xr:uid="{00000000-0004-0000-0400-00001C000000}"/>
    <hyperlink ref="A52" r:id="rId30" display="https://littlesis.org/relationships/198421" xr:uid="{00000000-0004-0000-0400-00001D000000}"/>
    <hyperlink ref="A53" r:id="rId31" display="https://littlesis.org/person/29484-Michael_Ciresi_V" xr:uid="{00000000-0004-0000-0400-00001E000000}"/>
    <hyperlink ref="A54" r:id="rId32" display="https://littlesis.org/relationships/198422" xr:uid="{00000000-0004-0000-0400-00001F000000}"/>
    <hyperlink ref="A55" r:id="rId33" display="https://littlesis.org/person/13587-Richard_Shelby" xr:uid="{00000000-0004-0000-0400-000020000000}"/>
    <hyperlink ref="A56" r:id="rId34" display="https://littlesis.org/relationships/198424" xr:uid="{00000000-0004-0000-0400-000021000000}"/>
    <hyperlink ref="A57" r:id="rId35" display="https://littlesis.org/person/39051-Max_Baucus" xr:uid="{00000000-0004-0000-0400-000022000000}"/>
    <hyperlink ref="A58" r:id="rId36" display="https://littlesis.org/relationships/198425" xr:uid="{00000000-0004-0000-0400-000023000000}"/>
    <hyperlink ref="A62" r:id="rId37" display="https://littlesis.org/org/30787-KPMG_Partners_&amp;_Principals_&amp;_Employees_Political_Action_Committee" xr:uid="{00000000-0004-0000-0400-000024000000}"/>
    <hyperlink ref="B8" r:id="rId38" display="https://littlesis.org/person/13575-Chuck_Schumer" xr:uid="{00000000-0004-0000-0400-000025000000}"/>
    <hyperlink ref="B10" r:id="rId39" display="https://littlesis.org/person/29484-Michael_Ciresi_V" xr:uid="{00000000-0004-0000-0400-000026000000}"/>
    <hyperlink ref="B14" r:id="rId40" display="https://littlesis.org/person/28801-Rudy_Giuliani" xr:uid="{00000000-0004-0000-0400-000027000000}"/>
    <hyperlink ref="B15" r:id="rId41" display="https://littlesis.org/person/13587-Richard_Shelby" xr:uid="{00000000-0004-0000-0400-000028000000}"/>
    <hyperlink ref="B9" r:id="rId42" display="https://littlesis.org/person/39051-Max_Baucus" xr:uid="{00000000-0004-0000-0400-000029000000}"/>
  </hyperlinks>
  <pageMargins left="0.7" right="0.7" top="0.75" bottom="0.75" header="0.3" footer="0.3"/>
  <pageSetup orientation="portrait" r:id="rId4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workbookViewId="0">
      <selection activeCell="A5" sqref="A5"/>
    </sheetView>
  </sheetViews>
  <sheetFormatPr defaultRowHeight="15"/>
  <sheetData>
    <row r="1" spans="1:13">
      <c r="A1" t="s">
        <v>30</v>
      </c>
      <c r="B1" t="s">
        <v>31</v>
      </c>
      <c r="C1" t="s">
        <v>24</v>
      </c>
      <c r="D1" t="s">
        <v>32</v>
      </c>
      <c r="E1" t="s">
        <v>33</v>
      </c>
      <c r="F1" t="s">
        <v>34</v>
      </c>
      <c r="G1" s="12" t="s">
        <v>41</v>
      </c>
      <c r="H1" t="s">
        <v>17</v>
      </c>
      <c r="I1" s="2" t="s">
        <v>19</v>
      </c>
      <c r="J1" t="s">
        <v>18</v>
      </c>
      <c r="K1" s="12" t="s">
        <v>26</v>
      </c>
      <c r="L1" s="12" t="s">
        <v>27</v>
      </c>
      <c r="M1" s="12" t="s">
        <v>42</v>
      </c>
    </row>
    <row r="4" spans="1:13">
      <c r="A4" t="s">
        <v>161</v>
      </c>
    </row>
    <row r="18" spans="1:1">
      <c r="A18" t="s">
        <v>51</v>
      </c>
    </row>
    <row r="19" spans="1:1">
      <c r="A19" s="21" t="s">
        <v>55</v>
      </c>
    </row>
    <row r="21" spans="1:1">
      <c r="A21" t="s">
        <v>155</v>
      </c>
    </row>
    <row r="22" spans="1:1">
      <c r="A22" t="s">
        <v>156</v>
      </c>
    </row>
    <row r="24" spans="1:1">
      <c r="A24" s="2" t="s">
        <v>157</v>
      </c>
    </row>
    <row r="26" spans="1:1">
      <c r="A26" t="s">
        <v>158</v>
      </c>
    </row>
    <row r="28" spans="1:1">
      <c r="A28" s="2" t="s">
        <v>159</v>
      </c>
    </row>
    <row r="30" spans="1:1">
      <c r="A30" t="s">
        <v>160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
  <sheetViews>
    <sheetView topLeftCell="D1" workbookViewId="0">
      <selection activeCell="F2" sqref="F2:F5"/>
    </sheetView>
  </sheetViews>
  <sheetFormatPr defaultRowHeight="15"/>
  <cols>
    <col min="1" max="1" width="19.140625" customWidth="1"/>
    <col min="2" max="2" width="20.28515625" customWidth="1"/>
    <col min="3" max="3" width="15.7109375" customWidth="1"/>
    <col min="4" max="4" width="43.140625" customWidth="1"/>
    <col min="5" max="5" width="11.7109375" customWidth="1"/>
    <col min="6" max="6" width="11.28515625" customWidth="1"/>
  </cols>
  <sheetData>
    <row r="1" spans="1:13">
      <c r="A1" t="s">
        <v>30</v>
      </c>
      <c r="B1" t="s">
        <v>31</v>
      </c>
      <c r="C1" t="s">
        <v>24</v>
      </c>
      <c r="D1" t="s">
        <v>32</v>
      </c>
      <c r="E1" t="s">
        <v>33</v>
      </c>
      <c r="F1" t="s">
        <v>34</v>
      </c>
      <c r="G1" s="12" t="s">
        <v>41</v>
      </c>
      <c r="H1" t="s">
        <v>17</v>
      </c>
      <c r="I1" s="2" t="s">
        <v>19</v>
      </c>
      <c r="J1" t="s">
        <v>18</v>
      </c>
      <c r="K1" s="12" t="s">
        <v>26</v>
      </c>
      <c r="L1" s="12" t="s">
        <v>27</v>
      </c>
      <c r="M1" s="12" t="s">
        <v>42</v>
      </c>
    </row>
    <row r="2" spans="1:13" ht="15.75">
      <c r="A2" t="s">
        <v>84</v>
      </c>
      <c r="B2" t="s">
        <v>10</v>
      </c>
      <c r="C2" t="s">
        <v>47</v>
      </c>
      <c r="D2" t="s">
        <v>85</v>
      </c>
      <c r="E2" s="1">
        <v>44136</v>
      </c>
      <c r="F2" s="14">
        <v>1000</v>
      </c>
      <c r="G2" t="s">
        <v>15</v>
      </c>
      <c r="H2" s="12">
        <v>0</v>
      </c>
      <c r="I2" s="12">
        <v>100</v>
      </c>
      <c r="K2" s="18">
        <f>(+H2/(H2+I2))*100</f>
        <v>0</v>
      </c>
      <c r="L2" s="18">
        <f>(+I2/(H2+I2))*100</f>
        <v>100</v>
      </c>
    </row>
    <row r="3" spans="1:13" ht="15.75">
      <c r="A3" t="s">
        <v>84</v>
      </c>
      <c r="B3" t="s">
        <v>86</v>
      </c>
      <c r="C3" t="s">
        <v>47</v>
      </c>
      <c r="D3" t="s">
        <v>85</v>
      </c>
      <c r="E3" s="1">
        <v>44136</v>
      </c>
      <c r="F3" s="14">
        <v>500</v>
      </c>
      <c r="G3" t="s">
        <v>15</v>
      </c>
      <c r="H3" s="12">
        <v>0</v>
      </c>
      <c r="I3" s="12">
        <v>100</v>
      </c>
      <c r="K3" s="18">
        <f>(+H3/(H3+I3))*100</f>
        <v>0</v>
      </c>
      <c r="L3" s="18">
        <f>(+I3/(H3+I3))*100</f>
        <v>100</v>
      </c>
    </row>
    <row r="4" spans="1:13" ht="15.75">
      <c r="A4" t="s">
        <v>84</v>
      </c>
      <c r="B4" t="s">
        <v>86</v>
      </c>
      <c r="C4" t="s">
        <v>47</v>
      </c>
      <c r="D4" t="s">
        <v>85</v>
      </c>
      <c r="E4" s="1">
        <v>44136</v>
      </c>
      <c r="F4" s="14">
        <v>1000</v>
      </c>
      <c r="G4" t="s">
        <v>15</v>
      </c>
      <c r="H4" s="12">
        <v>0</v>
      </c>
      <c r="I4" s="12">
        <v>100</v>
      </c>
      <c r="K4" s="18">
        <f>(+H4/(H4+I4))*100</f>
        <v>0</v>
      </c>
      <c r="L4" s="18">
        <f>(+I4/(H4+I4))*100</f>
        <v>100</v>
      </c>
    </row>
    <row r="5" spans="1:13">
      <c r="F5" s="14">
        <f>SUM(F2:F4)</f>
        <v>2500</v>
      </c>
    </row>
    <row r="6" spans="1:13">
      <c r="A6" t="s">
        <v>51</v>
      </c>
    </row>
    <row r="7" spans="1:13">
      <c r="A7" s="2" t="s">
        <v>56</v>
      </c>
    </row>
    <row r="8" spans="1:13">
      <c r="E8" s="1"/>
      <c r="F8" s="14"/>
    </row>
    <row r="9" spans="1:13">
      <c r="E9" s="1"/>
      <c r="F9" s="14"/>
    </row>
    <row r="10" spans="1:13">
      <c r="E10" s="1"/>
      <c r="F10" s="14"/>
    </row>
  </sheetData>
  <sortState xmlns:xlrd2="http://schemas.microsoft.com/office/spreadsheetml/2017/richdata2" ref="A22:F350">
    <sortCondition ref="A22:A350"/>
    <sortCondition ref="D22:D350"/>
    <sortCondition ref="B22:B350"/>
    <sortCondition ref="C22:C35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7"/>
  <sheetViews>
    <sheetView topLeftCell="B1" workbookViewId="0">
      <selection activeCell="F2" sqref="F2:F4"/>
    </sheetView>
  </sheetViews>
  <sheetFormatPr defaultRowHeight="15"/>
  <cols>
    <col min="2" max="2" width="23" customWidth="1"/>
    <col min="5" max="5" width="10.42578125" customWidth="1"/>
    <col min="6" max="6" width="11.85546875" customWidth="1"/>
  </cols>
  <sheetData>
    <row r="1" spans="1:13">
      <c r="A1" t="s">
        <v>30</v>
      </c>
      <c r="B1" t="s">
        <v>31</v>
      </c>
      <c r="C1" t="s">
        <v>24</v>
      </c>
      <c r="D1" t="s">
        <v>32</v>
      </c>
      <c r="E1" t="s">
        <v>33</v>
      </c>
      <c r="F1" t="s">
        <v>34</v>
      </c>
      <c r="G1" s="12" t="s">
        <v>41</v>
      </c>
      <c r="H1" t="s">
        <v>17</v>
      </c>
      <c r="I1" s="2" t="s">
        <v>19</v>
      </c>
      <c r="J1" t="s">
        <v>18</v>
      </c>
      <c r="K1" s="12" t="s">
        <v>26</v>
      </c>
      <c r="L1" s="12" t="s">
        <v>27</v>
      </c>
      <c r="M1" s="12" t="s">
        <v>42</v>
      </c>
    </row>
    <row r="2" spans="1:13" ht="15.75">
      <c r="A2" t="s">
        <v>67</v>
      </c>
      <c r="B2" t="s">
        <v>68</v>
      </c>
      <c r="C2" t="s">
        <v>49</v>
      </c>
      <c r="D2" t="s">
        <v>69</v>
      </c>
      <c r="E2" s="1">
        <v>43739</v>
      </c>
      <c r="F2" s="14">
        <v>2800</v>
      </c>
      <c r="H2" s="12">
        <v>0</v>
      </c>
      <c r="I2" s="12">
        <v>100</v>
      </c>
      <c r="J2" s="12"/>
      <c r="K2" s="18">
        <f>(+H2/(H2+I2))*100</f>
        <v>0</v>
      </c>
      <c r="L2" s="18">
        <f>(+I2/(H2+I2))*100</f>
        <v>100</v>
      </c>
    </row>
    <row r="3" spans="1:13" ht="15.75">
      <c r="A3" t="s">
        <v>67</v>
      </c>
      <c r="B3" t="s">
        <v>70</v>
      </c>
      <c r="C3" t="s">
        <v>49</v>
      </c>
      <c r="D3" t="s">
        <v>71</v>
      </c>
      <c r="E3" s="1">
        <v>43584</v>
      </c>
      <c r="F3" s="14">
        <v>2800</v>
      </c>
      <c r="G3" t="s">
        <v>15</v>
      </c>
      <c r="H3" s="12">
        <v>0</v>
      </c>
      <c r="I3" s="12">
        <v>100</v>
      </c>
      <c r="K3" s="18">
        <f>(+H3/(H3+I3))*100</f>
        <v>0</v>
      </c>
      <c r="L3" s="18">
        <f>(+I3/(H3+I3))*100</f>
        <v>100</v>
      </c>
    </row>
    <row r="4" spans="1:13">
      <c r="F4" s="14">
        <f>SUM(F2:F3)</f>
        <v>5600</v>
      </c>
    </row>
    <row r="5" spans="1:13">
      <c r="A5" s="20" t="s">
        <v>57</v>
      </c>
    </row>
    <row r="6" spans="1:13">
      <c r="A6" t="s">
        <v>72</v>
      </c>
    </row>
    <row r="7" spans="1:13">
      <c r="A7" t="s">
        <v>73</v>
      </c>
    </row>
    <row r="8" spans="1:13">
      <c r="A8" t="s">
        <v>74</v>
      </c>
    </row>
    <row r="9" spans="1:13">
      <c r="A9" t="s">
        <v>75</v>
      </c>
    </row>
    <row r="10" spans="1:13">
      <c r="A10" t="s">
        <v>76</v>
      </c>
    </row>
    <row r="11" spans="1:13">
      <c r="A11" t="s">
        <v>77</v>
      </c>
    </row>
    <row r="12" spans="1:13">
      <c r="A12" t="s">
        <v>78</v>
      </c>
    </row>
    <row r="13" spans="1:13">
      <c r="A13" t="s">
        <v>79</v>
      </c>
    </row>
    <row r="14" spans="1:13">
      <c r="A14" t="s">
        <v>80</v>
      </c>
    </row>
    <row r="15" spans="1:13">
      <c r="A15" t="s">
        <v>81</v>
      </c>
    </row>
    <row r="16" spans="1:13">
      <c r="A16" t="s">
        <v>82</v>
      </c>
    </row>
    <row r="17" spans="1:1">
      <c r="A17" t="s">
        <v>83</v>
      </c>
    </row>
  </sheetData>
  <hyperlinks>
    <hyperlink ref="A5" r:id="rId1" location="5e7ac1594c5e" display="https://www.forbes.com/profile/marissa-mayer/ - 5e7ac1594c5e" xr:uid="{00000000-0004-0000-07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3"/>
  <sheetViews>
    <sheetView workbookViewId="0">
      <selection activeCell="M2" sqref="M2"/>
    </sheetView>
  </sheetViews>
  <sheetFormatPr defaultColWidth="8.85546875" defaultRowHeight="15"/>
  <cols>
    <col min="1" max="1" width="24" style="12" customWidth="1"/>
    <col min="2" max="2" width="41.140625" style="12" customWidth="1"/>
    <col min="3" max="4" width="8.85546875" style="12"/>
    <col min="5" max="5" width="12.7109375" style="12" customWidth="1"/>
    <col min="6" max="6" width="12.42578125" style="12" customWidth="1"/>
    <col min="7" max="16384" width="8.85546875" style="12"/>
  </cols>
  <sheetData>
    <row r="1" spans="1:13">
      <c r="A1" s="12" t="s">
        <v>30</v>
      </c>
      <c r="B1" s="12" t="s">
        <v>31</v>
      </c>
      <c r="C1" s="12" t="s">
        <v>24</v>
      </c>
      <c r="D1" s="12" t="s">
        <v>32</v>
      </c>
      <c r="E1" s="12" t="s">
        <v>33</v>
      </c>
      <c r="F1" s="12" t="s">
        <v>34</v>
      </c>
      <c r="G1" s="12" t="s">
        <v>41</v>
      </c>
      <c r="H1" s="12" t="s">
        <v>17</v>
      </c>
      <c r="I1" s="15" t="s">
        <v>19</v>
      </c>
      <c r="J1" s="12" t="s">
        <v>18</v>
      </c>
      <c r="K1" s="12" t="s">
        <v>26</v>
      </c>
      <c r="L1" s="12" t="s">
        <v>27</v>
      </c>
      <c r="M1" s="12" t="s">
        <v>42</v>
      </c>
    </row>
    <row r="2" spans="1:13" ht="15.75">
      <c r="A2" s="12" t="s">
        <v>59</v>
      </c>
      <c r="B2" s="12" t="s">
        <v>60</v>
      </c>
      <c r="C2" s="12" t="s">
        <v>45</v>
      </c>
      <c r="D2" s="12" t="s">
        <v>48</v>
      </c>
      <c r="E2" s="16">
        <v>44103</v>
      </c>
      <c r="F2" s="17">
        <v>1000</v>
      </c>
      <c r="G2" s="12" t="s">
        <v>16</v>
      </c>
      <c r="H2" s="12">
        <v>100</v>
      </c>
      <c r="I2" s="12">
        <v>0</v>
      </c>
      <c r="K2" s="18">
        <f>(+H2/(H2+I2))*100</f>
        <v>100</v>
      </c>
      <c r="L2" s="18">
        <f>(+I2/(H2+I2))*100</f>
        <v>0</v>
      </c>
    </row>
    <row r="3" spans="1:13" ht="15.75">
      <c r="A3" s="12" t="s">
        <v>59</v>
      </c>
      <c r="B3" s="12" t="s">
        <v>60</v>
      </c>
      <c r="C3" s="12" t="s">
        <v>45</v>
      </c>
      <c r="D3" s="12" t="s">
        <v>48</v>
      </c>
      <c r="E3" s="16">
        <v>43805</v>
      </c>
      <c r="F3" s="17">
        <v>1000</v>
      </c>
      <c r="G3" s="12" t="s">
        <v>16</v>
      </c>
      <c r="H3" s="12">
        <v>100</v>
      </c>
      <c r="I3" s="12">
        <v>0</v>
      </c>
      <c r="K3" s="18">
        <f t="shared" ref="K3:K8" si="0">(+H3/(H3+I3))*100</f>
        <v>100</v>
      </c>
      <c r="L3" s="18">
        <f t="shared" ref="L3:L8" si="1">(+I3/(H3+I3))*100</f>
        <v>0</v>
      </c>
    </row>
    <row r="4" spans="1:13" ht="15.75">
      <c r="A4" s="12" t="s">
        <v>59</v>
      </c>
      <c r="B4" s="12" t="s">
        <v>61</v>
      </c>
      <c r="C4" s="12" t="s">
        <v>45</v>
      </c>
      <c r="D4" s="12" t="s">
        <v>62</v>
      </c>
      <c r="E4" s="16">
        <v>43712</v>
      </c>
      <c r="F4" s="17">
        <v>25000</v>
      </c>
      <c r="G4" s="12" t="s">
        <v>16</v>
      </c>
      <c r="H4" s="12">
        <v>100</v>
      </c>
      <c r="I4" s="12">
        <v>0</v>
      </c>
      <c r="K4" s="18">
        <f t="shared" si="0"/>
        <v>100</v>
      </c>
      <c r="L4" s="18">
        <f t="shared" si="1"/>
        <v>0</v>
      </c>
    </row>
    <row r="5" spans="1:13" ht="15.75">
      <c r="A5" s="12" t="s">
        <v>65</v>
      </c>
      <c r="B5" s="12" t="s">
        <v>66</v>
      </c>
      <c r="C5" s="12" t="s">
        <v>45</v>
      </c>
      <c r="D5" s="12" t="s">
        <v>48</v>
      </c>
      <c r="E5" s="16">
        <v>43608</v>
      </c>
      <c r="F5" s="17">
        <v>2800</v>
      </c>
      <c r="G5" s="12" t="s">
        <v>16</v>
      </c>
      <c r="H5" s="12">
        <v>100</v>
      </c>
      <c r="I5" s="12">
        <v>0</v>
      </c>
      <c r="K5" s="18">
        <f t="shared" si="0"/>
        <v>100</v>
      </c>
      <c r="L5" s="18">
        <f t="shared" si="1"/>
        <v>0</v>
      </c>
    </row>
    <row r="6" spans="1:13" ht="15.75">
      <c r="E6" s="16"/>
      <c r="F6" s="17">
        <f>SUM(F2:F5)</f>
        <v>29800</v>
      </c>
      <c r="K6" s="18"/>
      <c r="L6" s="18"/>
    </row>
    <row r="7" spans="1:13" ht="15.75">
      <c r="E7" s="16"/>
      <c r="F7" s="17"/>
      <c r="K7" s="18"/>
      <c r="L7" s="18"/>
    </row>
    <row r="8" spans="1:13" ht="15.75">
      <c r="A8" s="12" t="s">
        <v>59</v>
      </c>
      <c r="B8" s="12" t="s">
        <v>13</v>
      </c>
      <c r="C8" s="12" t="s">
        <v>45</v>
      </c>
      <c r="D8" s="12" t="s">
        <v>48</v>
      </c>
      <c r="E8" s="16">
        <v>43530</v>
      </c>
      <c r="F8" s="17">
        <v>2800</v>
      </c>
      <c r="G8" s="12" t="s">
        <v>15</v>
      </c>
      <c r="H8" s="12">
        <v>0</v>
      </c>
      <c r="I8" s="12">
        <v>100</v>
      </c>
      <c r="K8" s="18">
        <f t="shared" si="0"/>
        <v>0</v>
      </c>
      <c r="L8" s="18">
        <f t="shared" si="1"/>
        <v>100</v>
      </c>
    </row>
    <row r="9" spans="1:13" ht="15.75">
      <c r="E9" s="16"/>
      <c r="F9" s="17">
        <f>SUM(F8)</f>
        <v>2800</v>
      </c>
      <c r="K9" s="18"/>
      <c r="L9" s="18"/>
    </row>
    <row r="10" spans="1:13" ht="15.75">
      <c r="E10" s="16"/>
      <c r="F10" s="17"/>
      <c r="K10" s="18"/>
      <c r="L10" s="18"/>
    </row>
    <row r="11" spans="1:13" ht="15.75">
      <c r="A11" s="12" t="s">
        <v>59</v>
      </c>
      <c r="B11" s="12" t="s">
        <v>63</v>
      </c>
      <c r="C11" s="12" t="s">
        <v>45</v>
      </c>
      <c r="D11" s="12" t="s">
        <v>64</v>
      </c>
      <c r="E11" s="16">
        <v>43664</v>
      </c>
      <c r="F11" s="17">
        <v>2000</v>
      </c>
      <c r="G11" s="12" t="s">
        <v>14</v>
      </c>
      <c r="H11" s="12">
        <v>90500</v>
      </c>
      <c r="I11" s="12">
        <v>113500</v>
      </c>
      <c r="K11" s="18">
        <f>(+H11/(H11+I11))*100</f>
        <v>44.362745098039213</v>
      </c>
      <c r="L11" s="18">
        <f>(+I11/(H11+I11))*100</f>
        <v>55.637254901960787</v>
      </c>
    </row>
    <row r="12" spans="1:13" ht="15.75">
      <c r="E12" s="16"/>
      <c r="F12" s="17"/>
      <c r="K12" s="18"/>
      <c r="L12" s="18"/>
    </row>
    <row r="13" spans="1:13">
      <c r="A13" s="15" t="s">
        <v>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5"/>
  <sheetViews>
    <sheetView workbookViewId="0">
      <selection activeCell="F2" sqref="F2:F6"/>
    </sheetView>
  </sheetViews>
  <sheetFormatPr defaultRowHeight="15"/>
  <cols>
    <col min="2" max="2" width="22.5703125" customWidth="1"/>
    <col min="5" max="6" width="13.7109375" customWidth="1"/>
    <col min="7" max="7" width="11.710937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170</v>
      </c>
      <c r="B2" t="s">
        <v>171</v>
      </c>
      <c r="C2" t="s">
        <v>172</v>
      </c>
      <c r="E2" s="1">
        <v>44155</v>
      </c>
      <c r="F2" s="14">
        <v>10000</v>
      </c>
      <c r="G2" t="s">
        <v>16</v>
      </c>
      <c r="H2">
        <v>10000</v>
      </c>
      <c r="I2">
        <v>0</v>
      </c>
      <c r="K2" s="18">
        <f>(+H2/(H2+I2))*100</f>
        <v>100</v>
      </c>
      <c r="L2" s="18">
        <f>(+I2/(H2+I2))*100</f>
        <v>0</v>
      </c>
      <c r="M2" s="18"/>
    </row>
    <row r="3" spans="1:16" ht="15.75">
      <c r="A3" t="s">
        <v>173</v>
      </c>
      <c r="B3" t="s">
        <v>174</v>
      </c>
      <c r="C3" t="s">
        <v>172</v>
      </c>
      <c r="E3" s="1">
        <v>44070</v>
      </c>
      <c r="F3" s="14">
        <v>5600</v>
      </c>
      <c r="G3" t="s">
        <v>16</v>
      </c>
      <c r="H3">
        <v>5600</v>
      </c>
      <c r="I3">
        <v>0</v>
      </c>
      <c r="K3" s="18">
        <f>(+H3/(H3+I3))*100</f>
        <v>100</v>
      </c>
      <c r="L3" s="18">
        <f>(+I3/(H3+I3))*100</f>
        <v>0</v>
      </c>
    </row>
    <row r="4" spans="1:16">
      <c r="A4" t="s">
        <v>173</v>
      </c>
      <c r="B4" t="s">
        <v>174</v>
      </c>
      <c r="C4" t="s">
        <v>172</v>
      </c>
      <c r="E4" s="1">
        <v>44070</v>
      </c>
      <c r="F4" s="14">
        <v>2800</v>
      </c>
      <c r="G4" t="s">
        <v>16</v>
      </c>
    </row>
    <row r="5" spans="1:16">
      <c r="A5" t="s">
        <v>173</v>
      </c>
      <c r="B5" t="s">
        <v>174</v>
      </c>
      <c r="C5" t="s">
        <v>172</v>
      </c>
      <c r="E5" s="1">
        <v>44070</v>
      </c>
      <c r="F5" s="14">
        <v>-2800</v>
      </c>
      <c r="G5" t="s">
        <v>16</v>
      </c>
    </row>
    <row r="6" spans="1:16">
      <c r="F6" s="14">
        <f>SUM(F2:F5)</f>
        <v>15600</v>
      </c>
    </row>
    <row r="19" spans="1:1" ht="60">
      <c r="A19" s="34" t="s">
        <v>165</v>
      </c>
    </row>
    <row r="20" spans="1:1" ht="216">
      <c r="A20" s="34" t="s">
        <v>166</v>
      </c>
    </row>
    <row r="21" spans="1:1" ht="409.6">
      <c r="A21" s="23" t="s">
        <v>162</v>
      </c>
    </row>
    <row r="22" spans="1:1" ht="409.6">
      <c r="A22" s="23" t="s">
        <v>163</v>
      </c>
    </row>
    <row r="23" spans="1:1" ht="409.6">
      <c r="A23" s="23" t="s">
        <v>164</v>
      </c>
    </row>
    <row r="25" spans="1:1">
      <c r="A25" s="2" t="s">
        <v>164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2"/>
  <sheetViews>
    <sheetView topLeftCell="A2" workbookViewId="0">
      <selection activeCell="A3" sqref="A3"/>
    </sheetView>
  </sheetViews>
  <sheetFormatPr defaultRowHeight="15"/>
  <cols>
    <col min="1" max="1" width="18.7109375" customWidth="1"/>
    <col min="2" max="2" width="19" customWidth="1"/>
    <col min="5" max="5" width="16.28515625" customWidth="1"/>
    <col min="6" max="6" width="1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167</v>
      </c>
      <c r="B2" t="s">
        <v>168</v>
      </c>
      <c r="C2" t="s">
        <v>40</v>
      </c>
      <c r="D2" t="s">
        <v>169</v>
      </c>
      <c r="E2" s="1">
        <v>44189</v>
      </c>
      <c r="F2" s="14">
        <v>192.3</v>
      </c>
      <c r="G2" t="s">
        <v>14</v>
      </c>
      <c r="H2" s="35">
        <v>2447632</v>
      </c>
      <c r="I2" s="35">
        <v>2526582</v>
      </c>
      <c r="K2" s="18">
        <f>(+H2/(H2+I2))*100</f>
        <v>49.206407283643202</v>
      </c>
      <c r="L2" s="18">
        <f>(+I2/(H2+I2))*100</f>
        <v>50.793592716356798</v>
      </c>
    </row>
    <row r="3" spans="1:16" ht="15.75">
      <c r="A3" t="s">
        <v>167</v>
      </c>
      <c r="B3" t="s">
        <v>168</v>
      </c>
      <c r="C3" t="s">
        <v>40</v>
      </c>
      <c r="D3" t="s">
        <v>169</v>
      </c>
      <c r="E3" s="1">
        <v>44175</v>
      </c>
      <c r="F3" s="14">
        <v>192.3</v>
      </c>
      <c r="G3" t="s">
        <v>14</v>
      </c>
      <c r="H3" s="35">
        <v>2447632</v>
      </c>
      <c r="I3" s="35">
        <v>2526582</v>
      </c>
      <c r="K3" s="18">
        <f t="shared" ref="K3:K51" si="0">(+H3/(H3+I3))*100</f>
        <v>49.206407283643202</v>
      </c>
      <c r="L3" s="18">
        <f t="shared" ref="L3:L51" si="1">(+I3/(H3+I3))*100</f>
        <v>50.793592716356798</v>
      </c>
    </row>
    <row r="4" spans="1:16" ht="15.75">
      <c r="A4" t="s">
        <v>167</v>
      </c>
      <c r="B4" t="s">
        <v>168</v>
      </c>
      <c r="C4" t="s">
        <v>40</v>
      </c>
      <c r="D4" t="s">
        <v>169</v>
      </c>
      <c r="E4" s="1">
        <v>44160</v>
      </c>
      <c r="F4" s="14">
        <v>192.3</v>
      </c>
      <c r="G4" t="s">
        <v>14</v>
      </c>
      <c r="H4" s="35">
        <v>2447632</v>
      </c>
      <c r="I4" s="35">
        <v>2526582</v>
      </c>
      <c r="K4" s="18">
        <f t="shared" si="0"/>
        <v>49.206407283643202</v>
      </c>
      <c r="L4" s="18">
        <f t="shared" si="1"/>
        <v>50.793592716356798</v>
      </c>
    </row>
    <row r="5" spans="1:16" ht="15.75">
      <c r="A5" t="s">
        <v>167</v>
      </c>
      <c r="B5" t="s">
        <v>168</v>
      </c>
      <c r="C5" t="s">
        <v>40</v>
      </c>
      <c r="D5" t="s">
        <v>169</v>
      </c>
      <c r="E5" s="1">
        <v>44147</v>
      </c>
      <c r="F5" s="14">
        <v>192.3</v>
      </c>
      <c r="G5" t="s">
        <v>14</v>
      </c>
      <c r="H5" s="35">
        <v>2447632</v>
      </c>
      <c r="I5" s="35">
        <v>2526582</v>
      </c>
      <c r="K5" s="18">
        <f t="shared" si="0"/>
        <v>49.206407283643202</v>
      </c>
      <c r="L5" s="18">
        <f t="shared" si="1"/>
        <v>50.793592716356798</v>
      </c>
    </row>
    <row r="6" spans="1:16" ht="15.75">
      <c r="A6" t="s">
        <v>167</v>
      </c>
      <c r="B6" t="s">
        <v>168</v>
      </c>
      <c r="C6" t="s">
        <v>40</v>
      </c>
      <c r="D6" t="s">
        <v>169</v>
      </c>
      <c r="E6" s="1">
        <v>44133</v>
      </c>
      <c r="F6" s="14">
        <v>192.3</v>
      </c>
      <c r="G6" t="s">
        <v>14</v>
      </c>
      <c r="H6" s="35">
        <v>2447632</v>
      </c>
      <c r="I6" s="35">
        <v>2526582</v>
      </c>
      <c r="K6" s="18">
        <f t="shared" si="0"/>
        <v>49.206407283643202</v>
      </c>
      <c r="L6" s="18">
        <f t="shared" si="1"/>
        <v>50.793592716356798</v>
      </c>
    </row>
    <row r="7" spans="1:16" ht="15.75">
      <c r="A7" t="s">
        <v>167</v>
      </c>
      <c r="B7" t="s">
        <v>168</v>
      </c>
      <c r="C7" t="s">
        <v>40</v>
      </c>
      <c r="D7" t="s">
        <v>169</v>
      </c>
      <c r="E7" s="1">
        <v>44119</v>
      </c>
      <c r="F7" s="14">
        <v>192.3</v>
      </c>
      <c r="G7" t="s">
        <v>14</v>
      </c>
      <c r="H7" s="35">
        <v>2447632</v>
      </c>
      <c r="I7" s="35">
        <v>2526582</v>
      </c>
      <c r="K7" s="18">
        <f t="shared" si="0"/>
        <v>49.206407283643202</v>
      </c>
      <c r="L7" s="18">
        <f t="shared" si="1"/>
        <v>50.793592716356798</v>
      </c>
    </row>
    <row r="8" spans="1:16" ht="15.75">
      <c r="A8" t="s">
        <v>167</v>
      </c>
      <c r="B8" t="s">
        <v>168</v>
      </c>
      <c r="C8" t="s">
        <v>40</v>
      </c>
      <c r="D8" t="s">
        <v>169</v>
      </c>
      <c r="E8" s="1">
        <v>44105</v>
      </c>
      <c r="F8" s="14">
        <v>192.3</v>
      </c>
      <c r="G8" t="s">
        <v>14</v>
      </c>
      <c r="H8" s="35">
        <v>2447632</v>
      </c>
      <c r="I8" s="35">
        <v>2526582</v>
      </c>
      <c r="K8" s="18">
        <f t="shared" si="0"/>
        <v>49.206407283643202</v>
      </c>
      <c r="L8" s="18">
        <f t="shared" si="1"/>
        <v>50.793592716356798</v>
      </c>
    </row>
    <row r="9" spans="1:16" ht="15.75">
      <c r="A9" t="s">
        <v>167</v>
      </c>
      <c r="B9" t="s">
        <v>168</v>
      </c>
      <c r="C9" t="s">
        <v>40</v>
      </c>
      <c r="D9" t="s">
        <v>169</v>
      </c>
      <c r="E9" s="1">
        <v>44091</v>
      </c>
      <c r="F9" s="14">
        <v>192.3</v>
      </c>
      <c r="G9" t="s">
        <v>14</v>
      </c>
      <c r="H9" s="35">
        <v>2447632</v>
      </c>
      <c r="I9" s="35">
        <v>2526582</v>
      </c>
      <c r="K9" s="18">
        <f t="shared" si="0"/>
        <v>49.206407283643202</v>
      </c>
      <c r="L9" s="18">
        <f t="shared" si="1"/>
        <v>50.793592716356798</v>
      </c>
    </row>
    <row r="10" spans="1:16" ht="15.75">
      <c r="A10" t="s">
        <v>167</v>
      </c>
      <c r="B10" t="s">
        <v>168</v>
      </c>
      <c r="C10" t="s">
        <v>40</v>
      </c>
      <c r="D10" t="s">
        <v>169</v>
      </c>
      <c r="E10" s="1">
        <v>44077</v>
      </c>
      <c r="F10" s="14">
        <v>192.3</v>
      </c>
      <c r="G10" t="s">
        <v>14</v>
      </c>
      <c r="H10" s="35">
        <v>2447632</v>
      </c>
      <c r="I10" s="35">
        <v>2526582</v>
      </c>
      <c r="K10" s="18">
        <f t="shared" si="0"/>
        <v>49.206407283643202</v>
      </c>
      <c r="L10" s="18">
        <f t="shared" si="1"/>
        <v>50.793592716356798</v>
      </c>
    </row>
    <row r="11" spans="1:16" ht="15.75">
      <c r="A11" t="s">
        <v>167</v>
      </c>
      <c r="B11" t="s">
        <v>168</v>
      </c>
      <c r="C11" t="s">
        <v>40</v>
      </c>
      <c r="D11" t="s">
        <v>169</v>
      </c>
      <c r="E11" s="1">
        <v>44063</v>
      </c>
      <c r="F11" s="14">
        <v>192.3</v>
      </c>
      <c r="G11" t="s">
        <v>14</v>
      </c>
      <c r="H11" s="35">
        <v>2447632</v>
      </c>
      <c r="I11" s="35">
        <v>2526582</v>
      </c>
      <c r="K11" s="18">
        <f t="shared" si="0"/>
        <v>49.206407283643202</v>
      </c>
      <c r="L11" s="18">
        <f t="shared" si="1"/>
        <v>50.793592716356798</v>
      </c>
    </row>
    <row r="12" spans="1:16" ht="15.75">
      <c r="A12" t="s">
        <v>167</v>
      </c>
      <c r="B12" t="s">
        <v>168</v>
      </c>
      <c r="C12" t="s">
        <v>40</v>
      </c>
      <c r="D12" t="s">
        <v>169</v>
      </c>
      <c r="E12" s="1">
        <v>44049</v>
      </c>
      <c r="F12" s="14">
        <v>192.3</v>
      </c>
      <c r="G12" t="s">
        <v>14</v>
      </c>
      <c r="H12" s="35">
        <v>2447632</v>
      </c>
      <c r="I12" s="35">
        <v>2526582</v>
      </c>
      <c r="K12" s="18">
        <f t="shared" si="0"/>
        <v>49.206407283643202</v>
      </c>
      <c r="L12" s="18">
        <f t="shared" si="1"/>
        <v>50.793592716356798</v>
      </c>
    </row>
    <row r="13" spans="1:16" ht="15.75">
      <c r="A13" t="s">
        <v>167</v>
      </c>
      <c r="B13" t="s">
        <v>168</v>
      </c>
      <c r="C13" t="s">
        <v>40</v>
      </c>
      <c r="D13" t="s">
        <v>169</v>
      </c>
      <c r="E13" s="1">
        <v>44035</v>
      </c>
      <c r="F13" s="14">
        <v>192.3</v>
      </c>
      <c r="G13" t="s">
        <v>14</v>
      </c>
      <c r="H13" s="35">
        <v>2447632</v>
      </c>
      <c r="I13" s="35">
        <v>2526582</v>
      </c>
      <c r="K13" s="18">
        <f t="shared" si="0"/>
        <v>49.206407283643202</v>
      </c>
      <c r="L13" s="18">
        <f t="shared" si="1"/>
        <v>50.793592716356798</v>
      </c>
    </row>
    <row r="14" spans="1:16" ht="15.75">
      <c r="A14" t="s">
        <v>167</v>
      </c>
      <c r="B14" t="s">
        <v>168</v>
      </c>
      <c r="C14" t="s">
        <v>40</v>
      </c>
      <c r="D14" t="s">
        <v>169</v>
      </c>
      <c r="E14" s="1">
        <v>44021</v>
      </c>
      <c r="F14" s="14">
        <v>192.3</v>
      </c>
      <c r="G14" t="s">
        <v>14</v>
      </c>
      <c r="H14" s="35">
        <v>2447632</v>
      </c>
      <c r="I14" s="35">
        <v>2526582</v>
      </c>
      <c r="K14" s="18">
        <f t="shared" si="0"/>
        <v>49.206407283643202</v>
      </c>
      <c r="L14" s="18">
        <f t="shared" si="1"/>
        <v>50.793592716356798</v>
      </c>
    </row>
    <row r="15" spans="1:16" ht="15.75">
      <c r="A15" t="s">
        <v>167</v>
      </c>
      <c r="B15" t="s">
        <v>168</v>
      </c>
      <c r="C15" t="s">
        <v>40</v>
      </c>
      <c r="D15" t="s">
        <v>169</v>
      </c>
      <c r="E15" s="1">
        <v>44007</v>
      </c>
      <c r="F15" s="14">
        <v>192.3</v>
      </c>
      <c r="G15" t="s">
        <v>14</v>
      </c>
      <c r="H15" s="35">
        <v>2447632</v>
      </c>
      <c r="I15" s="35">
        <v>2526582</v>
      </c>
      <c r="K15" s="18">
        <f t="shared" si="0"/>
        <v>49.206407283643202</v>
      </c>
      <c r="L15" s="18">
        <f t="shared" si="1"/>
        <v>50.793592716356798</v>
      </c>
    </row>
    <row r="16" spans="1:16" ht="15.75">
      <c r="A16" t="s">
        <v>167</v>
      </c>
      <c r="B16" t="s">
        <v>168</v>
      </c>
      <c r="C16" t="s">
        <v>40</v>
      </c>
      <c r="D16" t="s">
        <v>169</v>
      </c>
      <c r="E16" s="1">
        <v>43993</v>
      </c>
      <c r="F16" s="14">
        <v>192.3</v>
      </c>
      <c r="G16" t="s">
        <v>14</v>
      </c>
      <c r="H16" s="35">
        <v>2447632</v>
      </c>
      <c r="I16" s="35">
        <v>2526582</v>
      </c>
      <c r="K16" s="18">
        <f t="shared" si="0"/>
        <v>49.206407283643202</v>
      </c>
      <c r="L16" s="18">
        <f t="shared" si="1"/>
        <v>50.793592716356798</v>
      </c>
    </row>
    <row r="17" spans="1:12" ht="15.75">
      <c r="A17" t="s">
        <v>167</v>
      </c>
      <c r="B17" t="s">
        <v>168</v>
      </c>
      <c r="C17" t="s">
        <v>40</v>
      </c>
      <c r="D17" t="s">
        <v>169</v>
      </c>
      <c r="E17" s="1">
        <v>43979</v>
      </c>
      <c r="F17" s="14">
        <v>192.3</v>
      </c>
      <c r="G17" t="s">
        <v>14</v>
      </c>
      <c r="H17" s="35">
        <v>2447632</v>
      </c>
      <c r="I17" s="35">
        <v>2526582</v>
      </c>
      <c r="K17" s="18">
        <f t="shared" si="0"/>
        <v>49.206407283643202</v>
      </c>
      <c r="L17" s="18">
        <f t="shared" si="1"/>
        <v>50.793592716356798</v>
      </c>
    </row>
    <row r="18" spans="1:12" ht="15.75">
      <c r="A18" t="s">
        <v>167</v>
      </c>
      <c r="B18" t="s">
        <v>168</v>
      </c>
      <c r="C18" t="s">
        <v>40</v>
      </c>
      <c r="D18" t="s">
        <v>169</v>
      </c>
      <c r="E18" s="1">
        <v>43965</v>
      </c>
      <c r="F18" s="14">
        <v>192.3</v>
      </c>
      <c r="G18" t="s">
        <v>14</v>
      </c>
      <c r="H18" s="35">
        <v>2447632</v>
      </c>
      <c r="I18" s="35">
        <v>2526582</v>
      </c>
      <c r="K18" s="18">
        <f t="shared" si="0"/>
        <v>49.206407283643202</v>
      </c>
      <c r="L18" s="18">
        <f t="shared" si="1"/>
        <v>50.793592716356798</v>
      </c>
    </row>
    <row r="19" spans="1:12" ht="15.75">
      <c r="A19" t="s">
        <v>167</v>
      </c>
      <c r="B19" t="s">
        <v>168</v>
      </c>
      <c r="C19" t="s">
        <v>40</v>
      </c>
      <c r="D19" t="s">
        <v>169</v>
      </c>
      <c r="E19" s="1">
        <v>43951</v>
      </c>
      <c r="F19" s="14">
        <v>192.3</v>
      </c>
      <c r="G19" t="s">
        <v>14</v>
      </c>
      <c r="H19" s="35">
        <v>2447632</v>
      </c>
      <c r="I19" s="35">
        <v>2526582</v>
      </c>
      <c r="K19" s="18">
        <f t="shared" si="0"/>
        <v>49.206407283643202</v>
      </c>
      <c r="L19" s="18">
        <f t="shared" si="1"/>
        <v>50.793592716356798</v>
      </c>
    </row>
    <row r="20" spans="1:12" ht="15.75">
      <c r="A20" t="s">
        <v>167</v>
      </c>
      <c r="B20" t="s">
        <v>168</v>
      </c>
      <c r="C20" t="s">
        <v>40</v>
      </c>
      <c r="D20" t="s">
        <v>169</v>
      </c>
      <c r="E20" s="1">
        <v>43937</v>
      </c>
      <c r="F20" s="14">
        <v>192.3</v>
      </c>
      <c r="G20" t="s">
        <v>14</v>
      </c>
      <c r="H20" s="35">
        <v>2447632</v>
      </c>
      <c r="I20" s="35">
        <v>2526582</v>
      </c>
      <c r="K20" s="18">
        <f t="shared" si="0"/>
        <v>49.206407283643202</v>
      </c>
      <c r="L20" s="18">
        <f t="shared" si="1"/>
        <v>50.793592716356798</v>
      </c>
    </row>
    <row r="21" spans="1:12" ht="15.75">
      <c r="A21" t="s">
        <v>167</v>
      </c>
      <c r="B21" t="s">
        <v>168</v>
      </c>
      <c r="C21" t="s">
        <v>40</v>
      </c>
      <c r="D21" t="s">
        <v>169</v>
      </c>
      <c r="E21" s="1">
        <v>43923</v>
      </c>
      <c r="F21" s="14">
        <v>192.3</v>
      </c>
      <c r="G21" t="s">
        <v>14</v>
      </c>
      <c r="H21" s="35">
        <v>2447632</v>
      </c>
      <c r="I21" s="35">
        <v>2526582</v>
      </c>
      <c r="K21" s="18">
        <f t="shared" si="0"/>
        <v>49.206407283643202</v>
      </c>
      <c r="L21" s="18">
        <f t="shared" si="1"/>
        <v>50.793592716356798</v>
      </c>
    </row>
    <row r="22" spans="1:12" ht="15.75">
      <c r="A22" s="23" t="s">
        <v>167</v>
      </c>
      <c r="B22" t="s">
        <v>168</v>
      </c>
      <c r="C22" t="s">
        <v>40</v>
      </c>
      <c r="D22" t="s">
        <v>169</v>
      </c>
      <c r="E22" s="1">
        <v>43909</v>
      </c>
      <c r="F22" s="14">
        <v>192.3</v>
      </c>
      <c r="G22" t="s">
        <v>14</v>
      </c>
      <c r="H22" s="35">
        <v>2447632</v>
      </c>
      <c r="I22" s="35">
        <v>2526582</v>
      </c>
      <c r="K22" s="18">
        <f t="shared" si="0"/>
        <v>49.206407283643202</v>
      </c>
      <c r="L22" s="18">
        <f t="shared" si="1"/>
        <v>50.793592716356798</v>
      </c>
    </row>
    <row r="23" spans="1:12" ht="15.75">
      <c r="A23" s="23" t="s">
        <v>167</v>
      </c>
      <c r="B23" t="s">
        <v>168</v>
      </c>
      <c r="C23" t="s">
        <v>40</v>
      </c>
      <c r="D23" t="s">
        <v>169</v>
      </c>
      <c r="E23" s="1">
        <v>43895</v>
      </c>
      <c r="F23" s="14">
        <v>192.3</v>
      </c>
      <c r="G23" t="s">
        <v>14</v>
      </c>
      <c r="H23" s="35">
        <v>2447632</v>
      </c>
      <c r="I23" s="35">
        <v>2526582</v>
      </c>
      <c r="K23" s="18">
        <f t="shared" si="0"/>
        <v>49.206407283643202</v>
      </c>
      <c r="L23" s="18">
        <f t="shared" si="1"/>
        <v>50.793592716356798</v>
      </c>
    </row>
    <row r="24" spans="1:12" ht="15.75">
      <c r="A24" s="23" t="s">
        <v>167</v>
      </c>
      <c r="B24" t="s">
        <v>168</v>
      </c>
      <c r="C24" t="s">
        <v>40</v>
      </c>
      <c r="D24" t="s">
        <v>169</v>
      </c>
      <c r="E24" s="1">
        <v>43881</v>
      </c>
      <c r="F24" s="14">
        <v>192.3</v>
      </c>
      <c r="G24" t="s">
        <v>14</v>
      </c>
      <c r="H24" s="35">
        <v>2447632</v>
      </c>
      <c r="I24" s="35">
        <v>2526582</v>
      </c>
      <c r="K24" s="18">
        <f t="shared" si="0"/>
        <v>49.206407283643202</v>
      </c>
      <c r="L24" s="18">
        <f t="shared" si="1"/>
        <v>50.793592716356798</v>
      </c>
    </row>
    <row r="25" spans="1:12" ht="15.75">
      <c r="A25" s="23" t="s">
        <v>167</v>
      </c>
      <c r="B25" t="s">
        <v>168</v>
      </c>
      <c r="C25" t="s">
        <v>40</v>
      </c>
      <c r="D25" t="s">
        <v>169</v>
      </c>
      <c r="E25" s="1">
        <v>43867</v>
      </c>
      <c r="F25" s="14">
        <v>192.3</v>
      </c>
      <c r="G25" t="s">
        <v>14</v>
      </c>
      <c r="H25" s="35">
        <v>2447632</v>
      </c>
      <c r="I25" s="35">
        <v>2526582</v>
      </c>
      <c r="K25" s="18">
        <f t="shared" si="0"/>
        <v>49.206407283643202</v>
      </c>
      <c r="L25" s="18">
        <f t="shared" si="1"/>
        <v>50.793592716356798</v>
      </c>
    </row>
    <row r="26" spans="1:12" ht="15.75">
      <c r="A26" s="23" t="s">
        <v>167</v>
      </c>
      <c r="B26" t="s">
        <v>168</v>
      </c>
      <c r="C26" t="s">
        <v>40</v>
      </c>
      <c r="D26" t="s">
        <v>169</v>
      </c>
      <c r="E26" s="1">
        <v>43853</v>
      </c>
      <c r="F26" s="14">
        <v>192.3</v>
      </c>
      <c r="G26" t="s">
        <v>14</v>
      </c>
      <c r="H26" s="35">
        <v>2447632</v>
      </c>
      <c r="I26" s="35">
        <v>2526582</v>
      </c>
      <c r="K26" s="18">
        <f t="shared" si="0"/>
        <v>49.206407283643202</v>
      </c>
      <c r="L26" s="18">
        <f t="shared" si="1"/>
        <v>50.793592716356798</v>
      </c>
    </row>
    <row r="27" spans="1:12" ht="15.75">
      <c r="A27" t="s">
        <v>167</v>
      </c>
      <c r="B27" t="s">
        <v>168</v>
      </c>
      <c r="C27" t="s">
        <v>40</v>
      </c>
      <c r="D27" t="s">
        <v>169</v>
      </c>
      <c r="E27" s="1">
        <v>43825</v>
      </c>
      <c r="F27" s="14">
        <v>192.3</v>
      </c>
      <c r="G27" t="s">
        <v>14</v>
      </c>
      <c r="H27" s="35">
        <v>2447632</v>
      </c>
      <c r="I27" s="35">
        <v>2526582</v>
      </c>
      <c r="K27" s="18">
        <f t="shared" si="0"/>
        <v>49.206407283643202</v>
      </c>
      <c r="L27" s="18">
        <f t="shared" si="1"/>
        <v>50.793592716356798</v>
      </c>
    </row>
    <row r="28" spans="1:12" ht="15.75">
      <c r="A28" t="s">
        <v>167</v>
      </c>
      <c r="B28" t="s">
        <v>168</v>
      </c>
      <c r="C28" t="s">
        <v>40</v>
      </c>
      <c r="D28" t="s">
        <v>169</v>
      </c>
      <c r="E28" s="1">
        <v>43811</v>
      </c>
      <c r="F28" s="14">
        <v>192.3</v>
      </c>
      <c r="G28" t="s">
        <v>14</v>
      </c>
      <c r="H28" s="35">
        <v>2447632</v>
      </c>
      <c r="I28" s="35">
        <v>2526582</v>
      </c>
      <c r="K28" s="18">
        <f t="shared" si="0"/>
        <v>49.206407283643202</v>
      </c>
      <c r="L28" s="18">
        <f t="shared" si="1"/>
        <v>50.793592716356798</v>
      </c>
    </row>
    <row r="29" spans="1:12" ht="15.75">
      <c r="A29" s="23" t="s">
        <v>167</v>
      </c>
      <c r="B29" t="s">
        <v>168</v>
      </c>
      <c r="C29" t="s">
        <v>40</v>
      </c>
      <c r="D29" t="s">
        <v>169</v>
      </c>
      <c r="E29" s="1">
        <v>43796</v>
      </c>
      <c r="F29" s="14">
        <v>192.3</v>
      </c>
      <c r="G29" t="s">
        <v>14</v>
      </c>
      <c r="H29" s="35">
        <v>2447632</v>
      </c>
      <c r="I29" s="35">
        <v>2526582</v>
      </c>
      <c r="K29" s="18">
        <f t="shared" si="0"/>
        <v>49.206407283643202</v>
      </c>
      <c r="L29" s="18">
        <f t="shared" si="1"/>
        <v>50.793592716356798</v>
      </c>
    </row>
    <row r="30" spans="1:12" ht="15.75">
      <c r="A30" s="23" t="s">
        <v>167</v>
      </c>
      <c r="B30" t="s">
        <v>168</v>
      </c>
      <c r="C30" t="s">
        <v>40</v>
      </c>
      <c r="D30" t="s">
        <v>169</v>
      </c>
      <c r="E30" s="1">
        <v>43783</v>
      </c>
      <c r="F30" s="14">
        <v>192.3</v>
      </c>
      <c r="G30" t="s">
        <v>14</v>
      </c>
      <c r="H30" s="35">
        <v>2447632</v>
      </c>
      <c r="I30" s="35">
        <v>2526582</v>
      </c>
      <c r="K30" s="18">
        <f t="shared" si="0"/>
        <v>49.206407283643202</v>
      </c>
      <c r="L30" s="18">
        <f t="shared" si="1"/>
        <v>50.793592716356798</v>
      </c>
    </row>
    <row r="31" spans="1:12" ht="15.75">
      <c r="A31" s="24" t="s">
        <v>167</v>
      </c>
      <c r="B31" t="s">
        <v>168</v>
      </c>
      <c r="C31" t="s">
        <v>40</v>
      </c>
      <c r="D31" t="s">
        <v>169</v>
      </c>
      <c r="E31" s="1">
        <v>43769</v>
      </c>
      <c r="F31" s="14">
        <v>192.3</v>
      </c>
      <c r="G31" t="s">
        <v>14</v>
      </c>
      <c r="H31" s="35">
        <v>2447632</v>
      </c>
      <c r="I31" s="35">
        <v>2526582</v>
      </c>
      <c r="K31" s="18">
        <f t="shared" si="0"/>
        <v>49.206407283643202</v>
      </c>
      <c r="L31" s="18">
        <f t="shared" si="1"/>
        <v>50.793592716356798</v>
      </c>
    </row>
    <row r="32" spans="1:12" ht="15.75">
      <c r="A32" s="23" t="s">
        <v>167</v>
      </c>
      <c r="B32" t="s">
        <v>168</v>
      </c>
      <c r="C32" t="s">
        <v>40</v>
      </c>
      <c r="D32" t="s">
        <v>169</v>
      </c>
      <c r="E32" s="1">
        <v>43755</v>
      </c>
      <c r="F32" s="14">
        <v>192.3</v>
      </c>
      <c r="G32" t="s">
        <v>14</v>
      </c>
      <c r="H32" s="35">
        <v>2447632</v>
      </c>
      <c r="I32" s="35">
        <v>2526582</v>
      </c>
      <c r="K32" s="18">
        <f t="shared" si="0"/>
        <v>49.206407283643202</v>
      </c>
      <c r="L32" s="18">
        <f t="shared" si="1"/>
        <v>50.793592716356798</v>
      </c>
    </row>
    <row r="33" spans="1:12" ht="15.75">
      <c r="A33" s="20" t="s">
        <v>167</v>
      </c>
      <c r="B33" t="s">
        <v>168</v>
      </c>
      <c r="C33" t="s">
        <v>40</v>
      </c>
      <c r="D33" t="s">
        <v>169</v>
      </c>
      <c r="E33" s="1">
        <v>43741</v>
      </c>
      <c r="F33" s="14">
        <v>192.3</v>
      </c>
      <c r="G33" t="s">
        <v>14</v>
      </c>
      <c r="H33" s="35">
        <v>2447632</v>
      </c>
      <c r="I33" s="35">
        <v>2526582</v>
      </c>
      <c r="K33" s="18">
        <f t="shared" si="0"/>
        <v>49.206407283643202</v>
      </c>
      <c r="L33" s="18">
        <f t="shared" si="1"/>
        <v>50.793592716356798</v>
      </c>
    </row>
    <row r="34" spans="1:12" ht="15.75">
      <c r="A34" t="s">
        <v>167</v>
      </c>
      <c r="B34" t="s">
        <v>168</v>
      </c>
      <c r="C34" t="s">
        <v>40</v>
      </c>
      <c r="D34" t="s">
        <v>169</v>
      </c>
      <c r="E34" s="1">
        <v>43727</v>
      </c>
      <c r="F34" s="14">
        <v>192.3</v>
      </c>
      <c r="G34" t="s">
        <v>14</v>
      </c>
      <c r="H34" s="35">
        <v>2447632</v>
      </c>
      <c r="I34" s="35">
        <v>2526582</v>
      </c>
      <c r="K34" s="18">
        <f t="shared" si="0"/>
        <v>49.206407283643202</v>
      </c>
      <c r="L34" s="18">
        <f t="shared" si="1"/>
        <v>50.793592716356798</v>
      </c>
    </row>
    <row r="35" spans="1:12" ht="15.75">
      <c r="A35" t="s">
        <v>167</v>
      </c>
      <c r="B35" t="s">
        <v>168</v>
      </c>
      <c r="C35" t="s">
        <v>40</v>
      </c>
      <c r="D35" t="s">
        <v>169</v>
      </c>
      <c r="E35" s="1">
        <v>43713</v>
      </c>
      <c r="F35" s="14">
        <v>192.3</v>
      </c>
      <c r="G35" t="s">
        <v>14</v>
      </c>
      <c r="H35" s="35">
        <v>2447632</v>
      </c>
      <c r="I35" s="35">
        <v>2526582</v>
      </c>
      <c r="K35" s="18">
        <f t="shared" si="0"/>
        <v>49.206407283643202</v>
      </c>
      <c r="L35" s="18">
        <f t="shared" si="1"/>
        <v>50.793592716356798</v>
      </c>
    </row>
    <row r="36" spans="1:12" ht="15.75">
      <c r="A36" t="s">
        <v>167</v>
      </c>
      <c r="B36" t="s">
        <v>168</v>
      </c>
      <c r="C36" t="s">
        <v>40</v>
      </c>
      <c r="D36" t="s">
        <v>169</v>
      </c>
      <c r="E36" s="1">
        <v>43699</v>
      </c>
      <c r="F36" s="14">
        <v>192.3</v>
      </c>
      <c r="G36" t="s">
        <v>14</v>
      </c>
      <c r="H36" s="35">
        <v>2447632</v>
      </c>
      <c r="I36" s="35">
        <v>2526582</v>
      </c>
      <c r="K36" s="18">
        <f t="shared" si="0"/>
        <v>49.206407283643202</v>
      </c>
      <c r="L36" s="18">
        <f t="shared" si="1"/>
        <v>50.793592716356798</v>
      </c>
    </row>
    <row r="37" spans="1:12" ht="15.75">
      <c r="A37" t="s">
        <v>167</v>
      </c>
      <c r="B37" t="s">
        <v>168</v>
      </c>
      <c r="C37" t="s">
        <v>40</v>
      </c>
      <c r="D37" t="s">
        <v>169</v>
      </c>
      <c r="E37" s="1">
        <v>43685</v>
      </c>
      <c r="F37" s="14">
        <v>192.3</v>
      </c>
      <c r="G37" t="s">
        <v>14</v>
      </c>
      <c r="H37" s="35">
        <v>2447632</v>
      </c>
      <c r="I37" s="35">
        <v>2526582</v>
      </c>
      <c r="K37" s="18">
        <f t="shared" si="0"/>
        <v>49.206407283643202</v>
      </c>
      <c r="L37" s="18">
        <f t="shared" si="1"/>
        <v>50.793592716356798</v>
      </c>
    </row>
    <row r="38" spans="1:12" ht="15.75">
      <c r="A38" t="s">
        <v>167</v>
      </c>
      <c r="B38" t="s">
        <v>168</v>
      </c>
      <c r="C38" t="s">
        <v>40</v>
      </c>
      <c r="D38" t="s">
        <v>169</v>
      </c>
      <c r="E38" s="1">
        <v>43671</v>
      </c>
      <c r="F38" s="14">
        <v>192.3</v>
      </c>
      <c r="G38" t="s">
        <v>14</v>
      </c>
      <c r="H38" s="35">
        <v>2447632</v>
      </c>
      <c r="I38" s="35">
        <v>2526582</v>
      </c>
      <c r="K38" s="18">
        <f t="shared" si="0"/>
        <v>49.206407283643202</v>
      </c>
      <c r="L38" s="18">
        <f t="shared" si="1"/>
        <v>50.793592716356798</v>
      </c>
    </row>
    <row r="39" spans="1:12" ht="15.75">
      <c r="A39" t="s">
        <v>167</v>
      </c>
      <c r="B39" t="s">
        <v>168</v>
      </c>
      <c r="C39" t="s">
        <v>40</v>
      </c>
      <c r="D39" t="s">
        <v>169</v>
      </c>
      <c r="E39" s="1">
        <v>43657</v>
      </c>
      <c r="F39" s="14">
        <v>192.3</v>
      </c>
      <c r="G39" t="s">
        <v>14</v>
      </c>
      <c r="H39" s="35">
        <v>2447632</v>
      </c>
      <c r="I39" s="35">
        <v>2526582</v>
      </c>
      <c r="K39" s="18">
        <f t="shared" si="0"/>
        <v>49.206407283643202</v>
      </c>
      <c r="L39" s="18">
        <f t="shared" si="1"/>
        <v>50.793592716356798</v>
      </c>
    </row>
    <row r="40" spans="1:12" ht="15.75">
      <c r="A40" t="s">
        <v>167</v>
      </c>
      <c r="B40" t="s">
        <v>168</v>
      </c>
      <c r="C40" t="s">
        <v>40</v>
      </c>
      <c r="D40" t="s">
        <v>169</v>
      </c>
      <c r="E40" s="1">
        <v>43643</v>
      </c>
      <c r="F40" s="14">
        <v>192.3</v>
      </c>
      <c r="G40" t="s">
        <v>14</v>
      </c>
      <c r="H40" s="35">
        <v>2447632</v>
      </c>
      <c r="I40" s="35">
        <v>2526582</v>
      </c>
      <c r="K40" s="18">
        <f t="shared" si="0"/>
        <v>49.206407283643202</v>
      </c>
      <c r="L40" s="18">
        <f t="shared" si="1"/>
        <v>50.793592716356798</v>
      </c>
    </row>
    <row r="41" spans="1:12" ht="15.75">
      <c r="A41" t="s">
        <v>167</v>
      </c>
      <c r="B41" t="s">
        <v>168</v>
      </c>
      <c r="C41" t="s">
        <v>40</v>
      </c>
      <c r="D41" t="s">
        <v>169</v>
      </c>
      <c r="E41" s="1">
        <v>43629</v>
      </c>
      <c r="F41" s="14">
        <v>192.3</v>
      </c>
      <c r="G41" t="s">
        <v>14</v>
      </c>
      <c r="H41" s="35">
        <v>2447632</v>
      </c>
      <c r="I41" s="35">
        <v>2526582</v>
      </c>
      <c r="K41" s="18">
        <f t="shared" si="0"/>
        <v>49.206407283643202</v>
      </c>
      <c r="L41" s="18">
        <f t="shared" si="1"/>
        <v>50.793592716356798</v>
      </c>
    </row>
    <row r="42" spans="1:12" ht="15.75">
      <c r="A42" t="s">
        <v>167</v>
      </c>
      <c r="B42" t="s">
        <v>168</v>
      </c>
      <c r="C42" t="s">
        <v>40</v>
      </c>
      <c r="D42" t="s">
        <v>169</v>
      </c>
      <c r="E42" s="1">
        <v>43615</v>
      </c>
      <c r="F42" s="14">
        <v>192.3</v>
      </c>
      <c r="G42" t="s">
        <v>14</v>
      </c>
      <c r="H42" s="35">
        <v>2447632</v>
      </c>
      <c r="I42" s="35">
        <v>2526582</v>
      </c>
      <c r="K42" s="18">
        <f t="shared" si="0"/>
        <v>49.206407283643202</v>
      </c>
      <c r="L42" s="18">
        <f t="shared" si="1"/>
        <v>50.793592716356798</v>
      </c>
    </row>
    <row r="43" spans="1:12" ht="15.75">
      <c r="A43" t="s">
        <v>167</v>
      </c>
      <c r="B43" t="s">
        <v>168</v>
      </c>
      <c r="C43" t="s">
        <v>40</v>
      </c>
      <c r="D43" t="s">
        <v>169</v>
      </c>
      <c r="E43" s="1">
        <v>43601</v>
      </c>
      <c r="F43" s="14">
        <v>192.3</v>
      </c>
      <c r="G43" t="s">
        <v>14</v>
      </c>
      <c r="H43" s="35">
        <v>2447632</v>
      </c>
      <c r="I43" s="35">
        <v>2526582</v>
      </c>
      <c r="K43" s="18">
        <f t="shared" si="0"/>
        <v>49.206407283643202</v>
      </c>
      <c r="L43" s="18">
        <f t="shared" si="1"/>
        <v>50.793592716356798</v>
      </c>
    </row>
    <row r="44" spans="1:12" ht="15.75">
      <c r="A44" t="s">
        <v>167</v>
      </c>
      <c r="B44" t="s">
        <v>168</v>
      </c>
      <c r="C44" t="s">
        <v>40</v>
      </c>
      <c r="D44" t="s">
        <v>169</v>
      </c>
      <c r="E44" s="1">
        <v>43587</v>
      </c>
      <c r="F44" s="14">
        <v>192.3</v>
      </c>
      <c r="G44" t="s">
        <v>14</v>
      </c>
      <c r="H44" s="35">
        <v>2447632</v>
      </c>
      <c r="I44" s="35">
        <v>2526582</v>
      </c>
      <c r="K44" s="18">
        <f t="shared" si="0"/>
        <v>49.206407283643202</v>
      </c>
      <c r="L44" s="18">
        <f t="shared" si="1"/>
        <v>50.793592716356798</v>
      </c>
    </row>
    <row r="45" spans="1:12" ht="15.75">
      <c r="A45" t="s">
        <v>167</v>
      </c>
      <c r="B45" t="s">
        <v>168</v>
      </c>
      <c r="C45" t="s">
        <v>40</v>
      </c>
      <c r="D45" t="s">
        <v>169</v>
      </c>
      <c r="E45" s="1">
        <v>43573</v>
      </c>
      <c r="F45" s="14">
        <v>192.3</v>
      </c>
      <c r="G45" t="s">
        <v>14</v>
      </c>
      <c r="H45" s="35">
        <v>2447632</v>
      </c>
      <c r="I45" s="35">
        <v>2526582</v>
      </c>
      <c r="K45" s="18">
        <f t="shared" si="0"/>
        <v>49.206407283643202</v>
      </c>
      <c r="L45" s="18">
        <f t="shared" si="1"/>
        <v>50.793592716356798</v>
      </c>
    </row>
    <row r="46" spans="1:12" ht="15.75">
      <c r="A46" t="s">
        <v>167</v>
      </c>
      <c r="B46" t="s">
        <v>168</v>
      </c>
      <c r="C46" t="s">
        <v>40</v>
      </c>
      <c r="D46" t="s">
        <v>169</v>
      </c>
      <c r="E46" s="1">
        <v>43559</v>
      </c>
      <c r="F46" s="14">
        <v>192.3</v>
      </c>
      <c r="G46" t="s">
        <v>14</v>
      </c>
      <c r="H46" s="35">
        <v>2447632</v>
      </c>
      <c r="I46" s="35">
        <v>2526582</v>
      </c>
      <c r="K46" s="18">
        <f t="shared" si="0"/>
        <v>49.206407283643202</v>
      </c>
      <c r="L46" s="18">
        <f t="shared" si="1"/>
        <v>50.793592716356798</v>
      </c>
    </row>
    <row r="47" spans="1:12" ht="15.75">
      <c r="A47" t="s">
        <v>167</v>
      </c>
      <c r="B47" t="s">
        <v>168</v>
      </c>
      <c r="C47" t="s">
        <v>40</v>
      </c>
      <c r="D47" t="s">
        <v>169</v>
      </c>
      <c r="E47" s="1">
        <v>43545</v>
      </c>
      <c r="F47" s="14">
        <v>192.3</v>
      </c>
      <c r="G47" t="s">
        <v>14</v>
      </c>
      <c r="H47" s="35">
        <v>2447632</v>
      </c>
      <c r="I47" s="35">
        <v>2526582</v>
      </c>
      <c r="K47" s="18">
        <f t="shared" si="0"/>
        <v>49.206407283643202</v>
      </c>
      <c r="L47" s="18">
        <f t="shared" si="1"/>
        <v>50.793592716356798</v>
      </c>
    </row>
    <row r="48" spans="1:12" ht="15.75">
      <c r="A48" t="s">
        <v>167</v>
      </c>
      <c r="B48" t="s">
        <v>168</v>
      </c>
      <c r="C48" t="s">
        <v>40</v>
      </c>
      <c r="D48" t="s">
        <v>169</v>
      </c>
      <c r="E48" s="1">
        <v>43531</v>
      </c>
      <c r="F48" s="14">
        <v>192.3</v>
      </c>
      <c r="G48" t="s">
        <v>14</v>
      </c>
      <c r="H48" s="35">
        <v>2447632</v>
      </c>
      <c r="I48" s="35">
        <v>2526582</v>
      </c>
      <c r="K48" s="18">
        <f t="shared" si="0"/>
        <v>49.206407283643202</v>
      </c>
      <c r="L48" s="18">
        <f t="shared" si="1"/>
        <v>50.793592716356798</v>
      </c>
    </row>
    <row r="49" spans="1:12" ht="15.75">
      <c r="A49" t="s">
        <v>167</v>
      </c>
      <c r="B49" t="s">
        <v>168</v>
      </c>
      <c r="C49" t="s">
        <v>40</v>
      </c>
      <c r="D49" t="s">
        <v>169</v>
      </c>
      <c r="E49" s="1">
        <v>43517</v>
      </c>
      <c r="F49" s="14">
        <v>192.3</v>
      </c>
      <c r="G49" t="s">
        <v>14</v>
      </c>
      <c r="H49" s="35">
        <v>2447632</v>
      </c>
      <c r="I49" s="35">
        <v>2526582</v>
      </c>
      <c r="K49" s="18">
        <f t="shared" si="0"/>
        <v>49.206407283643202</v>
      </c>
      <c r="L49" s="18">
        <f t="shared" si="1"/>
        <v>50.793592716356798</v>
      </c>
    </row>
    <row r="50" spans="1:12" ht="15.75">
      <c r="A50" t="s">
        <v>167</v>
      </c>
      <c r="B50" t="s">
        <v>168</v>
      </c>
      <c r="C50" t="s">
        <v>40</v>
      </c>
      <c r="D50" t="s">
        <v>169</v>
      </c>
      <c r="E50" s="1">
        <v>43503</v>
      </c>
      <c r="F50" s="14">
        <v>192.3</v>
      </c>
      <c r="G50" t="s">
        <v>14</v>
      </c>
      <c r="H50" s="35">
        <v>2447632</v>
      </c>
      <c r="I50" s="35">
        <v>2526582</v>
      </c>
      <c r="K50" s="18">
        <f t="shared" si="0"/>
        <v>49.206407283643202</v>
      </c>
      <c r="L50" s="18">
        <f t="shared" si="1"/>
        <v>50.793592716356798</v>
      </c>
    </row>
    <row r="51" spans="1:12" ht="15.75">
      <c r="A51" t="s">
        <v>167</v>
      </c>
      <c r="B51" t="s">
        <v>168</v>
      </c>
      <c r="C51" t="s">
        <v>40</v>
      </c>
      <c r="D51" t="s">
        <v>169</v>
      </c>
      <c r="E51" s="1">
        <v>43489</v>
      </c>
      <c r="F51" s="14">
        <v>192.3</v>
      </c>
      <c r="G51" t="s">
        <v>14</v>
      </c>
      <c r="H51" s="35">
        <v>2447632</v>
      </c>
      <c r="I51" s="35">
        <v>2526582</v>
      </c>
      <c r="K51" s="18">
        <f t="shared" si="0"/>
        <v>49.206407283643202</v>
      </c>
      <c r="L51" s="18">
        <f t="shared" si="1"/>
        <v>50.793592716356798</v>
      </c>
    </row>
    <row r="52" spans="1:12">
      <c r="F52" s="14">
        <f>SUM(F2:F51)</f>
        <v>9615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1"/>
  <sheetViews>
    <sheetView topLeftCell="A2" workbookViewId="0">
      <selection activeCell="A9" sqref="A9"/>
    </sheetView>
  </sheetViews>
  <sheetFormatPr defaultRowHeight="15"/>
  <cols>
    <col min="2" max="2" width="79.28515625" customWidth="1"/>
    <col min="4" max="4" width="38.42578125" customWidth="1"/>
    <col min="5" max="5" width="17" customWidth="1"/>
    <col min="6" max="6" width="14.570312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177</v>
      </c>
      <c r="B2" t="s">
        <v>178</v>
      </c>
      <c r="C2" t="s">
        <v>172</v>
      </c>
      <c r="D2" t="s">
        <v>179</v>
      </c>
      <c r="E2" s="1">
        <v>44043</v>
      </c>
      <c r="F2" s="14">
        <v>208.33</v>
      </c>
      <c r="G2" t="s">
        <v>14</v>
      </c>
      <c r="H2">
        <v>1.47</v>
      </c>
      <c r="I2">
        <v>1.27</v>
      </c>
      <c r="K2" s="18">
        <f>(+H2/(H2+I2))*100</f>
        <v>53.649635036496349</v>
      </c>
      <c r="L2" s="18">
        <f>(+I2/(H2+I2))*100</f>
        <v>46.350364963503651</v>
      </c>
    </row>
    <row r="3" spans="1:16" ht="15.75">
      <c r="A3" t="s">
        <v>177</v>
      </c>
      <c r="B3" t="s">
        <v>178</v>
      </c>
      <c r="C3" t="s">
        <v>172</v>
      </c>
      <c r="D3" t="s">
        <v>179</v>
      </c>
      <c r="E3" s="1">
        <v>44012</v>
      </c>
      <c r="F3" s="14">
        <v>416.66</v>
      </c>
      <c r="G3" t="s">
        <v>14</v>
      </c>
      <c r="H3">
        <v>1.47</v>
      </c>
      <c r="I3">
        <v>1.27</v>
      </c>
      <c r="K3" s="18">
        <f>(+H3/(H3+I3))*100</f>
        <v>53.649635036496349</v>
      </c>
      <c r="L3" s="18">
        <f>(+I3/(H3+I3))*100</f>
        <v>46.350364963503651</v>
      </c>
    </row>
    <row r="4" spans="1:16" ht="15.75">
      <c r="A4" t="s">
        <v>177</v>
      </c>
      <c r="B4" t="s">
        <v>178</v>
      </c>
      <c r="C4" t="s">
        <v>172</v>
      </c>
      <c r="D4" t="s">
        <v>179</v>
      </c>
      <c r="E4" s="1">
        <v>43982</v>
      </c>
      <c r="F4" s="14">
        <v>416.66</v>
      </c>
      <c r="G4" t="s">
        <v>14</v>
      </c>
      <c r="H4">
        <v>1.47</v>
      </c>
      <c r="I4">
        <v>1.27</v>
      </c>
      <c r="K4" s="18">
        <f>(+H4/(H4+I4))*100</f>
        <v>53.649635036496349</v>
      </c>
      <c r="L4" s="18">
        <f>(+I4/(H4+I4))*100</f>
        <v>46.350364963503651</v>
      </c>
    </row>
    <row r="5" spans="1:16" ht="15.75">
      <c r="A5" t="s">
        <v>177</v>
      </c>
      <c r="B5" t="s">
        <v>178</v>
      </c>
      <c r="C5" t="s">
        <v>172</v>
      </c>
      <c r="D5" t="s">
        <v>179</v>
      </c>
      <c r="E5" s="1">
        <v>43951</v>
      </c>
      <c r="F5" s="14">
        <v>416.66</v>
      </c>
      <c r="G5" t="s">
        <v>14</v>
      </c>
      <c r="H5">
        <v>1.47</v>
      </c>
      <c r="I5">
        <v>1.27</v>
      </c>
      <c r="K5" s="18">
        <f t="shared" ref="K5:K20" si="0">(+H5/(H5+I5))*100</f>
        <v>53.649635036496349</v>
      </c>
      <c r="L5" s="18">
        <f t="shared" ref="L5:L20" si="1">(+I5/(H5+I5))*100</f>
        <v>46.350364963503651</v>
      </c>
    </row>
    <row r="6" spans="1:16" ht="15.75">
      <c r="A6" t="s">
        <v>177</v>
      </c>
      <c r="B6" t="s">
        <v>178</v>
      </c>
      <c r="C6" t="s">
        <v>172</v>
      </c>
      <c r="D6" t="s">
        <v>179</v>
      </c>
      <c r="E6" s="1">
        <v>43921</v>
      </c>
      <c r="F6" s="14">
        <v>416.66</v>
      </c>
      <c r="G6" t="s">
        <v>14</v>
      </c>
      <c r="H6">
        <v>1.47</v>
      </c>
      <c r="I6">
        <v>1.27</v>
      </c>
      <c r="K6" s="18">
        <f t="shared" si="0"/>
        <v>53.649635036496349</v>
      </c>
      <c r="L6" s="18">
        <f t="shared" si="1"/>
        <v>46.350364963503651</v>
      </c>
    </row>
    <row r="7" spans="1:16" ht="15.75">
      <c r="A7" t="s">
        <v>177</v>
      </c>
      <c r="B7" t="s">
        <v>178</v>
      </c>
      <c r="C7" t="s">
        <v>172</v>
      </c>
      <c r="D7" t="s">
        <v>179</v>
      </c>
      <c r="E7" s="1">
        <v>43890</v>
      </c>
      <c r="F7" s="14">
        <v>416.66</v>
      </c>
      <c r="G7" t="s">
        <v>14</v>
      </c>
      <c r="H7">
        <v>1.47</v>
      </c>
      <c r="I7">
        <v>1.27</v>
      </c>
      <c r="K7" s="18">
        <f t="shared" si="0"/>
        <v>53.649635036496349</v>
      </c>
      <c r="L7" s="18">
        <f t="shared" si="1"/>
        <v>46.350364963503651</v>
      </c>
    </row>
    <row r="8" spans="1:16" ht="15.75">
      <c r="A8" t="s">
        <v>177</v>
      </c>
      <c r="B8" t="s">
        <v>178</v>
      </c>
      <c r="C8" t="s">
        <v>172</v>
      </c>
      <c r="D8" t="s">
        <v>179</v>
      </c>
      <c r="E8" s="1">
        <v>43861</v>
      </c>
      <c r="F8" s="14">
        <v>416.66</v>
      </c>
      <c r="G8" t="s">
        <v>14</v>
      </c>
      <c r="H8">
        <v>1.47</v>
      </c>
      <c r="I8">
        <v>1.27</v>
      </c>
      <c r="K8" s="18">
        <f t="shared" si="0"/>
        <v>53.649635036496349</v>
      </c>
      <c r="L8" s="18">
        <f t="shared" si="1"/>
        <v>46.350364963503651</v>
      </c>
    </row>
    <row r="9" spans="1:16" ht="15.75">
      <c r="A9" t="s">
        <v>177</v>
      </c>
      <c r="B9" t="s">
        <v>178</v>
      </c>
      <c r="C9" t="s">
        <v>172</v>
      </c>
      <c r="D9" t="s">
        <v>179</v>
      </c>
      <c r="E9" s="1">
        <v>43830</v>
      </c>
      <c r="F9" s="14">
        <v>416.66</v>
      </c>
      <c r="G9" t="s">
        <v>14</v>
      </c>
      <c r="H9">
        <v>1.47</v>
      </c>
      <c r="I9">
        <v>1.27</v>
      </c>
      <c r="K9" s="18">
        <f t="shared" si="0"/>
        <v>53.649635036496349</v>
      </c>
      <c r="L9" s="18">
        <f t="shared" si="1"/>
        <v>46.350364963503651</v>
      </c>
    </row>
    <row r="10" spans="1:16" ht="15.75">
      <c r="A10" t="s">
        <v>177</v>
      </c>
      <c r="B10" t="s">
        <v>178</v>
      </c>
      <c r="C10" t="s">
        <v>172</v>
      </c>
      <c r="D10" t="s">
        <v>179</v>
      </c>
      <c r="E10" s="1">
        <v>43799</v>
      </c>
      <c r="F10" s="14">
        <v>416.66</v>
      </c>
      <c r="G10" t="s">
        <v>14</v>
      </c>
      <c r="H10">
        <v>1.47</v>
      </c>
      <c r="I10">
        <v>1.27</v>
      </c>
      <c r="K10" s="18">
        <f t="shared" si="0"/>
        <v>53.649635036496349</v>
      </c>
      <c r="L10" s="18">
        <f t="shared" si="1"/>
        <v>46.350364963503651</v>
      </c>
    </row>
    <row r="11" spans="1:16" ht="15.75">
      <c r="A11" t="s">
        <v>177</v>
      </c>
      <c r="B11" t="s">
        <v>178</v>
      </c>
      <c r="C11" t="s">
        <v>172</v>
      </c>
      <c r="D11" t="s">
        <v>179</v>
      </c>
      <c r="E11" s="1">
        <v>43769</v>
      </c>
      <c r="F11" s="14">
        <v>416.66</v>
      </c>
      <c r="G11" t="s">
        <v>14</v>
      </c>
      <c r="H11">
        <v>1.47</v>
      </c>
      <c r="I11">
        <v>1.27</v>
      </c>
      <c r="K11" s="18">
        <f t="shared" si="0"/>
        <v>53.649635036496349</v>
      </c>
      <c r="L11" s="18">
        <f t="shared" si="1"/>
        <v>46.350364963503651</v>
      </c>
    </row>
    <row r="12" spans="1:16" ht="15.75">
      <c r="A12" t="s">
        <v>177</v>
      </c>
      <c r="B12" t="s">
        <v>178</v>
      </c>
      <c r="C12" t="s">
        <v>172</v>
      </c>
      <c r="D12" t="s">
        <v>179</v>
      </c>
      <c r="E12" s="1">
        <v>43738</v>
      </c>
      <c r="F12" s="14">
        <v>416.66</v>
      </c>
      <c r="G12" t="s">
        <v>14</v>
      </c>
      <c r="H12">
        <v>1.47</v>
      </c>
      <c r="I12">
        <v>1.27</v>
      </c>
      <c r="K12" s="18">
        <f t="shared" si="0"/>
        <v>53.649635036496349</v>
      </c>
      <c r="L12" s="18">
        <f t="shared" si="1"/>
        <v>46.350364963503651</v>
      </c>
    </row>
    <row r="13" spans="1:16" ht="15.75">
      <c r="A13" t="s">
        <v>177</v>
      </c>
      <c r="B13" t="s">
        <v>178</v>
      </c>
      <c r="C13" t="s">
        <v>172</v>
      </c>
      <c r="D13" t="s">
        <v>179</v>
      </c>
      <c r="E13" s="1">
        <v>43708</v>
      </c>
      <c r="F13" s="14">
        <v>416.66</v>
      </c>
      <c r="G13" t="s">
        <v>14</v>
      </c>
      <c r="H13">
        <v>1.47</v>
      </c>
      <c r="I13">
        <v>1.27</v>
      </c>
      <c r="K13" s="18">
        <f t="shared" si="0"/>
        <v>53.649635036496349</v>
      </c>
      <c r="L13" s="18">
        <f t="shared" si="1"/>
        <v>46.350364963503651</v>
      </c>
    </row>
    <row r="14" spans="1:16" ht="15.75">
      <c r="A14" t="s">
        <v>177</v>
      </c>
      <c r="B14" t="s">
        <v>178</v>
      </c>
      <c r="C14" t="s">
        <v>172</v>
      </c>
      <c r="D14" t="s">
        <v>179</v>
      </c>
      <c r="E14" s="1">
        <v>43677</v>
      </c>
      <c r="F14" s="14">
        <v>416.66</v>
      </c>
      <c r="G14" t="s">
        <v>14</v>
      </c>
      <c r="H14">
        <v>1.47</v>
      </c>
      <c r="I14">
        <v>1.27</v>
      </c>
      <c r="K14" s="18">
        <f t="shared" si="0"/>
        <v>53.649635036496349</v>
      </c>
      <c r="L14" s="18">
        <f t="shared" si="1"/>
        <v>46.350364963503651</v>
      </c>
    </row>
    <row r="15" spans="1:16" ht="15.75">
      <c r="A15" t="s">
        <v>177</v>
      </c>
      <c r="B15" t="s">
        <v>178</v>
      </c>
      <c r="C15" t="s">
        <v>172</v>
      </c>
      <c r="D15" t="s">
        <v>180</v>
      </c>
      <c r="E15" s="1">
        <v>43646</v>
      </c>
      <c r="F15" s="14">
        <v>416.66</v>
      </c>
      <c r="G15" t="s">
        <v>14</v>
      </c>
      <c r="H15">
        <v>1.47</v>
      </c>
      <c r="I15">
        <v>1.27</v>
      </c>
      <c r="K15" s="18">
        <f t="shared" si="0"/>
        <v>53.649635036496349</v>
      </c>
      <c r="L15" s="18">
        <f t="shared" si="1"/>
        <v>46.350364963503651</v>
      </c>
    </row>
    <row r="16" spans="1:16" ht="15.75">
      <c r="A16" t="s">
        <v>177</v>
      </c>
      <c r="B16" t="s">
        <v>178</v>
      </c>
      <c r="C16" t="s">
        <v>172</v>
      </c>
      <c r="D16" t="s">
        <v>180</v>
      </c>
      <c r="E16" s="1">
        <v>43616</v>
      </c>
      <c r="F16" s="14">
        <v>416.66</v>
      </c>
      <c r="G16" t="s">
        <v>14</v>
      </c>
      <c r="H16">
        <v>1.47</v>
      </c>
      <c r="I16">
        <v>1.27</v>
      </c>
      <c r="K16" s="18">
        <f t="shared" si="0"/>
        <v>53.649635036496349</v>
      </c>
      <c r="L16" s="18">
        <f t="shared" si="1"/>
        <v>46.350364963503651</v>
      </c>
    </row>
    <row r="17" spans="1:12" ht="15.75">
      <c r="A17" t="s">
        <v>177</v>
      </c>
      <c r="B17" t="s">
        <v>178</v>
      </c>
      <c r="C17" t="s">
        <v>172</v>
      </c>
      <c r="D17" t="s">
        <v>180</v>
      </c>
      <c r="E17" s="1">
        <v>43585</v>
      </c>
      <c r="F17" s="14">
        <v>416.66</v>
      </c>
      <c r="G17" t="s">
        <v>14</v>
      </c>
      <c r="H17">
        <v>1.47</v>
      </c>
      <c r="I17">
        <v>1.27</v>
      </c>
      <c r="K17" s="18">
        <f t="shared" si="0"/>
        <v>53.649635036496349</v>
      </c>
      <c r="L17" s="18">
        <f t="shared" si="1"/>
        <v>46.350364963503651</v>
      </c>
    </row>
    <row r="18" spans="1:12" ht="15.75">
      <c r="A18" t="s">
        <v>177</v>
      </c>
      <c r="B18" t="s">
        <v>178</v>
      </c>
      <c r="C18" t="s">
        <v>172</v>
      </c>
      <c r="D18" t="s">
        <v>180</v>
      </c>
      <c r="E18" s="1">
        <v>43555</v>
      </c>
      <c r="F18" s="14">
        <v>416.66</v>
      </c>
      <c r="G18" t="s">
        <v>14</v>
      </c>
      <c r="H18">
        <v>1.47</v>
      </c>
      <c r="I18">
        <v>1.27</v>
      </c>
      <c r="K18" s="18">
        <f t="shared" si="0"/>
        <v>53.649635036496349</v>
      </c>
      <c r="L18" s="18">
        <f t="shared" si="1"/>
        <v>46.350364963503651</v>
      </c>
    </row>
    <row r="19" spans="1:12" ht="15.75">
      <c r="A19" t="s">
        <v>177</v>
      </c>
      <c r="B19" t="s">
        <v>178</v>
      </c>
      <c r="C19" t="s">
        <v>172</v>
      </c>
      <c r="D19" t="s">
        <v>180</v>
      </c>
      <c r="E19" s="1">
        <v>43524</v>
      </c>
      <c r="F19" s="14">
        <v>416.66</v>
      </c>
      <c r="G19" t="s">
        <v>14</v>
      </c>
      <c r="H19">
        <v>1.47</v>
      </c>
      <c r="I19">
        <v>1.27</v>
      </c>
      <c r="K19" s="18">
        <f t="shared" si="0"/>
        <v>53.649635036496349</v>
      </c>
      <c r="L19" s="18">
        <f t="shared" si="1"/>
        <v>46.350364963503651</v>
      </c>
    </row>
    <row r="20" spans="1:12" ht="15.75">
      <c r="A20" t="s">
        <v>177</v>
      </c>
      <c r="B20" t="s">
        <v>178</v>
      </c>
      <c r="C20" t="s">
        <v>172</v>
      </c>
      <c r="D20" t="s">
        <v>180</v>
      </c>
      <c r="E20" s="1">
        <v>43496</v>
      </c>
      <c r="F20" s="14">
        <v>416.66</v>
      </c>
      <c r="G20" t="s">
        <v>14</v>
      </c>
      <c r="H20">
        <v>1.47</v>
      </c>
      <c r="I20">
        <v>1.27</v>
      </c>
      <c r="K20" s="18">
        <f t="shared" si="0"/>
        <v>53.649635036496349</v>
      </c>
      <c r="L20" s="18">
        <f t="shared" si="1"/>
        <v>46.350364963503651</v>
      </c>
    </row>
    <row r="21" spans="1:12">
      <c r="F21" s="14">
        <f>SUM(F2:F20)</f>
        <v>7708.2099999999982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
  <sheetViews>
    <sheetView workbookViewId="0">
      <selection activeCell="A2" sqref="A2"/>
    </sheetView>
  </sheetViews>
  <sheetFormatPr defaultRowHeight="15"/>
  <cols>
    <col min="2" max="2" width="36.5703125" customWidth="1"/>
    <col min="6" max="6" width="17.4257812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181</v>
      </c>
      <c r="B2" t="s">
        <v>182</v>
      </c>
      <c r="C2" t="s">
        <v>40</v>
      </c>
      <c r="E2" s="1">
        <v>44155</v>
      </c>
      <c r="F2" s="14">
        <v>2800</v>
      </c>
      <c r="G2" t="s">
        <v>16</v>
      </c>
      <c r="H2">
        <v>100</v>
      </c>
      <c r="I2">
        <v>0</v>
      </c>
      <c r="K2" s="18">
        <f t="shared" ref="K2:K9" si="0">(+H2/(H2+I2))*100</f>
        <v>100</v>
      </c>
      <c r="L2" s="18">
        <f t="shared" ref="L2:L9" si="1">(+I2/(H2+I2))*100</f>
        <v>0</v>
      </c>
    </row>
    <row r="3" spans="1:16" ht="15.75">
      <c r="A3" t="s">
        <v>181</v>
      </c>
      <c r="B3" t="s">
        <v>183</v>
      </c>
      <c r="C3" t="s">
        <v>40</v>
      </c>
      <c r="D3" t="s">
        <v>48</v>
      </c>
      <c r="E3" s="1">
        <v>44127</v>
      </c>
      <c r="F3" s="14">
        <v>2800</v>
      </c>
      <c r="G3" t="s">
        <v>16</v>
      </c>
      <c r="H3">
        <v>100</v>
      </c>
      <c r="I3">
        <v>0</v>
      </c>
      <c r="K3" s="18">
        <f t="shared" si="0"/>
        <v>100</v>
      </c>
      <c r="L3" s="18">
        <f t="shared" si="1"/>
        <v>0</v>
      </c>
    </row>
    <row r="4" spans="1:16" ht="15.75">
      <c r="A4" t="s">
        <v>181</v>
      </c>
      <c r="B4" t="s">
        <v>184</v>
      </c>
      <c r="C4" t="s">
        <v>40</v>
      </c>
      <c r="D4" t="s">
        <v>48</v>
      </c>
      <c r="E4" s="1">
        <v>44068</v>
      </c>
      <c r="F4" s="14">
        <v>5000</v>
      </c>
      <c r="G4" t="s">
        <v>16</v>
      </c>
      <c r="H4">
        <v>100</v>
      </c>
      <c r="I4">
        <v>0</v>
      </c>
      <c r="K4" s="18">
        <f t="shared" si="0"/>
        <v>100</v>
      </c>
      <c r="L4" s="18">
        <f t="shared" si="1"/>
        <v>0</v>
      </c>
    </row>
    <row r="5" spans="1:16" ht="15.75">
      <c r="A5" t="s">
        <v>181</v>
      </c>
      <c r="B5" t="s">
        <v>185</v>
      </c>
      <c r="C5" t="s">
        <v>40</v>
      </c>
      <c r="D5" t="s">
        <v>48</v>
      </c>
      <c r="E5" s="1">
        <v>44022</v>
      </c>
      <c r="F5" s="14">
        <v>5000</v>
      </c>
      <c r="G5" t="s">
        <v>16</v>
      </c>
      <c r="H5">
        <v>100</v>
      </c>
      <c r="I5">
        <v>0</v>
      </c>
      <c r="K5" s="18">
        <f t="shared" si="0"/>
        <v>100</v>
      </c>
      <c r="L5" s="18">
        <f t="shared" si="1"/>
        <v>0</v>
      </c>
    </row>
    <row r="6" spans="1:16" ht="15.75">
      <c r="A6" t="s">
        <v>186</v>
      </c>
      <c r="B6" t="s">
        <v>187</v>
      </c>
      <c r="C6" t="s">
        <v>40</v>
      </c>
      <c r="D6" t="s">
        <v>62</v>
      </c>
      <c r="E6" s="1">
        <v>44022</v>
      </c>
      <c r="F6" s="14">
        <v>2800</v>
      </c>
      <c r="G6" t="s">
        <v>16</v>
      </c>
      <c r="H6">
        <v>100</v>
      </c>
      <c r="I6">
        <v>0</v>
      </c>
      <c r="K6" s="18">
        <f t="shared" si="0"/>
        <v>100</v>
      </c>
      <c r="L6" s="18">
        <f t="shared" si="1"/>
        <v>0</v>
      </c>
    </row>
    <row r="7" spans="1:16" ht="15.75">
      <c r="A7" t="s">
        <v>188</v>
      </c>
      <c r="B7" t="s">
        <v>189</v>
      </c>
      <c r="C7" t="s">
        <v>40</v>
      </c>
      <c r="D7" t="s">
        <v>48</v>
      </c>
      <c r="E7" s="1">
        <v>44020</v>
      </c>
      <c r="F7" s="14">
        <v>5000</v>
      </c>
      <c r="G7" t="s">
        <v>16</v>
      </c>
      <c r="H7">
        <v>100</v>
      </c>
      <c r="I7">
        <v>0</v>
      </c>
      <c r="K7" s="18">
        <f t="shared" si="0"/>
        <v>100</v>
      </c>
      <c r="L7" s="18">
        <f t="shared" si="1"/>
        <v>0</v>
      </c>
    </row>
    <row r="8" spans="1:16" ht="15.75">
      <c r="A8" t="s">
        <v>188</v>
      </c>
      <c r="B8" t="s">
        <v>190</v>
      </c>
      <c r="C8" t="s">
        <v>40</v>
      </c>
      <c r="D8" t="s">
        <v>62</v>
      </c>
      <c r="E8" s="1">
        <v>43893</v>
      </c>
      <c r="F8" s="14">
        <v>2800</v>
      </c>
      <c r="G8" t="s">
        <v>16</v>
      </c>
      <c r="H8">
        <v>100</v>
      </c>
      <c r="I8">
        <v>0</v>
      </c>
      <c r="K8" s="18">
        <f t="shared" si="0"/>
        <v>100</v>
      </c>
      <c r="L8" s="18">
        <f t="shared" si="1"/>
        <v>0</v>
      </c>
    </row>
    <row r="9" spans="1:16" ht="15.75">
      <c r="A9" t="s">
        <v>188</v>
      </c>
      <c r="B9" t="s">
        <v>190</v>
      </c>
      <c r="C9" t="s">
        <v>40</v>
      </c>
      <c r="D9" t="s">
        <v>62</v>
      </c>
      <c r="E9" s="1">
        <v>43893</v>
      </c>
      <c r="F9" s="14">
        <v>2800</v>
      </c>
      <c r="G9" t="s">
        <v>16</v>
      </c>
      <c r="H9">
        <v>100</v>
      </c>
      <c r="I9">
        <v>0</v>
      </c>
      <c r="K9" s="18">
        <f t="shared" si="0"/>
        <v>100</v>
      </c>
      <c r="L9" s="18">
        <f t="shared" si="1"/>
        <v>0</v>
      </c>
    </row>
    <row r="10" spans="1:16">
      <c r="F10" s="14">
        <f>SUM(F2:F9)</f>
        <v>29000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
  <sheetViews>
    <sheetView workbookViewId="0">
      <selection activeCell="J15" sqref="J15"/>
    </sheetView>
  </sheetViews>
  <sheetFormatPr defaultRowHeight="15"/>
  <cols>
    <col min="2" max="2" width="25.140625" customWidth="1"/>
    <col min="5" max="5" width="18.42578125" customWidth="1"/>
    <col min="6" max="6" width="13.4257812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191</v>
      </c>
      <c r="B2" t="s">
        <v>192</v>
      </c>
      <c r="C2" t="s">
        <v>40</v>
      </c>
      <c r="D2" t="s">
        <v>193</v>
      </c>
      <c r="E2" s="1">
        <v>43948</v>
      </c>
      <c r="F2" s="14">
        <v>35500</v>
      </c>
      <c r="G2" t="s">
        <v>16</v>
      </c>
      <c r="H2">
        <v>100</v>
      </c>
      <c r="I2">
        <v>0</v>
      </c>
      <c r="K2" s="18">
        <f>(+H2/(H2+I2))*100</f>
        <v>100</v>
      </c>
      <c r="L2" s="18">
        <f>(+I2/(H2+I2))*100</f>
        <v>0</v>
      </c>
    </row>
    <row r="3" spans="1:16" ht="15.75">
      <c r="A3" t="s">
        <v>194</v>
      </c>
      <c r="B3" t="s">
        <v>190</v>
      </c>
      <c r="C3" t="s">
        <v>40</v>
      </c>
      <c r="D3" t="s">
        <v>195</v>
      </c>
      <c r="E3" s="1">
        <v>43893</v>
      </c>
      <c r="F3" s="14">
        <v>2800</v>
      </c>
      <c r="G3" t="s">
        <v>16</v>
      </c>
      <c r="H3">
        <v>100</v>
      </c>
      <c r="I3">
        <v>0</v>
      </c>
      <c r="K3" s="18">
        <f>(+H3/(H3+I3))*100</f>
        <v>100</v>
      </c>
      <c r="L3" s="18">
        <f>(+I3/(H3+I3))*100</f>
        <v>0</v>
      </c>
    </row>
    <row r="4" spans="1:16" ht="15.75">
      <c r="A4" t="s">
        <v>194</v>
      </c>
      <c r="B4" t="s">
        <v>190</v>
      </c>
      <c r="C4" t="s">
        <v>40</v>
      </c>
      <c r="D4" t="s">
        <v>195</v>
      </c>
      <c r="E4" s="1">
        <v>43893</v>
      </c>
      <c r="F4" s="14">
        <v>2800</v>
      </c>
      <c r="G4" t="s">
        <v>16</v>
      </c>
      <c r="H4">
        <v>100</v>
      </c>
      <c r="I4">
        <v>0</v>
      </c>
      <c r="K4" s="18">
        <f>(+H4/(H4+I4))*100</f>
        <v>100</v>
      </c>
      <c r="L4" s="18">
        <f>(+I4/(H4+I4))*100</f>
        <v>0</v>
      </c>
    </row>
    <row r="5" spans="1:16" ht="15.75">
      <c r="A5" t="s">
        <v>196</v>
      </c>
      <c r="B5" t="s">
        <v>192</v>
      </c>
      <c r="C5" t="s">
        <v>40</v>
      </c>
      <c r="D5" t="s">
        <v>193</v>
      </c>
      <c r="E5" s="1">
        <v>43587</v>
      </c>
      <c r="F5" s="14">
        <v>35500</v>
      </c>
      <c r="G5" t="s">
        <v>16</v>
      </c>
      <c r="H5">
        <v>100</v>
      </c>
      <c r="I5">
        <v>0</v>
      </c>
      <c r="K5" s="18">
        <f>(+H5/(H5+I5))*100</f>
        <v>100</v>
      </c>
      <c r="L5" s="18">
        <f>(+I5/(H5+I5))*100</f>
        <v>0</v>
      </c>
    </row>
    <row r="6" spans="1:16">
      <c r="F6" s="14">
        <f>SUM(F2:F5)</f>
        <v>76600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topLeftCell="A2" workbookViewId="0">
      <selection activeCell="E2" sqref="E2"/>
    </sheetView>
  </sheetViews>
  <sheetFormatPr defaultRowHeight="15"/>
  <cols>
    <col min="2" max="2" width="36.5703125" customWidth="1"/>
    <col min="6" max="6" width="14.710937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197</v>
      </c>
      <c r="B2" t="s">
        <v>168</v>
      </c>
      <c r="C2" t="s">
        <v>40</v>
      </c>
      <c r="D2" t="s">
        <v>169</v>
      </c>
      <c r="E2" s="1">
        <v>44189</v>
      </c>
      <c r="F2" s="14">
        <v>192.3</v>
      </c>
      <c r="G2" t="s">
        <v>14</v>
      </c>
      <c r="H2">
        <v>596000</v>
      </c>
      <c r="I2">
        <v>596000</v>
      </c>
      <c r="K2" s="18">
        <f>(+H2/(H2+I2))*100</f>
        <v>50</v>
      </c>
      <c r="L2" s="18">
        <f>(+I2/(H2+I2))*100</f>
        <v>50</v>
      </c>
    </row>
    <row r="3" spans="1:16" ht="15.75">
      <c r="A3" t="s">
        <v>197</v>
      </c>
      <c r="B3" t="s">
        <v>168</v>
      </c>
      <c r="C3" t="s">
        <v>40</v>
      </c>
      <c r="D3" t="s">
        <v>169</v>
      </c>
      <c r="E3" s="1">
        <v>44175</v>
      </c>
      <c r="F3" s="14">
        <v>192.3</v>
      </c>
      <c r="G3" t="s">
        <v>14</v>
      </c>
      <c r="H3">
        <v>596000</v>
      </c>
      <c r="I3">
        <v>596000</v>
      </c>
      <c r="K3" s="18">
        <f t="shared" ref="K3:K51" si="0">(+H3/(H3+I3))*100</f>
        <v>50</v>
      </c>
      <c r="L3" s="18">
        <f t="shared" ref="L3:L51" si="1">(+I3/(H3+I3))*100</f>
        <v>50</v>
      </c>
    </row>
    <row r="4" spans="1:16" ht="15.75">
      <c r="A4" t="s">
        <v>197</v>
      </c>
      <c r="B4" t="s">
        <v>168</v>
      </c>
      <c r="C4" t="s">
        <v>40</v>
      </c>
      <c r="D4" t="s">
        <v>169</v>
      </c>
      <c r="E4" s="1">
        <v>44160</v>
      </c>
      <c r="F4" s="14">
        <v>192.3</v>
      </c>
      <c r="G4" t="s">
        <v>14</v>
      </c>
      <c r="H4">
        <v>596000</v>
      </c>
      <c r="I4">
        <v>596000</v>
      </c>
      <c r="K4" s="18">
        <f t="shared" si="0"/>
        <v>50</v>
      </c>
      <c r="L4" s="18">
        <f t="shared" si="1"/>
        <v>50</v>
      </c>
    </row>
    <row r="5" spans="1:16" ht="15.75">
      <c r="A5" t="s">
        <v>197</v>
      </c>
      <c r="B5" t="s">
        <v>168</v>
      </c>
      <c r="C5" t="s">
        <v>40</v>
      </c>
      <c r="D5" t="s">
        <v>169</v>
      </c>
      <c r="E5" s="1">
        <v>44147</v>
      </c>
      <c r="F5" s="14">
        <v>192.3</v>
      </c>
      <c r="G5" t="s">
        <v>14</v>
      </c>
      <c r="H5">
        <v>596000</v>
      </c>
      <c r="I5">
        <v>596000</v>
      </c>
      <c r="K5" s="18">
        <f t="shared" si="0"/>
        <v>50</v>
      </c>
      <c r="L5" s="18">
        <f t="shared" si="1"/>
        <v>50</v>
      </c>
    </row>
    <row r="6" spans="1:16" ht="15.75">
      <c r="A6" t="s">
        <v>197</v>
      </c>
      <c r="B6" t="s">
        <v>168</v>
      </c>
      <c r="C6" t="s">
        <v>40</v>
      </c>
      <c r="D6" t="s">
        <v>169</v>
      </c>
      <c r="E6" s="1">
        <v>44133</v>
      </c>
      <c r="F6" s="14">
        <v>192.3</v>
      </c>
      <c r="G6" t="s">
        <v>14</v>
      </c>
      <c r="H6">
        <v>596000</v>
      </c>
      <c r="I6">
        <v>596000</v>
      </c>
      <c r="K6" s="18">
        <f t="shared" si="0"/>
        <v>50</v>
      </c>
      <c r="L6" s="18">
        <f t="shared" si="1"/>
        <v>50</v>
      </c>
    </row>
    <row r="7" spans="1:16" ht="15.75">
      <c r="A7" t="s">
        <v>197</v>
      </c>
      <c r="B7" t="s">
        <v>168</v>
      </c>
      <c r="C7" t="s">
        <v>40</v>
      </c>
      <c r="D7" t="s">
        <v>169</v>
      </c>
      <c r="E7" s="1">
        <v>44119</v>
      </c>
      <c r="F7" s="14">
        <v>192.3</v>
      </c>
      <c r="G7" t="s">
        <v>14</v>
      </c>
      <c r="H7">
        <v>596000</v>
      </c>
      <c r="I7">
        <v>596000</v>
      </c>
      <c r="K7" s="18">
        <f t="shared" si="0"/>
        <v>50</v>
      </c>
      <c r="L7" s="18">
        <f t="shared" si="1"/>
        <v>50</v>
      </c>
    </row>
    <row r="8" spans="1:16" ht="15.75">
      <c r="A8" t="s">
        <v>197</v>
      </c>
      <c r="B8" t="s">
        <v>168</v>
      </c>
      <c r="C8" t="s">
        <v>40</v>
      </c>
      <c r="D8" t="s">
        <v>169</v>
      </c>
      <c r="E8" s="1">
        <v>44105</v>
      </c>
      <c r="F8" s="14">
        <v>192.3</v>
      </c>
      <c r="G8" t="s">
        <v>14</v>
      </c>
      <c r="H8">
        <v>596000</v>
      </c>
      <c r="I8">
        <v>596000</v>
      </c>
      <c r="K8" s="18">
        <f t="shared" si="0"/>
        <v>50</v>
      </c>
      <c r="L8" s="18">
        <f t="shared" si="1"/>
        <v>50</v>
      </c>
    </row>
    <row r="9" spans="1:16" ht="15.75">
      <c r="A9" t="s">
        <v>197</v>
      </c>
      <c r="B9" t="s">
        <v>168</v>
      </c>
      <c r="C9" t="s">
        <v>40</v>
      </c>
      <c r="D9" t="s">
        <v>169</v>
      </c>
      <c r="E9" s="1">
        <v>44091</v>
      </c>
      <c r="F9" s="14">
        <v>192.3</v>
      </c>
      <c r="G9" t="s">
        <v>14</v>
      </c>
      <c r="H9">
        <v>596000</v>
      </c>
      <c r="I9">
        <v>596000</v>
      </c>
      <c r="K9" s="18">
        <f t="shared" si="0"/>
        <v>50</v>
      </c>
      <c r="L9" s="18">
        <f t="shared" si="1"/>
        <v>50</v>
      </c>
    </row>
    <row r="10" spans="1:16" ht="15.75">
      <c r="A10" t="s">
        <v>197</v>
      </c>
      <c r="B10" t="s">
        <v>168</v>
      </c>
      <c r="C10" t="s">
        <v>40</v>
      </c>
      <c r="D10" t="s">
        <v>169</v>
      </c>
      <c r="E10" s="1">
        <v>44077</v>
      </c>
      <c r="F10" s="14">
        <v>192.3</v>
      </c>
      <c r="G10" t="s">
        <v>14</v>
      </c>
      <c r="H10">
        <v>596000</v>
      </c>
      <c r="I10">
        <v>596000</v>
      </c>
      <c r="K10" s="18">
        <f t="shared" si="0"/>
        <v>50</v>
      </c>
      <c r="L10" s="18">
        <f t="shared" si="1"/>
        <v>50</v>
      </c>
    </row>
    <row r="11" spans="1:16" ht="15.75">
      <c r="A11" t="s">
        <v>197</v>
      </c>
      <c r="B11" t="s">
        <v>168</v>
      </c>
      <c r="C11" t="s">
        <v>40</v>
      </c>
      <c r="D11" t="s">
        <v>169</v>
      </c>
      <c r="E11" s="1">
        <v>44063</v>
      </c>
      <c r="F11" s="14">
        <v>192.3</v>
      </c>
      <c r="G11" t="s">
        <v>14</v>
      </c>
      <c r="H11">
        <v>596000</v>
      </c>
      <c r="I11">
        <v>596000</v>
      </c>
      <c r="K11" s="18">
        <f t="shared" si="0"/>
        <v>50</v>
      </c>
      <c r="L11" s="18">
        <f t="shared" si="1"/>
        <v>50</v>
      </c>
    </row>
    <row r="12" spans="1:16" ht="15.75">
      <c r="A12" t="s">
        <v>197</v>
      </c>
      <c r="B12" t="s">
        <v>168</v>
      </c>
      <c r="C12" t="s">
        <v>40</v>
      </c>
      <c r="D12" t="s">
        <v>169</v>
      </c>
      <c r="E12" s="1">
        <v>44049</v>
      </c>
      <c r="F12" s="14">
        <v>192.3</v>
      </c>
      <c r="G12" t="s">
        <v>14</v>
      </c>
      <c r="H12">
        <v>596000</v>
      </c>
      <c r="I12">
        <v>596000</v>
      </c>
      <c r="K12" s="18">
        <f t="shared" si="0"/>
        <v>50</v>
      </c>
      <c r="L12" s="18">
        <f t="shared" si="1"/>
        <v>50</v>
      </c>
    </row>
    <row r="13" spans="1:16" ht="15.75">
      <c r="A13" t="s">
        <v>197</v>
      </c>
      <c r="B13" t="s">
        <v>168</v>
      </c>
      <c r="C13" t="s">
        <v>40</v>
      </c>
      <c r="D13" t="s">
        <v>169</v>
      </c>
      <c r="E13" s="1">
        <v>44035</v>
      </c>
      <c r="F13" s="14">
        <v>192.3</v>
      </c>
      <c r="G13" t="s">
        <v>14</v>
      </c>
      <c r="H13">
        <v>596000</v>
      </c>
      <c r="I13">
        <v>596000</v>
      </c>
      <c r="K13" s="18">
        <f t="shared" si="0"/>
        <v>50</v>
      </c>
      <c r="L13" s="18">
        <f t="shared" si="1"/>
        <v>50</v>
      </c>
    </row>
    <row r="14" spans="1:16" ht="15.75">
      <c r="A14" t="s">
        <v>197</v>
      </c>
      <c r="B14" t="s">
        <v>168</v>
      </c>
      <c r="C14" t="s">
        <v>40</v>
      </c>
      <c r="D14" t="s">
        <v>169</v>
      </c>
      <c r="E14" s="1">
        <v>44021</v>
      </c>
      <c r="F14" s="14">
        <v>192.3</v>
      </c>
      <c r="G14" t="s">
        <v>14</v>
      </c>
      <c r="H14">
        <v>596000</v>
      </c>
      <c r="I14">
        <v>596000</v>
      </c>
      <c r="K14" s="18">
        <f t="shared" si="0"/>
        <v>50</v>
      </c>
      <c r="L14" s="18">
        <f t="shared" si="1"/>
        <v>50</v>
      </c>
    </row>
    <row r="15" spans="1:16" ht="15.75">
      <c r="A15" t="s">
        <v>197</v>
      </c>
      <c r="B15" t="s">
        <v>168</v>
      </c>
      <c r="C15" t="s">
        <v>40</v>
      </c>
      <c r="D15" t="s">
        <v>169</v>
      </c>
      <c r="E15" s="1">
        <v>44007</v>
      </c>
      <c r="F15" s="14">
        <v>192.3</v>
      </c>
      <c r="G15" t="s">
        <v>14</v>
      </c>
      <c r="H15">
        <v>596000</v>
      </c>
      <c r="I15">
        <v>596000</v>
      </c>
      <c r="K15" s="18">
        <f t="shared" si="0"/>
        <v>50</v>
      </c>
      <c r="L15" s="18">
        <f t="shared" si="1"/>
        <v>50</v>
      </c>
    </row>
    <row r="16" spans="1:16" ht="15.75">
      <c r="A16" t="s">
        <v>197</v>
      </c>
      <c r="B16" t="s">
        <v>168</v>
      </c>
      <c r="C16" t="s">
        <v>40</v>
      </c>
      <c r="D16" t="s">
        <v>169</v>
      </c>
      <c r="E16" s="1">
        <v>43993</v>
      </c>
      <c r="F16" s="14">
        <v>192.3</v>
      </c>
      <c r="G16" t="s">
        <v>14</v>
      </c>
      <c r="H16">
        <v>596000</v>
      </c>
      <c r="I16">
        <v>596000</v>
      </c>
      <c r="K16" s="18">
        <f t="shared" si="0"/>
        <v>50</v>
      </c>
      <c r="L16" s="18">
        <f t="shared" si="1"/>
        <v>50</v>
      </c>
    </row>
    <row r="17" spans="1:12" ht="15.75">
      <c r="A17" t="s">
        <v>197</v>
      </c>
      <c r="B17" t="s">
        <v>168</v>
      </c>
      <c r="C17" t="s">
        <v>40</v>
      </c>
      <c r="D17" t="s">
        <v>169</v>
      </c>
      <c r="E17" s="1">
        <v>43979</v>
      </c>
      <c r="F17" s="14">
        <v>192.3</v>
      </c>
      <c r="G17" t="s">
        <v>14</v>
      </c>
      <c r="H17">
        <v>596000</v>
      </c>
      <c r="I17">
        <v>596000</v>
      </c>
      <c r="K17" s="18">
        <f t="shared" si="0"/>
        <v>50</v>
      </c>
      <c r="L17" s="18">
        <f t="shared" si="1"/>
        <v>50</v>
      </c>
    </row>
    <row r="18" spans="1:12" ht="15.75">
      <c r="A18" t="s">
        <v>197</v>
      </c>
      <c r="B18" t="s">
        <v>168</v>
      </c>
      <c r="C18" t="s">
        <v>40</v>
      </c>
      <c r="D18" t="s">
        <v>169</v>
      </c>
      <c r="E18" s="1">
        <v>43965</v>
      </c>
      <c r="F18" s="14">
        <v>192.3</v>
      </c>
      <c r="G18" t="s">
        <v>14</v>
      </c>
      <c r="H18">
        <v>596000</v>
      </c>
      <c r="I18">
        <v>596000</v>
      </c>
      <c r="K18" s="18">
        <f t="shared" si="0"/>
        <v>50</v>
      </c>
      <c r="L18" s="18">
        <f t="shared" si="1"/>
        <v>50</v>
      </c>
    </row>
    <row r="19" spans="1:12" ht="15.75">
      <c r="A19" t="s">
        <v>197</v>
      </c>
      <c r="B19" t="s">
        <v>168</v>
      </c>
      <c r="C19" t="s">
        <v>40</v>
      </c>
      <c r="D19" t="s">
        <v>169</v>
      </c>
      <c r="E19" s="1">
        <v>43951</v>
      </c>
      <c r="F19" s="14">
        <v>192.3</v>
      </c>
      <c r="G19" t="s">
        <v>14</v>
      </c>
      <c r="H19">
        <v>596000</v>
      </c>
      <c r="I19">
        <v>596000</v>
      </c>
      <c r="K19" s="18">
        <f t="shared" si="0"/>
        <v>50</v>
      </c>
      <c r="L19" s="18">
        <f t="shared" si="1"/>
        <v>50</v>
      </c>
    </row>
    <row r="20" spans="1:12" ht="15.75">
      <c r="A20" t="s">
        <v>197</v>
      </c>
      <c r="B20" t="s">
        <v>168</v>
      </c>
      <c r="C20" t="s">
        <v>40</v>
      </c>
      <c r="D20" t="s">
        <v>169</v>
      </c>
      <c r="E20" s="1">
        <v>43937</v>
      </c>
      <c r="F20" s="14">
        <v>192.3</v>
      </c>
      <c r="G20" t="s">
        <v>14</v>
      </c>
      <c r="H20">
        <v>596000</v>
      </c>
      <c r="I20">
        <v>596000</v>
      </c>
      <c r="K20" s="18">
        <f t="shared" si="0"/>
        <v>50</v>
      </c>
      <c r="L20" s="18">
        <f t="shared" si="1"/>
        <v>50</v>
      </c>
    </row>
    <row r="21" spans="1:12" ht="15.75">
      <c r="A21" t="s">
        <v>197</v>
      </c>
      <c r="B21" t="s">
        <v>168</v>
      </c>
      <c r="C21" t="s">
        <v>40</v>
      </c>
      <c r="D21" t="s">
        <v>169</v>
      </c>
      <c r="E21" s="1">
        <v>43923</v>
      </c>
      <c r="F21" s="14">
        <v>192.3</v>
      </c>
      <c r="G21" t="s">
        <v>14</v>
      </c>
      <c r="H21">
        <v>596000</v>
      </c>
      <c r="I21">
        <v>596000</v>
      </c>
      <c r="K21" s="18">
        <f t="shared" si="0"/>
        <v>50</v>
      </c>
      <c r="L21" s="18">
        <f t="shared" si="1"/>
        <v>50</v>
      </c>
    </row>
    <row r="22" spans="1:12" ht="15.75">
      <c r="A22" t="s">
        <v>197</v>
      </c>
      <c r="B22" t="s">
        <v>168</v>
      </c>
      <c r="C22" t="s">
        <v>40</v>
      </c>
      <c r="D22" t="s">
        <v>169</v>
      </c>
      <c r="E22" s="1">
        <v>43909</v>
      </c>
      <c r="F22" s="14">
        <v>192.3</v>
      </c>
      <c r="G22" t="s">
        <v>14</v>
      </c>
      <c r="H22">
        <v>596000</v>
      </c>
      <c r="I22">
        <v>596000</v>
      </c>
      <c r="K22" s="18">
        <f t="shared" si="0"/>
        <v>50</v>
      </c>
      <c r="L22" s="18">
        <f t="shared" si="1"/>
        <v>50</v>
      </c>
    </row>
    <row r="23" spans="1:12" ht="15.75">
      <c r="A23" t="s">
        <v>197</v>
      </c>
      <c r="B23" t="s">
        <v>168</v>
      </c>
      <c r="C23" t="s">
        <v>40</v>
      </c>
      <c r="D23" t="s">
        <v>169</v>
      </c>
      <c r="E23" s="1">
        <v>43895</v>
      </c>
      <c r="F23" s="14">
        <v>192.3</v>
      </c>
      <c r="G23" t="s">
        <v>14</v>
      </c>
      <c r="H23">
        <v>596000</v>
      </c>
      <c r="I23">
        <v>596000</v>
      </c>
      <c r="K23" s="18">
        <f t="shared" si="0"/>
        <v>50</v>
      </c>
      <c r="L23" s="18">
        <f t="shared" si="1"/>
        <v>50</v>
      </c>
    </row>
    <row r="24" spans="1:12" ht="15.75">
      <c r="A24" t="s">
        <v>197</v>
      </c>
      <c r="B24" t="s">
        <v>168</v>
      </c>
      <c r="C24" t="s">
        <v>40</v>
      </c>
      <c r="D24" t="s">
        <v>169</v>
      </c>
      <c r="E24" s="1">
        <v>43881</v>
      </c>
      <c r="F24" s="14">
        <v>192.3</v>
      </c>
      <c r="G24" t="s">
        <v>14</v>
      </c>
      <c r="H24">
        <v>596000</v>
      </c>
      <c r="I24">
        <v>596000</v>
      </c>
      <c r="K24" s="18">
        <f t="shared" si="0"/>
        <v>50</v>
      </c>
      <c r="L24" s="18">
        <f t="shared" si="1"/>
        <v>50</v>
      </c>
    </row>
    <row r="25" spans="1:12" ht="15.75">
      <c r="A25" t="s">
        <v>197</v>
      </c>
      <c r="B25" t="s">
        <v>168</v>
      </c>
      <c r="C25" t="s">
        <v>40</v>
      </c>
      <c r="D25" t="s">
        <v>169</v>
      </c>
      <c r="E25" s="1">
        <v>43867</v>
      </c>
      <c r="F25" s="14">
        <v>192.3</v>
      </c>
      <c r="G25" t="s">
        <v>14</v>
      </c>
      <c r="H25">
        <v>596000</v>
      </c>
      <c r="I25">
        <v>596000</v>
      </c>
      <c r="K25" s="18">
        <f t="shared" si="0"/>
        <v>50</v>
      </c>
      <c r="L25" s="18">
        <f t="shared" si="1"/>
        <v>50</v>
      </c>
    </row>
    <row r="26" spans="1:12" ht="15.75">
      <c r="A26" t="s">
        <v>197</v>
      </c>
      <c r="B26" t="s">
        <v>168</v>
      </c>
      <c r="C26" t="s">
        <v>40</v>
      </c>
      <c r="D26" t="s">
        <v>169</v>
      </c>
      <c r="E26" s="1">
        <v>43853</v>
      </c>
      <c r="F26" s="14">
        <v>192.3</v>
      </c>
      <c r="G26" t="s">
        <v>14</v>
      </c>
      <c r="H26">
        <v>596000</v>
      </c>
      <c r="I26">
        <v>596000</v>
      </c>
      <c r="K26" s="18">
        <f t="shared" si="0"/>
        <v>50</v>
      </c>
      <c r="L26" s="18">
        <f t="shared" si="1"/>
        <v>50</v>
      </c>
    </row>
    <row r="27" spans="1:12" ht="15.75">
      <c r="A27" t="s">
        <v>197</v>
      </c>
      <c r="B27" t="s">
        <v>168</v>
      </c>
      <c r="C27" t="s">
        <v>40</v>
      </c>
      <c r="D27" t="s">
        <v>169</v>
      </c>
      <c r="E27" s="1">
        <v>43825</v>
      </c>
      <c r="F27" s="14">
        <v>192.3</v>
      </c>
      <c r="G27" t="s">
        <v>14</v>
      </c>
      <c r="H27">
        <v>596000</v>
      </c>
      <c r="I27">
        <v>596000</v>
      </c>
      <c r="K27" s="18">
        <f t="shared" si="0"/>
        <v>50</v>
      </c>
      <c r="L27" s="18">
        <f t="shared" si="1"/>
        <v>50</v>
      </c>
    </row>
    <row r="28" spans="1:12" ht="15.75">
      <c r="A28" t="s">
        <v>197</v>
      </c>
      <c r="B28" t="s">
        <v>168</v>
      </c>
      <c r="C28" t="s">
        <v>40</v>
      </c>
      <c r="D28" t="s">
        <v>169</v>
      </c>
      <c r="E28" s="1">
        <v>43811</v>
      </c>
      <c r="F28" s="14">
        <v>192.3</v>
      </c>
      <c r="G28" t="s">
        <v>14</v>
      </c>
      <c r="H28">
        <v>596000</v>
      </c>
      <c r="I28">
        <v>596000</v>
      </c>
      <c r="K28" s="18">
        <f t="shared" si="0"/>
        <v>50</v>
      </c>
      <c r="L28" s="18">
        <f t="shared" si="1"/>
        <v>50</v>
      </c>
    </row>
    <row r="29" spans="1:12" ht="15.75">
      <c r="A29" t="s">
        <v>197</v>
      </c>
      <c r="B29" t="s">
        <v>168</v>
      </c>
      <c r="C29" t="s">
        <v>40</v>
      </c>
      <c r="D29" t="s">
        <v>169</v>
      </c>
      <c r="E29" s="1">
        <v>43796</v>
      </c>
      <c r="F29" s="14">
        <v>192.3</v>
      </c>
      <c r="G29" t="s">
        <v>14</v>
      </c>
      <c r="H29">
        <v>596000</v>
      </c>
      <c r="I29">
        <v>596000</v>
      </c>
      <c r="K29" s="18">
        <f t="shared" si="0"/>
        <v>50</v>
      </c>
      <c r="L29" s="18">
        <f t="shared" si="1"/>
        <v>50</v>
      </c>
    </row>
    <row r="30" spans="1:12" ht="15.75">
      <c r="A30" t="s">
        <v>197</v>
      </c>
      <c r="B30" t="s">
        <v>168</v>
      </c>
      <c r="C30" t="s">
        <v>40</v>
      </c>
      <c r="D30" t="s">
        <v>169</v>
      </c>
      <c r="E30" s="1">
        <v>43783</v>
      </c>
      <c r="F30" s="14">
        <v>192.3</v>
      </c>
      <c r="G30" t="s">
        <v>14</v>
      </c>
      <c r="H30">
        <v>596000</v>
      </c>
      <c r="I30">
        <v>596000</v>
      </c>
      <c r="K30" s="18">
        <f t="shared" si="0"/>
        <v>50</v>
      </c>
      <c r="L30" s="18">
        <f t="shared" si="1"/>
        <v>50</v>
      </c>
    </row>
    <row r="31" spans="1:12" ht="15.75">
      <c r="A31" t="s">
        <v>197</v>
      </c>
      <c r="B31" t="s">
        <v>168</v>
      </c>
      <c r="C31" t="s">
        <v>40</v>
      </c>
      <c r="D31" t="s">
        <v>169</v>
      </c>
      <c r="E31" s="1">
        <v>43769</v>
      </c>
      <c r="F31" s="14">
        <v>192.3</v>
      </c>
      <c r="G31" t="s">
        <v>14</v>
      </c>
      <c r="H31">
        <v>596000</v>
      </c>
      <c r="I31">
        <v>596000</v>
      </c>
      <c r="K31" s="18">
        <f t="shared" si="0"/>
        <v>50</v>
      </c>
      <c r="L31" s="18">
        <f t="shared" si="1"/>
        <v>50</v>
      </c>
    </row>
    <row r="32" spans="1:12" ht="15.75">
      <c r="A32" t="s">
        <v>197</v>
      </c>
      <c r="B32" t="s">
        <v>168</v>
      </c>
      <c r="C32" t="s">
        <v>40</v>
      </c>
      <c r="D32" t="s">
        <v>169</v>
      </c>
      <c r="E32" s="1">
        <v>43755</v>
      </c>
      <c r="F32" s="14">
        <v>192.3</v>
      </c>
      <c r="G32" t="s">
        <v>14</v>
      </c>
      <c r="H32">
        <v>596000</v>
      </c>
      <c r="I32">
        <v>596000</v>
      </c>
      <c r="K32" s="18">
        <f t="shared" si="0"/>
        <v>50</v>
      </c>
      <c r="L32" s="18">
        <f t="shared" si="1"/>
        <v>50</v>
      </c>
    </row>
    <row r="33" spans="1:12" ht="15.75">
      <c r="A33" t="s">
        <v>197</v>
      </c>
      <c r="B33" t="s">
        <v>168</v>
      </c>
      <c r="C33" t="s">
        <v>40</v>
      </c>
      <c r="D33" t="s">
        <v>169</v>
      </c>
      <c r="E33" s="1">
        <v>43741</v>
      </c>
      <c r="F33" s="14">
        <v>192.3</v>
      </c>
      <c r="G33" t="s">
        <v>14</v>
      </c>
      <c r="H33">
        <v>596000</v>
      </c>
      <c r="I33">
        <v>596000</v>
      </c>
      <c r="K33" s="18">
        <f t="shared" si="0"/>
        <v>50</v>
      </c>
      <c r="L33" s="18">
        <f t="shared" si="1"/>
        <v>50</v>
      </c>
    </row>
    <row r="34" spans="1:12" ht="15.75">
      <c r="A34" t="s">
        <v>197</v>
      </c>
      <c r="B34" t="s">
        <v>168</v>
      </c>
      <c r="C34" t="s">
        <v>40</v>
      </c>
      <c r="D34" t="s">
        <v>169</v>
      </c>
      <c r="E34" s="1">
        <v>43727</v>
      </c>
      <c r="F34" s="14">
        <v>192.3</v>
      </c>
      <c r="G34" t="s">
        <v>14</v>
      </c>
      <c r="H34">
        <v>596000</v>
      </c>
      <c r="I34">
        <v>596000</v>
      </c>
      <c r="K34" s="18">
        <f t="shared" si="0"/>
        <v>50</v>
      </c>
      <c r="L34" s="18">
        <f t="shared" si="1"/>
        <v>50</v>
      </c>
    </row>
    <row r="35" spans="1:12" ht="15.75">
      <c r="A35" t="s">
        <v>197</v>
      </c>
      <c r="B35" t="s">
        <v>168</v>
      </c>
      <c r="C35" t="s">
        <v>40</v>
      </c>
      <c r="D35" t="s">
        <v>169</v>
      </c>
      <c r="E35" s="1">
        <v>43713</v>
      </c>
      <c r="F35" s="14">
        <v>192.3</v>
      </c>
      <c r="G35" t="s">
        <v>14</v>
      </c>
      <c r="H35">
        <v>596000</v>
      </c>
      <c r="I35">
        <v>596000</v>
      </c>
      <c r="K35" s="18">
        <f t="shared" si="0"/>
        <v>50</v>
      </c>
      <c r="L35" s="18">
        <f t="shared" si="1"/>
        <v>50</v>
      </c>
    </row>
    <row r="36" spans="1:12" ht="15.75">
      <c r="A36" t="s">
        <v>197</v>
      </c>
      <c r="B36" t="s">
        <v>168</v>
      </c>
      <c r="C36" t="s">
        <v>40</v>
      </c>
      <c r="D36" t="s">
        <v>169</v>
      </c>
      <c r="E36" s="1">
        <v>43699</v>
      </c>
      <c r="F36" s="14">
        <v>192.3</v>
      </c>
      <c r="G36" t="s">
        <v>14</v>
      </c>
      <c r="H36">
        <v>596000</v>
      </c>
      <c r="I36">
        <v>596000</v>
      </c>
      <c r="K36" s="18">
        <f t="shared" si="0"/>
        <v>50</v>
      </c>
      <c r="L36" s="18">
        <f t="shared" si="1"/>
        <v>50</v>
      </c>
    </row>
    <row r="37" spans="1:12" ht="15.75">
      <c r="A37" t="s">
        <v>197</v>
      </c>
      <c r="B37" t="s">
        <v>168</v>
      </c>
      <c r="C37" t="s">
        <v>40</v>
      </c>
      <c r="D37" t="s">
        <v>169</v>
      </c>
      <c r="E37" s="1">
        <v>43685</v>
      </c>
      <c r="F37" s="14">
        <v>192.3</v>
      </c>
      <c r="G37" t="s">
        <v>14</v>
      </c>
      <c r="H37">
        <v>596000</v>
      </c>
      <c r="I37">
        <v>596000</v>
      </c>
      <c r="K37" s="18">
        <f t="shared" si="0"/>
        <v>50</v>
      </c>
      <c r="L37" s="18">
        <f t="shared" si="1"/>
        <v>50</v>
      </c>
    </row>
    <row r="38" spans="1:12" ht="15.75">
      <c r="A38" t="s">
        <v>197</v>
      </c>
      <c r="B38" t="s">
        <v>168</v>
      </c>
      <c r="C38" t="s">
        <v>40</v>
      </c>
      <c r="D38" t="s">
        <v>169</v>
      </c>
      <c r="E38" s="1">
        <v>43671</v>
      </c>
      <c r="F38" s="14">
        <v>192.3</v>
      </c>
      <c r="G38" t="s">
        <v>14</v>
      </c>
      <c r="H38">
        <v>596000</v>
      </c>
      <c r="I38">
        <v>596000</v>
      </c>
      <c r="K38" s="18">
        <f t="shared" si="0"/>
        <v>50</v>
      </c>
      <c r="L38" s="18">
        <f t="shared" si="1"/>
        <v>50</v>
      </c>
    </row>
    <row r="39" spans="1:12" ht="15.75">
      <c r="A39" t="s">
        <v>197</v>
      </c>
      <c r="B39" t="s">
        <v>168</v>
      </c>
      <c r="C39" t="s">
        <v>40</v>
      </c>
      <c r="D39" t="s">
        <v>169</v>
      </c>
      <c r="E39" s="1">
        <v>43657</v>
      </c>
      <c r="F39" s="14">
        <v>192.3</v>
      </c>
      <c r="G39" t="s">
        <v>14</v>
      </c>
      <c r="H39">
        <v>596000</v>
      </c>
      <c r="I39">
        <v>596000</v>
      </c>
      <c r="K39" s="18">
        <f t="shared" si="0"/>
        <v>50</v>
      </c>
      <c r="L39" s="18">
        <f t="shared" si="1"/>
        <v>50</v>
      </c>
    </row>
    <row r="40" spans="1:12" ht="15.75">
      <c r="A40" t="s">
        <v>197</v>
      </c>
      <c r="B40" t="s">
        <v>168</v>
      </c>
      <c r="C40" t="s">
        <v>40</v>
      </c>
      <c r="D40" t="s">
        <v>169</v>
      </c>
      <c r="E40" s="1">
        <v>43643</v>
      </c>
      <c r="F40" s="14">
        <v>192.3</v>
      </c>
      <c r="G40" t="s">
        <v>14</v>
      </c>
      <c r="H40">
        <v>596000</v>
      </c>
      <c r="I40">
        <v>596000</v>
      </c>
      <c r="K40" s="18">
        <f t="shared" si="0"/>
        <v>50</v>
      </c>
      <c r="L40" s="18">
        <f t="shared" si="1"/>
        <v>50</v>
      </c>
    </row>
    <row r="41" spans="1:12" ht="15.75">
      <c r="A41" t="s">
        <v>197</v>
      </c>
      <c r="B41" t="s">
        <v>168</v>
      </c>
      <c r="C41" t="s">
        <v>40</v>
      </c>
      <c r="D41" t="s">
        <v>169</v>
      </c>
      <c r="E41" s="1">
        <v>43629</v>
      </c>
      <c r="F41" s="14">
        <v>192.3</v>
      </c>
      <c r="G41" t="s">
        <v>14</v>
      </c>
      <c r="H41">
        <v>596000</v>
      </c>
      <c r="I41">
        <v>596000</v>
      </c>
      <c r="K41" s="18">
        <f t="shared" si="0"/>
        <v>50</v>
      </c>
      <c r="L41" s="18">
        <f t="shared" si="1"/>
        <v>50</v>
      </c>
    </row>
    <row r="42" spans="1:12" ht="15.75">
      <c r="A42" t="s">
        <v>197</v>
      </c>
      <c r="B42" t="s">
        <v>168</v>
      </c>
      <c r="C42" t="s">
        <v>40</v>
      </c>
      <c r="D42" t="s">
        <v>169</v>
      </c>
      <c r="E42" s="1">
        <v>43615</v>
      </c>
      <c r="F42" s="14">
        <v>192.3</v>
      </c>
      <c r="G42" t="s">
        <v>14</v>
      </c>
      <c r="H42">
        <v>596000</v>
      </c>
      <c r="I42">
        <v>596000</v>
      </c>
      <c r="K42" s="18">
        <f t="shared" si="0"/>
        <v>50</v>
      </c>
      <c r="L42" s="18">
        <f t="shared" si="1"/>
        <v>50</v>
      </c>
    </row>
    <row r="43" spans="1:12" ht="15.75">
      <c r="A43" t="s">
        <v>197</v>
      </c>
      <c r="B43" t="s">
        <v>168</v>
      </c>
      <c r="C43" t="s">
        <v>40</v>
      </c>
      <c r="D43" t="s">
        <v>169</v>
      </c>
      <c r="E43" s="1">
        <v>43601</v>
      </c>
      <c r="F43" s="14">
        <v>192.3</v>
      </c>
      <c r="G43" t="s">
        <v>14</v>
      </c>
      <c r="H43">
        <v>596000</v>
      </c>
      <c r="I43">
        <v>596000</v>
      </c>
      <c r="K43" s="18">
        <f t="shared" si="0"/>
        <v>50</v>
      </c>
      <c r="L43" s="18">
        <f t="shared" si="1"/>
        <v>50</v>
      </c>
    </row>
    <row r="44" spans="1:12" ht="15.75">
      <c r="A44" t="s">
        <v>197</v>
      </c>
      <c r="B44" t="s">
        <v>168</v>
      </c>
      <c r="C44" t="s">
        <v>40</v>
      </c>
      <c r="D44" t="s">
        <v>169</v>
      </c>
      <c r="E44" s="1">
        <v>43587</v>
      </c>
      <c r="F44" s="14">
        <v>192.3</v>
      </c>
      <c r="G44" t="s">
        <v>14</v>
      </c>
      <c r="H44">
        <v>596000</v>
      </c>
      <c r="I44">
        <v>596000</v>
      </c>
      <c r="K44" s="18">
        <f t="shared" si="0"/>
        <v>50</v>
      </c>
      <c r="L44" s="18">
        <f t="shared" si="1"/>
        <v>50</v>
      </c>
    </row>
    <row r="45" spans="1:12" ht="15.75">
      <c r="A45" t="s">
        <v>197</v>
      </c>
      <c r="B45" t="s">
        <v>168</v>
      </c>
      <c r="C45" t="s">
        <v>40</v>
      </c>
      <c r="D45" t="s">
        <v>169</v>
      </c>
      <c r="E45" s="1">
        <v>43573</v>
      </c>
      <c r="F45" s="14">
        <v>192.3</v>
      </c>
      <c r="G45" t="s">
        <v>14</v>
      </c>
      <c r="H45">
        <v>596000</v>
      </c>
      <c r="I45">
        <v>596000</v>
      </c>
      <c r="K45" s="18">
        <f t="shared" si="0"/>
        <v>50</v>
      </c>
      <c r="L45" s="18">
        <f t="shared" si="1"/>
        <v>50</v>
      </c>
    </row>
    <row r="46" spans="1:12" ht="15.75">
      <c r="A46" t="s">
        <v>197</v>
      </c>
      <c r="B46" t="s">
        <v>168</v>
      </c>
      <c r="C46" t="s">
        <v>40</v>
      </c>
      <c r="D46" t="s">
        <v>169</v>
      </c>
      <c r="E46" s="1">
        <v>43559</v>
      </c>
      <c r="F46" s="14">
        <v>192.3</v>
      </c>
      <c r="G46" t="s">
        <v>14</v>
      </c>
      <c r="H46">
        <v>596000</v>
      </c>
      <c r="I46">
        <v>596000</v>
      </c>
      <c r="K46" s="18">
        <f t="shared" si="0"/>
        <v>50</v>
      </c>
      <c r="L46" s="18">
        <f t="shared" si="1"/>
        <v>50</v>
      </c>
    </row>
    <row r="47" spans="1:12" ht="15.75">
      <c r="A47" t="s">
        <v>198</v>
      </c>
      <c r="B47" t="s">
        <v>168</v>
      </c>
      <c r="C47" t="s">
        <v>40</v>
      </c>
      <c r="D47" t="s">
        <v>169</v>
      </c>
      <c r="E47" s="1">
        <v>43545</v>
      </c>
      <c r="F47" s="14">
        <v>192.3</v>
      </c>
      <c r="G47" t="s">
        <v>14</v>
      </c>
      <c r="H47">
        <v>596000</v>
      </c>
      <c r="I47">
        <v>596000</v>
      </c>
      <c r="K47" s="18">
        <f t="shared" si="0"/>
        <v>50</v>
      </c>
      <c r="L47" s="18">
        <f t="shared" si="1"/>
        <v>50</v>
      </c>
    </row>
    <row r="48" spans="1:12" ht="15.75">
      <c r="A48" t="s">
        <v>198</v>
      </c>
      <c r="B48" t="s">
        <v>168</v>
      </c>
      <c r="C48" t="s">
        <v>40</v>
      </c>
      <c r="D48" t="s">
        <v>169</v>
      </c>
      <c r="E48" s="1">
        <v>43531</v>
      </c>
      <c r="F48" s="14">
        <v>192.3</v>
      </c>
      <c r="G48" t="s">
        <v>14</v>
      </c>
      <c r="H48">
        <v>596000</v>
      </c>
      <c r="I48">
        <v>596000</v>
      </c>
      <c r="K48" s="18">
        <f t="shared" si="0"/>
        <v>50</v>
      </c>
      <c r="L48" s="18">
        <f t="shared" si="1"/>
        <v>50</v>
      </c>
    </row>
    <row r="49" spans="1:12" ht="15.75">
      <c r="A49" t="s">
        <v>198</v>
      </c>
      <c r="B49" t="s">
        <v>168</v>
      </c>
      <c r="C49" t="s">
        <v>40</v>
      </c>
      <c r="D49" t="s">
        <v>169</v>
      </c>
      <c r="E49" s="1">
        <v>43517</v>
      </c>
      <c r="F49" s="14">
        <v>192.3</v>
      </c>
      <c r="G49" t="s">
        <v>14</v>
      </c>
      <c r="H49">
        <v>596000</v>
      </c>
      <c r="I49">
        <v>596000</v>
      </c>
      <c r="K49" s="18">
        <f t="shared" si="0"/>
        <v>50</v>
      </c>
      <c r="L49" s="18">
        <f t="shared" si="1"/>
        <v>50</v>
      </c>
    </row>
    <row r="50" spans="1:12" ht="15.75">
      <c r="A50" t="s">
        <v>198</v>
      </c>
      <c r="B50" t="s">
        <v>168</v>
      </c>
      <c r="C50" t="s">
        <v>40</v>
      </c>
      <c r="D50" t="s">
        <v>169</v>
      </c>
      <c r="E50" s="1">
        <v>43503</v>
      </c>
      <c r="F50" s="14">
        <v>192.3</v>
      </c>
      <c r="G50" t="s">
        <v>14</v>
      </c>
      <c r="H50">
        <v>596000</v>
      </c>
      <c r="I50">
        <v>596000</v>
      </c>
      <c r="K50" s="18">
        <f t="shared" si="0"/>
        <v>50</v>
      </c>
      <c r="L50" s="18">
        <f t="shared" si="1"/>
        <v>50</v>
      </c>
    </row>
    <row r="51" spans="1:12" ht="15.75">
      <c r="A51" t="s">
        <v>198</v>
      </c>
      <c r="B51" t="s">
        <v>168</v>
      </c>
      <c r="C51" t="s">
        <v>40</v>
      </c>
      <c r="D51" t="s">
        <v>169</v>
      </c>
      <c r="E51" s="1">
        <v>43489</v>
      </c>
      <c r="F51" s="14">
        <v>192.3</v>
      </c>
      <c r="G51" t="s">
        <v>14</v>
      </c>
      <c r="H51">
        <v>596000</v>
      </c>
      <c r="I51">
        <v>596000</v>
      </c>
      <c r="K51" s="18">
        <f t="shared" si="0"/>
        <v>50</v>
      </c>
      <c r="L51" s="18">
        <f t="shared" si="1"/>
        <v>50</v>
      </c>
    </row>
    <row r="52" spans="1:12">
      <c r="F52" s="14">
        <f>SUM(F2:F51)</f>
        <v>9615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7"/>
  <sheetViews>
    <sheetView workbookViewId="0">
      <selection activeCell="A2" sqref="A2"/>
    </sheetView>
  </sheetViews>
  <sheetFormatPr defaultRowHeight="15"/>
  <cols>
    <col min="2" max="2" width="45" customWidth="1"/>
    <col min="6" max="6" width="14.710937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199</v>
      </c>
      <c r="B2" t="s">
        <v>200</v>
      </c>
      <c r="C2" t="s">
        <v>40</v>
      </c>
      <c r="D2" t="s">
        <v>201</v>
      </c>
      <c r="E2" s="1">
        <v>44146</v>
      </c>
      <c r="F2" s="14">
        <v>5000</v>
      </c>
      <c r="G2" t="s">
        <v>204</v>
      </c>
      <c r="K2" s="18"/>
      <c r="L2" s="18"/>
    </row>
    <row r="3" spans="1:16" ht="15.75">
      <c r="A3" t="s">
        <v>199</v>
      </c>
      <c r="B3" t="s">
        <v>202</v>
      </c>
      <c r="C3" t="s">
        <v>40</v>
      </c>
      <c r="D3" t="s">
        <v>201</v>
      </c>
      <c r="E3" s="1">
        <v>44146</v>
      </c>
      <c r="F3" s="14">
        <v>2500</v>
      </c>
      <c r="G3" t="s">
        <v>16</v>
      </c>
      <c r="H3">
        <v>100</v>
      </c>
      <c r="I3">
        <v>0</v>
      </c>
      <c r="K3" s="18">
        <f>(+H3/(H3+I3))*100</f>
        <v>100</v>
      </c>
      <c r="L3" s="18">
        <f>(+I3/(H3+I3))*100</f>
        <v>0</v>
      </c>
    </row>
    <row r="4" spans="1:16" ht="15.75">
      <c r="A4" t="s">
        <v>199</v>
      </c>
      <c r="B4" t="s">
        <v>182</v>
      </c>
      <c r="C4" t="s">
        <v>40</v>
      </c>
      <c r="D4" t="s">
        <v>201</v>
      </c>
      <c r="E4" s="1">
        <v>44146</v>
      </c>
      <c r="F4" s="14">
        <v>2500</v>
      </c>
      <c r="G4" t="s">
        <v>16</v>
      </c>
      <c r="H4">
        <v>100</v>
      </c>
      <c r="I4">
        <v>0</v>
      </c>
      <c r="K4" s="18">
        <f>(+H4/(H4+I4))*100</f>
        <v>100</v>
      </c>
      <c r="L4" s="18">
        <f>(+I4/(H4+I4))*100</f>
        <v>0</v>
      </c>
    </row>
    <row r="5" spans="1:16" ht="15.75">
      <c r="A5" t="s">
        <v>203</v>
      </c>
      <c r="B5" t="s">
        <v>190</v>
      </c>
      <c r="C5" t="s">
        <v>40</v>
      </c>
      <c r="D5" t="s">
        <v>201</v>
      </c>
      <c r="E5" s="1">
        <v>44119</v>
      </c>
      <c r="F5" s="14">
        <v>2500</v>
      </c>
      <c r="G5" t="s">
        <v>16</v>
      </c>
      <c r="H5">
        <v>100</v>
      </c>
      <c r="I5">
        <v>0</v>
      </c>
      <c r="K5" s="18">
        <f>(+H5/(H5+I5))*100</f>
        <v>100</v>
      </c>
      <c r="L5" s="18">
        <f>(+I5/(H5+I5))*100</f>
        <v>0</v>
      </c>
    </row>
    <row r="6" spans="1:16" ht="15.75">
      <c r="A6" t="s">
        <v>199</v>
      </c>
      <c r="B6" t="s">
        <v>168</v>
      </c>
      <c r="C6" t="s">
        <v>40</v>
      </c>
      <c r="D6" t="s">
        <v>169</v>
      </c>
      <c r="E6" s="1">
        <v>43531</v>
      </c>
      <c r="F6" s="14">
        <v>5000</v>
      </c>
      <c r="G6" t="s">
        <v>205</v>
      </c>
      <c r="H6">
        <v>50</v>
      </c>
      <c r="I6">
        <v>50</v>
      </c>
      <c r="K6" s="18">
        <f>(+H6/(H6+I6))*100</f>
        <v>50</v>
      </c>
      <c r="L6" s="18">
        <f>(+I6/(H6+I6))*100</f>
        <v>50</v>
      </c>
    </row>
    <row r="7" spans="1:16">
      <c r="F7" s="14">
        <f>SUM(F2:F6)</f>
        <v>17500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3"/>
  <sheetViews>
    <sheetView topLeftCell="B1" workbookViewId="0">
      <selection activeCell="J7" sqref="J7"/>
    </sheetView>
  </sheetViews>
  <sheetFormatPr defaultRowHeight="15"/>
  <cols>
    <col min="2" max="2" width="30" customWidth="1"/>
    <col min="5" max="5" width="15.140625" customWidth="1"/>
    <col min="6" max="6" width="19.140625" customWidth="1"/>
  </cols>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206</v>
      </c>
      <c r="B2" t="s">
        <v>190</v>
      </c>
      <c r="C2" t="s">
        <v>40</v>
      </c>
      <c r="D2" t="s">
        <v>201</v>
      </c>
      <c r="E2" s="1">
        <v>44137</v>
      </c>
      <c r="F2" s="14">
        <v>2500</v>
      </c>
      <c r="G2" t="s">
        <v>16</v>
      </c>
      <c r="H2">
        <v>100</v>
      </c>
      <c r="I2">
        <v>0</v>
      </c>
      <c r="K2" s="18">
        <f>(+H2/(H2+I2))*100</f>
        <v>100</v>
      </c>
      <c r="L2" s="18">
        <f>(+I2/(H2+I2))*100</f>
        <v>0</v>
      </c>
    </row>
    <row r="3" spans="1:16" ht="15.75">
      <c r="A3" t="s">
        <v>206</v>
      </c>
      <c r="B3" t="s">
        <v>207</v>
      </c>
      <c r="C3" t="s">
        <v>40</v>
      </c>
      <c r="D3" t="s">
        <v>201</v>
      </c>
      <c r="E3" s="1">
        <v>43580</v>
      </c>
      <c r="F3" s="14">
        <v>2500</v>
      </c>
      <c r="G3" t="s">
        <v>16</v>
      </c>
      <c r="H3">
        <v>100</v>
      </c>
      <c r="I3">
        <v>0</v>
      </c>
      <c r="K3" s="18">
        <f>(+H3/(H3+I3))*100</f>
        <v>100</v>
      </c>
      <c r="L3" s="18">
        <f>(+I3/(H3+I3))*100</f>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51"/>
  <sheetViews>
    <sheetView workbookViewId="0">
      <selection activeCell="M15" sqref="M15"/>
    </sheetView>
  </sheetViews>
  <sheetFormatPr defaultRowHeight="15"/>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ht="15.75">
      <c r="A2" t="s">
        <v>208</v>
      </c>
      <c r="B2" t="s">
        <v>168</v>
      </c>
      <c r="C2" t="s">
        <v>40</v>
      </c>
      <c r="D2" t="s">
        <v>169</v>
      </c>
      <c r="E2" s="1">
        <v>44189</v>
      </c>
      <c r="F2" s="14">
        <v>192.3</v>
      </c>
      <c r="G2" t="s">
        <v>14</v>
      </c>
      <c r="H2" s="35">
        <v>2447632</v>
      </c>
      <c r="I2" s="35">
        <v>2526582</v>
      </c>
      <c r="K2" s="18">
        <f t="shared" ref="K2:K33" si="0">(+H2/(H2+I2))*100</f>
        <v>49.206407283643202</v>
      </c>
      <c r="L2" s="18">
        <f t="shared" ref="L2:L33" si="1">(+I2/(H2+I2))*100</f>
        <v>50.793592716356798</v>
      </c>
    </row>
    <row r="3" spans="1:16" ht="15.75">
      <c r="A3" t="s">
        <v>208</v>
      </c>
      <c r="B3" t="s">
        <v>168</v>
      </c>
      <c r="C3" t="s">
        <v>40</v>
      </c>
      <c r="D3" t="s">
        <v>169</v>
      </c>
      <c r="E3" s="1">
        <v>44175</v>
      </c>
      <c r="F3" s="14">
        <v>192.3</v>
      </c>
      <c r="G3" t="s">
        <v>14</v>
      </c>
      <c r="H3" s="35">
        <v>2447632</v>
      </c>
      <c r="I3" s="35">
        <v>2526582</v>
      </c>
      <c r="K3" s="18">
        <f t="shared" si="0"/>
        <v>49.206407283643202</v>
      </c>
      <c r="L3" s="18">
        <f t="shared" si="1"/>
        <v>50.793592716356798</v>
      </c>
    </row>
    <row r="4" spans="1:16" ht="15.75">
      <c r="A4" t="s">
        <v>208</v>
      </c>
      <c r="B4" t="s">
        <v>168</v>
      </c>
      <c r="C4" t="s">
        <v>40</v>
      </c>
      <c r="D4" t="s">
        <v>169</v>
      </c>
      <c r="E4" s="1">
        <v>44160</v>
      </c>
      <c r="F4" s="14">
        <v>192.3</v>
      </c>
      <c r="G4" t="s">
        <v>14</v>
      </c>
      <c r="H4" s="35">
        <v>2447632</v>
      </c>
      <c r="I4" s="35">
        <v>2526582</v>
      </c>
      <c r="K4" s="18">
        <f t="shared" si="0"/>
        <v>49.206407283643202</v>
      </c>
      <c r="L4" s="18">
        <f t="shared" si="1"/>
        <v>50.793592716356798</v>
      </c>
    </row>
    <row r="5" spans="1:16" ht="15.75">
      <c r="A5" t="s">
        <v>208</v>
      </c>
      <c r="B5" t="s">
        <v>168</v>
      </c>
      <c r="C5" t="s">
        <v>40</v>
      </c>
      <c r="D5" t="s">
        <v>169</v>
      </c>
      <c r="E5" s="1">
        <v>44147</v>
      </c>
      <c r="F5" s="14">
        <v>192.3</v>
      </c>
      <c r="G5" t="s">
        <v>14</v>
      </c>
      <c r="H5" s="35">
        <v>2447632</v>
      </c>
      <c r="I5" s="35">
        <v>2526582</v>
      </c>
      <c r="K5" s="18">
        <f t="shared" si="0"/>
        <v>49.206407283643202</v>
      </c>
      <c r="L5" s="18">
        <f t="shared" si="1"/>
        <v>50.793592716356798</v>
      </c>
    </row>
    <row r="6" spans="1:16" ht="15.75">
      <c r="A6" t="s">
        <v>208</v>
      </c>
      <c r="B6" t="s">
        <v>168</v>
      </c>
      <c r="C6" t="s">
        <v>40</v>
      </c>
      <c r="D6" t="s">
        <v>169</v>
      </c>
      <c r="E6" s="1">
        <v>44133</v>
      </c>
      <c r="F6" s="14">
        <v>192.3</v>
      </c>
      <c r="G6" t="s">
        <v>14</v>
      </c>
      <c r="H6" s="35">
        <v>2447632</v>
      </c>
      <c r="I6" s="35">
        <v>2526582</v>
      </c>
      <c r="K6" s="18">
        <f t="shared" si="0"/>
        <v>49.206407283643202</v>
      </c>
      <c r="L6" s="18">
        <f t="shared" si="1"/>
        <v>50.793592716356798</v>
      </c>
    </row>
    <row r="7" spans="1:16" ht="15.75">
      <c r="A7" t="s">
        <v>208</v>
      </c>
      <c r="B7" t="s">
        <v>168</v>
      </c>
      <c r="C7" t="s">
        <v>40</v>
      </c>
      <c r="D7" t="s">
        <v>169</v>
      </c>
      <c r="E7" s="1">
        <v>44119</v>
      </c>
      <c r="F7" s="14">
        <v>192.3</v>
      </c>
      <c r="G7" t="s">
        <v>14</v>
      </c>
      <c r="H7" s="35">
        <v>2447632</v>
      </c>
      <c r="I7" s="35">
        <v>2526582</v>
      </c>
      <c r="K7" s="18">
        <f t="shared" si="0"/>
        <v>49.206407283643202</v>
      </c>
      <c r="L7" s="18">
        <f t="shared" si="1"/>
        <v>50.793592716356798</v>
      </c>
    </row>
    <row r="8" spans="1:16" ht="15.75">
      <c r="A8" t="s">
        <v>208</v>
      </c>
      <c r="B8" t="s">
        <v>168</v>
      </c>
      <c r="C8" t="s">
        <v>40</v>
      </c>
      <c r="D8" t="s">
        <v>169</v>
      </c>
      <c r="E8" s="1">
        <v>44105</v>
      </c>
      <c r="F8" s="14">
        <v>192.3</v>
      </c>
      <c r="G8" t="s">
        <v>14</v>
      </c>
      <c r="H8" s="35">
        <v>2447632</v>
      </c>
      <c r="I8" s="35">
        <v>2526582</v>
      </c>
      <c r="K8" s="18">
        <f t="shared" si="0"/>
        <v>49.206407283643202</v>
      </c>
      <c r="L8" s="18">
        <f t="shared" si="1"/>
        <v>50.793592716356798</v>
      </c>
    </row>
    <row r="9" spans="1:16" ht="15.75">
      <c r="A9" t="s">
        <v>208</v>
      </c>
      <c r="B9" t="s">
        <v>168</v>
      </c>
      <c r="C9" t="s">
        <v>40</v>
      </c>
      <c r="D9" t="s">
        <v>169</v>
      </c>
      <c r="E9" s="1">
        <v>44091</v>
      </c>
      <c r="F9" s="14">
        <v>192.3</v>
      </c>
      <c r="G9" t="s">
        <v>14</v>
      </c>
      <c r="H9" s="35">
        <v>2447632</v>
      </c>
      <c r="I9" s="35">
        <v>2526582</v>
      </c>
      <c r="K9" s="18">
        <f t="shared" si="0"/>
        <v>49.206407283643202</v>
      </c>
      <c r="L9" s="18">
        <f t="shared" si="1"/>
        <v>50.793592716356798</v>
      </c>
    </row>
    <row r="10" spans="1:16" ht="15.75">
      <c r="A10" t="s">
        <v>208</v>
      </c>
      <c r="B10" t="s">
        <v>168</v>
      </c>
      <c r="C10" t="s">
        <v>40</v>
      </c>
      <c r="D10" t="s">
        <v>169</v>
      </c>
      <c r="E10" s="1">
        <v>44077</v>
      </c>
      <c r="F10" s="14">
        <v>192.3</v>
      </c>
      <c r="G10" t="s">
        <v>14</v>
      </c>
      <c r="H10" s="35">
        <v>2447632</v>
      </c>
      <c r="I10" s="35">
        <v>2526582</v>
      </c>
      <c r="K10" s="18">
        <f t="shared" si="0"/>
        <v>49.206407283643202</v>
      </c>
      <c r="L10" s="18">
        <f t="shared" si="1"/>
        <v>50.793592716356798</v>
      </c>
    </row>
    <row r="11" spans="1:16" ht="15.75">
      <c r="A11" t="s">
        <v>208</v>
      </c>
      <c r="B11" t="s">
        <v>168</v>
      </c>
      <c r="C11" t="s">
        <v>40</v>
      </c>
      <c r="D11" t="s">
        <v>169</v>
      </c>
      <c r="E11" s="1">
        <v>44063</v>
      </c>
      <c r="F11" s="14">
        <v>192.3</v>
      </c>
      <c r="G11" t="s">
        <v>14</v>
      </c>
      <c r="H11" s="35">
        <v>2447632</v>
      </c>
      <c r="I11" s="35">
        <v>2526582</v>
      </c>
      <c r="K11" s="18">
        <f t="shared" si="0"/>
        <v>49.206407283643202</v>
      </c>
      <c r="L11" s="18">
        <f t="shared" si="1"/>
        <v>50.793592716356798</v>
      </c>
    </row>
    <row r="12" spans="1:16" ht="15.75">
      <c r="A12" t="s">
        <v>208</v>
      </c>
      <c r="B12" t="s">
        <v>168</v>
      </c>
      <c r="C12" t="s">
        <v>40</v>
      </c>
      <c r="D12" t="s">
        <v>169</v>
      </c>
      <c r="E12" s="1">
        <v>44049</v>
      </c>
      <c r="F12" s="14">
        <v>192.3</v>
      </c>
      <c r="G12" t="s">
        <v>14</v>
      </c>
      <c r="H12" s="35">
        <v>2447632</v>
      </c>
      <c r="I12" s="35">
        <v>2526582</v>
      </c>
      <c r="K12" s="18">
        <f t="shared" si="0"/>
        <v>49.206407283643202</v>
      </c>
      <c r="L12" s="18">
        <f t="shared" si="1"/>
        <v>50.793592716356798</v>
      </c>
    </row>
    <row r="13" spans="1:16" ht="15.75">
      <c r="A13" t="s">
        <v>208</v>
      </c>
      <c r="B13" t="s">
        <v>168</v>
      </c>
      <c r="C13" t="s">
        <v>40</v>
      </c>
      <c r="D13" t="s">
        <v>169</v>
      </c>
      <c r="E13" s="1">
        <v>44035</v>
      </c>
      <c r="F13" s="14">
        <v>192.3</v>
      </c>
      <c r="G13" t="s">
        <v>14</v>
      </c>
      <c r="H13" s="35">
        <v>2447632</v>
      </c>
      <c r="I13" s="35">
        <v>2526582</v>
      </c>
      <c r="K13" s="18">
        <f t="shared" si="0"/>
        <v>49.206407283643202</v>
      </c>
      <c r="L13" s="18">
        <f t="shared" si="1"/>
        <v>50.793592716356798</v>
      </c>
    </row>
    <row r="14" spans="1:16" ht="15.75">
      <c r="A14" t="s">
        <v>208</v>
      </c>
      <c r="B14" t="s">
        <v>168</v>
      </c>
      <c r="C14" t="s">
        <v>40</v>
      </c>
      <c r="D14" t="s">
        <v>169</v>
      </c>
      <c r="E14" s="1">
        <v>44021</v>
      </c>
      <c r="F14" s="14">
        <v>192.3</v>
      </c>
      <c r="G14" t="s">
        <v>14</v>
      </c>
      <c r="H14" s="35">
        <v>2447632</v>
      </c>
      <c r="I14" s="35">
        <v>2526582</v>
      </c>
      <c r="K14" s="18">
        <f t="shared" si="0"/>
        <v>49.206407283643202</v>
      </c>
      <c r="L14" s="18">
        <f t="shared" si="1"/>
        <v>50.793592716356798</v>
      </c>
    </row>
    <row r="15" spans="1:16" ht="15.75">
      <c r="A15" t="s">
        <v>208</v>
      </c>
      <c r="B15" t="s">
        <v>168</v>
      </c>
      <c r="C15" t="s">
        <v>40</v>
      </c>
      <c r="D15" t="s">
        <v>169</v>
      </c>
      <c r="E15" s="1">
        <v>44007</v>
      </c>
      <c r="F15" s="14">
        <v>192.3</v>
      </c>
      <c r="G15" t="s">
        <v>14</v>
      </c>
      <c r="H15" s="35">
        <v>2447632</v>
      </c>
      <c r="I15" s="35">
        <v>2526582</v>
      </c>
      <c r="K15" s="18">
        <f t="shared" si="0"/>
        <v>49.206407283643202</v>
      </c>
      <c r="L15" s="18">
        <f t="shared" si="1"/>
        <v>50.793592716356798</v>
      </c>
    </row>
    <row r="16" spans="1:16" ht="15.75">
      <c r="A16" t="s">
        <v>208</v>
      </c>
      <c r="B16" t="s">
        <v>168</v>
      </c>
      <c r="C16" t="s">
        <v>40</v>
      </c>
      <c r="D16" t="s">
        <v>169</v>
      </c>
      <c r="E16" s="1">
        <v>43993</v>
      </c>
      <c r="F16" s="14">
        <v>192.3</v>
      </c>
      <c r="G16" t="s">
        <v>14</v>
      </c>
      <c r="H16" s="35">
        <v>2447632</v>
      </c>
      <c r="I16" s="35">
        <v>2526582</v>
      </c>
      <c r="K16" s="18">
        <f t="shared" si="0"/>
        <v>49.206407283643202</v>
      </c>
      <c r="L16" s="18">
        <f t="shared" si="1"/>
        <v>50.793592716356798</v>
      </c>
    </row>
    <row r="17" spans="1:12" ht="15.75">
      <c r="A17" t="s">
        <v>208</v>
      </c>
      <c r="B17" t="s">
        <v>168</v>
      </c>
      <c r="C17" t="s">
        <v>40</v>
      </c>
      <c r="D17" t="s">
        <v>169</v>
      </c>
      <c r="E17" s="1">
        <v>43979</v>
      </c>
      <c r="F17" s="14">
        <v>192.3</v>
      </c>
      <c r="G17" t="s">
        <v>14</v>
      </c>
      <c r="H17" s="35">
        <v>2447632</v>
      </c>
      <c r="I17" s="35">
        <v>2526582</v>
      </c>
      <c r="K17" s="18">
        <f t="shared" si="0"/>
        <v>49.206407283643202</v>
      </c>
      <c r="L17" s="18">
        <f t="shared" si="1"/>
        <v>50.793592716356798</v>
      </c>
    </row>
    <row r="18" spans="1:12" ht="15.75">
      <c r="A18" t="s">
        <v>208</v>
      </c>
      <c r="B18" t="s">
        <v>168</v>
      </c>
      <c r="C18" t="s">
        <v>40</v>
      </c>
      <c r="D18" t="s">
        <v>169</v>
      </c>
      <c r="E18" s="1">
        <v>43965</v>
      </c>
      <c r="F18" s="14">
        <v>192.3</v>
      </c>
      <c r="G18" t="s">
        <v>14</v>
      </c>
      <c r="H18" s="35">
        <v>2447632</v>
      </c>
      <c r="I18" s="35">
        <v>2526582</v>
      </c>
      <c r="K18" s="18">
        <f t="shared" si="0"/>
        <v>49.206407283643202</v>
      </c>
      <c r="L18" s="18">
        <f t="shared" si="1"/>
        <v>50.793592716356798</v>
      </c>
    </row>
    <row r="19" spans="1:12" ht="15.75">
      <c r="A19" t="s">
        <v>208</v>
      </c>
      <c r="B19" t="s">
        <v>168</v>
      </c>
      <c r="C19" t="s">
        <v>40</v>
      </c>
      <c r="D19" t="s">
        <v>169</v>
      </c>
      <c r="E19" s="1">
        <v>43951</v>
      </c>
      <c r="F19" s="14">
        <v>192.3</v>
      </c>
      <c r="G19" t="s">
        <v>14</v>
      </c>
      <c r="H19" s="35">
        <v>2447632</v>
      </c>
      <c r="I19" s="35">
        <v>2526582</v>
      </c>
      <c r="K19" s="18">
        <f t="shared" si="0"/>
        <v>49.206407283643202</v>
      </c>
      <c r="L19" s="18">
        <f t="shared" si="1"/>
        <v>50.793592716356798</v>
      </c>
    </row>
    <row r="20" spans="1:12" ht="15.75">
      <c r="A20" t="s">
        <v>208</v>
      </c>
      <c r="B20" t="s">
        <v>168</v>
      </c>
      <c r="C20" t="s">
        <v>40</v>
      </c>
      <c r="D20" t="s">
        <v>169</v>
      </c>
      <c r="E20" s="1">
        <v>43937</v>
      </c>
      <c r="F20" s="14">
        <v>192.3</v>
      </c>
      <c r="G20" t="s">
        <v>14</v>
      </c>
      <c r="H20" s="35">
        <v>2447632</v>
      </c>
      <c r="I20" s="35">
        <v>2526582</v>
      </c>
      <c r="K20" s="18">
        <f t="shared" si="0"/>
        <v>49.206407283643202</v>
      </c>
      <c r="L20" s="18">
        <f t="shared" si="1"/>
        <v>50.793592716356798</v>
      </c>
    </row>
    <row r="21" spans="1:12" ht="15.75">
      <c r="A21" t="s">
        <v>208</v>
      </c>
      <c r="B21" t="s">
        <v>168</v>
      </c>
      <c r="C21" t="s">
        <v>40</v>
      </c>
      <c r="D21" t="s">
        <v>169</v>
      </c>
      <c r="E21" s="1">
        <v>43923</v>
      </c>
      <c r="F21" s="14">
        <v>192.3</v>
      </c>
      <c r="G21" t="s">
        <v>14</v>
      </c>
      <c r="H21" s="35">
        <v>2447632</v>
      </c>
      <c r="I21" s="35">
        <v>2526582</v>
      </c>
      <c r="K21" s="18">
        <f t="shared" si="0"/>
        <v>49.206407283643202</v>
      </c>
      <c r="L21" s="18">
        <f t="shared" si="1"/>
        <v>50.793592716356798</v>
      </c>
    </row>
    <row r="22" spans="1:12" ht="15.75">
      <c r="A22" t="s">
        <v>208</v>
      </c>
      <c r="B22" t="s">
        <v>168</v>
      </c>
      <c r="C22" t="s">
        <v>40</v>
      </c>
      <c r="D22" t="s">
        <v>169</v>
      </c>
      <c r="E22" s="1">
        <v>43909</v>
      </c>
      <c r="F22" s="14">
        <v>192.3</v>
      </c>
      <c r="G22" t="s">
        <v>14</v>
      </c>
      <c r="H22" s="35">
        <v>2447632</v>
      </c>
      <c r="I22" s="35">
        <v>2526582</v>
      </c>
      <c r="K22" s="18">
        <f t="shared" si="0"/>
        <v>49.206407283643202</v>
      </c>
      <c r="L22" s="18">
        <f t="shared" si="1"/>
        <v>50.793592716356798</v>
      </c>
    </row>
    <row r="23" spans="1:12" ht="15.75">
      <c r="A23" t="s">
        <v>208</v>
      </c>
      <c r="B23" t="s">
        <v>168</v>
      </c>
      <c r="C23" t="s">
        <v>40</v>
      </c>
      <c r="D23" t="s">
        <v>169</v>
      </c>
      <c r="E23" s="1">
        <v>43895</v>
      </c>
      <c r="F23" s="14">
        <v>192.3</v>
      </c>
      <c r="G23" t="s">
        <v>14</v>
      </c>
      <c r="H23" s="35">
        <v>2447632</v>
      </c>
      <c r="I23" s="35">
        <v>2526582</v>
      </c>
      <c r="K23" s="18">
        <f t="shared" si="0"/>
        <v>49.206407283643202</v>
      </c>
      <c r="L23" s="18">
        <f t="shared" si="1"/>
        <v>50.793592716356798</v>
      </c>
    </row>
    <row r="24" spans="1:12" ht="15.75">
      <c r="A24" t="s">
        <v>208</v>
      </c>
      <c r="B24" t="s">
        <v>168</v>
      </c>
      <c r="C24" t="s">
        <v>40</v>
      </c>
      <c r="D24" t="s">
        <v>169</v>
      </c>
      <c r="E24" s="1">
        <v>43881</v>
      </c>
      <c r="F24" s="14">
        <v>192.3</v>
      </c>
      <c r="G24" t="s">
        <v>14</v>
      </c>
      <c r="H24" s="35">
        <v>2447632</v>
      </c>
      <c r="I24" s="35">
        <v>2526582</v>
      </c>
      <c r="K24" s="18">
        <f t="shared" si="0"/>
        <v>49.206407283643202</v>
      </c>
      <c r="L24" s="18">
        <f t="shared" si="1"/>
        <v>50.793592716356798</v>
      </c>
    </row>
    <row r="25" spans="1:12" ht="15.75">
      <c r="A25" t="s">
        <v>208</v>
      </c>
      <c r="B25" t="s">
        <v>168</v>
      </c>
      <c r="C25" t="s">
        <v>40</v>
      </c>
      <c r="D25" t="s">
        <v>169</v>
      </c>
      <c r="E25" s="1">
        <v>43867</v>
      </c>
      <c r="F25" s="14">
        <v>192.3</v>
      </c>
      <c r="G25" t="s">
        <v>14</v>
      </c>
      <c r="H25" s="35">
        <v>2447632</v>
      </c>
      <c r="I25" s="35">
        <v>2526582</v>
      </c>
      <c r="K25" s="18">
        <f t="shared" si="0"/>
        <v>49.206407283643202</v>
      </c>
      <c r="L25" s="18">
        <f t="shared" si="1"/>
        <v>50.793592716356798</v>
      </c>
    </row>
    <row r="26" spans="1:12" ht="15.75">
      <c r="A26" t="s">
        <v>208</v>
      </c>
      <c r="B26" t="s">
        <v>168</v>
      </c>
      <c r="C26" t="s">
        <v>40</v>
      </c>
      <c r="D26" t="s">
        <v>169</v>
      </c>
      <c r="E26" s="1">
        <v>43853</v>
      </c>
      <c r="F26" s="14">
        <v>192.3</v>
      </c>
      <c r="G26" t="s">
        <v>14</v>
      </c>
      <c r="H26" s="35">
        <v>2447632</v>
      </c>
      <c r="I26" s="35">
        <v>2526582</v>
      </c>
      <c r="K26" s="18">
        <f t="shared" si="0"/>
        <v>49.206407283643202</v>
      </c>
      <c r="L26" s="18">
        <f t="shared" si="1"/>
        <v>50.793592716356798</v>
      </c>
    </row>
    <row r="27" spans="1:12" ht="15.75">
      <c r="A27" t="s">
        <v>208</v>
      </c>
      <c r="B27" t="s">
        <v>168</v>
      </c>
      <c r="C27" t="s">
        <v>40</v>
      </c>
      <c r="D27" t="s">
        <v>169</v>
      </c>
      <c r="E27" s="1">
        <v>43825</v>
      </c>
      <c r="F27" s="14">
        <v>192.3</v>
      </c>
      <c r="G27" t="s">
        <v>14</v>
      </c>
      <c r="H27" s="35">
        <v>2447632</v>
      </c>
      <c r="I27" s="35">
        <v>2526582</v>
      </c>
      <c r="K27" s="18">
        <f t="shared" si="0"/>
        <v>49.206407283643202</v>
      </c>
      <c r="L27" s="18">
        <f t="shared" si="1"/>
        <v>50.793592716356798</v>
      </c>
    </row>
    <row r="28" spans="1:12" ht="15.75">
      <c r="A28" t="s">
        <v>208</v>
      </c>
      <c r="B28" t="s">
        <v>168</v>
      </c>
      <c r="C28" t="s">
        <v>40</v>
      </c>
      <c r="D28" t="s">
        <v>169</v>
      </c>
      <c r="E28" s="1">
        <v>43811</v>
      </c>
      <c r="F28" s="14">
        <v>192.3</v>
      </c>
      <c r="G28" t="s">
        <v>14</v>
      </c>
      <c r="H28" s="35">
        <v>2447632</v>
      </c>
      <c r="I28" s="35">
        <v>2526582</v>
      </c>
      <c r="K28" s="18">
        <f t="shared" si="0"/>
        <v>49.206407283643202</v>
      </c>
      <c r="L28" s="18">
        <f t="shared" si="1"/>
        <v>50.793592716356798</v>
      </c>
    </row>
    <row r="29" spans="1:12" ht="15.75">
      <c r="A29" t="s">
        <v>208</v>
      </c>
      <c r="B29" t="s">
        <v>168</v>
      </c>
      <c r="C29" t="s">
        <v>40</v>
      </c>
      <c r="D29" t="s">
        <v>169</v>
      </c>
      <c r="E29" s="1">
        <v>43796</v>
      </c>
      <c r="F29" s="14">
        <v>192.3</v>
      </c>
      <c r="G29" t="s">
        <v>14</v>
      </c>
      <c r="H29" s="35">
        <v>2447632</v>
      </c>
      <c r="I29" s="35">
        <v>2526582</v>
      </c>
      <c r="K29" s="18">
        <f t="shared" si="0"/>
        <v>49.206407283643202</v>
      </c>
      <c r="L29" s="18">
        <f t="shared" si="1"/>
        <v>50.793592716356798</v>
      </c>
    </row>
    <row r="30" spans="1:12" ht="15.75">
      <c r="A30" t="s">
        <v>208</v>
      </c>
      <c r="B30" t="s">
        <v>168</v>
      </c>
      <c r="C30" t="s">
        <v>40</v>
      </c>
      <c r="D30" t="s">
        <v>169</v>
      </c>
      <c r="E30" s="1">
        <v>43783</v>
      </c>
      <c r="F30" s="14">
        <v>192.3</v>
      </c>
      <c r="G30" t="s">
        <v>14</v>
      </c>
      <c r="H30" s="35">
        <v>2447632</v>
      </c>
      <c r="I30" s="35">
        <v>2526582</v>
      </c>
      <c r="K30" s="18">
        <f t="shared" si="0"/>
        <v>49.206407283643202</v>
      </c>
      <c r="L30" s="18">
        <f t="shared" si="1"/>
        <v>50.793592716356798</v>
      </c>
    </row>
    <row r="31" spans="1:12" ht="15.75">
      <c r="A31" t="s">
        <v>208</v>
      </c>
      <c r="B31" t="s">
        <v>168</v>
      </c>
      <c r="C31" t="s">
        <v>40</v>
      </c>
      <c r="D31" t="s">
        <v>169</v>
      </c>
      <c r="E31" s="1">
        <v>43769</v>
      </c>
      <c r="F31" s="14">
        <v>192.3</v>
      </c>
      <c r="G31" t="s">
        <v>14</v>
      </c>
      <c r="H31" s="35">
        <v>2447632</v>
      </c>
      <c r="I31" s="35">
        <v>2526582</v>
      </c>
      <c r="K31" s="18">
        <f t="shared" si="0"/>
        <v>49.206407283643202</v>
      </c>
      <c r="L31" s="18">
        <f t="shared" si="1"/>
        <v>50.793592716356798</v>
      </c>
    </row>
    <row r="32" spans="1:12" ht="15.75">
      <c r="A32" t="s">
        <v>208</v>
      </c>
      <c r="B32" t="s">
        <v>168</v>
      </c>
      <c r="C32" t="s">
        <v>40</v>
      </c>
      <c r="D32" t="s">
        <v>169</v>
      </c>
      <c r="E32" s="1">
        <v>43755</v>
      </c>
      <c r="F32" s="14">
        <v>192.3</v>
      </c>
      <c r="G32" t="s">
        <v>14</v>
      </c>
      <c r="H32" s="35">
        <v>2447632</v>
      </c>
      <c r="I32" s="35">
        <v>2526582</v>
      </c>
      <c r="K32" s="18">
        <f t="shared" si="0"/>
        <v>49.206407283643202</v>
      </c>
      <c r="L32" s="18">
        <f t="shared" si="1"/>
        <v>50.793592716356798</v>
      </c>
    </row>
    <row r="33" spans="1:12" ht="15.75">
      <c r="A33" t="s">
        <v>208</v>
      </c>
      <c r="B33" t="s">
        <v>168</v>
      </c>
      <c r="C33" t="s">
        <v>40</v>
      </c>
      <c r="D33" t="s">
        <v>169</v>
      </c>
      <c r="E33" s="1">
        <v>43741</v>
      </c>
      <c r="F33" s="14">
        <v>192.3</v>
      </c>
      <c r="G33" t="s">
        <v>14</v>
      </c>
      <c r="H33" s="35">
        <v>2447632</v>
      </c>
      <c r="I33" s="35">
        <v>2526582</v>
      </c>
      <c r="K33" s="18">
        <f t="shared" si="0"/>
        <v>49.206407283643202</v>
      </c>
      <c r="L33" s="18">
        <f t="shared" si="1"/>
        <v>50.793592716356798</v>
      </c>
    </row>
    <row r="34" spans="1:12" ht="15.75">
      <c r="A34" t="s">
        <v>208</v>
      </c>
      <c r="B34" t="s">
        <v>168</v>
      </c>
      <c r="C34" t="s">
        <v>40</v>
      </c>
      <c r="D34" t="s">
        <v>169</v>
      </c>
      <c r="E34" s="1">
        <v>43727</v>
      </c>
      <c r="F34" s="14">
        <v>192.3</v>
      </c>
      <c r="G34" t="s">
        <v>14</v>
      </c>
      <c r="H34" s="35">
        <v>2447632</v>
      </c>
      <c r="I34" s="35">
        <v>2526582</v>
      </c>
      <c r="K34" s="18">
        <f t="shared" ref="K34:K51" si="2">(+H34/(H34+I34))*100</f>
        <v>49.206407283643202</v>
      </c>
      <c r="L34" s="18">
        <f t="shared" ref="L34:L51" si="3">(+I34/(H34+I34))*100</f>
        <v>50.793592716356798</v>
      </c>
    </row>
    <row r="35" spans="1:12" ht="15.75">
      <c r="A35" t="s">
        <v>208</v>
      </c>
      <c r="B35" t="s">
        <v>168</v>
      </c>
      <c r="C35" t="s">
        <v>40</v>
      </c>
      <c r="D35" t="s">
        <v>169</v>
      </c>
      <c r="E35" s="1">
        <v>43713</v>
      </c>
      <c r="F35" s="14">
        <v>192.3</v>
      </c>
      <c r="G35" t="s">
        <v>14</v>
      </c>
      <c r="H35" s="35">
        <v>2447632</v>
      </c>
      <c r="I35" s="35">
        <v>2526582</v>
      </c>
      <c r="K35" s="18">
        <f t="shared" si="2"/>
        <v>49.206407283643202</v>
      </c>
      <c r="L35" s="18">
        <f t="shared" si="3"/>
        <v>50.793592716356798</v>
      </c>
    </row>
    <row r="36" spans="1:12" ht="15.75">
      <c r="A36" t="s">
        <v>208</v>
      </c>
      <c r="B36" t="s">
        <v>168</v>
      </c>
      <c r="C36" t="s">
        <v>40</v>
      </c>
      <c r="D36" t="s">
        <v>169</v>
      </c>
      <c r="E36" s="1">
        <v>43699</v>
      </c>
      <c r="F36" s="14">
        <v>192.3</v>
      </c>
      <c r="G36" t="s">
        <v>14</v>
      </c>
      <c r="H36" s="35">
        <v>2447632</v>
      </c>
      <c r="I36" s="35">
        <v>2526582</v>
      </c>
      <c r="K36" s="18">
        <f t="shared" si="2"/>
        <v>49.206407283643202</v>
      </c>
      <c r="L36" s="18">
        <f t="shared" si="3"/>
        <v>50.793592716356798</v>
      </c>
    </row>
    <row r="37" spans="1:12" ht="15.75">
      <c r="A37" t="s">
        <v>208</v>
      </c>
      <c r="B37" t="s">
        <v>168</v>
      </c>
      <c r="C37" t="s">
        <v>40</v>
      </c>
      <c r="D37" t="s">
        <v>169</v>
      </c>
      <c r="E37" s="1">
        <v>43685</v>
      </c>
      <c r="F37" s="14">
        <v>192.3</v>
      </c>
      <c r="G37" t="s">
        <v>14</v>
      </c>
      <c r="H37" s="35">
        <v>2447632</v>
      </c>
      <c r="I37" s="35">
        <v>2526582</v>
      </c>
      <c r="K37" s="18">
        <f t="shared" si="2"/>
        <v>49.206407283643202</v>
      </c>
      <c r="L37" s="18">
        <f t="shared" si="3"/>
        <v>50.793592716356798</v>
      </c>
    </row>
    <row r="38" spans="1:12" ht="15.75">
      <c r="A38" t="s">
        <v>208</v>
      </c>
      <c r="B38" t="s">
        <v>168</v>
      </c>
      <c r="C38" t="s">
        <v>40</v>
      </c>
      <c r="D38" t="s">
        <v>169</v>
      </c>
      <c r="E38" s="1">
        <v>43671</v>
      </c>
      <c r="F38" s="14">
        <v>192.3</v>
      </c>
      <c r="G38" t="s">
        <v>14</v>
      </c>
      <c r="H38" s="35">
        <v>2447632</v>
      </c>
      <c r="I38" s="35">
        <v>2526582</v>
      </c>
      <c r="K38" s="18">
        <f t="shared" si="2"/>
        <v>49.206407283643202</v>
      </c>
      <c r="L38" s="18">
        <f t="shared" si="3"/>
        <v>50.793592716356798</v>
      </c>
    </row>
    <row r="39" spans="1:12" ht="15.75">
      <c r="A39" t="s">
        <v>208</v>
      </c>
      <c r="B39" t="s">
        <v>168</v>
      </c>
      <c r="C39" t="s">
        <v>40</v>
      </c>
      <c r="D39" t="s">
        <v>169</v>
      </c>
      <c r="E39" s="1">
        <v>43657</v>
      </c>
      <c r="F39" s="14">
        <v>192.3</v>
      </c>
      <c r="G39" t="s">
        <v>14</v>
      </c>
      <c r="H39" s="35">
        <v>2447632</v>
      </c>
      <c r="I39" s="35">
        <v>2526582</v>
      </c>
      <c r="K39" s="18">
        <f t="shared" si="2"/>
        <v>49.206407283643202</v>
      </c>
      <c r="L39" s="18">
        <f t="shared" si="3"/>
        <v>50.793592716356798</v>
      </c>
    </row>
    <row r="40" spans="1:12" ht="15.75">
      <c r="A40" t="s">
        <v>208</v>
      </c>
      <c r="B40" t="s">
        <v>168</v>
      </c>
      <c r="C40" t="s">
        <v>40</v>
      </c>
      <c r="D40" t="s">
        <v>169</v>
      </c>
      <c r="E40" s="1">
        <v>43643</v>
      </c>
      <c r="F40" s="14">
        <v>192.3</v>
      </c>
      <c r="G40" t="s">
        <v>14</v>
      </c>
      <c r="H40" s="35">
        <v>2447632</v>
      </c>
      <c r="I40" s="35">
        <v>2526582</v>
      </c>
      <c r="K40" s="18">
        <f t="shared" si="2"/>
        <v>49.206407283643202</v>
      </c>
      <c r="L40" s="18">
        <f t="shared" si="3"/>
        <v>50.793592716356798</v>
      </c>
    </row>
    <row r="41" spans="1:12" ht="15.75">
      <c r="A41" t="s">
        <v>208</v>
      </c>
      <c r="B41" t="s">
        <v>168</v>
      </c>
      <c r="C41" t="s">
        <v>40</v>
      </c>
      <c r="D41" t="s">
        <v>169</v>
      </c>
      <c r="E41" s="1">
        <v>43629</v>
      </c>
      <c r="F41" s="14">
        <v>192.3</v>
      </c>
      <c r="G41" t="s">
        <v>14</v>
      </c>
      <c r="H41" s="35">
        <v>2447632</v>
      </c>
      <c r="I41" s="35">
        <v>2526582</v>
      </c>
      <c r="K41" s="18">
        <f t="shared" si="2"/>
        <v>49.206407283643202</v>
      </c>
      <c r="L41" s="18">
        <f t="shared" si="3"/>
        <v>50.793592716356798</v>
      </c>
    </row>
    <row r="42" spans="1:12" ht="15.75">
      <c r="A42" t="s">
        <v>208</v>
      </c>
      <c r="B42" t="s">
        <v>168</v>
      </c>
      <c r="C42" t="s">
        <v>40</v>
      </c>
      <c r="D42" t="s">
        <v>169</v>
      </c>
      <c r="E42" s="1">
        <v>43615</v>
      </c>
      <c r="F42" s="14">
        <v>192.3</v>
      </c>
      <c r="G42" t="s">
        <v>14</v>
      </c>
      <c r="H42" s="35">
        <v>2447632</v>
      </c>
      <c r="I42" s="35">
        <v>2526582</v>
      </c>
      <c r="K42" s="18">
        <f t="shared" si="2"/>
        <v>49.206407283643202</v>
      </c>
      <c r="L42" s="18">
        <f t="shared" si="3"/>
        <v>50.793592716356798</v>
      </c>
    </row>
    <row r="43" spans="1:12" ht="15.75">
      <c r="A43" t="s">
        <v>208</v>
      </c>
      <c r="B43" t="s">
        <v>168</v>
      </c>
      <c r="C43" t="s">
        <v>40</v>
      </c>
      <c r="D43" t="s">
        <v>169</v>
      </c>
      <c r="E43" s="1">
        <v>43601</v>
      </c>
      <c r="F43" s="14">
        <v>192.3</v>
      </c>
      <c r="G43" t="s">
        <v>14</v>
      </c>
      <c r="H43" s="35">
        <v>2447632</v>
      </c>
      <c r="I43" s="35">
        <v>2526582</v>
      </c>
      <c r="K43" s="18">
        <f t="shared" si="2"/>
        <v>49.206407283643202</v>
      </c>
      <c r="L43" s="18">
        <f t="shared" si="3"/>
        <v>50.793592716356798</v>
      </c>
    </row>
    <row r="44" spans="1:12" ht="15.75">
      <c r="A44" t="s">
        <v>208</v>
      </c>
      <c r="B44" t="s">
        <v>168</v>
      </c>
      <c r="C44" t="s">
        <v>40</v>
      </c>
      <c r="D44" t="s">
        <v>169</v>
      </c>
      <c r="E44" s="1">
        <v>43587</v>
      </c>
      <c r="F44" s="14">
        <v>192.3</v>
      </c>
      <c r="G44" t="s">
        <v>14</v>
      </c>
      <c r="H44" s="35">
        <v>2447632</v>
      </c>
      <c r="I44" s="35">
        <v>2526582</v>
      </c>
      <c r="K44" s="18">
        <f t="shared" si="2"/>
        <v>49.206407283643202</v>
      </c>
      <c r="L44" s="18">
        <f t="shared" si="3"/>
        <v>50.793592716356798</v>
      </c>
    </row>
    <row r="45" spans="1:12" ht="15.75">
      <c r="A45" t="s">
        <v>208</v>
      </c>
      <c r="B45" t="s">
        <v>168</v>
      </c>
      <c r="C45" t="s">
        <v>40</v>
      </c>
      <c r="D45" t="s">
        <v>169</v>
      </c>
      <c r="E45" s="1">
        <v>43573</v>
      </c>
      <c r="F45" s="14">
        <v>192.3</v>
      </c>
      <c r="G45" t="s">
        <v>14</v>
      </c>
      <c r="H45" s="35">
        <v>2447632</v>
      </c>
      <c r="I45" s="35">
        <v>2526582</v>
      </c>
      <c r="K45" s="18">
        <f t="shared" si="2"/>
        <v>49.206407283643202</v>
      </c>
      <c r="L45" s="18">
        <f t="shared" si="3"/>
        <v>50.793592716356798</v>
      </c>
    </row>
    <row r="46" spans="1:12" ht="15.75">
      <c r="A46" t="s">
        <v>208</v>
      </c>
      <c r="B46" t="s">
        <v>168</v>
      </c>
      <c r="C46" t="s">
        <v>40</v>
      </c>
      <c r="D46" t="s">
        <v>169</v>
      </c>
      <c r="E46" s="1">
        <v>43559</v>
      </c>
      <c r="F46" s="14">
        <v>192.3</v>
      </c>
      <c r="G46" t="s">
        <v>14</v>
      </c>
      <c r="H46" s="35">
        <v>2447632</v>
      </c>
      <c r="I46" s="35">
        <v>2526582</v>
      </c>
      <c r="K46" s="18">
        <f t="shared" si="2"/>
        <v>49.206407283643202</v>
      </c>
      <c r="L46" s="18">
        <f t="shared" si="3"/>
        <v>50.793592716356798</v>
      </c>
    </row>
    <row r="47" spans="1:12" ht="15.75">
      <c r="A47" t="s">
        <v>208</v>
      </c>
      <c r="B47" t="s">
        <v>168</v>
      </c>
      <c r="C47" t="s">
        <v>40</v>
      </c>
      <c r="D47" t="s">
        <v>169</v>
      </c>
      <c r="E47" s="1">
        <v>43545</v>
      </c>
      <c r="F47" s="14">
        <v>192.3</v>
      </c>
      <c r="G47" t="s">
        <v>14</v>
      </c>
      <c r="H47" s="35">
        <v>2447632</v>
      </c>
      <c r="I47" s="35">
        <v>2526582</v>
      </c>
      <c r="K47" s="18">
        <f t="shared" si="2"/>
        <v>49.206407283643202</v>
      </c>
      <c r="L47" s="18">
        <f t="shared" si="3"/>
        <v>50.793592716356798</v>
      </c>
    </row>
    <row r="48" spans="1:12" ht="15.75">
      <c r="A48" t="s">
        <v>208</v>
      </c>
      <c r="B48" t="s">
        <v>168</v>
      </c>
      <c r="C48" t="s">
        <v>40</v>
      </c>
      <c r="D48" t="s">
        <v>169</v>
      </c>
      <c r="E48" s="1">
        <v>43531</v>
      </c>
      <c r="F48" s="14">
        <v>192.3</v>
      </c>
      <c r="G48" t="s">
        <v>14</v>
      </c>
      <c r="H48" s="35">
        <v>2447632</v>
      </c>
      <c r="I48" s="35">
        <v>2526582</v>
      </c>
      <c r="K48" s="18">
        <f t="shared" si="2"/>
        <v>49.206407283643202</v>
      </c>
      <c r="L48" s="18">
        <f t="shared" si="3"/>
        <v>50.793592716356798</v>
      </c>
    </row>
    <row r="49" spans="1:12" ht="15.75">
      <c r="A49" t="s">
        <v>208</v>
      </c>
      <c r="B49" t="s">
        <v>168</v>
      </c>
      <c r="C49" t="s">
        <v>40</v>
      </c>
      <c r="D49" t="s">
        <v>169</v>
      </c>
      <c r="E49" s="1">
        <v>43517</v>
      </c>
      <c r="F49" s="14">
        <v>192.3</v>
      </c>
      <c r="G49" t="s">
        <v>14</v>
      </c>
      <c r="H49" s="35">
        <v>2447632</v>
      </c>
      <c r="I49" s="35">
        <v>2526582</v>
      </c>
      <c r="K49" s="18">
        <f t="shared" si="2"/>
        <v>49.206407283643202</v>
      </c>
      <c r="L49" s="18">
        <f t="shared" si="3"/>
        <v>50.793592716356798</v>
      </c>
    </row>
    <row r="50" spans="1:12" ht="15.75">
      <c r="A50" t="s">
        <v>208</v>
      </c>
      <c r="B50" t="s">
        <v>168</v>
      </c>
      <c r="C50" t="s">
        <v>40</v>
      </c>
      <c r="D50" t="s">
        <v>169</v>
      </c>
      <c r="E50" s="1">
        <v>43503</v>
      </c>
      <c r="F50" s="14">
        <v>192.3</v>
      </c>
      <c r="G50" t="s">
        <v>14</v>
      </c>
      <c r="H50" s="35">
        <v>2447632</v>
      </c>
      <c r="I50" s="35">
        <v>2526582</v>
      </c>
      <c r="K50" s="18">
        <f t="shared" si="2"/>
        <v>49.206407283643202</v>
      </c>
      <c r="L50" s="18">
        <f t="shared" si="3"/>
        <v>50.793592716356798</v>
      </c>
    </row>
    <row r="51" spans="1:12" ht="15.75">
      <c r="A51" t="s">
        <v>208</v>
      </c>
      <c r="B51" t="s">
        <v>168</v>
      </c>
      <c r="C51" t="s">
        <v>40</v>
      </c>
      <c r="D51" t="s">
        <v>169</v>
      </c>
      <c r="E51" s="1">
        <v>43489</v>
      </c>
      <c r="F51" s="14">
        <v>192.3</v>
      </c>
      <c r="G51" t="s">
        <v>14</v>
      </c>
      <c r="H51" s="35">
        <v>2447632</v>
      </c>
      <c r="I51" s="35">
        <v>2526582</v>
      </c>
      <c r="K51" s="18">
        <f t="shared" si="2"/>
        <v>49.206407283643202</v>
      </c>
      <c r="L51" s="18">
        <f t="shared" si="3"/>
        <v>50.793592716356798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
  <sheetViews>
    <sheetView workbookViewId="0">
      <selection activeCell="A3" sqref="A3"/>
    </sheetView>
  </sheetViews>
  <sheetFormatPr defaultRowHeight="15"/>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2" spans="1:16">
      <c r="A2" t="s">
        <v>209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
  <sheetViews>
    <sheetView workbookViewId="0">
      <selection sqref="A1:XFD1"/>
    </sheetView>
  </sheetViews>
  <sheetFormatPr defaultRowHeight="15"/>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
  <sheetViews>
    <sheetView workbookViewId="0">
      <selection activeCell="A5" sqref="A5"/>
    </sheetView>
  </sheetViews>
  <sheetFormatPr defaultRowHeight="15"/>
  <sheetData>
    <row r="1" spans="1:16">
      <c r="A1" s="12" t="s">
        <v>30</v>
      </c>
      <c r="B1" s="12" t="s">
        <v>31</v>
      </c>
      <c r="C1" s="12" t="s">
        <v>24</v>
      </c>
      <c r="D1" s="12" t="s">
        <v>32</v>
      </c>
      <c r="E1" s="12" t="s">
        <v>33</v>
      </c>
      <c r="F1" s="12" t="s">
        <v>34</v>
      </c>
      <c r="G1" s="12" t="s">
        <v>41</v>
      </c>
      <c r="H1" s="12" t="s">
        <v>17</v>
      </c>
      <c r="I1" s="15" t="s">
        <v>19</v>
      </c>
      <c r="J1" s="12" t="s">
        <v>18</v>
      </c>
      <c r="K1" s="12" t="s">
        <v>26</v>
      </c>
      <c r="L1" s="12" t="s">
        <v>27</v>
      </c>
      <c r="M1" s="12" t="s">
        <v>42</v>
      </c>
      <c r="N1" s="12"/>
      <c r="O1" s="12"/>
      <c r="P1" s="12"/>
    </row>
    <row r="4" spans="1:16">
      <c r="A4" t="s">
        <v>230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12"/>
  <sheetViews>
    <sheetView workbookViewId="0">
      <selection sqref="A1:XFD1048576"/>
    </sheetView>
  </sheetViews>
  <sheetFormatPr defaultRowHeight="15"/>
  <cols>
    <col min="1" max="1" width="79.140625" customWidth="1"/>
  </cols>
  <sheetData>
    <row r="1" spans="1:1">
      <c r="A1" t="s">
        <v>51</v>
      </c>
    </row>
    <row r="2" spans="1:1" ht="252">
      <c r="A2" s="41" t="s">
        <v>296</v>
      </c>
    </row>
    <row r="3" spans="1:1">
      <c r="A3" s="42" t="s">
        <v>297</v>
      </c>
    </row>
    <row r="4" spans="1:1">
      <c r="A4" s="42" t="s">
        <v>298</v>
      </c>
    </row>
    <row r="5" spans="1:1">
      <c r="A5" t="s">
        <v>299</v>
      </c>
    </row>
    <row r="6" spans="1:1">
      <c r="A6" s="42" t="s">
        <v>300</v>
      </c>
    </row>
    <row r="7" spans="1:1">
      <c r="A7" s="42" t="s">
        <v>301</v>
      </c>
    </row>
    <row r="8" spans="1:1">
      <c r="A8" s="42" t="s">
        <v>302</v>
      </c>
    </row>
    <row r="9" spans="1:1">
      <c r="A9" s="42" t="s">
        <v>303</v>
      </c>
    </row>
    <row r="10" spans="1:1">
      <c r="A10" s="42"/>
    </row>
    <row r="11" spans="1:1">
      <c r="A11" s="42"/>
    </row>
    <row r="12" spans="1:1">
      <c r="A12"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Board &amp; Executives</vt:lpstr>
      <vt:lpstr>Walmart Rank and File</vt:lpstr>
      <vt:lpstr>Company PAC</vt:lpstr>
      <vt:lpstr>Gregory B Penner</vt:lpstr>
      <vt:lpstr>Cesar Conde</vt:lpstr>
      <vt:lpstr>Timothy Patrick Flynn</vt:lpstr>
      <vt:lpstr>Sarah J Friar</vt:lpstr>
      <vt:lpstr>Carla A. Harris</vt:lpstr>
      <vt:lpstr>Marissa A. Mayer</vt:lpstr>
      <vt:lpstr>Steven S. Reinemund</vt:lpstr>
      <vt:lpstr>Thomas W Horton</vt:lpstr>
      <vt:lpstr>C Douglas McMillon</vt:lpstr>
      <vt:lpstr>Randall L. Stephenson</vt:lpstr>
      <vt:lpstr>S. Robson ‘Rob’ Walton</vt:lpstr>
      <vt:lpstr>Steuart L. Walton</vt:lpstr>
      <vt:lpstr>Dan Bartlett </vt:lpstr>
      <vt:lpstr>Rachel Brand</vt:lpstr>
      <vt:lpstr>M Brett Biggs  </vt:lpstr>
      <vt:lpstr>John Furner</vt:lpstr>
      <vt:lpstr>Suresh Kumar</vt:lpstr>
      <vt:lpstr>Judith McKenna</vt:lpstr>
      <vt:lpstr>Kathryn McLay</vt:lpstr>
      <vt:lpstr>notes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punya</dc:creator>
  <cp:lastModifiedBy>19144</cp:lastModifiedBy>
  <dcterms:created xsi:type="dcterms:W3CDTF">2021-06-27T17:25:36Z</dcterms:created>
  <dcterms:modified xsi:type="dcterms:W3CDTF">2021-07-21T17:06:40Z</dcterms:modified>
</cp:coreProperties>
</file>