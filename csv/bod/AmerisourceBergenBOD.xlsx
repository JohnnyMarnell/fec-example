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9144\Documents\Mitchell project\"/>
    </mc:Choice>
  </mc:AlternateContent>
  <xr:revisionPtr revIDLastSave="0" documentId="13_ncr:1_{B27A0D46-7058-4975-9A13-16CB6A426B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oard &amp; Executives" sheetId="4" r:id="rId1"/>
    <sheet name="Company PAC" sheetId="2" r:id="rId2"/>
    <sheet name="Steven H Collis" sheetId="1" r:id="rId3"/>
    <sheet name="Jane E Henney" sheetId="3" r:id="rId4"/>
    <sheet name="Ornella Barra" sheetId="27" r:id="rId5"/>
    <sheet name="D Mark Durcan" sheetId="5" r:id="rId6"/>
    <sheet name="Richard W Gochnauer" sheetId="6" r:id="rId7"/>
    <sheet name="Lon R Greenberg" sheetId="7" r:id="rId8"/>
    <sheet name="Kathleen W Hyle" sheetId="8" r:id="rId9"/>
    <sheet name="Michael J Long" sheetId="9" r:id="rId10"/>
    <sheet name="Henry W McGee" sheetId="10" r:id="rId11"/>
    <sheet name="Dennis M Nally" sheetId="11" r:id="rId12"/>
    <sheet name="Robert P Mauch" sheetId="12" r:id="rId13"/>
    <sheet name="John G Chou" sheetId="15" r:id="rId14"/>
    <sheet name="James F Cleary" sheetId="13" r:id="rId15"/>
    <sheet name="Silvana Battaglia" sheetId="28" r:id="rId16"/>
    <sheet name="Leslie Donato" sheetId="29" r:id="rId17"/>
    <sheet name="Gina K Clark" sheetId="16" r:id="rId18"/>
    <sheet name="Sheet4" sheetId="30" r:id="rId19"/>
    <sheet name="Sheet1" sheetId="26" r:id="rId20"/>
  </sheets>
  <calcPr calcId="191029"/>
</workbook>
</file>

<file path=xl/calcChain.xml><?xml version="1.0" encoding="utf-8"?>
<calcChain xmlns="http://schemas.openxmlformats.org/spreadsheetml/2006/main">
  <c r="N18" i="4" l="1"/>
  <c r="M18" i="4"/>
  <c r="L18" i="4"/>
  <c r="F28" i="29"/>
  <c r="L27" i="29"/>
  <c r="K27" i="29"/>
  <c r="L26" i="29"/>
  <c r="K26" i="29"/>
  <c r="L25" i="29"/>
  <c r="K25" i="29"/>
  <c r="L24" i="29"/>
  <c r="K24" i="29"/>
  <c r="L23" i="29"/>
  <c r="K23" i="29"/>
  <c r="L22" i="29"/>
  <c r="K22" i="29"/>
  <c r="L21" i="29"/>
  <c r="K21" i="29"/>
  <c r="L20" i="29"/>
  <c r="K20" i="29"/>
  <c r="L19" i="29"/>
  <c r="K19" i="29"/>
  <c r="L18" i="29"/>
  <c r="K18" i="29"/>
  <c r="L17" i="29"/>
  <c r="K17" i="29"/>
  <c r="L16" i="29"/>
  <c r="K16" i="29"/>
  <c r="L15" i="29"/>
  <c r="K15" i="29"/>
  <c r="L14" i="29"/>
  <c r="K14" i="29"/>
  <c r="L13" i="29"/>
  <c r="K13" i="29"/>
  <c r="L12" i="29"/>
  <c r="K12" i="29"/>
  <c r="L11" i="29"/>
  <c r="K11" i="29"/>
  <c r="L10" i="29"/>
  <c r="K10" i="29"/>
  <c r="L9" i="29"/>
  <c r="K9" i="29"/>
  <c r="L8" i="29"/>
  <c r="K8" i="29"/>
  <c r="L7" i="29"/>
  <c r="K7" i="29"/>
  <c r="L6" i="29"/>
  <c r="K6" i="29"/>
  <c r="L5" i="29"/>
  <c r="K5" i="29"/>
  <c r="L4" i="29"/>
  <c r="K4" i="29"/>
  <c r="L3" i="29"/>
  <c r="K3" i="29"/>
  <c r="L2" i="29"/>
  <c r="K2" i="29"/>
  <c r="H55" i="16"/>
  <c r="N54" i="16"/>
  <c r="M54" i="16"/>
  <c r="N53" i="16"/>
  <c r="M53" i="16"/>
  <c r="N52" i="16"/>
  <c r="M52" i="16"/>
  <c r="N51" i="16"/>
  <c r="M51" i="16"/>
  <c r="N50" i="16"/>
  <c r="M50" i="16"/>
  <c r="N49" i="16"/>
  <c r="M49" i="16"/>
  <c r="N48" i="16"/>
  <c r="M48" i="16"/>
  <c r="N47" i="16"/>
  <c r="M47" i="16"/>
  <c r="N46" i="16"/>
  <c r="M46" i="16"/>
  <c r="N45" i="16"/>
  <c r="M45" i="16"/>
  <c r="N44" i="16"/>
  <c r="M44" i="16"/>
  <c r="N43" i="16"/>
  <c r="M43" i="16"/>
  <c r="N42" i="16"/>
  <c r="M42" i="16"/>
  <c r="N41" i="16"/>
  <c r="M41" i="16"/>
  <c r="N40" i="16"/>
  <c r="M40" i="16"/>
  <c r="N39" i="16"/>
  <c r="M39" i="16"/>
  <c r="N38" i="16"/>
  <c r="M38" i="16"/>
  <c r="N37" i="16"/>
  <c r="M37" i="16"/>
  <c r="N36" i="16"/>
  <c r="M36" i="16"/>
  <c r="N35" i="16"/>
  <c r="M35" i="16"/>
  <c r="N34" i="16"/>
  <c r="M34" i="16"/>
  <c r="N33" i="16"/>
  <c r="M33" i="16"/>
  <c r="N32" i="16"/>
  <c r="M32" i="16"/>
  <c r="N31" i="16"/>
  <c r="M31" i="16"/>
  <c r="N30" i="16"/>
  <c r="M30" i="16"/>
  <c r="N29" i="16"/>
  <c r="M29" i="16"/>
  <c r="N28" i="16"/>
  <c r="M28" i="16"/>
  <c r="N27" i="16"/>
  <c r="M27" i="16"/>
  <c r="N26" i="16"/>
  <c r="M26" i="16"/>
  <c r="N25" i="16"/>
  <c r="M25" i="16"/>
  <c r="N24" i="16"/>
  <c r="M24" i="16"/>
  <c r="N23" i="16"/>
  <c r="M23" i="16"/>
  <c r="N22" i="16"/>
  <c r="M22" i="16"/>
  <c r="N21" i="16"/>
  <c r="M21" i="16"/>
  <c r="N20" i="16"/>
  <c r="M20" i="16"/>
  <c r="N19" i="16"/>
  <c r="M19" i="16"/>
  <c r="N18" i="16"/>
  <c r="M18" i="16"/>
  <c r="N17" i="16"/>
  <c r="M17" i="16"/>
  <c r="N16" i="16"/>
  <c r="M16" i="16"/>
  <c r="N15" i="16"/>
  <c r="M15" i="16"/>
  <c r="N14" i="16"/>
  <c r="M14" i="16"/>
  <c r="N13" i="16"/>
  <c r="M13" i="16"/>
  <c r="N12" i="16"/>
  <c r="M12" i="16"/>
  <c r="N11" i="16"/>
  <c r="M11" i="16"/>
  <c r="N10" i="16"/>
  <c r="M10" i="16"/>
  <c r="N9" i="16"/>
  <c r="M9" i="16"/>
  <c r="N8" i="16"/>
  <c r="M8" i="16"/>
  <c r="N7" i="16"/>
  <c r="M7" i="16"/>
  <c r="N6" i="16"/>
  <c r="M6" i="16"/>
  <c r="N5" i="16"/>
  <c r="M5" i="16"/>
  <c r="N4" i="16"/>
  <c r="M4" i="16"/>
  <c r="N3" i="16"/>
  <c r="M3" i="16"/>
  <c r="N2" i="16"/>
  <c r="M2" i="16"/>
  <c r="F46" i="28"/>
  <c r="L45" i="28"/>
  <c r="K45" i="28"/>
  <c r="L44" i="28"/>
  <c r="K44" i="28"/>
  <c r="L43" i="28"/>
  <c r="K43" i="28"/>
  <c r="L42" i="28"/>
  <c r="K42" i="28"/>
  <c r="L41" i="28"/>
  <c r="K41" i="28"/>
  <c r="L40" i="28"/>
  <c r="K40" i="28"/>
  <c r="L39" i="28"/>
  <c r="K39" i="28"/>
  <c r="L38" i="28"/>
  <c r="K38" i="28"/>
  <c r="L37" i="28"/>
  <c r="K37" i="28"/>
  <c r="L36" i="28"/>
  <c r="K36" i="28"/>
  <c r="L35" i="28"/>
  <c r="K35" i="28"/>
  <c r="L34" i="28"/>
  <c r="K34" i="28"/>
  <c r="L33" i="28"/>
  <c r="K33" i="28"/>
  <c r="L32" i="28"/>
  <c r="K32" i="28"/>
  <c r="L31" i="28"/>
  <c r="K31" i="28"/>
  <c r="L30" i="28"/>
  <c r="K30" i="28"/>
  <c r="L29" i="28"/>
  <c r="K29" i="28"/>
  <c r="L28" i="28"/>
  <c r="K28" i="28"/>
  <c r="L27" i="28"/>
  <c r="K27" i="28"/>
  <c r="L26" i="28"/>
  <c r="K26" i="28"/>
  <c r="L25" i="28"/>
  <c r="K25" i="28"/>
  <c r="L24" i="28"/>
  <c r="K24" i="28"/>
  <c r="L23" i="28"/>
  <c r="K23" i="28"/>
  <c r="L22" i="28"/>
  <c r="K22" i="28"/>
  <c r="L21" i="28"/>
  <c r="K21" i="28"/>
  <c r="L20" i="28"/>
  <c r="K20" i="28"/>
  <c r="L19" i="28"/>
  <c r="K19" i="28"/>
  <c r="L18" i="28"/>
  <c r="K18" i="28"/>
  <c r="L17" i="28"/>
  <c r="K17" i="28"/>
  <c r="L16" i="28"/>
  <c r="K16" i="28"/>
  <c r="L15" i="28"/>
  <c r="K15" i="28"/>
  <c r="L14" i="28"/>
  <c r="K14" i="28"/>
  <c r="L13" i="28"/>
  <c r="K13" i="28"/>
  <c r="L12" i="28"/>
  <c r="K12" i="28"/>
  <c r="L11" i="28"/>
  <c r="K11" i="28"/>
  <c r="L10" i="28"/>
  <c r="K10" i="28"/>
  <c r="L9" i="28"/>
  <c r="K9" i="28"/>
  <c r="L8" i="28"/>
  <c r="K8" i="28"/>
  <c r="L7" i="28"/>
  <c r="K7" i="28"/>
  <c r="L6" i="28"/>
  <c r="K6" i="28"/>
  <c r="L5" i="28"/>
  <c r="K5" i="28"/>
  <c r="L4" i="28"/>
  <c r="K4" i="28"/>
  <c r="L3" i="28"/>
  <c r="K3" i="28"/>
  <c r="L2" i="28"/>
  <c r="K2" i="28"/>
  <c r="F70" i="15"/>
  <c r="F18" i="15"/>
  <c r="L17" i="15"/>
  <c r="K17" i="15"/>
  <c r="L16" i="15"/>
  <c r="K16" i="15"/>
  <c r="L15" i="15"/>
  <c r="K15" i="15"/>
  <c r="L14" i="15"/>
  <c r="K14" i="15"/>
  <c r="L13" i="15"/>
  <c r="K13" i="15"/>
  <c r="L12" i="15"/>
  <c r="K12" i="15"/>
  <c r="L11" i="15"/>
  <c r="K11" i="15"/>
  <c r="L10" i="15"/>
  <c r="K10" i="15"/>
  <c r="L9" i="15"/>
  <c r="K9" i="15"/>
  <c r="L8" i="15"/>
  <c r="K8" i="15"/>
  <c r="L7" i="15"/>
  <c r="K7" i="15"/>
  <c r="L6" i="15"/>
  <c r="K6" i="15"/>
  <c r="L5" i="15"/>
  <c r="K5" i="15"/>
  <c r="L4" i="15"/>
  <c r="K4" i="15"/>
  <c r="L3" i="15"/>
  <c r="K3" i="15"/>
  <c r="L2" i="15"/>
  <c r="K2" i="15"/>
  <c r="L69" i="15"/>
  <c r="K69" i="15"/>
  <c r="L68" i="15"/>
  <c r="K68" i="15"/>
  <c r="L67" i="15"/>
  <c r="K67" i="15"/>
  <c r="L66" i="15"/>
  <c r="K66" i="15"/>
  <c r="L65" i="15"/>
  <c r="K65" i="15"/>
  <c r="L64" i="15"/>
  <c r="K64" i="15"/>
  <c r="L63" i="15"/>
  <c r="K63" i="15"/>
  <c r="L62" i="15"/>
  <c r="K62" i="15"/>
  <c r="L61" i="15"/>
  <c r="K61" i="15"/>
  <c r="L60" i="15"/>
  <c r="K60" i="15"/>
  <c r="L59" i="15"/>
  <c r="K59" i="15"/>
  <c r="L58" i="15"/>
  <c r="K58" i="15"/>
  <c r="L57" i="15"/>
  <c r="K57" i="15"/>
  <c r="L56" i="15"/>
  <c r="K56" i="15"/>
  <c r="L55" i="15"/>
  <c r="K55" i="15"/>
  <c r="L54" i="15"/>
  <c r="K54" i="15"/>
  <c r="L53" i="15"/>
  <c r="K53" i="15"/>
  <c r="L52" i="15"/>
  <c r="K52" i="15"/>
  <c r="L51" i="15"/>
  <c r="K51" i="15"/>
  <c r="L50" i="15"/>
  <c r="K50" i="15"/>
  <c r="L49" i="15"/>
  <c r="K49" i="15"/>
  <c r="L48" i="15"/>
  <c r="K48" i="15"/>
  <c r="L47" i="15"/>
  <c r="K47" i="15"/>
  <c r="L46" i="15"/>
  <c r="K46" i="15"/>
  <c r="L45" i="15"/>
  <c r="K45" i="15"/>
  <c r="L44" i="15"/>
  <c r="K44" i="15"/>
  <c r="L43" i="15"/>
  <c r="K43" i="15"/>
  <c r="L42" i="15"/>
  <c r="K42" i="15"/>
  <c r="L41" i="15"/>
  <c r="K41" i="15"/>
  <c r="L40" i="15"/>
  <c r="K40" i="15"/>
  <c r="L39" i="15"/>
  <c r="K39" i="15"/>
  <c r="L38" i="15"/>
  <c r="K38" i="15"/>
  <c r="L37" i="15"/>
  <c r="K37" i="15"/>
  <c r="L36" i="15"/>
  <c r="K36" i="15"/>
  <c r="L35" i="15"/>
  <c r="K35" i="15"/>
  <c r="L34" i="15"/>
  <c r="K34" i="15"/>
  <c r="L33" i="15"/>
  <c r="K33" i="15"/>
  <c r="L32" i="15"/>
  <c r="K32" i="15"/>
  <c r="L31" i="15"/>
  <c r="K31" i="15"/>
  <c r="L30" i="15"/>
  <c r="K30" i="15"/>
  <c r="L29" i="15"/>
  <c r="K29" i="15"/>
  <c r="L28" i="15"/>
  <c r="K28" i="15"/>
  <c r="L27" i="15"/>
  <c r="K27" i="15"/>
  <c r="L26" i="15"/>
  <c r="K26" i="15"/>
  <c r="L25" i="15"/>
  <c r="K25" i="15"/>
  <c r="L24" i="15"/>
  <c r="K24" i="15"/>
  <c r="L23" i="15"/>
  <c r="K23" i="15"/>
  <c r="L22" i="15"/>
  <c r="K22" i="15"/>
  <c r="L21" i="15"/>
  <c r="K21" i="15"/>
  <c r="L20" i="15"/>
  <c r="K20" i="15"/>
  <c r="K58" i="12"/>
  <c r="L58" i="12"/>
  <c r="K57" i="12"/>
  <c r="L57" i="12"/>
  <c r="L55" i="12"/>
  <c r="K55" i="12"/>
  <c r="L54" i="12"/>
  <c r="K54" i="12"/>
  <c r="L53" i="12"/>
  <c r="K53" i="12"/>
  <c r="L52" i="12"/>
  <c r="K52" i="12"/>
  <c r="L51" i="12"/>
  <c r="K51" i="12"/>
  <c r="L50" i="12"/>
  <c r="K50" i="12"/>
  <c r="L49" i="12"/>
  <c r="K49" i="12"/>
  <c r="L48" i="12"/>
  <c r="K48" i="12"/>
  <c r="L47" i="12"/>
  <c r="K47" i="12"/>
  <c r="L46" i="12"/>
  <c r="K46" i="12"/>
  <c r="L45" i="12"/>
  <c r="K45" i="12"/>
  <c r="L44" i="12"/>
  <c r="K44" i="12"/>
  <c r="L43" i="12"/>
  <c r="K43" i="12"/>
  <c r="L42" i="12"/>
  <c r="K42" i="12"/>
  <c r="L41" i="12"/>
  <c r="K41" i="12"/>
  <c r="L40" i="12"/>
  <c r="K40" i="12"/>
  <c r="L39" i="12"/>
  <c r="K39" i="12"/>
  <c r="L38" i="12"/>
  <c r="K38" i="12"/>
  <c r="L37" i="12"/>
  <c r="K37" i="12"/>
  <c r="L36" i="12"/>
  <c r="K36" i="12"/>
  <c r="L35" i="12"/>
  <c r="K35" i="12"/>
  <c r="L34" i="12"/>
  <c r="K34" i="12"/>
  <c r="L33" i="12"/>
  <c r="K33" i="12"/>
  <c r="L32" i="12"/>
  <c r="K32" i="12"/>
  <c r="L31" i="12"/>
  <c r="K31" i="12"/>
  <c r="L30" i="12"/>
  <c r="K30" i="12"/>
  <c r="L29" i="12"/>
  <c r="K29" i="12"/>
  <c r="L28" i="12"/>
  <c r="K28" i="12"/>
  <c r="L27" i="12"/>
  <c r="K27" i="12"/>
  <c r="L26" i="12"/>
  <c r="K26" i="12"/>
  <c r="L25" i="12"/>
  <c r="K25" i="12"/>
  <c r="L24" i="12"/>
  <c r="K24" i="12"/>
  <c r="L23" i="12"/>
  <c r="K23" i="12"/>
  <c r="L22" i="12"/>
  <c r="K22" i="12"/>
  <c r="L21" i="12"/>
  <c r="K21" i="12"/>
  <c r="L20" i="12"/>
  <c r="K20" i="12"/>
  <c r="L19" i="12"/>
  <c r="K19" i="12"/>
  <c r="L18" i="12"/>
  <c r="K18" i="12"/>
  <c r="L17" i="12"/>
  <c r="K17" i="12"/>
  <c r="L16" i="12"/>
  <c r="K16" i="12"/>
  <c r="L15" i="12"/>
  <c r="K15" i="12"/>
  <c r="L14" i="12"/>
  <c r="K14" i="12"/>
  <c r="L13" i="12"/>
  <c r="K13" i="12"/>
  <c r="L12" i="12"/>
  <c r="K12" i="12"/>
  <c r="L11" i="12"/>
  <c r="K11" i="12"/>
  <c r="L10" i="12"/>
  <c r="K10" i="12"/>
  <c r="L9" i="12"/>
  <c r="K9" i="12"/>
  <c r="L8" i="12"/>
  <c r="K8" i="12"/>
  <c r="L7" i="12"/>
  <c r="K7" i="12"/>
  <c r="L6" i="12"/>
  <c r="K6" i="12"/>
  <c r="F56" i="13"/>
  <c r="F4" i="13"/>
  <c r="L3" i="13"/>
  <c r="K3" i="13"/>
  <c r="K2" i="13"/>
  <c r="L2" i="13"/>
  <c r="L60" i="13"/>
  <c r="K60" i="13"/>
  <c r="L59" i="13"/>
  <c r="K59" i="13"/>
  <c r="K58" i="13"/>
  <c r="L58" i="13"/>
  <c r="L55" i="13"/>
  <c r="K55" i="13"/>
  <c r="L54" i="13"/>
  <c r="K54" i="13"/>
  <c r="L53" i="13"/>
  <c r="K53" i="13"/>
  <c r="L52" i="13"/>
  <c r="K52" i="13"/>
  <c r="L51" i="13"/>
  <c r="K51" i="13"/>
  <c r="L50" i="13"/>
  <c r="K50" i="13"/>
  <c r="L49" i="13"/>
  <c r="K49" i="13"/>
  <c r="L48" i="13"/>
  <c r="K48" i="13"/>
  <c r="L47" i="13"/>
  <c r="K47" i="13"/>
  <c r="L46" i="13"/>
  <c r="K46" i="13"/>
  <c r="L45" i="13"/>
  <c r="K45" i="13"/>
  <c r="L44" i="13"/>
  <c r="K44" i="13"/>
  <c r="L43" i="13"/>
  <c r="K43" i="13"/>
  <c r="L42" i="13"/>
  <c r="K42" i="13"/>
  <c r="L41" i="13"/>
  <c r="K41" i="13"/>
  <c r="L40" i="13"/>
  <c r="K40" i="13"/>
  <c r="L39" i="13"/>
  <c r="K39" i="13"/>
  <c r="L38" i="13"/>
  <c r="K38" i="13"/>
  <c r="L37" i="13"/>
  <c r="K37" i="13"/>
  <c r="L36" i="13"/>
  <c r="K36" i="13"/>
  <c r="L35" i="13"/>
  <c r="K35" i="13"/>
  <c r="L34" i="13"/>
  <c r="K34" i="13"/>
  <c r="L33" i="13"/>
  <c r="K33" i="13"/>
  <c r="L32" i="13"/>
  <c r="K32" i="13"/>
  <c r="L31" i="13"/>
  <c r="K31" i="13"/>
  <c r="L30" i="13"/>
  <c r="K30" i="13"/>
  <c r="L29" i="13"/>
  <c r="K29" i="13"/>
  <c r="L28" i="13"/>
  <c r="K28" i="13"/>
  <c r="L27" i="13"/>
  <c r="K27" i="13"/>
  <c r="L26" i="13"/>
  <c r="K26" i="13"/>
  <c r="L25" i="13"/>
  <c r="K25" i="13"/>
  <c r="L24" i="13"/>
  <c r="K24" i="13"/>
  <c r="L23" i="13"/>
  <c r="K23" i="13"/>
  <c r="L22" i="13"/>
  <c r="K22" i="13"/>
  <c r="L21" i="13"/>
  <c r="K21" i="13"/>
  <c r="L20" i="13"/>
  <c r="K20" i="13"/>
  <c r="L19" i="13"/>
  <c r="K19" i="13"/>
  <c r="L18" i="13"/>
  <c r="K18" i="13"/>
  <c r="L17" i="13"/>
  <c r="K17" i="13"/>
  <c r="L16" i="13"/>
  <c r="K16" i="13"/>
  <c r="L15" i="13"/>
  <c r="K15" i="13"/>
  <c r="L14" i="13"/>
  <c r="K14" i="13"/>
  <c r="L13" i="13"/>
  <c r="K13" i="13"/>
  <c r="L12" i="13"/>
  <c r="K12" i="13"/>
  <c r="L11" i="13"/>
  <c r="K11" i="13"/>
  <c r="L10" i="13"/>
  <c r="K10" i="13"/>
  <c r="L9" i="13"/>
  <c r="K9" i="13"/>
  <c r="L8" i="13"/>
  <c r="K8" i="13"/>
  <c r="L6" i="13"/>
  <c r="K6" i="13"/>
  <c r="F66" i="12"/>
  <c r="F59" i="12"/>
  <c r="F5" i="9"/>
  <c r="F5" i="10"/>
  <c r="L3" i="8"/>
  <c r="K3" i="8"/>
  <c r="F7" i="3"/>
  <c r="L6" i="3"/>
  <c r="K6" i="3"/>
  <c r="L5" i="3"/>
  <c r="K5" i="3"/>
  <c r="L4" i="3"/>
  <c r="K4" i="3"/>
  <c r="L3" i="3"/>
  <c r="K3" i="3"/>
  <c r="F54" i="1"/>
  <c r="F4" i="6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  <c r="L61" i="12"/>
  <c r="K61" i="12"/>
  <c r="L63" i="12"/>
  <c r="K63" i="12"/>
  <c r="L56" i="12"/>
  <c r="K56" i="12"/>
  <c r="L64" i="12"/>
  <c r="K64" i="12"/>
  <c r="L62" i="12"/>
  <c r="K62" i="12"/>
  <c r="L3" i="12"/>
  <c r="K3" i="12"/>
  <c r="L2" i="12"/>
  <c r="K2" i="12"/>
  <c r="L4" i="10"/>
  <c r="K4" i="10"/>
  <c r="L3" i="10"/>
  <c r="K3" i="10"/>
  <c r="L2" i="10"/>
  <c r="K2" i="10"/>
  <c r="L26" i="7"/>
  <c r="K26" i="7"/>
  <c r="L25" i="7"/>
  <c r="K25" i="7"/>
  <c r="L24" i="7"/>
  <c r="K24" i="7"/>
  <c r="L23" i="7"/>
  <c r="K23" i="7"/>
  <c r="L22" i="7"/>
  <c r="K22" i="7"/>
  <c r="L21" i="7"/>
  <c r="K21" i="7"/>
  <c r="L20" i="7"/>
  <c r="K20" i="7"/>
  <c r="L19" i="7"/>
  <c r="K19" i="7"/>
  <c r="L18" i="7"/>
  <c r="K18" i="7"/>
  <c r="L17" i="7"/>
  <c r="K17" i="7"/>
  <c r="L16" i="7"/>
  <c r="K16" i="7"/>
  <c r="L15" i="7"/>
  <c r="K15" i="7"/>
  <c r="L14" i="7"/>
  <c r="K14" i="7"/>
  <c r="L13" i="7"/>
  <c r="K13" i="7"/>
  <c r="L12" i="7"/>
  <c r="K12" i="7"/>
  <c r="L11" i="7"/>
  <c r="K11" i="7"/>
  <c r="L10" i="7"/>
  <c r="K10" i="7"/>
  <c r="L9" i="7"/>
  <c r="K9" i="7"/>
  <c r="L8" i="7"/>
  <c r="K8" i="7"/>
  <c r="L7" i="7"/>
  <c r="K7" i="7"/>
  <c r="L6" i="7"/>
  <c r="K6" i="7"/>
  <c r="L5" i="7"/>
  <c r="K5" i="7"/>
  <c r="L4" i="7"/>
  <c r="K4" i="7"/>
  <c r="L3" i="7"/>
  <c r="K3" i="7"/>
  <c r="L51" i="5"/>
  <c r="K51" i="5"/>
  <c r="L50" i="5"/>
  <c r="K50" i="5"/>
  <c r="L49" i="5"/>
  <c r="K49" i="5"/>
  <c r="L48" i="5"/>
  <c r="K48" i="5"/>
  <c r="L47" i="5"/>
  <c r="K47" i="5"/>
  <c r="L46" i="5"/>
  <c r="K46" i="5"/>
  <c r="L45" i="5"/>
  <c r="K45" i="5"/>
  <c r="L44" i="5"/>
  <c r="K44" i="5"/>
  <c r="L43" i="5"/>
  <c r="K43" i="5"/>
  <c r="L42" i="5"/>
  <c r="K42" i="5"/>
  <c r="L41" i="5"/>
  <c r="K41" i="5"/>
  <c r="L40" i="5"/>
  <c r="K40" i="5"/>
  <c r="L39" i="5"/>
  <c r="K39" i="5"/>
  <c r="L38" i="5"/>
  <c r="K38" i="5"/>
  <c r="L37" i="5"/>
  <c r="K37" i="5"/>
  <c r="L36" i="5"/>
  <c r="K36" i="5"/>
  <c r="L35" i="5"/>
  <c r="K35" i="5"/>
  <c r="L34" i="5"/>
  <c r="K34" i="5"/>
  <c r="L33" i="5"/>
  <c r="K33" i="5"/>
  <c r="L32" i="5"/>
  <c r="K32" i="5"/>
  <c r="L31" i="5"/>
  <c r="K31" i="5"/>
  <c r="L30" i="5"/>
  <c r="K30" i="5"/>
  <c r="L29" i="5"/>
  <c r="K29" i="5"/>
  <c r="L28" i="5"/>
  <c r="K28" i="5"/>
  <c r="L27" i="5"/>
  <c r="K27" i="5"/>
  <c r="L26" i="5"/>
  <c r="K26" i="5"/>
  <c r="L25" i="5"/>
  <c r="K25" i="5"/>
  <c r="L24" i="5"/>
  <c r="K24" i="5"/>
  <c r="L23" i="5"/>
  <c r="K23" i="5"/>
  <c r="L22" i="5"/>
  <c r="K22" i="5"/>
  <c r="L21" i="5"/>
  <c r="K21" i="5"/>
  <c r="L20" i="5"/>
  <c r="K20" i="5"/>
  <c r="L19" i="5"/>
  <c r="K19" i="5"/>
  <c r="L18" i="5"/>
  <c r="K18" i="5"/>
  <c r="L17" i="5"/>
  <c r="K17" i="5"/>
  <c r="L16" i="5"/>
  <c r="K16" i="5"/>
  <c r="L15" i="5"/>
  <c r="K15" i="5"/>
  <c r="L14" i="5"/>
  <c r="K14" i="5"/>
  <c r="L13" i="5"/>
  <c r="K13" i="5"/>
  <c r="L12" i="5"/>
  <c r="K12" i="5"/>
  <c r="L11" i="5"/>
  <c r="K11" i="5"/>
  <c r="L10" i="5"/>
  <c r="K10" i="5"/>
  <c r="L9" i="5"/>
  <c r="K9" i="5"/>
  <c r="L8" i="5"/>
  <c r="K8" i="5"/>
  <c r="L7" i="5"/>
  <c r="K7" i="5"/>
  <c r="L6" i="5"/>
  <c r="K6" i="5"/>
  <c r="L5" i="5"/>
  <c r="K5" i="5"/>
  <c r="L4" i="5"/>
  <c r="K4" i="5"/>
  <c r="L3" i="6" l="1"/>
  <c r="K3" i="6"/>
  <c r="L2" i="6"/>
  <c r="K2" i="6"/>
  <c r="L2" i="3"/>
  <c r="K2" i="3"/>
  <c r="L7" i="13"/>
  <c r="K7" i="13"/>
  <c r="L23" i="11" l="1"/>
  <c r="K23" i="11"/>
  <c r="L22" i="11"/>
  <c r="K22" i="11"/>
  <c r="L21" i="11"/>
  <c r="K21" i="11"/>
  <c r="L20" i="11"/>
  <c r="K20" i="11"/>
  <c r="L19" i="11"/>
  <c r="K19" i="11"/>
  <c r="L18" i="11"/>
  <c r="K18" i="11"/>
  <c r="L17" i="11"/>
  <c r="K17" i="11"/>
  <c r="L16" i="11"/>
  <c r="K16" i="11"/>
  <c r="L15" i="11"/>
  <c r="K15" i="11"/>
  <c r="L14" i="11"/>
  <c r="K14" i="11"/>
  <c r="L13" i="11"/>
  <c r="K13" i="11"/>
  <c r="L12" i="11"/>
  <c r="K12" i="11"/>
  <c r="L11" i="11"/>
  <c r="K11" i="11"/>
  <c r="L10" i="11"/>
  <c r="K10" i="11"/>
  <c r="L9" i="11"/>
  <c r="K9" i="11"/>
  <c r="L8" i="11"/>
  <c r="K8" i="11"/>
  <c r="L7" i="11"/>
  <c r="K7" i="11"/>
  <c r="L6" i="11"/>
  <c r="K6" i="11"/>
  <c r="L5" i="11"/>
  <c r="K5" i="11"/>
  <c r="L4" i="11"/>
  <c r="K4" i="11"/>
  <c r="L3" i="11"/>
  <c r="K3" i="11"/>
  <c r="L2" i="11"/>
  <c r="K2" i="11"/>
  <c r="L4" i="9" l="1"/>
  <c r="K4" i="9"/>
  <c r="L3" i="9"/>
  <c r="K3" i="9"/>
  <c r="L2" i="9"/>
  <c r="K2" i="9"/>
  <c r="L2" i="8"/>
  <c r="K2" i="8"/>
  <c r="L2" i="7"/>
  <c r="K2" i="7"/>
  <c r="L3" i="5"/>
  <c r="K3" i="5"/>
  <c r="L2" i="5"/>
  <c r="K2" i="5"/>
  <c r="I3" i="2" l="1"/>
  <c r="H3" i="2"/>
</calcChain>
</file>

<file path=xl/sharedStrings.xml><?xml version="1.0" encoding="utf-8"?>
<sst xmlns="http://schemas.openxmlformats.org/spreadsheetml/2006/main" count="2479" uniqueCount="231">
  <si>
    <t>BIDEN FOR PRESIDENT</t>
  </si>
  <si>
    <t>N</t>
  </si>
  <si>
    <t>D</t>
  </si>
  <si>
    <t>R</t>
  </si>
  <si>
    <t>Republican</t>
  </si>
  <si>
    <t>Independent</t>
  </si>
  <si>
    <t>Democratic</t>
  </si>
  <si>
    <t>Age</t>
  </si>
  <si>
    <t>Political Affiliation</t>
  </si>
  <si>
    <t>From Open Secrets.com</t>
  </si>
  <si>
    <t>State</t>
  </si>
  <si>
    <t>%Republican</t>
  </si>
  <si>
    <t>%Democrat</t>
  </si>
  <si>
    <t>Company PAC Name</t>
  </si>
  <si>
    <t>Contributor name</t>
  </si>
  <si>
    <t>Recipient</t>
  </si>
  <si>
    <t>Employer</t>
  </si>
  <si>
    <t>Receipt date</t>
  </si>
  <si>
    <t>Amount</t>
  </si>
  <si>
    <t>CONDE, CESAR</t>
  </si>
  <si>
    <t>Calculated Political Affiliation</t>
  </si>
  <si>
    <t>Criteria 41 - 59% N &gt;59% Party Affiliation</t>
  </si>
  <si>
    <t>CA</t>
  </si>
  <si>
    <t>Notes</t>
  </si>
  <si>
    <t>Cesar Conde Political Contributions in 2014</t>
  </si>
  <si>
    <t>Name &amp; Location</t>
  </si>
  <si>
    <t>Employer/Occupation</t>
  </si>
  <si>
    <t>Dollar</t>
  </si>
  <si>
    <t>Date</t>
  </si>
  <si>
    <t>Primary/</t>
  </si>
  <si>
    <t>General</t>
  </si>
  <si>
    <t>Contibuted To</t>
  </si>
  <si>
    <t>NEW YORK, NY</t>
  </si>
  <si>
    <t>Nbcuniversal/Executive Vice President</t>
  </si>
  <si>
    <t>P</t>
  </si>
  <si>
    <t>COMCAST CORPORATION &amp; NBCUNIVERSAL POLITICAL ACTION COMMITTEE - FEDERAL</t>
  </si>
  <si>
    <t>LOS ANGELES, CA</t>
  </si>
  <si>
    <t>Univision Communications Inc/President, Univision Networks</t>
  </si>
  <si>
    <t>UNIVISION COMMUNICATIONS INC. POLITICAL ACTION COMMITTEE</t>
  </si>
  <si>
    <t>HIALEAH, FL</t>
  </si>
  <si>
    <t>Corporate Staff/Chairman Int#L And Telemundo Enterpris</t>
  </si>
  <si>
    <t>Conde, Cesar</t>
  </si>
  <si>
    <t>Univision Communications Inc/Presid</t>
  </si>
  <si>
    <t>Univision Communications Inc./Presi</t>
  </si>
  <si>
    <t>Company</t>
  </si>
  <si>
    <t>Board</t>
  </si>
  <si>
    <t>Exec</t>
  </si>
  <si>
    <t>Fname</t>
  </si>
  <si>
    <t>MI</t>
  </si>
  <si>
    <t>Lname</t>
  </si>
  <si>
    <t>Gender</t>
  </si>
  <si>
    <t>DOB</t>
  </si>
  <si>
    <t xml:space="preserve">Dem  </t>
  </si>
  <si>
    <t xml:space="preserve">Rep </t>
  </si>
  <si>
    <t>Neutral</t>
  </si>
  <si>
    <t>Reg</t>
  </si>
  <si>
    <t>Address</t>
  </si>
  <si>
    <t>M</t>
  </si>
  <si>
    <t>Y</t>
  </si>
  <si>
    <t>J</t>
  </si>
  <si>
    <t>F</t>
  </si>
  <si>
    <t>DNC SERVICES CORP / DEMOCRATIC NATIONAL COMMITTEE</t>
  </si>
  <si>
    <t>BIDEN VICTORY FUND</t>
  </si>
  <si>
    <t>E</t>
  </si>
  <si>
    <t xml:space="preserve">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</si>
  <si>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</t>
  </si>
  <si>
    <t>Retired</t>
  </si>
  <si>
    <t>McKessen</t>
  </si>
  <si>
    <t>Ca</t>
  </si>
  <si>
    <t>AmeriasourceBergen</t>
  </si>
  <si>
    <t>C00022368</t>
  </si>
  <si>
    <t>NATIONAL ASSOCIATION OF CHAIN DRUG STORES, INC. POLITICAL ACTION COMMITTEE</t>
  </si>
  <si>
    <t>C00468314</t>
  </si>
  <si>
    <t>DEMOCRACY ENGINE, INC., PAC</t>
  </si>
  <si>
    <t>C00247569</t>
  </si>
  <si>
    <t>HEALTHCARE DISTRIBUTION ALLIANCE POLITICAL ACTION COMMITTEE</t>
  </si>
  <si>
    <t>C00400929</t>
  </si>
  <si>
    <t>AMERISOURCEBERGEN CORPORATION POLITICAL ACTION COMMITTEE (ABC PAC)</t>
  </si>
  <si>
    <t>C00713529</t>
  </si>
  <si>
    <t>PEMBERTON FOR MA</t>
  </si>
  <si>
    <t>C00226522</t>
  </si>
  <si>
    <t>RICHARD E NEAL FOR CONGRESS COMMITTEE</t>
  </si>
  <si>
    <t>C00591065</t>
  </si>
  <si>
    <t>DWIGHT EVANS FOR CONGRESS</t>
  </si>
  <si>
    <t>H</t>
  </si>
  <si>
    <t>PA</t>
  </si>
  <si>
    <t>AMERISOURCEBERGEN</t>
  </si>
  <si>
    <t>MAUCH, ROBERT</t>
  </si>
  <si>
    <t>AMERISOURCEBERGEN CORPORATION</t>
  </si>
  <si>
    <t>Steven</t>
  </si>
  <si>
    <t>Collis</t>
  </si>
  <si>
    <t>Jane</t>
  </si>
  <si>
    <t>Henney</t>
  </si>
  <si>
    <t xml:space="preserve">Walgreens Boots Alliance </t>
  </si>
  <si>
    <t>Ornella</t>
  </si>
  <si>
    <t>Barra</t>
  </si>
  <si>
    <t>Mark</t>
  </si>
  <si>
    <t>Durcan</t>
  </si>
  <si>
    <t>Richard</t>
  </si>
  <si>
    <t>W</t>
  </si>
  <si>
    <t>Gochnauer</t>
  </si>
  <si>
    <t xml:space="preserve">Lon </t>
  </si>
  <si>
    <t>Greenberg</t>
  </si>
  <si>
    <t>Constellation Energy Resources</t>
  </si>
  <si>
    <t>Kathleen</t>
  </si>
  <si>
    <t>Hyle</t>
  </si>
  <si>
    <t>Arrow Electronics</t>
  </si>
  <si>
    <t>Michael</t>
  </si>
  <si>
    <t>Long</t>
  </si>
  <si>
    <t>Harvard Business School</t>
  </si>
  <si>
    <t>Henry</t>
  </si>
  <si>
    <t>McGee</t>
  </si>
  <si>
    <t>Dennis</t>
  </si>
  <si>
    <t>Nally</t>
  </si>
  <si>
    <t>Robert</t>
  </si>
  <si>
    <t>Mauch</t>
  </si>
  <si>
    <t xml:space="preserve">James </t>
  </si>
  <si>
    <t>Cleary</t>
  </si>
  <si>
    <t>John</t>
  </si>
  <si>
    <t>G</t>
  </si>
  <si>
    <t>Chou</t>
  </si>
  <si>
    <t>Gina</t>
  </si>
  <si>
    <t>K</t>
  </si>
  <si>
    <t>Clark</t>
  </si>
  <si>
    <t>Silvana</t>
  </si>
  <si>
    <t>Battaglia</t>
  </si>
  <si>
    <t>Leslie</t>
  </si>
  <si>
    <t>Donato</t>
  </si>
  <si>
    <t>COLLIS, STEVEN</t>
  </si>
  <si>
    <t>AMERISOURCEBERGEN SERVICES CORPORATION</t>
  </si>
  <si>
    <t>VERN BUCHANAN FOR CONGRESS</t>
  </si>
  <si>
    <t>COLLIS, STEVEN H. MR.</t>
  </si>
  <si>
    <t>RUBIO VICTORY COMMITTEE</t>
  </si>
  <si>
    <t>COLLIS, STEVEN H.</t>
  </si>
  <si>
    <t>HOYER FOR CONGRESS</t>
  </si>
  <si>
    <t>corona del mar CA</t>
  </si>
  <si>
    <t>GOCHNAUER, RICHARD</t>
  </si>
  <si>
    <t>314 ACTION FUND</t>
  </si>
  <si>
    <t>N/A</t>
  </si>
  <si>
    <t>DEMOCRATIC ACTION</t>
  </si>
  <si>
    <t>kansas city mo</t>
  </si>
  <si>
    <t>HENNEY, JANE</t>
  </si>
  <si>
    <t>DONNA PAC, DEVELOPING OUR NEW NATIONAL AGENDA</t>
  </si>
  <si>
    <t>MO</t>
  </si>
  <si>
    <t>SELF EMPLOYED</t>
  </si>
  <si>
    <t>DONNA SHALALA FOR CONGRESS</t>
  </si>
  <si>
    <t>served in fda under clinton</t>
  </si>
  <si>
    <t>C00694794</t>
  </si>
  <si>
    <t>C00672311</t>
  </si>
  <si>
    <t>DURCAN, D MARK</t>
  </si>
  <si>
    <t>TEAM PERDUE</t>
  </si>
  <si>
    <t>ID</t>
  </si>
  <si>
    <t>Micron</t>
  </si>
  <si>
    <t>C00578542</t>
  </si>
  <si>
    <t>Team Perdue</t>
  </si>
  <si>
    <t>DURCAN, D. MARK MR.</t>
  </si>
  <si>
    <t>PERDUE VICTORY INC</t>
  </si>
  <si>
    <t>VEONEER</t>
  </si>
  <si>
    <t>DURCAN, D MARK MR.</t>
  </si>
  <si>
    <t>PERDUE FOR SENATE</t>
  </si>
  <si>
    <t>INFORMATION REQUESTED</t>
  </si>
  <si>
    <t>Id</t>
  </si>
  <si>
    <t>Mo</t>
  </si>
  <si>
    <t>Pa</t>
  </si>
  <si>
    <t>Phoenix Md, White Plains NY</t>
  </si>
  <si>
    <t>HYLE, KATHLEEN</t>
  </si>
  <si>
    <t>MD</t>
  </si>
  <si>
    <t>NOT EMPLOYED</t>
  </si>
  <si>
    <t>ACTBLUE</t>
  </si>
  <si>
    <t>January 22, 1953 </t>
  </si>
  <si>
    <t>Boston Ma</t>
  </si>
  <si>
    <t>NY</t>
  </si>
  <si>
    <t>MCGEE, HENRY</t>
  </si>
  <si>
    <t>FRIENDS OF ADEM 2020</t>
  </si>
  <si>
    <t>HARVARD UNIVERSITY</t>
  </si>
  <si>
    <t>HARVARD BUSINESS SCHOOL</t>
  </si>
  <si>
    <t>C00713404</t>
  </si>
  <si>
    <t>LONG, MICHAEL</t>
  </si>
  <si>
    <t>HICKENLOOPER FOR COLORADO</t>
  </si>
  <si>
    <t>CO</t>
  </si>
  <si>
    <t>ARROW</t>
  </si>
  <si>
    <t>HICKENLOOPER 2020</t>
  </si>
  <si>
    <t>Co</t>
  </si>
  <si>
    <t>Md</t>
  </si>
  <si>
    <t>Naples Fl</t>
  </si>
  <si>
    <t>Fl</t>
  </si>
  <si>
    <t>KIND FOR CONGRESS COMMITTEE</t>
  </si>
  <si>
    <t>FRIENDS OF PAT TOOMEY</t>
  </si>
  <si>
    <t>WINRED</t>
  </si>
  <si>
    <t>MAUCH, ROBERT P. MR. JR.</t>
  </si>
  <si>
    <t>MARCO RUBIO FOR SENATE</t>
  </si>
  <si>
    <t>MAUCH, ROBERT MR.</t>
  </si>
  <si>
    <t xml:space="preserve">AmerisourceBergen </t>
  </si>
  <si>
    <t>C00312017</t>
  </si>
  <si>
    <t>C00494617</t>
  </si>
  <si>
    <t>C00620518</t>
  </si>
  <si>
    <t>RUBIO FOR SENATE</t>
  </si>
  <si>
    <t>CLEARY, JAMES JR.</t>
  </si>
  <si>
    <t>CLEARY, JAMES F. JR.</t>
  </si>
  <si>
    <t>WYDEN FOR SENATE</t>
  </si>
  <si>
    <t>CHOU, JOHN</t>
  </si>
  <si>
    <t>EVERYDAY PEOPLE</t>
  </si>
  <si>
    <t>DSCC</t>
  </si>
  <si>
    <t>KATHLEEN WILLIAMS FOR MONTANA</t>
  </si>
  <si>
    <t>SCANLON FOR CONGRESS</t>
  </si>
  <si>
    <t>SUSAN WILD FOR CONGRESS</t>
  </si>
  <si>
    <t>AMERISOURCE BERGEN CORPORATION</t>
  </si>
  <si>
    <t>MONTANANS FOR BULLOCK</t>
  </si>
  <si>
    <t>ANDY KIM FOR CONGRESS</t>
  </si>
  <si>
    <t>CHOU, JOHN G.</t>
  </si>
  <si>
    <t>C00720029</t>
  </si>
  <si>
    <t>C00140715</t>
  </si>
  <si>
    <t>C00701748</t>
  </si>
  <si>
    <t>C00669358</t>
  </si>
  <si>
    <t>C00658567</t>
  </si>
  <si>
    <t>BATTAGLIA, SILVANA</t>
  </si>
  <si>
    <t>BLUE BELL, PA</t>
  </si>
  <si>
    <t>BALA CYNWYD, PA</t>
  </si>
  <si>
    <t>PHILADELPHIA, PA</t>
  </si>
  <si>
    <t>BERWYN, PA, </t>
  </si>
  <si>
    <t>PARKER, CO</t>
  </si>
  <si>
    <t>BOISE, ID</t>
  </si>
  <si>
    <t>BRYN MAWR</t>
  </si>
  <si>
    <t>BRYN MAWR PA</t>
  </si>
  <si>
    <t>CLARK, GINA</t>
  </si>
  <si>
    <t>MAD 4 PA PAC</t>
  </si>
  <si>
    <t>AMY FOR AMERICA</t>
  </si>
  <si>
    <t>AMERISOURCE BERGEN</t>
  </si>
  <si>
    <t>DONATO SCHWAB, LESLIE</t>
  </si>
  <si>
    <t>NJ</t>
  </si>
  <si>
    <t>HADDONFIELD, NJ,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</si>
</sst>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7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8"/>
      <name val="Times New Roman"/>
      <family val="1"/>
    </font>
    <font>
      <u/>
      <sz val="11"/>
      <color theme="10"/>
      <name val="Calibri"/>
      <family val="2"/>
    </font>
    <font>
      <u/>
      <sz val="11"/>
      <name val="Times New Roman"/>
      <family val="1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sz val="10"/>
      <color rgb="FF212B4A"/>
      <name val="Arial"/>
      <family val="2"/>
    </font>
    <font>
      <sz val="12"/>
      <color rgb="FFFF0000"/>
      <name val="Times New Roman"/>
      <family val="1"/>
    </font>
    <font>
      <sz val="10"/>
      <color rgb="FF707070"/>
      <name val="Franklin Gothic Medium"/>
      <family val="2"/>
    </font>
    <font>
      <sz val="11"/>
      <color rgb="FF000000"/>
      <name val="BogleWeb"/>
    </font>
    <font>
      <sz val="11"/>
      <color rgb="FF000000"/>
      <name val="Verdana"/>
      <family val="2"/>
    </font>
    <font>
      <sz val="6"/>
      <color rgb="FFFFFFFF"/>
      <name val="Verdana"/>
      <family val="2"/>
    </font>
    <font>
      <sz val="5"/>
      <color rgb="FF000000"/>
      <name val="Verdana"/>
      <family val="2"/>
    </font>
    <font>
      <sz val="8"/>
      <color rgb="FF555555"/>
      <name val="Segoe UI"/>
      <family val="2"/>
    </font>
    <font>
      <sz val="8"/>
      <color rgb="FF4D5156"/>
      <name val="Arial"/>
      <family val="2"/>
    </font>
    <font>
      <sz val="8"/>
      <color rgb="FF202122"/>
      <name val="Arial"/>
      <family val="2"/>
    </font>
    <font>
      <sz val="11"/>
      <color rgb="FF4D5156"/>
      <name val="Times New Roman"/>
      <family val="1"/>
    </font>
    <font>
      <sz val="10"/>
      <color theme="1"/>
      <name val="Times New Roman"/>
      <family val="2"/>
    </font>
    <font>
      <sz val="11"/>
      <color rgb="FF212121"/>
      <name val="Arial"/>
      <family val="2"/>
    </font>
    <font>
      <sz val="10"/>
      <color rgb="FF666666"/>
      <name val="Arial"/>
      <family val="2"/>
    </font>
    <font>
      <sz val="12"/>
      <color rgb="FF212B4A"/>
      <name val="Arial"/>
      <family val="2"/>
    </font>
    <font>
      <b/>
      <sz val="11"/>
      <color rgb="FF212121"/>
      <name val="Arial"/>
      <family val="2"/>
    </font>
    <font>
      <sz val="11"/>
      <color rgb="FF4D5156"/>
      <name val="Arial"/>
      <family val="2"/>
    </font>
    <font>
      <sz val="8.8000000000000007"/>
      <color rgb="FF555555"/>
      <name val="Segoe UI"/>
      <family val="2"/>
    </font>
    <font>
      <sz val="11"/>
      <color rgb="FF222222"/>
      <name val="Arial"/>
      <family val="2"/>
    </font>
    <font>
      <sz val="11"/>
      <color rgb="FF5B616B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BB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1F1F1"/>
      </bottom>
      <diagonal/>
    </border>
    <border>
      <left style="medium">
        <color rgb="FFF1F1F1"/>
      </left>
      <right/>
      <top/>
      <bottom style="medium">
        <color rgb="FFF1F1F1"/>
      </bottom>
      <diagonal/>
    </border>
    <border>
      <left/>
      <right/>
      <top/>
      <bottom style="medium">
        <color rgb="FFDDDDDD"/>
      </bottom>
      <diagonal/>
    </border>
    <border>
      <left style="medium">
        <color rgb="FFF1F1F1"/>
      </left>
      <right/>
      <top style="medium">
        <color rgb="FFF1F1F1"/>
      </top>
      <bottom style="medium">
        <color rgb="FFF1F1F1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8" fillId="0" borderId="0"/>
    <xf numFmtId="0" fontId="18" fillId="0" borderId="0"/>
  </cellStyleXfs>
  <cellXfs count="75">
    <xf numFmtId="0" fontId="0" fillId="0" borderId="0" xfId="0"/>
    <xf numFmtId="14" fontId="0" fillId="0" borderId="0" xfId="0" applyNumberFormat="1"/>
    <xf numFmtId="0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1" applyFont="1" applyAlignment="1" applyProtection="1"/>
    <xf numFmtId="0" fontId="6" fillId="0" borderId="0" xfId="0" applyFont="1"/>
    <xf numFmtId="3" fontId="0" fillId="0" borderId="0" xfId="0" applyNumberFormat="1"/>
    <xf numFmtId="3" fontId="7" fillId="0" borderId="0" xfId="0" applyNumberFormat="1" applyFont="1"/>
    <xf numFmtId="0" fontId="7" fillId="0" borderId="0" xfId="0" applyNumberFormat="1" applyFont="1"/>
    <xf numFmtId="0" fontId="5" fillId="0" borderId="0" xfId="0" applyFont="1"/>
    <xf numFmtId="8" fontId="0" fillId="0" borderId="0" xfId="0" applyNumberFormat="1"/>
    <xf numFmtId="0" fontId="5" fillId="0" borderId="0" xfId="0" applyNumberFormat="1" applyFont="1"/>
    <xf numFmtId="8" fontId="5" fillId="0" borderId="0" xfId="0" applyNumberFormat="1" applyFont="1"/>
    <xf numFmtId="0" fontId="8" fillId="0" borderId="0" xfId="0" applyFont="1"/>
    <xf numFmtId="0" fontId="9" fillId="0" borderId="0" xfId="0" applyFont="1"/>
    <xf numFmtId="0" fontId="3" fillId="0" borderId="0" xfId="1" applyAlignment="1" applyProtection="1"/>
    <xf numFmtId="0" fontId="3" fillId="0" borderId="0" xfId="1" applyNumberFormat="1" applyAlignment="1" applyProtection="1"/>
    <xf numFmtId="0" fontId="6" fillId="0" borderId="0" xfId="1" applyFont="1" applyAlignment="1" applyProtection="1"/>
    <xf numFmtId="0" fontId="10" fillId="0" borderId="0" xfId="0" applyFont="1" applyAlignment="1">
      <alignment wrapText="1"/>
    </xf>
    <xf numFmtId="0" fontId="10" fillId="0" borderId="0" xfId="0" applyNumberFormat="1" applyFont="1" applyAlignment="1">
      <alignment wrapText="1"/>
    </xf>
    <xf numFmtId="0" fontId="11" fillId="0" borderId="0" xfId="0" applyFont="1"/>
    <xf numFmtId="0" fontId="12" fillId="2" borderId="0" xfId="0" applyFont="1" applyFill="1" applyAlignment="1">
      <alignment wrapText="1"/>
    </xf>
    <xf numFmtId="0" fontId="12" fillId="2" borderId="0" xfId="0" applyFont="1" applyFill="1" applyAlignment="1">
      <alignment horizontal="right" wrapText="1"/>
    </xf>
    <xf numFmtId="0" fontId="3" fillId="3" borderId="0" xfId="1" applyFill="1" applyAlignment="1" applyProtection="1">
      <alignment wrapText="1"/>
    </xf>
    <xf numFmtId="0" fontId="13" fillId="3" borderId="0" xfId="0" applyFont="1" applyFill="1" applyAlignment="1">
      <alignment wrapText="1"/>
    </xf>
    <xf numFmtId="0" fontId="3" fillId="4" borderId="0" xfId="1" applyFill="1" applyAlignment="1" applyProtection="1">
      <alignment wrapText="1"/>
    </xf>
    <xf numFmtId="0" fontId="13" fillId="4" borderId="0" xfId="0" applyFont="1" applyFill="1" applyAlignment="1">
      <alignment wrapText="1"/>
    </xf>
    <xf numFmtId="0" fontId="3" fillId="0" borderId="0" xfId="1" applyAlignment="1" applyProtection="1">
      <alignment horizontal="left" wrapText="1"/>
    </xf>
    <xf numFmtId="6" fontId="14" fillId="0" borderId="0" xfId="0" applyNumberFormat="1" applyFont="1"/>
    <xf numFmtId="14" fontId="1" fillId="0" borderId="0" xfId="0" applyNumberFormat="1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17" fontId="1" fillId="0" borderId="0" xfId="0" applyNumberFormat="1" applyFont="1"/>
    <xf numFmtId="0" fontId="0" fillId="3" borderId="0" xfId="0" applyFill="1"/>
    <xf numFmtId="0" fontId="19" fillId="3" borderId="1" xfId="0" applyFont="1" applyFill="1" applyBorder="1" applyAlignment="1">
      <alignment vertical="center" wrapText="1"/>
    </xf>
    <xf numFmtId="0" fontId="19" fillId="3" borderId="2" xfId="0" applyFont="1" applyFill="1" applyBorder="1" applyAlignment="1">
      <alignment vertical="center" wrapText="1"/>
    </xf>
    <xf numFmtId="0" fontId="3" fillId="3" borderId="2" xfId="1" applyFill="1" applyBorder="1" applyAlignment="1" applyProtection="1">
      <alignment vertical="center" wrapText="1"/>
    </xf>
    <xf numFmtId="14" fontId="19" fillId="3" borderId="2" xfId="0" applyNumberFormat="1" applyFont="1" applyFill="1" applyBorder="1" applyAlignment="1">
      <alignment vertical="center" wrapText="1"/>
    </xf>
    <xf numFmtId="8" fontId="19" fillId="3" borderId="2" xfId="0" applyNumberFormat="1" applyFont="1" applyFill="1" applyBorder="1" applyAlignment="1">
      <alignment horizontal="right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9" fillId="0" borderId="0" xfId="0" applyFont="1"/>
    <xf numFmtId="0" fontId="20" fillId="0" borderId="0" xfId="0" applyFont="1"/>
    <xf numFmtId="3" fontId="21" fillId="0" borderId="0" xfId="0" applyNumberFormat="1" applyFont="1"/>
    <xf numFmtId="0" fontId="19" fillId="3" borderId="0" xfId="0" applyFont="1" applyFill="1" applyBorder="1" applyAlignment="1">
      <alignment horizontal="center" vertical="center" wrapText="1"/>
    </xf>
    <xf numFmtId="15" fontId="19" fillId="0" borderId="0" xfId="0" applyNumberFormat="1" applyFont="1"/>
    <xf numFmtId="0" fontId="22" fillId="0" borderId="0" xfId="0" applyFont="1"/>
    <xf numFmtId="15" fontId="23" fillId="0" borderId="0" xfId="0" applyNumberFormat="1" applyFont="1"/>
    <xf numFmtId="0" fontId="24" fillId="3" borderId="3" xfId="0" applyFont="1" applyFill="1" applyBorder="1" applyAlignment="1">
      <alignment vertical="center" wrapText="1"/>
    </xf>
    <xf numFmtId="0" fontId="19" fillId="3" borderId="4" xfId="0" applyFont="1" applyFill="1" applyBorder="1" applyAlignment="1">
      <alignment vertical="center" wrapText="1"/>
    </xf>
    <xf numFmtId="0" fontId="3" fillId="3" borderId="4" xfId="1" applyFill="1" applyBorder="1" applyAlignment="1" applyProtection="1">
      <alignment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25" fillId="0" borderId="0" xfId="0" applyFont="1"/>
    <xf numFmtId="0" fontId="0" fillId="0" borderId="1" xfId="0" applyBorder="1"/>
    <xf numFmtId="0" fontId="19" fillId="3" borderId="0" xfId="0" applyFont="1" applyFill="1" applyBorder="1" applyAlignment="1">
      <alignment vertical="center" wrapText="1"/>
    </xf>
    <xf numFmtId="0" fontId="0" fillId="0" borderId="2" xfId="0" applyBorder="1"/>
    <xf numFmtId="0" fontId="3" fillId="3" borderId="0" xfId="1" applyFill="1" applyBorder="1" applyAlignment="1" applyProtection="1">
      <alignment vertical="center" wrapText="1"/>
    </xf>
    <xf numFmtId="14" fontId="0" fillId="0" borderId="2" xfId="0" applyNumberFormat="1" applyBorder="1"/>
    <xf numFmtId="14" fontId="19" fillId="3" borderId="0" xfId="0" applyNumberFormat="1" applyFont="1" applyFill="1" applyBorder="1" applyAlignment="1">
      <alignment vertical="center" wrapText="1"/>
    </xf>
    <xf numFmtId="8" fontId="0" fillId="0" borderId="2" xfId="0" applyNumberFormat="1" applyBorder="1"/>
    <xf numFmtId="8" fontId="19" fillId="3" borderId="0" xfId="0" applyNumberFormat="1" applyFont="1" applyFill="1" applyBorder="1" applyAlignment="1">
      <alignment horizontal="right" vertical="center" wrapText="1"/>
    </xf>
    <xf numFmtId="0" fontId="26" fillId="0" borderId="0" xfId="0" applyFont="1"/>
    <xf numFmtId="0" fontId="0" fillId="0" borderId="0" xfId="0" applyBorder="1"/>
    <xf numFmtId="14" fontId="0" fillId="0" borderId="0" xfId="0" applyNumberFormat="1" applyBorder="1"/>
    <xf numFmtId="8" fontId="0" fillId="0" borderId="0" xfId="0" applyNumberFormat="1" applyBorder="1"/>
    <xf numFmtId="0" fontId="13" fillId="3" borderId="0" xfId="0" applyFont="1" applyFill="1" applyAlignment="1">
      <alignment wrapText="1"/>
    </xf>
    <xf numFmtId="6" fontId="13" fillId="3" borderId="0" xfId="0" applyNumberFormat="1" applyFont="1" applyFill="1" applyAlignment="1">
      <alignment horizontal="right" wrapText="1"/>
    </xf>
    <xf numFmtId="14" fontId="13" fillId="3" borderId="0" xfId="0" applyNumberFormat="1" applyFont="1" applyFill="1" applyAlignment="1">
      <alignment wrapText="1"/>
    </xf>
    <xf numFmtId="0" fontId="3" fillId="3" borderId="0" xfId="1" applyFill="1" applyAlignment="1" applyProtection="1">
      <alignment wrapText="1"/>
    </xf>
    <xf numFmtId="0" fontId="13" fillId="4" borderId="0" xfId="0" applyFont="1" applyFill="1" applyAlignment="1">
      <alignment wrapText="1"/>
    </xf>
    <xf numFmtId="6" fontId="13" fillId="4" borderId="0" xfId="0" applyNumberFormat="1" applyFont="1" applyFill="1" applyAlignment="1">
      <alignment horizontal="right" wrapText="1"/>
    </xf>
    <xf numFmtId="14" fontId="13" fillId="4" borderId="0" xfId="0" applyNumberFormat="1" applyFont="1" applyFill="1" applyAlignment="1">
      <alignment wrapText="1"/>
    </xf>
    <xf numFmtId="0" fontId="3" fillId="4" borderId="0" xfId="1" applyFill="1" applyAlignment="1" applyProtection="1">
      <alignment wrapText="1"/>
    </xf>
    <xf numFmtId="0" fontId="12" fillId="2" borderId="0" xfId="0" applyFont="1" applyFill="1" applyAlignment="1">
      <alignment wrapText="1"/>
    </xf>
  </cellXfs>
  <cellStyles count="5">
    <cellStyle name="Hyperlink" xfId="1" builtinId="8"/>
    <cellStyle name="Normal" xfId="0" builtinId="0"/>
    <cellStyle name="Normal 2" xfId="3" xr:uid="{3CE5D19E-E165-4894-8F30-F34BE3AA5E6D}"/>
    <cellStyle name="Normal 3" xfId="4" xr:uid="{2E9DDD1C-B4C1-4285-BF5A-B95A82B8BE77}"/>
    <cellStyle name="Normal 5" xfId="2" xr:uid="{78826CB6-88A2-4AA6-B78F-6AACF9E3680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ec.gov/data/committee/C00400929/" TargetMode="External"/><Relationship Id="rId18" Type="http://schemas.openxmlformats.org/officeDocument/2006/relationships/hyperlink" Target="https://www.fec.gov/data/committee/C00400929/" TargetMode="External"/><Relationship Id="rId26" Type="http://schemas.openxmlformats.org/officeDocument/2006/relationships/hyperlink" Target="https://www.fec.gov/data/committee/C00400929/" TargetMode="External"/><Relationship Id="rId39" Type="http://schemas.openxmlformats.org/officeDocument/2006/relationships/hyperlink" Target="https://www.fec.gov/data/committee/C00400929/" TargetMode="External"/><Relationship Id="rId21" Type="http://schemas.openxmlformats.org/officeDocument/2006/relationships/hyperlink" Target="https://www.fec.gov/data/committee/C00400929/" TargetMode="External"/><Relationship Id="rId34" Type="http://schemas.openxmlformats.org/officeDocument/2006/relationships/hyperlink" Target="https://www.fec.gov/data/committee/C00400929/" TargetMode="External"/><Relationship Id="rId42" Type="http://schemas.openxmlformats.org/officeDocument/2006/relationships/hyperlink" Target="https://www.fec.gov/data/committee/C00400929/" TargetMode="External"/><Relationship Id="rId47" Type="http://schemas.openxmlformats.org/officeDocument/2006/relationships/hyperlink" Target="https://www.fec.gov/data/committee/C00140715/" TargetMode="External"/><Relationship Id="rId50" Type="http://schemas.openxmlformats.org/officeDocument/2006/relationships/hyperlink" Target="https://www.fec.gov/data/committee/C00400929/" TargetMode="External"/><Relationship Id="rId7" Type="http://schemas.openxmlformats.org/officeDocument/2006/relationships/hyperlink" Target="https://www.fec.gov/data/committee/C00400929/" TargetMode="External"/><Relationship Id="rId2" Type="http://schemas.openxmlformats.org/officeDocument/2006/relationships/hyperlink" Target="https://www.fec.gov/data/committee/C00400929/" TargetMode="External"/><Relationship Id="rId16" Type="http://schemas.openxmlformats.org/officeDocument/2006/relationships/hyperlink" Target="https://www.fec.gov/data/committee/C00400929/" TargetMode="External"/><Relationship Id="rId29" Type="http://schemas.openxmlformats.org/officeDocument/2006/relationships/hyperlink" Target="https://www.fec.gov/data/committee/C00494617/" TargetMode="External"/><Relationship Id="rId11" Type="http://schemas.openxmlformats.org/officeDocument/2006/relationships/hyperlink" Target="https://www.fec.gov/data/committee/C00412759/" TargetMode="External"/><Relationship Id="rId24" Type="http://schemas.openxmlformats.org/officeDocument/2006/relationships/hyperlink" Target="https://www.fec.gov/data/committee/C00400929/" TargetMode="External"/><Relationship Id="rId32" Type="http://schemas.openxmlformats.org/officeDocument/2006/relationships/hyperlink" Target="https://www.fec.gov/data/committee/C00400929/" TargetMode="External"/><Relationship Id="rId37" Type="http://schemas.openxmlformats.org/officeDocument/2006/relationships/hyperlink" Target="https://www.fec.gov/data/committee/C00400929/" TargetMode="External"/><Relationship Id="rId40" Type="http://schemas.openxmlformats.org/officeDocument/2006/relationships/hyperlink" Target="https://www.fec.gov/data/committee/C00400929/" TargetMode="External"/><Relationship Id="rId45" Type="http://schemas.openxmlformats.org/officeDocument/2006/relationships/hyperlink" Target="https://www.fec.gov/data/committee/C00703975/" TargetMode="External"/><Relationship Id="rId53" Type="http://schemas.openxmlformats.org/officeDocument/2006/relationships/printerSettings" Target="../printerSettings/printerSettings2.bin"/><Relationship Id="rId5" Type="http://schemas.openxmlformats.org/officeDocument/2006/relationships/hyperlink" Target="https://www.fec.gov/data/committee/C00400929/" TargetMode="External"/><Relationship Id="rId10" Type="http://schemas.openxmlformats.org/officeDocument/2006/relationships/hyperlink" Target="https://www.fec.gov/data/committee/C00400929/" TargetMode="External"/><Relationship Id="rId19" Type="http://schemas.openxmlformats.org/officeDocument/2006/relationships/hyperlink" Target="https://www.fec.gov/data/committee/C00400929/" TargetMode="External"/><Relationship Id="rId31" Type="http://schemas.openxmlformats.org/officeDocument/2006/relationships/hyperlink" Target="https://www.fec.gov/data/committee/C00400929/" TargetMode="External"/><Relationship Id="rId44" Type="http://schemas.openxmlformats.org/officeDocument/2006/relationships/hyperlink" Target="https://www.fec.gov/data/committee/C00400929/" TargetMode="External"/><Relationship Id="rId52" Type="http://schemas.openxmlformats.org/officeDocument/2006/relationships/hyperlink" Target="https://www.fec.gov/data/committee/C00400929/" TargetMode="External"/><Relationship Id="rId4" Type="http://schemas.openxmlformats.org/officeDocument/2006/relationships/hyperlink" Target="https://www.fec.gov/data/committee/C00400929/" TargetMode="External"/><Relationship Id="rId9" Type="http://schemas.openxmlformats.org/officeDocument/2006/relationships/hyperlink" Target="https://www.fec.gov/data/committee/C00400929/" TargetMode="External"/><Relationship Id="rId14" Type="http://schemas.openxmlformats.org/officeDocument/2006/relationships/hyperlink" Target="https://www.fec.gov/data/committee/C00400929/" TargetMode="External"/><Relationship Id="rId22" Type="http://schemas.openxmlformats.org/officeDocument/2006/relationships/hyperlink" Target="https://www.fec.gov/data/committee/C00400929/" TargetMode="External"/><Relationship Id="rId27" Type="http://schemas.openxmlformats.org/officeDocument/2006/relationships/hyperlink" Target="https://www.fec.gov/data/committee/C00400929/" TargetMode="External"/><Relationship Id="rId30" Type="http://schemas.openxmlformats.org/officeDocument/2006/relationships/hyperlink" Target="https://www.fec.gov/data/committee/C00400929/" TargetMode="External"/><Relationship Id="rId35" Type="http://schemas.openxmlformats.org/officeDocument/2006/relationships/hyperlink" Target="https://www.fec.gov/data/committee/C00400929/" TargetMode="External"/><Relationship Id="rId43" Type="http://schemas.openxmlformats.org/officeDocument/2006/relationships/hyperlink" Target="https://www.fec.gov/data/committee/C00400929/" TargetMode="External"/><Relationship Id="rId48" Type="http://schemas.openxmlformats.org/officeDocument/2006/relationships/hyperlink" Target="https://www.fec.gov/data/committee/C00400929/" TargetMode="External"/><Relationship Id="rId8" Type="http://schemas.openxmlformats.org/officeDocument/2006/relationships/hyperlink" Target="https://www.fec.gov/data/committee/C00400929/" TargetMode="External"/><Relationship Id="rId51" Type="http://schemas.openxmlformats.org/officeDocument/2006/relationships/hyperlink" Target="https://www.fec.gov/data/committee/C00400929/" TargetMode="External"/><Relationship Id="rId3" Type="http://schemas.openxmlformats.org/officeDocument/2006/relationships/hyperlink" Target="https://www.fec.gov/data/committee/C00400929/" TargetMode="External"/><Relationship Id="rId12" Type="http://schemas.openxmlformats.org/officeDocument/2006/relationships/hyperlink" Target="https://www.fec.gov/data/committee/C00400929/" TargetMode="External"/><Relationship Id="rId17" Type="http://schemas.openxmlformats.org/officeDocument/2006/relationships/hyperlink" Target="https://www.fec.gov/data/committee/C00400929/" TargetMode="External"/><Relationship Id="rId25" Type="http://schemas.openxmlformats.org/officeDocument/2006/relationships/hyperlink" Target="https://www.fec.gov/data/committee/C00400929/" TargetMode="External"/><Relationship Id="rId33" Type="http://schemas.openxmlformats.org/officeDocument/2006/relationships/hyperlink" Target="https://www.fec.gov/data/committee/C00400929/" TargetMode="External"/><Relationship Id="rId38" Type="http://schemas.openxmlformats.org/officeDocument/2006/relationships/hyperlink" Target="https://www.fec.gov/data/committee/C00400929/" TargetMode="External"/><Relationship Id="rId46" Type="http://schemas.openxmlformats.org/officeDocument/2006/relationships/hyperlink" Target="https://www.fec.gov/data/committee/C00400929/" TargetMode="External"/><Relationship Id="rId20" Type="http://schemas.openxmlformats.org/officeDocument/2006/relationships/hyperlink" Target="https://www.fec.gov/data/committee/C00400929/" TargetMode="External"/><Relationship Id="rId41" Type="http://schemas.openxmlformats.org/officeDocument/2006/relationships/hyperlink" Target="https://www.fec.gov/data/committee/C00400929/" TargetMode="External"/><Relationship Id="rId1" Type="http://schemas.openxmlformats.org/officeDocument/2006/relationships/hyperlink" Target="https://www.fec.gov/data/committee/C00400929/" TargetMode="External"/><Relationship Id="rId6" Type="http://schemas.openxmlformats.org/officeDocument/2006/relationships/hyperlink" Target="https://www.fec.gov/data/committee/C00400929/" TargetMode="External"/><Relationship Id="rId15" Type="http://schemas.openxmlformats.org/officeDocument/2006/relationships/hyperlink" Target="https://www.fec.gov/data/committee/C00400929/" TargetMode="External"/><Relationship Id="rId23" Type="http://schemas.openxmlformats.org/officeDocument/2006/relationships/hyperlink" Target="https://www.fec.gov/data/committee/C00400929/" TargetMode="External"/><Relationship Id="rId28" Type="http://schemas.openxmlformats.org/officeDocument/2006/relationships/hyperlink" Target="https://www.fec.gov/data/committee/C00400929/" TargetMode="External"/><Relationship Id="rId36" Type="http://schemas.openxmlformats.org/officeDocument/2006/relationships/hyperlink" Target="https://www.fec.gov/data/committee/C00400929/" TargetMode="External"/><Relationship Id="rId49" Type="http://schemas.openxmlformats.org/officeDocument/2006/relationships/hyperlink" Target="https://www.fec.gov/data/committee/C00400929/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about:blank" TargetMode="External"/><Relationship Id="rId21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7" Type="http://schemas.openxmlformats.org/officeDocument/2006/relationships/hyperlink" Target="about:blank" TargetMode="External"/><Relationship Id="rId63" Type="http://schemas.openxmlformats.org/officeDocument/2006/relationships/hyperlink" Target="about:blank" TargetMode="External"/><Relationship Id="rId68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29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24" Type="http://schemas.openxmlformats.org/officeDocument/2006/relationships/hyperlink" Target="about:blank" TargetMode="External"/><Relationship Id="rId32" Type="http://schemas.openxmlformats.org/officeDocument/2006/relationships/hyperlink" Target="about:blank" TargetMode="External"/><Relationship Id="rId37" Type="http://schemas.openxmlformats.org/officeDocument/2006/relationships/hyperlink" Target="about:blank" TargetMode="External"/><Relationship Id="rId40" Type="http://schemas.openxmlformats.org/officeDocument/2006/relationships/hyperlink" Target="about:blank" TargetMode="External"/><Relationship Id="rId45" Type="http://schemas.openxmlformats.org/officeDocument/2006/relationships/hyperlink" Target="about:blank" TargetMode="External"/><Relationship Id="rId53" Type="http://schemas.openxmlformats.org/officeDocument/2006/relationships/hyperlink" Target="about:blank" TargetMode="External"/><Relationship Id="rId58" Type="http://schemas.openxmlformats.org/officeDocument/2006/relationships/hyperlink" Target="about:blank" TargetMode="External"/><Relationship Id="rId66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1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7" Type="http://schemas.openxmlformats.org/officeDocument/2006/relationships/hyperlink" Target="about:blank" TargetMode="External"/><Relationship Id="rId30" Type="http://schemas.openxmlformats.org/officeDocument/2006/relationships/hyperlink" Target="about:blank" TargetMode="External"/><Relationship Id="rId35" Type="http://schemas.openxmlformats.org/officeDocument/2006/relationships/hyperlink" Target="about:blank" TargetMode="External"/><Relationship Id="rId43" Type="http://schemas.openxmlformats.org/officeDocument/2006/relationships/hyperlink" Target="about:blank" TargetMode="External"/><Relationship Id="rId48" Type="http://schemas.openxmlformats.org/officeDocument/2006/relationships/hyperlink" Target="about:blank" TargetMode="External"/><Relationship Id="rId56" Type="http://schemas.openxmlformats.org/officeDocument/2006/relationships/hyperlink" Target="about:blank" TargetMode="External"/><Relationship Id="rId64" Type="http://schemas.openxmlformats.org/officeDocument/2006/relationships/hyperlink" Target="about:blank" TargetMode="External"/><Relationship Id="rId69" Type="http://schemas.openxmlformats.org/officeDocument/2006/relationships/printerSettings" Target="../printerSettings/printerSettings3.bin"/><Relationship Id="rId8" Type="http://schemas.openxmlformats.org/officeDocument/2006/relationships/hyperlink" Target="about:blank" TargetMode="External"/><Relationship Id="rId51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25" Type="http://schemas.openxmlformats.org/officeDocument/2006/relationships/hyperlink" Target="about:blank" TargetMode="External"/><Relationship Id="rId33" Type="http://schemas.openxmlformats.org/officeDocument/2006/relationships/hyperlink" Target="about:blank" TargetMode="External"/><Relationship Id="rId38" Type="http://schemas.openxmlformats.org/officeDocument/2006/relationships/hyperlink" Target="about:blank" TargetMode="External"/><Relationship Id="rId46" Type="http://schemas.openxmlformats.org/officeDocument/2006/relationships/hyperlink" Target="about:blank" TargetMode="External"/><Relationship Id="rId59" Type="http://schemas.openxmlformats.org/officeDocument/2006/relationships/hyperlink" Target="about:blank" TargetMode="External"/><Relationship Id="rId67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41" Type="http://schemas.openxmlformats.org/officeDocument/2006/relationships/hyperlink" Target="about:blank" TargetMode="External"/><Relationship Id="rId54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23" Type="http://schemas.openxmlformats.org/officeDocument/2006/relationships/hyperlink" Target="about:blank" TargetMode="External"/><Relationship Id="rId28" Type="http://schemas.openxmlformats.org/officeDocument/2006/relationships/hyperlink" Target="about:blank" TargetMode="External"/><Relationship Id="rId36" Type="http://schemas.openxmlformats.org/officeDocument/2006/relationships/hyperlink" Target="about:blank" TargetMode="External"/><Relationship Id="rId49" Type="http://schemas.openxmlformats.org/officeDocument/2006/relationships/hyperlink" Target="about:blank" TargetMode="External"/><Relationship Id="rId57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31" Type="http://schemas.openxmlformats.org/officeDocument/2006/relationships/hyperlink" Target="about:blank" TargetMode="External"/><Relationship Id="rId44" Type="http://schemas.openxmlformats.org/officeDocument/2006/relationships/hyperlink" Target="about:blank" TargetMode="External"/><Relationship Id="rId52" Type="http://schemas.openxmlformats.org/officeDocument/2006/relationships/hyperlink" Target="about:blank" TargetMode="External"/><Relationship Id="rId60" Type="http://schemas.openxmlformats.org/officeDocument/2006/relationships/hyperlink" Target="about:blank" TargetMode="External"/><Relationship Id="rId65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Relationship Id="rId39" Type="http://schemas.openxmlformats.org/officeDocument/2006/relationships/hyperlink" Target="about:blank" TargetMode="External"/><Relationship Id="rId34" Type="http://schemas.openxmlformats.org/officeDocument/2006/relationships/hyperlink" Target="about:blank" TargetMode="External"/><Relationship Id="rId50" Type="http://schemas.openxmlformats.org/officeDocument/2006/relationships/hyperlink" Target="about:blank" TargetMode="External"/><Relationship Id="rId55" Type="http://schemas.openxmlformats.org/officeDocument/2006/relationships/hyperlink" Target="about:blank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ec.gov/data/committee/C00547570/" TargetMode="External"/><Relationship Id="rId2" Type="http://schemas.openxmlformats.org/officeDocument/2006/relationships/hyperlink" Target="https://www.fec.gov/data/committee/C00571620/" TargetMode="External"/><Relationship Id="rId1" Type="http://schemas.openxmlformats.org/officeDocument/2006/relationships/hyperlink" Target="https://www.fec.gov/data/committee/C00578542/" TargetMode="External"/><Relationship Id="rId4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ec.gov/data/committee/C00401224/" TargetMode="External"/><Relationship Id="rId1" Type="http://schemas.openxmlformats.org/officeDocument/2006/relationships/hyperlink" Target="https://www.fec.gov/data/committee/C00703975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ec.gov/data/committee/C00713404/" TargetMode="External"/><Relationship Id="rId2" Type="http://schemas.openxmlformats.org/officeDocument/2006/relationships/hyperlink" Target="https://www.fec.gov/data/committee/C00713404/" TargetMode="External"/><Relationship Id="rId1" Type="http://schemas.openxmlformats.org/officeDocument/2006/relationships/hyperlink" Target="https://www.fec.gov/data/committee/C00713404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ec.gov/data/committee/C00400929/" TargetMode="External"/><Relationship Id="rId21" Type="http://schemas.openxmlformats.org/officeDocument/2006/relationships/hyperlink" Target="https://www.fec.gov/data/committee/C00703975/" TargetMode="External"/><Relationship Id="rId34" Type="http://schemas.openxmlformats.org/officeDocument/2006/relationships/hyperlink" Target="https://www.fec.gov/data/committee/C00400929/" TargetMode="External"/><Relationship Id="rId42" Type="http://schemas.openxmlformats.org/officeDocument/2006/relationships/hyperlink" Target="https://www.fec.gov/data/committee/C00400929/" TargetMode="External"/><Relationship Id="rId47" Type="http://schemas.openxmlformats.org/officeDocument/2006/relationships/hyperlink" Target="https://www.fec.gov/data/committee/C00400929/" TargetMode="External"/><Relationship Id="rId50" Type="http://schemas.openxmlformats.org/officeDocument/2006/relationships/hyperlink" Target="https://www.fec.gov/data/committee/C00400929/" TargetMode="External"/><Relationship Id="rId55" Type="http://schemas.openxmlformats.org/officeDocument/2006/relationships/hyperlink" Target="https://www.fec.gov/data/committee/C00400929/" TargetMode="External"/><Relationship Id="rId63" Type="http://schemas.openxmlformats.org/officeDocument/2006/relationships/hyperlink" Target="https://www.fec.gov/data/committee/C00400929/" TargetMode="External"/><Relationship Id="rId7" Type="http://schemas.openxmlformats.org/officeDocument/2006/relationships/hyperlink" Target="https://www.fec.gov/data/committee/C00400929/" TargetMode="External"/><Relationship Id="rId2" Type="http://schemas.openxmlformats.org/officeDocument/2006/relationships/hyperlink" Target="https://www.fec.gov/data/committee/C00400929/" TargetMode="External"/><Relationship Id="rId16" Type="http://schemas.openxmlformats.org/officeDocument/2006/relationships/hyperlink" Target="https://www.fec.gov/data/committee/C00741611/" TargetMode="External"/><Relationship Id="rId29" Type="http://schemas.openxmlformats.org/officeDocument/2006/relationships/hyperlink" Target="https://www.fec.gov/data/committee/C00400929/" TargetMode="External"/><Relationship Id="rId11" Type="http://schemas.openxmlformats.org/officeDocument/2006/relationships/hyperlink" Target="https://www.fec.gov/data/committee/C00400929/" TargetMode="External"/><Relationship Id="rId24" Type="http://schemas.openxmlformats.org/officeDocument/2006/relationships/hyperlink" Target="https://www.fec.gov/data/committee/C00400929/" TargetMode="External"/><Relationship Id="rId32" Type="http://schemas.openxmlformats.org/officeDocument/2006/relationships/hyperlink" Target="https://www.fec.gov/data/committee/C00400929/" TargetMode="External"/><Relationship Id="rId37" Type="http://schemas.openxmlformats.org/officeDocument/2006/relationships/hyperlink" Target="https://www.fec.gov/data/committee/C00400929/" TargetMode="External"/><Relationship Id="rId40" Type="http://schemas.openxmlformats.org/officeDocument/2006/relationships/hyperlink" Target="https://www.fec.gov/data/committee/C00400929/" TargetMode="External"/><Relationship Id="rId45" Type="http://schemas.openxmlformats.org/officeDocument/2006/relationships/hyperlink" Target="https://www.fec.gov/data/committee/C00400929/" TargetMode="External"/><Relationship Id="rId53" Type="http://schemas.openxmlformats.org/officeDocument/2006/relationships/hyperlink" Target="https://www.fec.gov/data/committee/C00400929/" TargetMode="External"/><Relationship Id="rId58" Type="http://schemas.openxmlformats.org/officeDocument/2006/relationships/hyperlink" Target="https://www.fec.gov/data/committee/C00400929/" TargetMode="External"/><Relationship Id="rId66" Type="http://schemas.openxmlformats.org/officeDocument/2006/relationships/hyperlink" Target="https://www.fec.gov/data/committee/C00400929/" TargetMode="External"/><Relationship Id="rId5" Type="http://schemas.openxmlformats.org/officeDocument/2006/relationships/hyperlink" Target="https://www.fec.gov/data/committee/C00400929/" TargetMode="External"/><Relationship Id="rId61" Type="http://schemas.openxmlformats.org/officeDocument/2006/relationships/hyperlink" Target="https://www.fec.gov/data/committee/C00400929/" TargetMode="External"/><Relationship Id="rId19" Type="http://schemas.openxmlformats.org/officeDocument/2006/relationships/hyperlink" Target="https://www.fec.gov/data/committee/C00400929/" TargetMode="External"/><Relationship Id="rId14" Type="http://schemas.openxmlformats.org/officeDocument/2006/relationships/hyperlink" Target="https://www.fec.gov/data/committee/C00669358/" TargetMode="External"/><Relationship Id="rId22" Type="http://schemas.openxmlformats.org/officeDocument/2006/relationships/hyperlink" Target="https://www.fec.gov/data/committee/C00010603/" TargetMode="External"/><Relationship Id="rId27" Type="http://schemas.openxmlformats.org/officeDocument/2006/relationships/hyperlink" Target="https://www.fec.gov/data/committee/C00400929/" TargetMode="External"/><Relationship Id="rId30" Type="http://schemas.openxmlformats.org/officeDocument/2006/relationships/hyperlink" Target="https://www.fec.gov/data/committee/C00400929/" TargetMode="External"/><Relationship Id="rId35" Type="http://schemas.openxmlformats.org/officeDocument/2006/relationships/hyperlink" Target="https://www.fec.gov/data/committee/C00400929/" TargetMode="External"/><Relationship Id="rId43" Type="http://schemas.openxmlformats.org/officeDocument/2006/relationships/hyperlink" Target="https://www.fec.gov/data/committee/C00400929/" TargetMode="External"/><Relationship Id="rId48" Type="http://schemas.openxmlformats.org/officeDocument/2006/relationships/hyperlink" Target="https://www.fec.gov/data/committee/C00400929/" TargetMode="External"/><Relationship Id="rId56" Type="http://schemas.openxmlformats.org/officeDocument/2006/relationships/hyperlink" Target="https://www.fec.gov/data/committee/C00400929/" TargetMode="External"/><Relationship Id="rId64" Type="http://schemas.openxmlformats.org/officeDocument/2006/relationships/hyperlink" Target="https://www.fec.gov/data/committee/C00400929/" TargetMode="External"/><Relationship Id="rId8" Type="http://schemas.openxmlformats.org/officeDocument/2006/relationships/hyperlink" Target="https://www.fec.gov/data/committee/C00401224/" TargetMode="External"/><Relationship Id="rId51" Type="http://schemas.openxmlformats.org/officeDocument/2006/relationships/hyperlink" Target="https://www.fec.gov/data/committee/C00400929/" TargetMode="External"/><Relationship Id="rId3" Type="http://schemas.openxmlformats.org/officeDocument/2006/relationships/hyperlink" Target="https://www.fec.gov/data/committee/C00400929/" TargetMode="External"/><Relationship Id="rId12" Type="http://schemas.openxmlformats.org/officeDocument/2006/relationships/hyperlink" Target="https://www.fec.gov/data/committee/C00400929/" TargetMode="External"/><Relationship Id="rId17" Type="http://schemas.openxmlformats.org/officeDocument/2006/relationships/hyperlink" Target="https://www.fec.gov/data/committee/C00648220/" TargetMode="External"/><Relationship Id="rId25" Type="http://schemas.openxmlformats.org/officeDocument/2006/relationships/hyperlink" Target="https://www.fec.gov/data/committee/C00400929/" TargetMode="External"/><Relationship Id="rId33" Type="http://schemas.openxmlformats.org/officeDocument/2006/relationships/hyperlink" Target="https://www.fec.gov/data/committee/C00400929/" TargetMode="External"/><Relationship Id="rId38" Type="http://schemas.openxmlformats.org/officeDocument/2006/relationships/hyperlink" Target="https://www.fec.gov/data/committee/C00669358/" TargetMode="External"/><Relationship Id="rId46" Type="http://schemas.openxmlformats.org/officeDocument/2006/relationships/hyperlink" Target="https://www.fec.gov/data/committee/C00400929/" TargetMode="External"/><Relationship Id="rId59" Type="http://schemas.openxmlformats.org/officeDocument/2006/relationships/hyperlink" Target="https://www.fec.gov/data/committee/C00140715/" TargetMode="External"/><Relationship Id="rId20" Type="http://schemas.openxmlformats.org/officeDocument/2006/relationships/hyperlink" Target="https://www.fec.gov/data/committee/C00703975/" TargetMode="External"/><Relationship Id="rId41" Type="http://schemas.openxmlformats.org/officeDocument/2006/relationships/hyperlink" Target="https://www.fec.gov/data/committee/C00400929/" TargetMode="External"/><Relationship Id="rId54" Type="http://schemas.openxmlformats.org/officeDocument/2006/relationships/hyperlink" Target="https://www.fec.gov/data/committee/C00400929/" TargetMode="External"/><Relationship Id="rId62" Type="http://schemas.openxmlformats.org/officeDocument/2006/relationships/hyperlink" Target="https://www.fec.gov/data/committee/C00400929/" TargetMode="External"/><Relationship Id="rId1" Type="http://schemas.openxmlformats.org/officeDocument/2006/relationships/hyperlink" Target="https://www.fec.gov/data/committee/C00400929/" TargetMode="External"/><Relationship Id="rId6" Type="http://schemas.openxmlformats.org/officeDocument/2006/relationships/hyperlink" Target="https://www.fec.gov/data/committee/C00720029/" TargetMode="External"/><Relationship Id="rId15" Type="http://schemas.openxmlformats.org/officeDocument/2006/relationships/hyperlink" Target="https://www.fec.gov/data/committee/C00658567/" TargetMode="External"/><Relationship Id="rId23" Type="http://schemas.openxmlformats.org/officeDocument/2006/relationships/hyperlink" Target="https://www.fec.gov/data/committee/C00744946/" TargetMode="External"/><Relationship Id="rId28" Type="http://schemas.openxmlformats.org/officeDocument/2006/relationships/hyperlink" Target="https://www.fec.gov/data/committee/C00400929/" TargetMode="External"/><Relationship Id="rId36" Type="http://schemas.openxmlformats.org/officeDocument/2006/relationships/hyperlink" Target="https://www.fec.gov/data/committee/C00400929/" TargetMode="External"/><Relationship Id="rId49" Type="http://schemas.openxmlformats.org/officeDocument/2006/relationships/hyperlink" Target="https://www.fec.gov/data/committee/C00400929/" TargetMode="External"/><Relationship Id="rId57" Type="http://schemas.openxmlformats.org/officeDocument/2006/relationships/hyperlink" Target="https://www.fec.gov/data/committee/C00400929/" TargetMode="External"/><Relationship Id="rId10" Type="http://schemas.openxmlformats.org/officeDocument/2006/relationships/hyperlink" Target="https://www.fec.gov/data/committee/C00400929/" TargetMode="External"/><Relationship Id="rId31" Type="http://schemas.openxmlformats.org/officeDocument/2006/relationships/hyperlink" Target="https://www.fec.gov/data/committee/C00400929/" TargetMode="External"/><Relationship Id="rId44" Type="http://schemas.openxmlformats.org/officeDocument/2006/relationships/hyperlink" Target="https://www.fec.gov/data/committee/C00400929/" TargetMode="External"/><Relationship Id="rId52" Type="http://schemas.openxmlformats.org/officeDocument/2006/relationships/hyperlink" Target="https://www.fec.gov/data/committee/C00400929/" TargetMode="External"/><Relationship Id="rId60" Type="http://schemas.openxmlformats.org/officeDocument/2006/relationships/hyperlink" Target="https://www.fec.gov/data/committee/C00400929/" TargetMode="External"/><Relationship Id="rId65" Type="http://schemas.openxmlformats.org/officeDocument/2006/relationships/hyperlink" Target="https://www.fec.gov/data/committee/C00400929/" TargetMode="External"/><Relationship Id="rId4" Type="http://schemas.openxmlformats.org/officeDocument/2006/relationships/hyperlink" Target="https://www.fec.gov/data/committee/C00400929/" TargetMode="External"/><Relationship Id="rId9" Type="http://schemas.openxmlformats.org/officeDocument/2006/relationships/hyperlink" Target="https://www.fec.gov/data/committee/C00042366/" TargetMode="External"/><Relationship Id="rId13" Type="http://schemas.openxmlformats.org/officeDocument/2006/relationships/hyperlink" Target="https://www.fec.gov/data/committee/C00701748/" TargetMode="External"/><Relationship Id="rId18" Type="http://schemas.openxmlformats.org/officeDocument/2006/relationships/hyperlink" Target="https://www.fec.gov/data/committee/C00401224/" TargetMode="External"/><Relationship Id="rId39" Type="http://schemas.openxmlformats.org/officeDocument/2006/relationships/hyperlink" Target="https://www.fec.gov/data/committee/C00401224/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ec.gov/data/committee/C00400929/" TargetMode="External"/><Relationship Id="rId18" Type="http://schemas.openxmlformats.org/officeDocument/2006/relationships/hyperlink" Target="https://www.fec.gov/data/committee/C00400929/" TargetMode="External"/><Relationship Id="rId26" Type="http://schemas.openxmlformats.org/officeDocument/2006/relationships/hyperlink" Target="https://www.fec.gov/data/committee/C00400929/" TargetMode="External"/><Relationship Id="rId39" Type="http://schemas.openxmlformats.org/officeDocument/2006/relationships/hyperlink" Target="https://www.fec.gov/data/committee/C00400929/" TargetMode="External"/><Relationship Id="rId21" Type="http://schemas.openxmlformats.org/officeDocument/2006/relationships/hyperlink" Target="https://www.fec.gov/data/committee/C00400929/" TargetMode="External"/><Relationship Id="rId34" Type="http://schemas.openxmlformats.org/officeDocument/2006/relationships/hyperlink" Target="https://www.fec.gov/data/committee/C00494617/" TargetMode="External"/><Relationship Id="rId42" Type="http://schemas.openxmlformats.org/officeDocument/2006/relationships/hyperlink" Target="https://www.fec.gov/data/committee/C00400929/" TargetMode="External"/><Relationship Id="rId47" Type="http://schemas.openxmlformats.org/officeDocument/2006/relationships/hyperlink" Target="https://www.fec.gov/data/committee/C00400929/" TargetMode="External"/><Relationship Id="rId50" Type="http://schemas.openxmlformats.org/officeDocument/2006/relationships/hyperlink" Target="https://www.fec.gov/data/committee/C00400929/" TargetMode="External"/><Relationship Id="rId55" Type="http://schemas.openxmlformats.org/officeDocument/2006/relationships/hyperlink" Target="https://www.fec.gov/data/committee/C00400929/" TargetMode="External"/><Relationship Id="rId7" Type="http://schemas.openxmlformats.org/officeDocument/2006/relationships/hyperlink" Target="https://www.fec.gov/data/committee/C00400929/" TargetMode="External"/><Relationship Id="rId2" Type="http://schemas.openxmlformats.org/officeDocument/2006/relationships/hyperlink" Target="https://www.fec.gov/data/committee/C00400929/" TargetMode="External"/><Relationship Id="rId16" Type="http://schemas.openxmlformats.org/officeDocument/2006/relationships/hyperlink" Target="https://www.fec.gov/data/committee/C00400929/" TargetMode="External"/><Relationship Id="rId29" Type="http://schemas.openxmlformats.org/officeDocument/2006/relationships/hyperlink" Target="https://www.fec.gov/data/committee/C00400929/" TargetMode="External"/><Relationship Id="rId11" Type="http://schemas.openxmlformats.org/officeDocument/2006/relationships/hyperlink" Target="https://www.fec.gov/data/committee/C00400929/" TargetMode="External"/><Relationship Id="rId24" Type="http://schemas.openxmlformats.org/officeDocument/2006/relationships/hyperlink" Target="https://www.fec.gov/data/committee/C00400929/" TargetMode="External"/><Relationship Id="rId32" Type="http://schemas.openxmlformats.org/officeDocument/2006/relationships/hyperlink" Target="https://www.fec.gov/data/committee/C00400929/" TargetMode="External"/><Relationship Id="rId37" Type="http://schemas.openxmlformats.org/officeDocument/2006/relationships/hyperlink" Target="https://www.fec.gov/data/committee/C00400929/" TargetMode="External"/><Relationship Id="rId40" Type="http://schemas.openxmlformats.org/officeDocument/2006/relationships/hyperlink" Target="https://www.fec.gov/data/committee/C00400929/" TargetMode="External"/><Relationship Id="rId45" Type="http://schemas.openxmlformats.org/officeDocument/2006/relationships/hyperlink" Target="https://www.fec.gov/data/committee/C00400929/" TargetMode="External"/><Relationship Id="rId53" Type="http://schemas.openxmlformats.org/officeDocument/2006/relationships/hyperlink" Target="https://www.fec.gov/data/committee/C00140715/" TargetMode="External"/><Relationship Id="rId5" Type="http://schemas.openxmlformats.org/officeDocument/2006/relationships/hyperlink" Target="https://www.fec.gov/data/committee/C00400929/" TargetMode="External"/><Relationship Id="rId10" Type="http://schemas.openxmlformats.org/officeDocument/2006/relationships/hyperlink" Target="https://www.fec.gov/data/committee/C00400929/" TargetMode="External"/><Relationship Id="rId19" Type="http://schemas.openxmlformats.org/officeDocument/2006/relationships/hyperlink" Target="https://www.fec.gov/data/committee/C00400929/" TargetMode="External"/><Relationship Id="rId31" Type="http://schemas.openxmlformats.org/officeDocument/2006/relationships/hyperlink" Target="https://www.fec.gov/data/committee/C00400929/" TargetMode="External"/><Relationship Id="rId44" Type="http://schemas.openxmlformats.org/officeDocument/2006/relationships/hyperlink" Target="https://www.fec.gov/data/committee/C00400929/" TargetMode="External"/><Relationship Id="rId52" Type="http://schemas.openxmlformats.org/officeDocument/2006/relationships/hyperlink" Target="https://www.fec.gov/data/committee/C00400929/" TargetMode="External"/><Relationship Id="rId4" Type="http://schemas.openxmlformats.org/officeDocument/2006/relationships/hyperlink" Target="https://www.fec.gov/data/committee/C00400929/" TargetMode="External"/><Relationship Id="rId9" Type="http://schemas.openxmlformats.org/officeDocument/2006/relationships/hyperlink" Target="https://www.fec.gov/data/committee/C00400929/" TargetMode="External"/><Relationship Id="rId14" Type="http://schemas.openxmlformats.org/officeDocument/2006/relationships/hyperlink" Target="https://www.fec.gov/data/committee/C00400929/" TargetMode="External"/><Relationship Id="rId22" Type="http://schemas.openxmlformats.org/officeDocument/2006/relationships/hyperlink" Target="https://www.fec.gov/data/committee/C00400929/" TargetMode="External"/><Relationship Id="rId27" Type="http://schemas.openxmlformats.org/officeDocument/2006/relationships/hyperlink" Target="https://www.fec.gov/data/committee/C00400929/" TargetMode="External"/><Relationship Id="rId30" Type="http://schemas.openxmlformats.org/officeDocument/2006/relationships/hyperlink" Target="https://www.fec.gov/data/committee/C00400929/" TargetMode="External"/><Relationship Id="rId35" Type="http://schemas.openxmlformats.org/officeDocument/2006/relationships/hyperlink" Target="https://www.fec.gov/data/committee/C00620518/" TargetMode="External"/><Relationship Id="rId43" Type="http://schemas.openxmlformats.org/officeDocument/2006/relationships/hyperlink" Target="https://www.fec.gov/data/committee/C00308676/" TargetMode="External"/><Relationship Id="rId48" Type="http://schemas.openxmlformats.org/officeDocument/2006/relationships/hyperlink" Target="https://www.fec.gov/data/committee/C00400929/" TargetMode="External"/><Relationship Id="rId8" Type="http://schemas.openxmlformats.org/officeDocument/2006/relationships/hyperlink" Target="https://www.fec.gov/data/committee/C00400929/" TargetMode="External"/><Relationship Id="rId51" Type="http://schemas.openxmlformats.org/officeDocument/2006/relationships/hyperlink" Target="https://www.fec.gov/data/committee/C00400929/" TargetMode="External"/><Relationship Id="rId3" Type="http://schemas.openxmlformats.org/officeDocument/2006/relationships/hyperlink" Target="https://www.fec.gov/data/committee/C00140715/" TargetMode="External"/><Relationship Id="rId12" Type="http://schemas.openxmlformats.org/officeDocument/2006/relationships/hyperlink" Target="https://www.fec.gov/data/committee/C00400929/" TargetMode="External"/><Relationship Id="rId17" Type="http://schemas.openxmlformats.org/officeDocument/2006/relationships/hyperlink" Target="https://www.fec.gov/data/committee/C00400929/" TargetMode="External"/><Relationship Id="rId25" Type="http://schemas.openxmlformats.org/officeDocument/2006/relationships/hyperlink" Target="https://www.fec.gov/data/committee/C00400929/" TargetMode="External"/><Relationship Id="rId33" Type="http://schemas.openxmlformats.org/officeDocument/2006/relationships/hyperlink" Target="https://www.fec.gov/data/committee/C00400929/" TargetMode="External"/><Relationship Id="rId38" Type="http://schemas.openxmlformats.org/officeDocument/2006/relationships/hyperlink" Target="https://www.fec.gov/data/committee/C00400929/" TargetMode="External"/><Relationship Id="rId46" Type="http://schemas.openxmlformats.org/officeDocument/2006/relationships/hyperlink" Target="https://www.fec.gov/data/committee/C00400929/" TargetMode="External"/><Relationship Id="rId20" Type="http://schemas.openxmlformats.org/officeDocument/2006/relationships/hyperlink" Target="https://www.fec.gov/data/committee/C00400929/" TargetMode="External"/><Relationship Id="rId41" Type="http://schemas.openxmlformats.org/officeDocument/2006/relationships/hyperlink" Target="https://www.fec.gov/data/committee/C00400929/" TargetMode="External"/><Relationship Id="rId54" Type="http://schemas.openxmlformats.org/officeDocument/2006/relationships/hyperlink" Target="https://www.fec.gov/data/committee/C00400929/" TargetMode="External"/><Relationship Id="rId1" Type="http://schemas.openxmlformats.org/officeDocument/2006/relationships/hyperlink" Target="https://www.fec.gov/data/committee/C00400929/" TargetMode="External"/><Relationship Id="rId6" Type="http://schemas.openxmlformats.org/officeDocument/2006/relationships/hyperlink" Target="https://www.fec.gov/data/committee/C00400929/" TargetMode="External"/><Relationship Id="rId15" Type="http://schemas.openxmlformats.org/officeDocument/2006/relationships/hyperlink" Target="https://www.fec.gov/data/committee/C00400929/" TargetMode="External"/><Relationship Id="rId23" Type="http://schemas.openxmlformats.org/officeDocument/2006/relationships/hyperlink" Target="https://www.fec.gov/data/committee/C00400929/" TargetMode="External"/><Relationship Id="rId28" Type="http://schemas.openxmlformats.org/officeDocument/2006/relationships/hyperlink" Target="https://www.fec.gov/data/committee/C00400929/" TargetMode="External"/><Relationship Id="rId36" Type="http://schemas.openxmlformats.org/officeDocument/2006/relationships/hyperlink" Target="https://www.fec.gov/data/committee/C00400929/" TargetMode="External"/><Relationship Id="rId49" Type="http://schemas.openxmlformats.org/officeDocument/2006/relationships/hyperlink" Target="https://www.fec.gov/data/committee/C00400929/" TargetMode="External"/></Relationships>
</file>

<file path=xl/worksheets/_rels/sheet18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ec.gov/data/committee/C00400929/" TargetMode="External"/><Relationship Id="rId18" Type="http://schemas.openxmlformats.org/officeDocument/2006/relationships/hyperlink" Target="https://www.fec.gov/data/committee/C00400929/" TargetMode="External"/><Relationship Id="rId26" Type="http://schemas.openxmlformats.org/officeDocument/2006/relationships/hyperlink" Target="https://www.fec.gov/data/committee/C00400929/" TargetMode="External"/><Relationship Id="rId39" Type="http://schemas.openxmlformats.org/officeDocument/2006/relationships/hyperlink" Target="https://www.fec.gov/data/committee/C00400929/" TargetMode="External"/><Relationship Id="rId21" Type="http://schemas.openxmlformats.org/officeDocument/2006/relationships/hyperlink" Target="https://www.fec.gov/data/committee/C00400929/" TargetMode="External"/><Relationship Id="rId34" Type="http://schemas.openxmlformats.org/officeDocument/2006/relationships/hyperlink" Target="https://www.fec.gov/data/committee/C00400929/" TargetMode="External"/><Relationship Id="rId42" Type="http://schemas.openxmlformats.org/officeDocument/2006/relationships/hyperlink" Target="https://www.fec.gov/data/committee/C00400929/" TargetMode="External"/><Relationship Id="rId47" Type="http://schemas.openxmlformats.org/officeDocument/2006/relationships/hyperlink" Target="https://www.fec.gov/data/committee/C00400929/" TargetMode="External"/><Relationship Id="rId50" Type="http://schemas.openxmlformats.org/officeDocument/2006/relationships/hyperlink" Target="https://www.fec.gov/data/committee/C00400929/" TargetMode="External"/><Relationship Id="rId7" Type="http://schemas.openxmlformats.org/officeDocument/2006/relationships/hyperlink" Target="https://www.fec.gov/data/committee/C00400929/" TargetMode="External"/><Relationship Id="rId2" Type="http://schemas.openxmlformats.org/officeDocument/2006/relationships/hyperlink" Target="https://www.fec.gov/data/committee/C00400929/" TargetMode="External"/><Relationship Id="rId16" Type="http://schemas.openxmlformats.org/officeDocument/2006/relationships/hyperlink" Target="https://www.fec.gov/data/committee/C00400929/" TargetMode="External"/><Relationship Id="rId29" Type="http://schemas.openxmlformats.org/officeDocument/2006/relationships/hyperlink" Target="https://www.fec.gov/data/committee/C00400929/" TargetMode="External"/><Relationship Id="rId11" Type="http://schemas.openxmlformats.org/officeDocument/2006/relationships/hyperlink" Target="https://www.fec.gov/data/committee/C00400929/" TargetMode="External"/><Relationship Id="rId24" Type="http://schemas.openxmlformats.org/officeDocument/2006/relationships/hyperlink" Target="https://www.fec.gov/data/committee/C00400929/" TargetMode="External"/><Relationship Id="rId32" Type="http://schemas.openxmlformats.org/officeDocument/2006/relationships/hyperlink" Target="https://www.fec.gov/data/committee/C00400929/" TargetMode="External"/><Relationship Id="rId37" Type="http://schemas.openxmlformats.org/officeDocument/2006/relationships/hyperlink" Target="https://www.fec.gov/data/committee/C00400929/" TargetMode="External"/><Relationship Id="rId40" Type="http://schemas.openxmlformats.org/officeDocument/2006/relationships/hyperlink" Target="https://www.fec.gov/data/committee/C00400929/" TargetMode="External"/><Relationship Id="rId45" Type="http://schemas.openxmlformats.org/officeDocument/2006/relationships/hyperlink" Target="https://www.fec.gov/data/committee/C00400929/" TargetMode="External"/><Relationship Id="rId53" Type="http://schemas.openxmlformats.org/officeDocument/2006/relationships/hyperlink" Target="https://www.fec.gov/data/committee/C00400929/" TargetMode="External"/><Relationship Id="rId5" Type="http://schemas.openxmlformats.org/officeDocument/2006/relationships/hyperlink" Target="https://www.fec.gov/data/committee/C00400929/" TargetMode="External"/><Relationship Id="rId10" Type="http://schemas.openxmlformats.org/officeDocument/2006/relationships/hyperlink" Target="https://www.fec.gov/data/committee/C00670844/" TargetMode="External"/><Relationship Id="rId19" Type="http://schemas.openxmlformats.org/officeDocument/2006/relationships/hyperlink" Target="https://www.fec.gov/data/committee/C00400929/" TargetMode="External"/><Relationship Id="rId31" Type="http://schemas.openxmlformats.org/officeDocument/2006/relationships/hyperlink" Target="https://www.fec.gov/data/committee/C00400929/" TargetMode="External"/><Relationship Id="rId44" Type="http://schemas.openxmlformats.org/officeDocument/2006/relationships/hyperlink" Target="https://www.fec.gov/data/committee/C00400929/" TargetMode="External"/><Relationship Id="rId52" Type="http://schemas.openxmlformats.org/officeDocument/2006/relationships/hyperlink" Target="https://www.fec.gov/data/committee/C00400929/" TargetMode="External"/><Relationship Id="rId4" Type="http://schemas.openxmlformats.org/officeDocument/2006/relationships/hyperlink" Target="https://www.fec.gov/data/committee/C00400929/" TargetMode="External"/><Relationship Id="rId9" Type="http://schemas.openxmlformats.org/officeDocument/2006/relationships/hyperlink" Target="https://www.fec.gov/data/committee/C00400929/" TargetMode="External"/><Relationship Id="rId14" Type="http://schemas.openxmlformats.org/officeDocument/2006/relationships/hyperlink" Target="https://www.fec.gov/data/committee/C00400929/" TargetMode="External"/><Relationship Id="rId22" Type="http://schemas.openxmlformats.org/officeDocument/2006/relationships/hyperlink" Target="https://www.fec.gov/data/committee/C00400929/" TargetMode="External"/><Relationship Id="rId27" Type="http://schemas.openxmlformats.org/officeDocument/2006/relationships/hyperlink" Target="https://www.fec.gov/data/committee/C00696419/" TargetMode="External"/><Relationship Id="rId30" Type="http://schemas.openxmlformats.org/officeDocument/2006/relationships/hyperlink" Target="https://www.fec.gov/data/committee/C00400929/" TargetMode="External"/><Relationship Id="rId35" Type="http://schemas.openxmlformats.org/officeDocument/2006/relationships/hyperlink" Target="https://www.fec.gov/data/committee/C00400929/" TargetMode="External"/><Relationship Id="rId43" Type="http://schemas.openxmlformats.org/officeDocument/2006/relationships/hyperlink" Target="https://www.fec.gov/data/committee/C00400929/" TargetMode="External"/><Relationship Id="rId48" Type="http://schemas.openxmlformats.org/officeDocument/2006/relationships/hyperlink" Target="https://www.fec.gov/data/committee/C00400929/" TargetMode="External"/><Relationship Id="rId8" Type="http://schemas.openxmlformats.org/officeDocument/2006/relationships/hyperlink" Target="https://www.fec.gov/data/committee/C00400929/" TargetMode="External"/><Relationship Id="rId51" Type="http://schemas.openxmlformats.org/officeDocument/2006/relationships/hyperlink" Target="https://www.fec.gov/data/committee/C00400929/" TargetMode="External"/><Relationship Id="rId3" Type="http://schemas.openxmlformats.org/officeDocument/2006/relationships/hyperlink" Target="https://www.fec.gov/data/committee/C00400929/" TargetMode="External"/><Relationship Id="rId12" Type="http://schemas.openxmlformats.org/officeDocument/2006/relationships/hyperlink" Target="https://www.fec.gov/data/committee/C00400929/" TargetMode="External"/><Relationship Id="rId17" Type="http://schemas.openxmlformats.org/officeDocument/2006/relationships/hyperlink" Target="https://www.fec.gov/data/committee/C00400929/" TargetMode="External"/><Relationship Id="rId25" Type="http://schemas.openxmlformats.org/officeDocument/2006/relationships/hyperlink" Target="https://www.fec.gov/data/committee/C00400929/" TargetMode="External"/><Relationship Id="rId33" Type="http://schemas.openxmlformats.org/officeDocument/2006/relationships/hyperlink" Target="https://www.fec.gov/data/committee/C00400929/" TargetMode="External"/><Relationship Id="rId38" Type="http://schemas.openxmlformats.org/officeDocument/2006/relationships/hyperlink" Target="https://www.fec.gov/data/committee/C00400929/" TargetMode="External"/><Relationship Id="rId46" Type="http://schemas.openxmlformats.org/officeDocument/2006/relationships/hyperlink" Target="https://www.fec.gov/data/committee/C00022368/" TargetMode="External"/><Relationship Id="rId20" Type="http://schemas.openxmlformats.org/officeDocument/2006/relationships/hyperlink" Target="https://www.fec.gov/data/committee/C00400929/" TargetMode="External"/><Relationship Id="rId41" Type="http://schemas.openxmlformats.org/officeDocument/2006/relationships/hyperlink" Target="https://www.fec.gov/data/committee/C00400929/" TargetMode="External"/><Relationship Id="rId54" Type="http://schemas.openxmlformats.org/officeDocument/2006/relationships/printerSettings" Target="../printerSettings/printerSettings6.bin"/><Relationship Id="rId1" Type="http://schemas.openxmlformats.org/officeDocument/2006/relationships/hyperlink" Target="https://www.fec.gov/data/committee/C00400929/" TargetMode="External"/><Relationship Id="rId6" Type="http://schemas.openxmlformats.org/officeDocument/2006/relationships/hyperlink" Target="https://www.fec.gov/data/committee/C00400929/" TargetMode="External"/><Relationship Id="rId15" Type="http://schemas.openxmlformats.org/officeDocument/2006/relationships/hyperlink" Target="https://www.fec.gov/data/committee/C00400929/" TargetMode="External"/><Relationship Id="rId23" Type="http://schemas.openxmlformats.org/officeDocument/2006/relationships/hyperlink" Target="https://www.fec.gov/data/committee/C00400929/" TargetMode="External"/><Relationship Id="rId28" Type="http://schemas.openxmlformats.org/officeDocument/2006/relationships/hyperlink" Target="https://www.fec.gov/data/committee/C00400929/" TargetMode="External"/><Relationship Id="rId36" Type="http://schemas.openxmlformats.org/officeDocument/2006/relationships/hyperlink" Target="https://www.fec.gov/data/committee/C00400929/" TargetMode="External"/><Relationship Id="rId49" Type="http://schemas.openxmlformats.org/officeDocument/2006/relationships/hyperlink" Target="https://www.fec.gov/data/committee/C00400929/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ec.gov/data/committee/C00701748/" TargetMode="External"/><Relationship Id="rId7" Type="http://schemas.openxmlformats.org/officeDocument/2006/relationships/printerSettings" Target="../printerSettings/printerSettings7.bin"/><Relationship Id="rId2" Type="http://schemas.openxmlformats.org/officeDocument/2006/relationships/hyperlink" Target="https://www.fec.gov/data/committee/C00720029/" TargetMode="External"/><Relationship Id="rId1" Type="http://schemas.openxmlformats.org/officeDocument/2006/relationships/hyperlink" Target="https://www.fec.gov/data/committee/C00713404/" TargetMode="External"/><Relationship Id="rId6" Type="http://schemas.openxmlformats.org/officeDocument/2006/relationships/hyperlink" Target="https://www.fec.gov/data/committee/C00140715/" TargetMode="External"/><Relationship Id="rId5" Type="http://schemas.openxmlformats.org/officeDocument/2006/relationships/hyperlink" Target="https://www.fec.gov/data/committee/C00669358/" TargetMode="External"/><Relationship Id="rId4" Type="http://schemas.openxmlformats.org/officeDocument/2006/relationships/hyperlink" Target="https://www.fec.gov/data/committee/C0065856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6"/>
  <sheetViews>
    <sheetView tabSelected="1" topLeftCell="E1" zoomScale="82" zoomScaleNormal="82" workbookViewId="0">
      <selection activeCell="I22" sqref="I22"/>
    </sheetView>
  </sheetViews>
  <sheetFormatPr defaultColWidth="8.85546875" defaultRowHeight="15"/>
  <cols>
    <col min="1" max="1" width="8.28515625" style="3" customWidth="1"/>
    <col min="2" max="2" width="26.28515625" style="3" customWidth="1"/>
    <col min="3" max="3" width="37.7109375" style="3" customWidth="1"/>
    <col min="4" max="4" width="23.140625" style="3" customWidth="1"/>
    <col min="5" max="5" width="14" style="3" customWidth="1"/>
    <col min="6" max="6" width="16.5703125" style="3" customWidth="1"/>
    <col min="7" max="7" width="16.5703125" style="3" bestFit="1" customWidth="1"/>
    <col min="8" max="8" width="25.85546875" style="3" bestFit="1" customWidth="1"/>
    <col min="9" max="9" width="23.28515625" style="3" bestFit="1" customWidth="1"/>
    <col min="10" max="10" width="8.85546875" style="3"/>
    <col min="11" max="11" width="11.7109375" style="3" customWidth="1"/>
    <col min="12" max="16384" width="8.85546875" style="3"/>
  </cols>
  <sheetData>
    <row r="1" spans="1:16" customFormat="1">
      <c r="A1" s="3" t="s">
        <v>44</v>
      </c>
      <c r="B1" s="3" t="s">
        <v>45</v>
      </c>
      <c r="C1" s="3" t="s">
        <v>46</v>
      </c>
      <c r="D1" s="3" t="s">
        <v>16</v>
      </c>
      <c r="E1" s="3" t="s">
        <v>47</v>
      </c>
      <c r="F1" s="3" t="s">
        <v>48</v>
      </c>
      <c r="G1" s="3" t="s">
        <v>49</v>
      </c>
      <c r="H1" s="3" t="s">
        <v>50</v>
      </c>
      <c r="I1" s="3" t="s">
        <v>10</v>
      </c>
      <c r="J1" s="3" t="s">
        <v>7</v>
      </c>
      <c r="K1" s="3" t="s">
        <v>51</v>
      </c>
      <c r="L1" s="3" t="s">
        <v>52</v>
      </c>
      <c r="M1" s="3" t="s">
        <v>53</v>
      </c>
      <c r="N1" s="3" t="s">
        <v>54</v>
      </c>
      <c r="O1" s="3" t="s">
        <v>55</v>
      </c>
      <c r="P1" s="3" t="s">
        <v>56</v>
      </c>
    </row>
    <row r="2" spans="1:16" customFormat="1">
      <c r="A2" s="3" t="s">
        <v>69</v>
      </c>
      <c r="B2" s="3" t="s">
        <v>58</v>
      </c>
      <c r="C2" s="3" t="s">
        <v>58</v>
      </c>
      <c r="D2" s="3" t="s">
        <v>69</v>
      </c>
      <c r="E2" s="3" t="s">
        <v>89</v>
      </c>
      <c r="F2" s="3" t="s">
        <v>84</v>
      </c>
      <c r="G2" s="3" t="s">
        <v>90</v>
      </c>
      <c r="H2" s="3" t="s">
        <v>57</v>
      </c>
      <c r="I2" s="3" t="s">
        <v>163</v>
      </c>
      <c r="J2" s="3">
        <v>60</v>
      </c>
      <c r="K2" s="3">
        <v>1961</v>
      </c>
      <c r="L2" s="3"/>
      <c r="M2" s="3"/>
      <c r="N2" s="3">
        <v>18840</v>
      </c>
      <c r="O2" s="3"/>
      <c r="P2" s="42" t="s">
        <v>223</v>
      </c>
    </row>
    <row r="3" spans="1:16" customFormat="1">
      <c r="A3" s="3" t="s">
        <v>69</v>
      </c>
      <c r="B3" s="3" t="s">
        <v>58</v>
      </c>
      <c r="C3" s="3" t="s">
        <v>1</v>
      </c>
      <c r="D3" s="3" t="s">
        <v>66</v>
      </c>
      <c r="E3" s="3" t="s">
        <v>91</v>
      </c>
      <c r="F3" s="3" t="s">
        <v>63</v>
      </c>
      <c r="G3" s="3" t="s">
        <v>92</v>
      </c>
      <c r="H3" s="3" t="s">
        <v>60</v>
      </c>
      <c r="I3" s="3" t="s">
        <v>162</v>
      </c>
      <c r="J3" s="3">
        <v>73</v>
      </c>
      <c r="K3" s="3">
        <v>1947</v>
      </c>
      <c r="L3" s="3">
        <v>3000</v>
      </c>
      <c r="M3" s="3"/>
      <c r="N3" s="3"/>
      <c r="O3" s="3"/>
      <c r="P3" s="3" t="s">
        <v>140</v>
      </c>
    </row>
    <row r="4" spans="1:16" customFormat="1">
      <c r="A4" s="3" t="s">
        <v>69</v>
      </c>
      <c r="B4" s="3" t="s">
        <v>58</v>
      </c>
      <c r="C4" s="3" t="s">
        <v>1</v>
      </c>
      <c r="D4" s="3" t="s">
        <v>93</v>
      </c>
      <c r="E4" s="3" t="s">
        <v>94</v>
      </c>
      <c r="F4" s="3"/>
      <c r="G4" s="3" t="s">
        <v>95</v>
      </c>
      <c r="H4" s="3" t="s">
        <v>60</v>
      </c>
      <c r="I4" s="3"/>
      <c r="J4" s="3">
        <v>59</v>
      </c>
      <c r="K4" s="3">
        <v>1953</v>
      </c>
      <c r="L4" s="3"/>
      <c r="M4" s="3"/>
      <c r="N4" s="3"/>
      <c r="O4" s="3"/>
      <c r="P4" s="42"/>
    </row>
    <row r="5" spans="1:16" customFormat="1">
      <c r="A5" s="3" t="s">
        <v>69</v>
      </c>
      <c r="B5" s="3" t="s">
        <v>58</v>
      </c>
      <c r="C5" s="3" t="s">
        <v>1</v>
      </c>
      <c r="D5" s="3" t="s">
        <v>66</v>
      </c>
      <c r="E5" s="3" t="s">
        <v>2</v>
      </c>
      <c r="F5" s="3" t="s">
        <v>96</v>
      </c>
      <c r="G5" s="3" t="s">
        <v>97</v>
      </c>
      <c r="H5" s="3" t="s">
        <v>57</v>
      </c>
      <c r="I5" s="3" t="s">
        <v>161</v>
      </c>
      <c r="J5" s="3">
        <v>60</v>
      </c>
      <c r="K5" s="48">
        <v>22399</v>
      </c>
      <c r="L5" s="3"/>
      <c r="M5" s="3">
        <v>12000</v>
      </c>
      <c r="N5" s="3"/>
      <c r="O5" s="3"/>
      <c r="P5" s="42" t="s">
        <v>221</v>
      </c>
    </row>
    <row r="6" spans="1:16" customFormat="1">
      <c r="A6" s="3" t="s">
        <v>69</v>
      </c>
      <c r="B6" s="3" t="s">
        <v>58</v>
      </c>
      <c r="C6" s="3" t="s">
        <v>1</v>
      </c>
      <c r="D6" s="3" t="s">
        <v>66</v>
      </c>
      <c r="E6" s="3" t="s">
        <v>98</v>
      </c>
      <c r="F6" s="3" t="s">
        <v>99</v>
      </c>
      <c r="G6" s="3" t="s">
        <v>100</v>
      </c>
      <c r="H6" s="3" t="s">
        <v>57</v>
      </c>
      <c r="I6" s="3" t="s">
        <v>68</v>
      </c>
      <c r="J6" s="3">
        <v>71</v>
      </c>
      <c r="K6" s="3"/>
      <c r="L6" s="3">
        <v>1250</v>
      </c>
      <c r="M6" s="3"/>
      <c r="N6" s="3"/>
      <c r="O6" s="3"/>
      <c r="P6" s="3" t="s">
        <v>135</v>
      </c>
    </row>
    <row r="7" spans="1:16" customFormat="1">
      <c r="A7" s="3" t="s">
        <v>69</v>
      </c>
      <c r="B7" s="3" t="s">
        <v>58</v>
      </c>
      <c r="C7" s="3" t="s">
        <v>1</v>
      </c>
      <c r="D7" s="3" t="s">
        <v>66</v>
      </c>
      <c r="E7" s="3" t="s">
        <v>101</v>
      </c>
      <c r="F7" s="3" t="s">
        <v>3</v>
      </c>
      <c r="G7" s="3" t="s">
        <v>102</v>
      </c>
      <c r="H7" s="3" t="s">
        <v>57</v>
      </c>
      <c r="I7" s="3"/>
      <c r="J7" s="3">
        <v>69</v>
      </c>
      <c r="K7" s="3"/>
      <c r="L7" s="3"/>
      <c r="M7" s="3"/>
      <c r="N7" s="3"/>
      <c r="O7" s="3"/>
      <c r="P7" s="3"/>
    </row>
    <row r="8" spans="1:16" customFormat="1">
      <c r="A8" s="3" t="s">
        <v>69</v>
      </c>
      <c r="B8" s="3" t="s">
        <v>58</v>
      </c>
      <c r="C8" s="3" t="s">
        <v>1</v>
      </c>
      <c r="D8" s="3" t="s">
        <v>103</v>
      </c>
      <c r="E8" s="3" t="s">
        <v>104</v>
      </c>
      <c r="F8" s="3" t="s">
        <v>99</v>
      </c>
      <c r="G8" s="3" t="s">
        <v>105</v>
      </c>
      <c r="H8" s="3" t="s">
        <v>60</v>
      </c>
      <c r="I8" s="3" t="s">
        <v>183</v>
      </c>
      <c r="J8" s="3">
        <v>61</v>
      </c>
      <c r="K8" s="3"/>
      <c r="L8" s="3">
        <v>300</v>
      </c>
      <c r="M8" s="3"/>
      <c r="N8" s="3"/>
      <c r="O8" s="3"/>
      <c r="P8" s="3" t="s">
        <v>164</v>
      </c>
    </row>
    <row r="9" spans="1:16" customFormat="1">
      <c r="A9" s="3" t="s">
        <v>69</v>
      </c>
      <c r="B9" s="3" t="s">
        <v>58</v>
      </c>
      <c r="C9" s="3" t="s">
        <v>1</v>
      </c>
      <c r="D9" s="3" t="s">
        <v>106</v>
      </c>
      <c r="E9" s="3" t="s">
        <v>107</v>
      </c>
      <c r="F9" s="3" t="s">
        <v>59</v>
      </c>
      <c r="G9" s="3" t="s">
        <v>108</v>
      </c>
      <c r="H9" s="3" t="s">
        <v>57</v>
      </c>
      <c r="I9" s="3" t="s">
        <v>182</v>
      </c>
      <c r="J9" s="3">
        <v>61</v>
      </c>
      <c r="K9" s="3"/>
      <c r="L9" s="3">
        <v>8400</v>
      </c>
      <c r="M9" s="3"/>
      <c r="N9" s="3"/>
      <c r="O9" s="3"/>
      <c r="P9" s="3" t="s">
        <v>220</v>
      </c>
    </row>
    <row r="10" spans="1:16" customFormat="1">
      <c r="A10" s="3" t="s">
        <v>69</v>
      </c>
      <c r="B10" s="3" t="s">
        <v>58</v>
      </c>
      <c r="C10" s="3" t="s">
        <v>1</v>
      </c>
      <c r="D10" s="3" t="s">
        <v>109</v>
      </c>
      <c r="E10" s="3" t="s">
        <v>110</v>
      </c>
      <c r="F10" s="3" t="s">
        <v>99</v>
      </c>
      <c r="G10" s="3" t="s">
        <v>111</v>
      </c>
      <c r="H10" s="3" t="s">
        <v>57</v>
      </c>
      <c r="I10" s="3" t="s">
        <v>171</v>
      </c>
      <c r="J10" s="3">
        <v>67</v>
      </c>
      <c r="K10" s="53" t="s">
        <v>169</v>
      </c>
      <c r="L10" s="3">
        <v>2500</v>
      </c>
      <c r="M10" s="3"/>
      <c r="N10" s="3"/>
      <c r="O10" s="3"/>
      <c r="P10" s="3" t="s">
        <v>170</v>
      </c>
    </row>
    <row r="11" spans="1:16" customFormat="1">
      <c r="A11" s="3" t="s">
        <v>69</v>
      </c>
      <c r="B11" s="3" t="s">
        <v>58</v>
      </c>
      <c r="C11" s="3" t="s">
        <v>1</v>
      </c>
      <c r="D11" s="3" t="s">
        <v>66</v>
      </c>
      <c r="E11" s="3" t="s">
        <v>112</v>
      </c>
      <c r="F11" s="3" t="s">
        <v>57</v>
      </c>
      <c r="G11" s="3" t="s">
        <v>113</v>
      </c>
      <c r="H11" s="3" t="s">
        <v>57</v>
      </c>
      <c r="I11" s="3" t="s">
        <v>185</v>
      </c>
      <c r="J11" s="3">
        <v>68</v>
      </c>
      <c r="K11" s="3"/>
      <c r="L11" s="3"/>
      <c r="M11" s="3"/>
      <c r="N11" s="3"/>
      <c r="O11" s="3"/>
      <c r="P11" s="3" t="s">
        <v>184</v>
      </c>
    </row>
    <row r="12" spans="1:16" customFormat="1">
      <c r="A12" s="3" t="s">
        <v>69</v>
      </c>
      <c r="B12" s="3" t="s">
        <v>58</v>
      </c>
      <c r="C12" s="3" t="s">
        <v>58</v>
      </c>
      <c r="D12" s="3" t="s">
        <v>69</v>
      </c>
      <c r="E12" s="3" t="s">
        <v>114</v>
      </c>
      <c r="F12" s="3" t="s">
        <v>34</v>
      </c>
      <c r="G12" s="3" t="s">
        <v>115</v>
      </c>
      <c r="H12" s="3" t="s">
        <v>57</v>
      </c>
      <c r="I12" s="3" t="s">
        <v>163</v>
      </c>
      <c r="J12" s="3">
        <v>52</v>
      </c>
      <c r="K12" s="30"/>
      <c r="L12" s="3">
        <v>2000</v>
      </c>
      <c r="M12" s="3">
        <v>3000</v>
      </c>
      <c r="N12" s="3">
        <v>20615</v>
      </c>
      <c r="O12" s="3"/>
      <c r="P12" s="42" t="s">
        <v>219</v>
      </c>
    </row>
    <row r="13" spans="1:16" customFormat="1">
      <c r="A13" s="3" t="s">
        <v>69</v>
      </c>
      <c r="B13" s="3" t="s">
        <v>58</v>
      </c>
      <c r="C13" s="3" t="s">
        <v>58</v>
      </c>
      <c r="D13" s="3" t="s">
        <v>69</v>
      </c>
      <c r="E13" s="3" t="s">
        <v>116</v>
      </c>
      <c r="F13" s="3" t="s">
        <v>60</v>
      </c>
      <c r="G13" s="3" t="s">
        <v>117</v>
      </c>
      <c r="H13" s="3" t="s">
        <v>57</v>
      </c>
      <c r="I13" s="3" t="s">
        <v>163</v>
      </c>
      <c r="J13" s="3">
        <v>56</v>
      </c>
      <c r="K13" s="3"/>
      <c r="L13" s="3">
        <v>3000</v>
      </c>
      <c r="M13" s="3">
        <v>2000</v>
      </c>
      <c r="N13" s="3">
        <v>11922</v>
      </c>
      <c r="O13" s="3"/>
      <c r="P13" s="42" t="s">
        <v>218</v>
      </c>
    </row>
    <row r="14" spans="1:16" customFormat="1">
      <c r="A14" s="3" t="s">
        <v>69</v>
      </c>
      <c r="B14" s="3" t="s">
        <v>58</v>
      </c>
      <c r="C14" s="3" t="s">
        <v>58</v>
      </c>
      <c r="D14" s="3" t="s">
        <v>69</v>
      </c>
      <c r="E14" s="3" t="s">
        <v>118</v>
      </c>
      <c r="F14" s="3" t="s">
        <v>119</v>
      </c>
      <c r="G14" s="3" t="s">
        <v>120</v>
      </c>
      <c r="H14" s="3" t="s">
        <v>57</v>
      </c>
      <c r="I14" s="3" t="s">
        <v>163</v>
      </c>
      <c r="J14" s="3">
        <v>63</v>
      </c>
      <c r="K14" s="30"/>
      <c r="L14" s="3">
        <v>40655</v>
      </c>
      <c r="M14" s="3"/>
      <c r="N14" s="3">
        <v>9615</v>
      </c>
      <c r="O14" s="3"/>
      <c r="P14" s="42" t="s">
        <v>217</v>
      </c>
    </row>
    <row r="15" spans="1:16" customFormat="1">
      <c r="A15" s="3" t="s">
        <v>69</v>
      </c>
      <c r="B15" s="3" t="s">
        <v>58</v>
      </c>
      <c r="C15" s="3" t="s">
        <v>58</v>
      </c>
      <c r="D15" s="3" t="s">
        <v>69</v>
      </c>
      <c r="E15" s="3" t="s">
        <v>121</v>
      </c>
      <c r="F15" s="3" t="s">
        <v>122</v>
      </c>
      <c r="G15" s="3" t="s">
        <v>123</v>
      </c>
      <c r="H15" s="3" t="s">
        <v>60</v>
      </c>
      <c r="I15" s="3" t="s">
        <v>163</v>
      </c>
      <c r="J15" s="3">
        <v>62</v>
      </c>
      <c r="K15" s="3"/>
      <c r="L15" s="3"/>
      <c r="M15" s="3"/>
      <c r="N15" s="3">
        <v>8219</v>
      </c>
      <c r="O15" s="3"/>
      <c r="P15" s="42" t="s">
        <v>222</v>
      </c>
    </row>
    <row r="16" spans="1:16" customFormat="1">
      <c r="A16" s="3" t="s">
        <v>69</v>
      </c>
      <c r="B16" s="3" t="s">
        <v>58</v>
      </c>
      <c r="C16" s="3" t="s">
        <v>58</v>
      </c>
      <c r="D16" s="3" t="s">
        <v>69</v>
      </c>
      <c r="E16" s="3" t="s">
        <v>124</v>
      </c>
      <c r="F16" s="3"/>
      <c r="G16" s="3" t="s">
        <v>125</v>
      </c>
      <c r="H16" s="3" t="s">
        <v>60</v>
      </c>
      <c r="I16" s="3" t="s">
        <v>163</v>
      </c>
      <c r="J16" s="3">
        <v>52</v>
      </c>
      <c r="K16" s="3"/>
      <c r="L16" s="3"/>
      <c r="M16" s="3"/>
      <c r="N16" s="3">
        <v>8461</v>
      </c>
      <c r="O16" s="3"/>
      <c r="P16" s="42" t="s">
        <v>216</v>
      </c>
    </row>
    <row r="17" spans="1:16" customFormat="1">
      <c r="A17" s="3" t="s">
        <v>69</v>
      </c>
      <c r="B17" s="3" t="s">
        <v>58</v>
      </c>
      <c r="C17" s="3" t="s">
        <v>58</v>
      </c>
      <c r="D17" s="3" t="s">
        <v>69</v>
      </c>
      <c r="E17" s="3" t="s">
        <v>126</v>
      </c>
      <c r="F17" s="3"/>
      <c r="G17" s="3" t="s">
        <v>127</v>
      </c>
      <c r="H17" s="3" t="s">
        <v>60</v>
      </c>
      <c r="I17" s="3" t="s">
        <v>163</v>
      </c>
      <c r="J17" s="3">
        <v>50</v>
      </c>
      <c r="K17" s="3"/>
      <c r="L17" s="3"/>
      <c r="M17" s="3"/>
      <c r="N17" s="3">
        <v>5000</v>
      </c>
      <c r="O17" s="3"/>
      <c r="P17" s="42" t="s">
        <v>230</v>
      </c>
    </row>
    <row r="18" spans="1:16" customForma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f>SUM(L2:L17)</f>
        <v>61105</v>
      </c>
      <c r="M18" s="3">
        <f>SUM(M2:M17)</f>
        <v>17000</v>
      </c>
      <c r="N18" s="3">
        <f>SUM(N2:N17)</f>
        <v>82672</v>
      </c>
      <c r="O18" s="3"/>
      <c r="P18" s="3"/>
    </row>
    <row r="19" spans="1:16" customForma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customForma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customForma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customForma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customForma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customForma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customForma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customForma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customForma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customForma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customForma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customForma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customForma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customForma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3:16">
      <c r="C33" s="4"/>
      <c r="D33" s="5"/>
      <c r="E33" s="5"/>
      <c r="K33" s="30"/>
      <c r="N33" s="2"/>
    </row>
    <row r="34" spans="3:16">
      <c r="C34" s="4"/>
      <c r="D34" s="5"/>
      <c r="E34" s="5"/>
      <c r="K34" s="30"/>
    </row>
    <row r="35" spans="3:16">
      <c r="C35" s="4"/>
    </row>
    <row r="36" spans="3:16">
      <c r="C36" s="4"/>
      <c r="D36" s="5"/>
      <c r="E36" s="5"/>
      <c r="K36" s="30"/>
    </row>
    <row r="37" spans="3:16">
      <c r="C37" s="4"/>
      <c r="D37" s="5"/>
      <c r="E37" s="5"/>
      <c r="K37" s="30"/>
    </row>
    <row r="38" spans="3:16">
      <c r="C38" s="4"/>
      <c r="D38" s="5"/>
      <c r="E38" s="5"/>
      <c r="K38" s="30"/>
    </row>
    <row r="39" spans="3:16">
      <c r="C39" s="4"/>
      <c r="D39" s="5"/>
      <c r="E39" s="5"/>
      <c r="K39" s="30"/>
    </row>
    <row r="40" spans="3:16">
      <c r="C40" s="4"/>
      <c r="D40" s="5"/>
      <c r="E40" s="5"/>
      <c r="K40" s="30"/>
    </row>
    <row r="41" spans="3:16">
      <c r="C41" s="4"/>
      <c r="D41" s="5"/>
      <c r="E41" s="5"/>
      <c r="K41" s="30"/>
      <c r="P41" s="31"/>
    </row>
    <row r="42" spans="3:16">
      <c r="C42" s="4"/>
      <c r="D42" s="5"/>
      <c r="E42" s="5"/>
      <c r="K42" s="30"/>
      <c r="P42" s="32"/>
    </row>
    <row r="43" spans="3:16">
      <c r="C43" s="4"/>
      <c r="D43" s="5"/>
      <c r="E43" s="5"/>
      <c r="K43" s="30"/>
    </row>
    <row r="44" spans="3:16">
      <c r="C44" s="4"/>
      <c r="D44" s="33"/>
      <c r="E44" s="5"/>
      <c r="K44" s="34"/>
    </row>
    <row r="45" spans="3:16" ht="15.75">
      <c r="C45" s="4"/>
      <c r="E45" s="18"/>
      <c r="K45" s="30"/>
    </row>
    <row r="46" spans="3:16" ht="15.75">
      <c r="C46" s="4"/>
      <c r="E46" s="6"/>
      <c r="K46" s="30"/>
    </row>
    <row r="47" spans="3:16" ht="15.75">
      <c r="C47" s="4"/>
      <c r="E47" s="18"/>
    </row>
    <row r="48" spans="3:16" ht="15.75">
      <c r="C48" s="4"/>
      <c r="E48" s="18"/>
    </row>
    <row r="49" spans="3:5" ht="15.75">
      <c r="C49" s="4"/>
      <c r="E49" s="18"/>
    </row>
    <row r="50" spans="3:5" ht="15.75">
      <c r="C50" s="4"/>
      <c r="E50" s="18"/>
    </row>
    <row r="51" spans="3:5" ht="15.75">
      <c r="C51" s="4"/>
      <c r="E51" s="18"/>
    </row>
    <row r="52" spans="3:5">
      <c r="C52" s="4"/>
      <c r="E52" s="5"/>
    </row>
    <row r="53" spans="3:5">
      <c r="C53" s="4"/>
      <c r="D53" s="5"/>
      <c r="E53" s="5"/>
    </row>
    <row r="54" spans="3:5">
      <c r="C54" s="4"/>
      <c r="D54" s="5"/>
      <c r="E54" s="5"/>
    </row>
    <row r="55" spans="3:5">
      <c r="C55" s="4"/>
      <c r="D55" s="5"/>
      <c r="E55" s="5"/>
    </row>
    <row r="56" spans="3:5">
      <c r="C56" s="4"/>
    </row>
    <row r="57" spans="3:5">
      <c r="C57" s="4"/>
      <c r="D57" s="5"/>
      <c r="E57" s="5"/>
    </row>
    <row r="58" spans="3:5">
      <c r="C58" s="4"/>
      <c r="D58" s="5"/>
      <c r="E58" s="5"/>
    </row>
    <row r="59" spans="3:5">
      <c r="C59" s="4"/>
      <c r="D59" s="5"/>
      <c r="E59" s="5"/>
    </row>
    <row r="60" spans="3:5">
      <c r="C60" s="4"/>
      <c r="D60" s="5"/>
      <c r="E60" s="5"/>
    </row>
    <row r="61" spans="3:5">
      <c r="C61" s="4"/>
      <c r="D61" s="5"/>
      <c r="E61" s="5"/>
    </row>
    <row r="62" spans="3:5">
      <c r="C62" s="4"/>
      <c r="D62" s="5"/>
      <c r="E62" s="5"/>
    </row>
    <row r="63" spans="3:5">
      <c r="C63" s="4"/>
      <c r="D63" s="5"/>
      <c r="E63" s="5"/>
    </row>
    <row r="64" spans="3:5">
      <c r="C64" s="4"/>
      <c r="D64" s="5"/>
      <c r="E64" s="5"/>
    </row>
    <row r="65" spans="3:5">
      <c r="C65" s="4"/>
      <c r="D65" s="5"/>
      <c r="E65" s="5"/>
    </row>
    <row r="66" spans="3:5">
      <c r="C66" s="4"/>
      <c r="D66" s="5"/>
      <c r="E66" s="5"/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35"/>
  <sheetViews>
    <sheetView workbookViewId="0">
      <selection activeCell="E3" sqref="E3:I3"/>
    </sheetView>
  </sheetViews>
  <sheetFormatPr defaultRowHeight="15"/>
  <cols>
    <col min="7" max="7" width="8.85546875" style="2"/>
    <col min="8" max="8" width="15.28515625" customWidth="1"/>
    <col min="11" max="11" width="22.140625" customWidth="1"/>
    <col min="17" max="17" width="8.85546875" style="2"/>
    <col min="18" max="18" width="16" customWidth="1"/>
  </cols>
  <sheetData>
    <row r="1" spans="1:18">
      <c r="A1" t="s">
        <v>9</v>
      </c>
      <c r="D1">
        <v>2020</v>
      </c>
    </row>
    <row r="2" spans="1:18">
      <c r="A2" t="s">
        <v>13</v>
      </c>
      <c r="D2" s="10" t="s">
        <v>8</v>
      </c>
      <c r="E2" t="s">
        <v>4</v>
      </c>
      <c r="F2" s="2" t="s">
        <v>6</v>
      </c>
      <c r="G2" t="s">
        <v>5</v>
      </c>
      <c r="H2" s="10" t="s">
        <v>11</v>
      </c>
      <c r="I2" s="10" t="s">
        <v>12</v>
      </c>
      <c r="R2" s="1"/>
    </row>
    <row r="3" spans="1:18" ht="15.75">
      <c r="A3" t="s">
        <v>67</v>
      </c>
      <c r="B3" t="s">
        <v>77</v>
      </c>
      <c r="D3" t="s">
        <v>1</v>
      </c>
      <c r="E3">
        <v>271500</v>
      </c>
      <c r="F3" s="2">
        <v>265000</v>
      </c>
      <c r="G3"/>
      <c r="H3" s="6">
        <f>(+E3/(E3+F3))*100</f>
        <v>50.605778191985081</v>
      </c>
      <c r="I3" s="6">
        <f>(+F3/(E3+F3))*100</f>
        <v>49.394221808014912</v>
      </c>
      <c r="R3" s="1"/>
    </row>
    <row r="4" spans="1:18">
      <c r="H4" s="1"/>
      <c r="R4" s="1"/>
    </row>
    <row r="5" spans="1:18">
      <c r="H5" s="1"/>
      <c r="R5" s="1"/>
    </row>
    <row r="6" spans="1:18" ht="15.75">
      <c r="B6" s="8"/>
      <c r="C6" s="9"/>
      <c r="E6" s="6"/>
      <c r="F6" s="6"/>
      <c r="H6" s="1"/>
      <c r="R6" s="1"/>
    </row>
    <row r="7" spans="1:18">
      <c r="H7" s="1"/>
      <c r="R7" s="1"/>
    </row>
    <row r="8" spans="1:18">
      <c r="H8" s="1"/>
      <c r="R8" s="1"/>
    </row>
    <row r="9" spans="1:18">
      <c r="H9" s="1"/>
      <c r="R9" s="1"/>
    </row>
    <row r="10" spans="1:18">
      <c r="H10" s="1"/>
      <c r="R10" s="1"/>
    </row>
    <row r="11" spans="1:18">
      <c r="H11" s="1"/>
      <c r="R11" s="1"/>
    </row>
    <row r="12" spans="1:18">
      <c r="H12" s="1"/>
      <c r="R12" s="1"/>
    </row>
    <row r="13" spans="1:18">
      <c r="H13" s="1"/>
      <c r="R13" s="1"/>
    </row>
    <row r="14" spans="1:18">
      <c r="H14" s="1"/>
      <c r="R14" s="1"/>
    </row>
    <row r="15" spans="1:18">
      <c r="H15" s="1"/>
      <c r="R15" s="1"/>
    </row>
    <row r="16" spans="1:18">
      <c r="H16" s="1"/>
      <c r="R16" s="1"/>
    </row>
    <row r="17" spans="8:18">
      <c r="H17" s="1"/>
      <c r="R17" s="1"/>
    </row>
    <row r="18" spans="8:18">
      <c r="H18" s="1"/>
      <c r="R18" s="1"/>
    </row>
    <row r="19" spans="8:18">
      <c r="H19" s="1"/>
      <c r="R19" s="1"/>
    </row>
    <row r="20" spans="8:18">
      <c r="H20" s="1"/>
      <c r="R20" s="1"/>
    </row>
    <row r="21" spans="8:18">
      <c r="H21" s="1"/>
      <c r="R21" s="1"/>
    </row>
    <row r="22" spans="8:18">
      <c r="H22" s="1"/>
      <c r="R22" s="1"/>
    </row>
    <row r="23" spans="8:18">
      <c r="H23" s="1"/>
      <c r="R23" s="1"/>
    </row>
    <row r="24" spans="8:18">
      <c r="H24" s="1"/>
      <c r="R24" s="1"/>
    </row>
    <row r="25" spans="8:18">
      <c r="H25" s="1"/>
      <c r="R25" s="1"/>
    </row>
    <row r="26" spans="8:18">
      <c r="H26" s="1"/>
      <c r="R26" s="1"/>
    </row>
    <row r="27" spans="8:18">
      <c r="H27" s="1"/>
      <c r="R27" s="1"/>
    </row>
    <row r="28" spans="8:18">
      <c r="H28" s="1"/>
      <c r="R28" s="1"/>
    </row>
    <row r="29" spans="8:18">
      <c r="H29" s="1"/>
      <c r="R29" s="1"/>
    </row>
    <row r="30" spans="8:18">
      <c r="H30" s="1"/>
      <c r="R30" s="1"/>
    </row>
    <row r="31" spans="8:18">
      <c r="H31" s="1"/>
      <c r="R31" s="1"/>
    </row>
    <row r="32" spans="8:18">
      <c r="H32" s="1"/>
      <c r="R32" s="1"/>
    </row>
    <row r="33" spans="8:18">
      <c r="H33" s="1"/>
      <c r="R33" s="1"/>
    </row>
    <row r="34" spans="8:18">
      <c r="H34" s="1"/>
      <c r="R34" s="1"/>
    </row>
    <row r="35" spans="8:18">
      <c r="H35" s="1"/>
      <c r="R35" s="1"/>
    </row>
    <row r="36" spans="8:18">
      <c r="H36" s="1"/>
      <c r="R36" s="1"/>
    </row>
    <row r="37" spans="8:18">
      <c r="H37" s="1"/>
      <c r="R37" s="1"/>
    </row>
    <row r="38" spans="8:18">
      <c r="H38" s="1"/>
      <c r="R38" s="1"/>
    </row>
    <row r="39" spans="8:18">
      <c r="H39" s="1"/>
      <c r="R39" s="1"/>
    </row>
    <row r="40" spans="8:18">
      <c r="H40" s="1"/>
      <c r="R40" s="1"/>
    </row>
    <row r="41" spans="8:18">
      <c r="H41" s="1"/>
      <c r="R41" s="1"/>
    </row>
    <row r="42" spans="8:18">
      <c r="H42" s="1"/>
      <c r="R42" s="1"/>
    </row>
    <row r="43" spans="8:18">
      <c r="H43" s="1"/>
      <c r="R43" s="1"/>
    </row>
    <row r="44" spans="8:18">
      <c r="H44" s="1"/>
      <c r="R44" s="1"/>
    </row>
    <row r="45" spans="8:18">
      <c r="H45" s="1"/>
      <c r="R45" s="1"/>
    </row>
    <row r="46" spans="8:18">
      <c r="H46" s="1"/>
      <c r="R46" s="1"/>
    </row>
    <row r="47" spans="8:18">
      <c r="H47" s="1"/>
      <c r="R47" s="1"/>
    </row>
    <row r="48" spans="8:18">
      <c r="H48" s="1"/>
      <c r="R48" s="1"/>
    </row>
    <row r="49" spans="8:18">
      <c r="H49" s="1"/>
      <c r="R49" s="1"/>
    </row>
    <row r="50" spans="8:18">
      <c r="H50" s="1"/>
      <c r="R50" s="1"/>
    </row>
    <row r="51" spans="8:18">
      <c r="H51" s="1"/>
      <c r="R51" s="1"/>
    </row>
    <row r="52" spans="8:18">
      <c r="H52" s="1"/>
      <c r="R52" s="1"/>
    </row>
    <row r="53" spans="8:18">
      <c r="H53" s="1"/>
      <c r="R53" s="1"/>
    </row>
    <row r="54" spans="8:18">
      <c r="H54" s="1"/>
      <c r="R54" s="1"/>
    </row>
    <row r="55" spans="8:18">
      <c r="H55" s="1"/>
      <c r="R55" s="1"/>
    </row>
    <row r="56" spans="8:18">
      <c r="H56" s="1"/>
      <c r="R56" s="1"/>
    </row>
    <row r="57" spans="8:18">
      <c r="H57" s="1"/>
      <c r="R57" s="1"/>
    </row>
    <row r="58" spans="8:18">
      <c r="H58" s="1"/>
      <c r="R58" s="1"/>
    </row>
    <row r="59" spans="8:18">
      <c r="H59" s="1"/>
      <c r="R59" s="1"/>
    </row>
    <row r="60" spans="8:18">
      <c r="H60" s="1"/>
      <c r="R60" s="1"/>
    </row>
    <row r="61" spans="8:18">
      <c r="H61" s="1"/>
      <c r="R61" s="1"/>
    </row>
    <row r="62" spans="8:18">
      <c r="H62" s="1"/>
      <c r="R62" s="1"/>
    </row>
    <row r="63" spans="8:18">
      <c r="H63" s="1"/>
      <c r="R63" s="1"/>
    </row>
    <row r="64" spans="8:18">
      <c r="H64" s="1"/>
      <c r="R64" s="1"/>
    </row>
    <row r="65" spans="8:18">
      <c r="H65" s="1"/>
      <c r="R65" s="1"/>
    </row>
    <row r="66" spans="8:18">
      <c r="H66" s="1"/>
      <c r="R66" s="1"/>
    </row>
    <row r="67" spans="8:18">
      <c r="H67" s="1"/>
      <c r="R67" s="1"/>
    </row>
    <row r="68" spans="8:18">
      <c r="H68" s="1"/>
      <c r="R68" s="1"/>
    </row>
    <row r="69" spans="8:18">
      <c r="H69" s="1"/>
      <c r="R69" s="1"/>
    </row>
    <row r="70" spans="8:18">
      <c r="H70" s="1"/>
      <c r="R70" s="1"/>
    </row>
    <row r="71" spans="8:18">
      <c r="H71" s="1"/>
      <c r="R71" s="1"/>
    </row>
    <row r="72" spans="8:18">
      <c r="H72" s="1"/>
      <c r="R72" s="1"/>
    </row>
    <row r="73" spans="8:18">
      <c r="H73" s="1"/>
      <c r="R73" s="1"/>
    </row>
    <row r="74" spans="8:18">
      <c r="H74" s="1"/>
      <c r="R74" s="1"/>
    </row>
    <row r="75" spans="8:18">
      <c r="H75" s="1"/>
      <c r="R75" s="1"/>
    </row>
    <row r="76" spans="8:18">
      <c r="H76" s="1"/>
      <c r="R76" s="1"/>
    </row>
    <row r="77" spans="8:18">
      <c r="H77" s="1"/>
      <c r="R77" s="1"/>
    </row>
    <row r="78" spans="8:18">
      <c r="H78" s="1"/>
      <c r="R78" s="1"/>
    </row>
    <row r="79" spans="8:18">
      <c r="H79" s="1"/>
      <c r="R79" s="1"/>
    </row>
    <row r="80" spans="8:18">
      <c r="H80" s="1"/>
      <c r="R80" s="1"/>
    </row>
    <row r="81" spans="8:18">
      <c r="H81" s="1"/>
      <c r="R81" s="1"/>
    </row>
    <row r="82" spans="8:18">
      <c r="H82" s="1"/>
      <c r="R82" s="1"/>
    </row>
    <row r="83" spans="8:18">
      <c r="H83" s="1"/>
      <c r="R83" s="1"/>
    </row>
    <row r="84" spans="8:18">
      <c r="H84" s="1"/>
      <c r="R84" s="1"/>
    </row>
    <row r="85" spans="8:18">
      <c r="H85" s="1"/>
      <c r="R85" s="1"/>
    </row>
    <row r="86" spans="8:18">
      <c r="H86" s="1"/>
      <c r="R86" s="1"/>
    </row>
    <row r="87" spans="8:18">
      <c r="H87" s="1"/>
      <c r="R87" s="1"/>
    </row>
    <row r="88" spans="8:18">
      <c r="H88" s="1"/>
      <c r="R88" s="1"/>
    </row>
    <row r="89" spans="8:18">
      <c r="H89" s="1"/>
      <c r="R89" s="1"/>
    </row>
    <row r="90" spans="8:18">
      <c r="H90" s="1"/>
      <c r="R90" s="1"/>
    </row>
    <row r="91" spans="8:18">
      <c r="H91" s="1"/>
      <c r="R91" s="1"/>
    </row>
    <row r="92" spans="8:18">
      <c r="H92" s="1"/>
      <c r="R92" s="1"/>
    </row>
    <row r="93" spans="8:18">
      <c r="H93" s="1"/>
      <c r="R93" s="1"/>
    </row>
    <row r="94" spans="8:18">
      <c r="H94" s="1"/>
      <c r="R94" s="1"/>
    </row>
    <row r="95" spans="8:18">
      <c r="H95" s="1"/>
      <c r="R95" s="1"/>
    </row>
    <row r="96" spans="8:18">
      <c r="H96" s="1"/>
      <c r="R96" s="1"/>
    </row>
    <row r="97" spans="8:18">
      <c r="H97" s="1"/>
      <c r="R97" s="1"/>
    </row>
    <row r="98" spans="8:18">
      <c r="H98" s="1"/>
      <c r="R98" s="1"/>
    </row>
    <row r="99" spans="8:18">
      <c r="H99" s="1"/>
      <c r="R99" s="1"/>
    </row>
    <row r="100" spans="8:18">
      <c r="H100" s="1"/>
      <c r="R100" s="1"/>
    </row>
    <row r="101" spans="8:18">
      <c r="H101" s="1"/>
      <c r="R101" s="1"/>
    </row>
    <row r="102" spans="8:18">
      <c r="H102" s="1"/>
      <c r="R102" s="1"/>
    </row>
    <row r="103" spans="8:18">
      <c r="H103" s="1"/>
      <c r="R103" s="1"/>
    </row>
    <row r="104" spans="8:18">
      <c r="H104" s="1"/>
      <c r="R104" s="1"/>
    </row>
    <row r="105" spans="8:18">
      <c r="H105" s="1"/>
      <c r="R105" s="1"/>
    </row>
    <row r="106" spans="8:18">
      <c r="H106" s="1"/>
      <c r="R106" s="1"/>
    </row>
    <row r="107" spans="8:18">
      <c r="H107" s="1"/>
      <c r="R107" s="1"/>
    </row>
    <row r="108" spans="8:18">
      <c r="H108" s="1"/>
      <c r="R108" s="1"/>
    </row>
    <row r="109" spans="8:18">
      <c r="H109" s="1"/>
      <c r="R109" s="1"/>
    </row>
    <row r="110" spans="8:18">
      <c r="H110" s="1"/>
      <c r="R110" s="1"/>
    </row>
    <row r="111" spans="8:18">
      <c r="H111" s="1"/>
      <c r="R111" s="1"/>
    </row>
    <row r="112" spans="8:18">
      <c r="H112" s="1"/>
      <c r="R112" s="1"/>
    </row>
    <row r="113" spans="8:18">
      <c r="H113" s="1"/>
      <c r="R113" s="1"/>
    </row>
    <row r="114" spans="8:18">
      <c r="H114" s="1"/>
      <c r="R114" s="1"/>
    </row>
    <row r="115" spans="8:18">
      <c r="H115" s="1"/>
      <c r="R115" s="1"/>
    </row>
    <row r="116" spans="8:18">
      <c r="H116" s="1"/>
      <c r="R116" s="1"/>
    </row>
    <row r="117" spans="8:18">
      <c r="H117" s="1"/>
      <c r="R117" s="1"/>
    </row>
    <row r="118" spans="8:18">
      <c r="H118" s="1"/>
      <c r="R118" s="1"/>
    </row>
    <row r="119" spans="8:18">
      <c r="H119" s="1"/>
      <c r="R119" s="1"/>
    </row>
    <row r="120" spans="8:18">
      <c r="H120" s="1"/>
      <c r="R120" s="1"/>
    </row>
    <row r="121" spans="8:18">
      <c r="H121" s="1"/>
      <c r="R121" s="1"/>
    </row>
    <row r="122" spans="8:18">
      <c r="H122" s="1"/>
      <c r="R122" s="1"/>
    </row>
    <row r="123" spans="8:18">
      <c r="H123" s="1"/>
      <c r="R123" s="1"/>
    </row>
    <row r="124" spans="8:18">
      <c r="H124" s="1"/>
      <c r="R124" s="1"/>
    </row>
    <row r="125" spans="8:18">
      <c r="H125" s="1"/>
      <c r="R125" s="1"/>
    </row>
    <row r="126" spans="8:18">
      <c r="H126" s="1"/>
      <c r="R126" s="1"/>
    </row>
    <row r="127" spans="8:18">
      <c r="H127" s="1"/>
      <c r="R127" s="1"/>
    </row>
    <row r="128" spans="8:18">
      <c r="H128" s="1"/>
      <c r="R128" s="1"/>
    </row>
    <row r="129" spans="8:18">
      <c r="H129" s="1"/>
      <c r="R129" s="1"/>
    </row>
    <row r="130" spans="8:18">
      <c r="H130" s="1"/>
      <c r="R130" s="1"/>
    </row>
    <row r="131" spans="8:18">
      <c r="H131" s="1"/>
      <c r="R131" s="1"/>
    </row>
    <row r="132" spans="8:18">
      <c r="H132" s="1"/>
      <c r="R132" s="1"/>
    </row>
    <row r="133" spans="8:18">
      <c r="H133" s="1"/>
      <c r="R133" s="1"/>
    </row>
    <row r="134" spans="8:18">
      <c r="H134" s="1"/>
      <c r="R134" s="1"/>
    </row>
    <row r="135" spans="8:18">
      <c r="H135" s="1"/>
      <c r="R135" s="1"/>
    </row>
    <row r="136" spans="8:18">
      <c r="H136" s="1"/>
      <c r="R136" s="1"/>
    </row>
    <row r="137" spans="8:18">
      <c r="H137" s="1"/>
      <c r="R137" s="1"/>
    </row>
    <row r="138" spans="8:18">
      <c r="H138" s="1"/>
      <c r="R138" s="1"/>
    </row>
    <row r="139" spans="8:18">
      <c r="H139" s="1"/>
      <c r="R139" s="1"/>
    </row>
    <row r="140" spans="8:18">
      <c r="H140" s="1"/>
      <c r="R140" s="1"/>
    </row>
    <row r="141" spans="8:18">
      <c r="H141" s="1"/>
      <c r="R141" s="1"/>
    </row>
    <row r="142" spans="8:18">
      <c r="H142" s="1"/>
      <c r="R142" s="1"/>
    </row>
    <row r="143" spans="8:18">
      <c r="H143" s="1"/>
      <c r="R143" s="1"/>
    </row>
    <row r="144" spans="8:18">
      <c r="H144" s="1"/>
      <c r="R144" s="1"/>
    </row>
    <row r="145" spans="8:18">
      <c r="H145" s="1"/>
      <c r="R145" s="1"/>
    </row>
    <row r="146" spans="8:18">
      <c r="H146" s="1"/>
      <c r="R146" s="1"/>
    </row>
    <row r="147" spans="8:18">
      <c r="H147" s="1"/>
      <c r="R147" s="1"/>
    </row>
    <row r="148" spans="8:18">
      <c r="H148" s="1"/>
      <c r="R148" s="1"/>
    </row>
    <row r="149" spans="8:18">
      <c r="H149" s="1"/>
      <c r="R149" s="1"/>
    </row>
    <row r="150" spans="8:18">
      <c r="H150" s="1"/>
      <c r="R150" s="1"/>
    </row>
    <row r="151" spans="8:18">
      <c r="H151" s="1"/>
      <c r="R151" s="1"/>
    </row>
    <row r="152" spans="8:18">
      <c r="H152" s="1"/>
      <c r="R152" s="1"/>
    </row>
    <row r="153" spans="8:18">
      <c r="H153" s="1"/>
      <c r="R153" s="1"/>
    </row>
    <row r="154" spans="8:18">
      <c r="H154" s="1"/>
      <c r="R154" s="1"/>
    </row>
    <row r="155" spans="8:18">
      <c r="H155" s="1"/>
      <c r="R155" s="1"/>
    </row>
    <row r="156" spans="8:18">
      <c r="H156" s="1"/>
      <c r="R156" s="1"/>
    </row>
    <row r="157" spans="8:18">
      <c r="H157" s="1"/>
      <c r="R157" s="1"/>
    </row>
    <row r="158" spans="8:18">
      <c r="H158" s="1"/>
      <c r="R158" s="1"/>
    </row>
    <row r="159" spans="8:18">
      <c r="H159" s="1"/>
      <c r="R159" s="1"/>
    </row>
    <row r="160" spans="8:18">
      <c r="H160" s="1"/>
      <c r="R160" s="1"/>
    </row>
    <row r="161" spans="8:18">
      <c r="H161" s="1"/>
      <c r="R161" s="1"/>
    </row>
    <row r="162" spans="8:18">
      <c r="H162" s="1"/>
      <c r="R162" s="1"/>
    </row>
    <row r="163" spans="8:18">
      <c r="H163" s="1"/>
      <c r="R163" s="1"/>
    </row>
    <row r="164" spans="8:18">
      <c r="H164" s="1"/>
      <c r="R164" s="1"/>
    </row>
    <row r="165" spans="8:18">
      <c r="H165" s="1"/>
      <c r="R165" s="1"/>
    </row>
    <row r="166" spans="8:18">
      <c r="H166" s="1"/>
      <c r="R166" s="1"/>
    </row>
    <row r="167" spans="8:18">
      <c r="H167" s="1"/>
      <c r="R167" s="1"/>
    </row>
    <row r="168" spans="8:18">
      <c r="H168" s="1"/>
      <c r="R168" s="1"/>
    </row>
    <row r="169" spans="8:18">
      <c r="H169" s="1"/>
      <c r="R169" s="1"/>
    </row>
    <row r="170" spans="8:18">
      <c r="H170" s="1"/>
      <c r="R170" s="1"/>
    </row>
    <row r="171" spans="8:18">
      <c r="H171" s="1"/>
      <c r="R171" s="1"/>
    </row>
    <row r="172" spans="8:18">
      <c r="H172" s="1"/>
      <c r="R172" s="1"/>
    </row>
    <row r="173" spans="8:18">
      <c r="H173" s="1"/>
      <c r="R173" s="1"/>
    </row>
    <row r="174" spans="8:18">
      <c r="H174" s="1"/>
      <c r="R174" s="1"/>
    </row>
    <row r="175" spans="8:18">
      <c r="H175" s="1"/>
      <c r="R175" s="1"/>
    </row>
    <row r="176" spans="8:18">
      <c r="H176" s="1"/>
      <c r="R176" s="1"/>
    </row>
    <row r="177" spans="8:18">
      <c r="H177" s="1"/>
      <c r="R177" s="1"/>
    </row>
    <row r="178" spans="8:18">
      <c r="H178" s="1"/>
      <c r="R178" s="1"/>
    </row>
    <row r="179" spans="8:18">
      <c r="H179" s="1"/>
      <c r="R179" s="1"/>
    </row>
    <row r="180" spans="8:18">
      <c r="H180" s="1"/>
      <c r="R180" s="1"/>
    </row>
    <row r="181" spans="8:18">
      <c r="H181" s="1"/>
      <c r="R181" s="1"/>
    </row>
    <row r="182" spans="8:18">
      <c r="H182" s="1"/>
      <c r="R182" s="1"/>
    </row>
    <row r="183" spans="8:18">
      <c r="H183" s="1"/>
      <c r="R183" s="1"/>
    </row>
    <row r="184" spans="8:18">
      <c r="H184" s="1"/>
      <c r="R184" s="1"/>
    </row>
    <row r="185" spans="8:18">
      <c r="H185" s="1"/>
      <c r="R185" s="1"/>
    </row>
    <row r="186" spans="8:18">
      <c r="H186" s="1"/>
      <c r="R186" s="1"/>
    </row>
    <row r="187" spans="8:18">
      <c r="H187" s="1"/>
      <c r="R187" s="1"/>
    </row>
    <row r="188" spans="8:18">
      <c r="H188" s="1"/>
      <c r="R188" s="1"/>
    </row>
    <row r="189" spans="8:18">
      <c r="H189" s="1"/>
      <c r="R189" s="1"/>
    </row>
    <row r="190" spans="8:18">
      <c r="H190" s="1"/>
      <c r="R190" s="1"/>
    </row>
    <row r="191" spans="8:18">
      <c r="H191" s="1"/>
      <c r="R191" s="1"/>
    </row>
    <row r="192" spans="8:18">
      <c r="H192" s="1"/>
      <c r="R192" s="1"/>
    </row>
    <row r="193" spans="8:18">
      <c r="H193" s="1"/>
      <c r="R193" s="1"/>
    </row>
    <row r="194" spans="8:18">
      <c r="H194" s="1"/>
      <c r="R194" s="1"/>
    </row>
    <row r="195" spans="8:18">
      <c r="H195" s="1"/>
      <c r="R195" s="1"/>
    </row>
    <row r="196" spans="8:18">
      <c r="H196" s="1"/>
      <c r="R196" s="1"/>
    </row>
    <row r="197" spans="8:18">
      <c r="H197" s="1"/>
      <c r="R197" s="1"/>
    </row>
    <row r="198" spans="8:18">
      <c r="H198" s="1"/>
      <c r="R198" s="1"/>
    </row>
    <row r="199" spans="8:18">
      <c r="H199" s="1"/>
      <c r="R199" s="1"/>
    </row>
    <row r="200" spans="8:18">
      <c r="H200" s="1"/>
      <c r="R200" s="1"/>
    </row>
    <row r="201" spans="8:18">
      <c r="H201" s="1"/>
      <c r="R201" s="1"/>
    </row>
    <row r="202" spans="8:18">
      <c r="H202" s="1"/>
      <c r="R202" s="1"/>
    </row>
    <row r="203" spans="8:18">
      <c r="H203" s="1"/>
      <c r="R203" s="1"/>
    </row>
    <row r="204" spans="8:18">
      <c r="H204" s="1"/>
      <c r="R204" s="1"/>
    </row>
    <row r="205" spans="8:18">
      <c r="H205" s="1"/>
      <c r="R205" s="1"/>
    </row>
    <row r="206" spans="8:18">
      <c r="H206" s="1"/>
      <c r="R206" s="1"/>
    </row>
    <row r="207" spans="8:18">
      <c r="H207" s="1"/>
      <c r="R207" s="1"/>
    </row>
    <row r="208" spans="8:18">
      <c r="H208" s="1"/>
      <c r="R208" s="1"/>
    </row>
    <row r="209" spans="8:18">
      <c r="H209" s="1"/>
      <c r="R209" s="1"/>
    </row>
    <row r="210" spans="8:18">
      <c r="H210" s="1"/>
      <c r="R210" s="1"/>
    </row>
    <row r="211" spans="8:18">
      <c r="H211" s="1"/>
      <c r="R211" s="1"/>
    </row>
    <row r="212" spans="8:18">
      <c r="H212" s="1"/>
      <c r="R212" s="1"/>
    </row>
    <row r="213" spans="8:18">
      <c r="H213" s="1"/>
      <c r="R213" s="1"/>
    </row>
    <row r="214" spans="8:18">
      <c r="H214" s="1"/>
      <c r="R214" s="1"/>
    </row>
    <row r="215" spans="8:18">
      <c r="H215" s="1"/>
      <c r="R215" s="1"/>
    </row>
    <row r="216" spans="8:18">
      <c r="H216" s="1"/>
      <c r="R216" s="1"/>
    </row>
    <row r="217" spans="8:18">
      <c r="H217" s="1"/>
      <c r="R217" s="1"/>
    </row>
    <row r="218" spans="8:18">
      <c r="H218" s="1"/>
      <c r="R218" s="1"/>
    </row>
    <row r="219" spans="8:18">
      <c r="H219" s="1"/>
      <c r="R219" s="1"/>
    </row>
    <row r="220" spans="8:18">
      <c r="H220" s="1"/>
      <c r="R220" s="1"/>
    </row>
    <row r="221" spans="8:18">
      <c r="H221" s="1"/>
      <c r="R221" s="1"/>
    </row>
    <row r="222" spans="8:18">
      <c r="H222" s="1"/>
      <c r="R222" s="1"/>
    </row>
    <row r="223" spans="8:18">
      <c r="H223" s="1"/>
      <c r="R223" s="1"/>
    </row>
    <row r="224" spans="8:18">
      <c r="H224" s="1"/>
      <c r="R224" s="1"/>
    </row>
    <row r="225" spans="8:18">
      <c r="H225" s="1"/>
      <c r="R225" s="1"/>
    </row>
    <row r="226" spans="8:18">
      <c r="H226" s="1"/>
      <c r="R226" s="1"/>
    </row>
    <row r="227" spans="8:18">
      <c r="H227" s="1"/>
      <c r="R227" s="1"/>
    </row>
    <row r="228" spans="8:18">
      <c r="H228" s="1"/>
      <c r="R228" s="1"/>
    </row>
    <row r="229" spans="8:18">
      <c r="H229" s="1"/>
      <c r="R229" s="1"/>
    </row>
    <row r="230" spans="8:18">
      <c r="H230" s="1"/>
      <c r="R230" s="1"/>
    </row>
    <row r="231" spans="8:18">
      <c r="H231" s="1"/>
      <c r="R231" s="1"/>
    </row>
    <row r="232" spans="8:18">
      <c r="H232" s="1"/>
      <c r="R232" s="1"/>
    </row>
    <row r="233" spans="8:18">
      <c r="H233" s="1"/>
      <c r="R233" s="1"/>
    </row>
    <row r="234" spans="8:18">
      <c r="H234" s="1"/>
      <c r="R234" s="1"/>
    </row>
    <row r="235" spans="8:18">
      <c r="H235" s="1"/>
      <c r="R235" s="1"/>
    </row>
    <row r="236" spans="8:18">
      <c r="H236" s="1"/>
      <c r="R236" s="1"/>
    </row>
    <row r="237" spans="8:18">
      <c r="H237" s="1"/>
      <c r="R237" s="1"/>
    </row>
    <row r="238" spans="8:18">
      <c r="H238" s="1"/>
      <c r="R238" s="1"/>
    </row>
    <row r="239" spans="8:18">
      <c r="H239" s="1"/>
      <c r="R239" s="1"/>
    </row>
    <row r="240" spans="8:18">
      <c r="H240" s="1"/>
      <c r="R240" s="1"/>
    </row>
    <row r="241" spans="8:18">
      <c r="H241" s="1"/>
      <c r="R241" s="1"/>
    </row>
    <row r="242" spans="8:18">
      <c r="H242" s="1"/>
      <c r="R242" s="1"/>
    </row>
    <row r="243" spans="8:18">
      <c r="H243" s="1"/>
      <c r="R243" s="1"/>
    </row>
    <row r="244" spans="8:18">
      <c r="H244" s="1"/>
      <c r="R244" s="1"/>
    </row>
    <row r="245" spans="8:18">
      <c r="H245" s="1"/>
      <c r="R245" s="1"/>
    </row>
    <row r="246" spans="8:18">
      <c r="H246" s="1"/>
      <c r="R246" s="1"/>
    </row>
    <row r="247" spans="8:18">
      <c r="H247" s="1"/>
      <c r="R247" s="1"/>
    </row>
    <row r="248" spans="8:18">
      <c r="H248" s="1"/>
      <c r="R248" s="1"/>
    </row>
    <row r="249" spans="8:18">
      <c r="H249" s="1"/>
      <c r="R249" s="1"/>
    </row>
    <row r="250" spans="8:18">
      <c r="H250" s="1"/>
      <c r="R250" s="1"/>
    </row>
    <row r="251" spans="8:18">
      <c r="H251" s="1"/>
      <c r="R251" s="1"/>
    </row>
    <row r="252" spans="8:18">
      <c r="H252" s="1"/>
      <c r="R252" s="1"/>
    </row>
    <row r="253" spans="8:18">
      <c r="H253" s="1"/>
      <c r="R253" s="1"/>
    </row>
    <row r="254" spans="8:18">
      <c r="H254" s="1"/>
      <c r="R254" s="1"/>
    </row>
    <row r="255" spans="8:18">
      <c r="H255" s="1"/>
      <c r="R255" s="1"/>
    </row>
    <row r="256" spans="8:18">
      <c r="H256" s="1"/>
      <c r="R256" s="1"/>
    </row>
    <row r="257" spans="8:18">
      <c r="H257" s="1"/>
      <c r="R257" s="1"/>
    </row>
    <row r="258" spans="8:18">
      <c r="H258" s="1"/>
      <c r="R258" s="1"/>
    </row>
    <row r="259" spans="8:18">
      <c r="H259" s="1"/>
      <c r="R259" s="1"/>
    </row>
    <row r="260" spans="8:18">
      <c r="H260" s="1"/>
      <c r="R260" s="1"/>
    </row>
    <row r="261" spans="8:18">
      <c r="H261" s="1"/>
      <c r="R261" s="1"/>
    </row>
    <row r="262" spans="8:18">
      <c r="H262" s="1"/>
      <c r="R262" s="1"/>
    </row>
    <row r="263" spans="8:18">
      <c r="H263" s="1"/>
      <c r="R263" s="1"/>
    </row>
    <row r="264" spans="8:18">
      <c r="H264" s="1"/>
      <c r="R264" s="1"/>
    </row>
    <row r="265" spans="8:18">
      <c r="H265" s="1"/>
      <c r="R265" s="1"/>
    </row>
    <row r="266" spans="8:18">
      <c r="H266" s="1"/>
      <c r="R266" s="1"/>
    </row>
    <row r="267" spans="8:18">
      <c r="H267" s="1"/>
      <c r="R267" s="1"/>
    </row>
    <row r="268" spans="8:18">
      <c r="H268" s="1"/>
      <c r="R268" s="1"/>
    </row>
    <row r="269" spans="8:18">
      <c r="H269" s="1"/>
      <c r="R269" s="1"/>
    </row>
    <row r="270" spans="8:18">
      <c r="H270" s="1"/>
      <c r="R270" s="1"/>
    </row>
    <row r="271" spans="8:18">
      <c r="H271" s="1"/>
      <c r="R271" s="1"/>
    </row>
    <row r="272" spans="8:18">
      <c r="H272" s="1"/>
      <c r="R272" s="1"/>
    </row>
    <row r="273" spans="8:18">
      <c r="H273" s="1"/>
      <c r="R273" s="1"/>
    </row>
    <row r="274" spans="8:18">
      <c r="H274" s="1"/>
      <c r="R274" s="1"/>
    </row>
    <row r="275" spans="8:18">
      <c r="H275" s="1"/>
      <c r="R275" s="1"/>
    </row>
    <row r="276" spans="8:18">
      <c r="H276" s="1"/>
      <c r="R276" s="1"/>
    </row>
    <row r="277" spans="8:18">
      <c r="H277" s="1"/>
      <c r="R277" s="1"/>
    </row>
    <row r="278" spans="8:18">
      <c r="H278" s="1"/>
      <c r="R278" s="1"/>
    </row>
    <row r="279" spans="8:18">
      <c r="H279" s="1"/>
      <c r="R279" s="1"/>
    </row>
    <row r="280" spans="8:18">
      <c r="H280" s="1"/>
      <c r="R280" s="1"/>
    </row>
    <row r="281" spans="8:18">
      <c r="H281" s="1"/>
      <c r="R281" s="1"/>
    </row>
    <row r="282" spans="8:18">
      <c r="H282" s="1"/>
      <c r="R282" s="1"/>
    </row>
    <row r="283" spans="8:18">
      <c r="H283" s="1"/>
      <c r="R283" s="1"/>
    </row>
    <row r="284" spans="8:18">
      <c r="H284" s="1"/>
      <c r="R284" s="1"/>
    </row>
    <row r="285" spans="8:18">
      <c r="H285" s="1"/>
      <c r="R285" s="1"/>
    </row>
    <row r="286" spans="8:18">
      <c r="H286" s="1"/>
      <c r="R286" s="1"/>
    </row>
    <row r="287" spans="8:18">
      <c r="H287" s="1"/>
      <c r="R287" s="1"/>
    </row>
    <row r="288" spans="8:18">
      <c r="H288" s="1"/>
      <c r="R288" s="1"/>
    </row>
    <row r="289" spans="8:18">
      <c r="H289" s="1"/>
      <c r="R289" s="1"/>
    </row>
    <row r="290" spans="8:18">
      <c r="H290" s="1"/>
      <c r="R290" s="1"/>
    </row>
    <row r="291" spans="8:18">
      <c r="H291" s="1"/>
      <c r="R291" s="1"/>
    </row>
    <row r="292" spans="8:18">
      <c r="H292" s="1"/>
      <c r="R292" s="1"/>
    </row>
    <row r="293" spans="8:18">
      <c r="H293" s="1"/>
      <c r="R293" s="1"/>
    </row>
    <row r="294" spans="8:18">
      <c r="H294" s="1"/>
      <c r="R294" s="1"/>
    </row>
    <row r="295" spans="8:18">
      <c r="H295" s="1"/>
      <c r="R295" s="1"/>
    </row>
    <row r="296" spans="8:18">
      <c r="H296" s="1"/>
      <c r="R296" s="1"/>
    </row>
    <row r="297" spans="8:18">
      <c r="H297" s="1"/>
      <c r="R297" s="1"/>
    </row>
    <row r="298" spans="8:18">
      <c r="H298" s="1"/>
      <c r="R298" s="1"/>
    </row>
    <row r="299" spans="8:18">
      <c r="H299" s="1"/>
      <c r="R299" s="1"/>
    </row>
    <row r="300" spans="8:18">
      <c r="H300" s="1"/>
      <c r="R300" s="1"/>
    </row>
    <row r="301" spans="8:18">
      <c r="H301" s="1"/>
      <c r="R301" s="1"/>
    </row>
    <row r="302" spans="8:18">
      <c r="H302" s="1"/>
      <c r="R302" s="1"/>
    </row>
    <row r="303" spans="8:18">
      <c r="H303" s="1"/>
      <c r="R303" s="1"/>
    </row>
    <row r="304" spans="8:18">
      <c r="H304" s="1"/>
      <c r="R304" s="1"/>
    </row>
    <row r="305" spans="8:18">
      <c r="H305" s="1"/>
      <c r="R305" s="1"/>
    </row>
    <row r="306" spans="8:18">
      <c r="H306" s="1"/>
      <c r="R306" s="1"/>
    </row>
    <row r="307" spans="8:18">
      <c r="H307" s="1"/>
      <c r="R307" s="1"/>
    </row>
    <row r="308" spans="8:18">
      <c r="H308" s="1"/>
      <c r="R308" s="1"/>
    </row>
    <row r="309" spans="8:18">
      <c r="H309" s="1"/>
      <c r="R309" s="1"/>
    </row>
    <row r="310" spans="8:18">
      <c r="H310" s="1"/>
      <c r="R310" s="1"/>
    </row>
    <row r="311" spans="8:18">
      <c r="H311" s="1"/>
      <c r="R311" s="1"/>
    </row>
    <row r="312" spans="8:18">
      <c r="H312" s="1"/>
      <c r="R312" s="1"/>
    </row>
    <row r="313" spans="8:18">
      <c r="H313" s="1"/>
      <c r="R313" s="1"/>
    </row>
    <row r="314" spans="8:18">
      <c r="H314" s="1"/>
      <c r="R314" s="1"/>
    </row>
    <row r="315" spans="8:18">
      <c r="H315" s="1"/>
      <c r="R315" s="1"/>
    </row>
    <row r="316" spans="8:18">
      <c r="H316" s="1"/>
      <c r="R316" s="1"/>
    </row>
    <row r="317" spans="8:18">
      <c r="H317" s="1"/>
      <c r="R317" s="1"/>
    </row>
    <row r="318" spans="8:18">
      <c r="H318" s="1"/>
      <c r="R318" s="1"/>
    </row>
    <row r="319" spans="8:18">
      <c r="H319" s="1"/>
      <c r="R319" s="1"/>
    </row>
    <row r="320" spans="8:18">
      <c r="H320" s="1"/>
      <c r="R320" s="1"/>
    </row>
    <row r="321" spans="8:18">
      <c r="H321" s="1"/>
      <c r="R321" s="1"/>
    </row>
    <row r="322" spans="8:18">
      <c r="H322" s="1"/>
      <c r="R322" s="1"/>
    </row>
    <row r="323" spans="8:18">
      <c r="H323" s="1"/>
      <c r="R323" s="1"/>
    </row>
    <row r="324" spans="8:18">
      <c r="H324" s="1"/>
      <c r="R324" s="1"/>
    </row>
    <row r="325" spans="8:18">
      <c r="H325" s="1"/>
      <c r="R325" s="1"/>
    </row>
    <row r="326" spans="8:18">
      <c r="H326" s="1"/>
      <c r="R326" s="1"/>
    </row>
    <row r="327" spans="8:18">
      <c r="H327" s="1"/>
      <c r="R327" s="1"/>
    </row>
    <row r="328" spans="8:18">
      <c r="H328" s="1"/>
      <c r="R328" s="1"/>
    </row>
    <row r="329" spans="8:18">
      <c r="H329" s="1"/>
      <c r="R329" s="1"/>
    </row>
    <row r="330" spans="8:18">
      <c r="H330" s="1"/>
      <c r="R330" s="1"/>
    </row>
    <row r="331" spans="8:18">
      <c r="H331" s="1"/>
      <c r="R331" s="1"/>
    </row>
    <row r="332" spans="8:18">
      <c r="H332" s="1"/>
      <c r="R332" s="1"/>
    </row>
    <row r="333" spans="8:18">
      <c r="H333" s="1"/>
      <c r="R333" s="1"/>
    </row>
    <row r="334" spans="8:18">
      <c r="H334" s="1"/>
      <c r="R334" s="1"/>
    </row>
    <row r="335" spans="8:18">
      <c r="H335" s="1"/>
      <c r="R335" s="1"/>
    </row>
    <row r="336" spans="8:18">
      <c r="H336" s="1"/>
      <c r="R336" s="1"/>
    </row>
    <row r="337" spans="8:18">
      <c r="H337" s="1"/>
      <c r="R337" s="1"/>
    </row>
    <row r="338" spans="8:18">
      <c r="H338" s="1"/>
      <c r="R338" s="1"/>
    </row>
    <row r="339" spans="8:18">
      <c r="H339" s="1"/>
      <c r="R339" s="1"/>
    </row>
    <row r="340" spans="8:18">
      <c r="H340" s="1"/>
      <c r="R340" s="1"/>
    </row>
    <row r="341" spans="8:18">
      <c r="H341" s="1"/>
      <c r="R341" s="1"/>
    </row>
    <row r="342" spans="8:18">
      <c r="H342" s="1"/>
      <c r="R342" s="1"/>
    </row>
    <row r="343" spans="8:18">
      <c r="H343" s="1"/>
      <c r="R343" s="1"/>
    </row>
    <row r="344" spans="8:18">
      <c r="H344" s="1"/>
      <c r="R344" s="1"/>
    </row>
    <row r="345" spans="8:18">
      <c r="H345" s="1"/>
      <c r="R345" s="1"/>
    </row>
    <row r="346" spans="8:18">
      <c r="H346" s="1"/>
      <c r="R346" s="1"/>
    </row>
    <row r="347" spans="8:18">
      <c r="H347" s="1"/>
      <c r="R347" s="1"/>
    </row>
    <row r="348" spans="8:18">
      <c r="H348" s="1"/>
      <c r="R348" s="1"/>
    </row>
    <row r="349" spans="8:18">
      <c r="H349" s="1"/>
      <c r="R349" s="1"/>
    </row>
    <row r="350" spans="8:18">
      <c r="H350" s="1"/>
      <c r="R350" s="1"/>
    </row>
    <row r="351" spans="8:18">
      <c r="H351" s="1"/>
      <c r="R351" s="1"/>
    </row>
    <row r="352" spans="8:18">
      <c r="H352" s="1"/>
      <c r="R352" s="1"/>
    </row>
    <row r="353" spans="8:18">
      <c r="H353" s="1"/>
      <c r="R353" s="1"/>
    </row>
    <row r="354" spans="8:18">
      <c r="H354" s="1"/>
      <c r="R354" s="1"/>
    </row>
    <row r="355" spans="8:18">
      <c r="H355" s="1"/>
      <c r="R355" s="1"/>
    </row>
    <row r="356" spans="8:18">
      <c r="H356" s="1"/>
      <c r="R356" s="1"/>
    </row>
    <row r="357" spans="8:18">
      <c r="H357" s="1"/>
      <c r="R357" s="1"/>
    </row>
    <row r="358" spans="8:18">
      <c r="H358" s="1"/>
      <c r="R358" s="1"/>
    </row>
    <row r="359" spans="8:18">
      <c r="H359" s="1"/>
      <c r="R359" s="1"/>
    </row>
    <row r="360" spans="8:18">
      <c r="H360" s="1"/>
      <c r="R360" s="1"/>
    </row>
    <row r="361" spans="8:18">
      <c r="H361" s="1"/>
      <c r="R361" s="1"/>
    </row>
    <row r="362" spans="8:18">
      <c r="H362" s="1"/>
      <c r="R362" s="1"/>
    </row>
    <row r="363" spans="8:18">
      <c r="H363" s="1"/>
      <c r="R363" s="1"/>
    </row>
    <row r="364" spans="8:18">
      <c r="H364" s="1"/>
      <c r="R364" s="1"/>
    </row>
    <row r="365" spans="8:18">
      <c r="H365" s="1"/>
      <c r="R365" s="1"/>
    </row>
    <row r="366" spans="8:18">
      <c r="H366" s="1"/>
      <c r="R366" s="1"/>
    </row>
    <row r="367" spans="8:18">
      <c r="H367" s="1"/>
      <c r="R367" s="1"/>
    </row>
    <row r="368" spans="8:18">
      <c r="H368" s="1"/>
      <c r="R368" s="1"/>
    </row>
    <row r="369" spans="8:18">
      <c r="H369" s="1"/>
      <c r="R369" s="1"/>
    </row>
    <row r="370" spans="8:18">
      <c r="H370" s="1"/>
      <c r="R370" s="1"/>
    </row>
    <row r="371" spans="8:18">
      <c r="H371" s="1"/>
      <c r="R371" s="1"/>
    </row>
    <row r="372" spans="8:18">
      <c r="H372" s="1"/>
      <c r="R372" s="1"/>
    </row>
    <row r="373" spans="8:18">
      <c r="H373" s="1"/>
      <c r="R373" s="1"/>
    </row>
    <row r="374" spans="8:18">
      <c r="H374" s="1"/>
      <c r="R374" s="1"/>
    </row>
    <row r="375" spans="8:18">
      <c r="H375" s="1"/>
      <c r="R375" s="1"/>
    </row>
    <row r="376" spans="8:18">
      <c r="H376" s="1"/>
      <c r="R376" s="1"/>
    </row>
    <row r="377" spans="8:18">
      <c r="H377" s="1"/>
      <c r="R377" s="1"/>
    </row>
    <row r="378" spans="8:18">
      <c r="H378" s="1"/>
      <c r="R378" s="1"/>
    </row>
    <row r="379" spans="8:18">
      <c r="H379" s="1"/>
      <c r="R379" s="1"/>
    </row>
    <row r="380" spans="8:18">
      <c r="H380" s="1"/>
      <c r="R380" s="1"/>
    </row>
    <row r="381" spans="8:18">
      <c r="H381" s="1"/>
      <c r="R381" s="1"/>
    </row>
    <row r="382" spans="8:18">
      <c r="H382" s="1"/>
      <c r="R382" s="1"/>
    </row>
    <row r="383" spans="8:18">
      <c r="H383" s="1"/>
      <c r="R383" s="1"/>
    </row>
    <row r="384" spans="8:18">
      <c r="H384" s="1"/>
      <c r="R384" s="1"/>
    </row>
    <row r="385" spans="8:18">
      <c r="H385" s="1"/>
      <c r="R385" s="1"/>
    </row>
    <row r="386" spans="8:18">
      <c r="H386" s="1"/>
      <c r="R386" s="1"/>
    </row>
    <row r="387" spans="8:18">
      <c r="H387" s="1"/>
      <c r="R387" s="1"/>
    </row>
    <row r="388" spans="8:18">
      <c r="H388" s="1"/>
      <c r="R388" s="1"/>
    </row>
    <row r="389" spans="8:18">
      <c r="H389" s="1"/>
      <c r="R389" s="1"/>
    </row>
    <row r="390" spans="8:18">
      <c r="H390" s="1"/>
      <c r="R390" s="1"/>
    </row>
    <row r="391" spans="8:18">
      <c r="H391" s="1"/>
      <c r="R391" s="1"/>
    </row>
    <row r="392" spans="8:18">
      <c r="H392" s="1"/>
      <c r="R392" s="1"/>
    </row>
    <row r="393" spans="8:18">
      <c r="H393" s="1"/>
      <c r="R393" s="1"/>
    </row>
    <row r="394" spans="8:18">
      <c r="H394" s="1"/>
      <c r="R394" s="1"/>
    </row>
    <row r="395" spans="8:18">
      <c r="H395" s="1"/>
      <c r="R395" s="1"/>
    </row>
    <row r="396" spans="8:18">
      <c r="H396" s="1"/>
      <c r="R396" s="1"/>
    </row>
    <row r="397" spans="8:18">
      <c r="H397" s="1"/>
      <c r="R397" s="1"/>
    </row>
    <row r="398" spans="8:18">
      <c r="H398" s="1"/>
      <c r="R398" s="1"/>
    </row>
    <row r="399" spans="8:18">
      <c r="H399" s="1"/>
      <c r="R399" s="1"/>
    </row>
    <row r="400" spans="8:18">
      <c r="H400" s="1"/>
      <c r="R400" s="1"/>
    </row>
    <row r="401" spans="8:18">
      <c r="H401" s="1"/>
      <c r="R401" s="1"/>
    </row>
    <row r="402" spans="8:18">
      <c r="H402" s="1"/>
      <c r="R402" s="1"/>
    </row>
    <row r="403" spans="8:18">
      <c r="H403" s="1"/>
      <c r="R403" s="1"/>
    </row>
    <row r="404" spans="8:18">
      <c r="H404" s="1"/>
      <c r="R404" s="1"/>
    </row>
    <row r="405" spans="8:18">
      <c r="H405" s="1"/>
      <c r="R405" s="1"/>
    </row>
    <row r="406" spans="8:18">
      <c r="H406" s="1"/>
      <c r="R406" s="1"/>
    </row>
    <row r="407" spans="8:18">
      <c r="H407" s="1"/>
      <c r="R407" s="1"/>
    </row>
    <row r="408" spans="8:18">
      <c r="H408" s="1"/>
      <c r="R408" s="1"/>
    </row>
    <row r="409" spans="8:18">
      <c r="H409" s="1"/>
      <c r="R409" s="1"/>
    </row>
    <row r="410" spans="8:18">
      <c r="H410" s="1"/>
      <c r="R410" s="1"/>
    </row>
    <row r="411" spans="8:18">
      <c r="H411" s="1"/>
      <c r="R411" s="1"/>
    </row>
    <row r="412" spans="8:18">
      <c r="H412" s="1"/>
      <c r="R412" s="1"/>
    </row>
    <row r="413" spans="8:18">
      <c r="H413" s="1"/>
      <c r="R413" s="1"/>
    </row>
    <row r="414" spans="8:18">
      <c r="H414" s="1"/>
      <c r="R414" s="1"/>
    </row>
    <row r="415" spans="8:18">
      <c r="H415" s="1"/>
      <c r="R415" s="1"/>
    </row>
    <row r="416" spans="8:18">
      <c r="H416" s="1"/>
      <c r="R416" s="1"/>
    </row>
    <row r="417" spans="8:18">
      <c r="H417" s="1"/>
      <c r="R417" s="1"/>
    </row>
    <row r="418" spans="8:18">
      <c r="H418" s="1"/>
      <c r="R418" s="1"/>
    </row>
    <row r="419" spans="8:18">
      <c r="H419" s="1"/>
      <c r="R419" s="1"/>
    </row>
    <row r="420" spans="8:18">
      <c r="H420" s="1"/>
      <c r="R420" s="1"/>
    </row>
    <row r="421" spans="8:18">
      <c r="H421" s="1"/>
      <c r="R421" s="1"/>
    </row>
    <row r="422" spans="8:18">
      <c r="H422" s="1"/>
      <c r="R422" s="1"/>
    </row>
    <row r="423" spans="8:18">
      <c r="H423" s="1"/>
      <c r="R423" s="1"/>
    </row>
    <row r="424" spans="8:18">
      <c r="H424" s="1"/>
      <c r="R424" s="1"/>
    </row>
    <row r="425" spans="8:18">
      <c r="H425" s="1"/>
      <c r="R425" s="1"/>
    </row>
    <row r="426" spans="8:18">
      <c r="H426" s="1"/>
      <c r="R426" s="1"/>
    </row>
    <row r="427" spans="8:18">
      <c r="H427" s="1"/>
      <c r="R427" s="1"/>
    </row>
    <row r="428" spans="8:18">
      <c r="H428" s="1"/>
      <c r="R428" s="1"/>
    </row>
    <row r="429" spans="8:18">
      <c r="H429" s="1"/>
      <c r="R429" s="1"/>
    </row>
    <row r="430" spans="8:18">
      <c r="H430" s="1"/>
      <c r="R430" s="1"/>
    </row>
    <row r="431" spans="8:18">
      <c r="H431" s="1"/>
      <c r="R431" s="1"/>
    </row>
    <row r="432" spans="8:18">
      <c r="H432" s="1"/>
      <c r="R432" s="1"/>
    </row>
    <row r="433" spans="8:18">
      <c r="H433" s="1"/>
      <c r="R433" s="1"/>
    </row>
    <row r="434" spans="8:18">
      <c r="H434" s="1"/>
      <c r="R434" s="1"/>
    </row>
    <row r="435" spans="8:18">
      <c r="H435" s="1"/>
      <c r="R435" s="1"/>
    </row>
    <row r="436" spans="8:18">
      <c r="H436" s="1"/>
      <c r="R436" s="1"/>
    </row>
    <row r="437" spans="8:18">
      <c r="H437" s="1"/>
      <c r="R437" s="1"/>
    </row>
    <row r="438" spans="8:18">
      <c r="H438" s="1"/>
      <c r="R438" s="1"/>
    </row>
    <row r="439" spans="8:18">
      <c r="H439" s="1"/>
      <c r="R439" s="1"/>
    </row>
    <row r="440" spans="8:18">
      <c r="H440" s="1"/>
      <c r="R440" s="1"/>
    </row>
    <row r="441" spans="8:18">
      <c r="H441" s="1"/>
      <c r="R441" s="1"/>
    </row>
    <row r="442" spans="8:18">
      <c r="H442" s="1"/>
      <c r="R442" s="1"/>
    </row>
    <row r="443" spans="8:18">
      <c r="H443" s="1"/>
      <c r="R443" s="1"/>
    </row>
    <row r="444" spans="8:18">
      <c r="H444" s="1"/>
      <c r="R444" s="1"/>
    </row>
    <row r="445" spans="8:18">
      <c r="H445" s="1"/>
      <c r="R445" s="1"/>
    </row>
    <row r="446" spans="8:18">
      <c r="H446" s="1"/>
      <c r="R446" s="1"/>
    </row>
    <row r="447" spans="8:18">
      <c r="H447" s="1"/>
      <c r="R447" s="1"/>
    </row>
    <row r="448" spans="8:18">
      <c r="H448" s="1"/>
      <c r="R448" s="1"/>
    </row>
    <row r="449" spans="8:18">
      <c r="H449" s="1"/>
      <c r="R449" s="1"/>
    </row>
    <row r="450" spans="8:18">
      <c r="H450" s="1"/>
      <c r="R450" s="1"/>
    </row>
    <row r="451" spans="8:18">
      <c r="H451" s="1"/>
      <c r="R451" s="1"/>
    </row>
    <row r="452" spans="8:18">
      <c r="H452" s="1"/>
      <c r="R452" s="1"/>
    </row>
    <row r="453" spans="8:18">
      <c r="H453" s="1"/>
      <c r="R453" s="1"/>
    </row>
    <row r="454" spans="8:18">
      <c r="H454" s="1"/>
      <c r="R454" s="1"/>
    </row>
    <row r="455" spans="8:18">
      <c r="H455" s="1"/>
      <c r="R455" s="1"/>
    </row>
    <row r="456" spans="8:18">
      <c r="H456" s="1"/>
      <c r="R456" s="1"/>
    </row>
    <row r="457" spans="8:18">
      <c r="H457" s="1"/>
      <c r="R457" s="1"/>
    </row>
    <row r="458" spans="8:18">
      <c r="H458" s="1"/>
      <c r="R458" s="1"/>
    </row>
    <row r="459" spans="8:18">
      <c r="H459" s="1"/>
      <c r="R459" s="1"/>
    </row>
    <row r="460" spans="8:18">
      <c r="H460" s="1"/>
      <c r="R460" s="1"/>
    </row>
    <row r="461" spans="8:18">
      <c r="H461" s="1"/>
      <c r="R461" s="1"/>
    </row>
    <row r="462" spans="8:18">
      <c r="H462" s="1"/>
      <c r="R462" s="1"/>
    </row>
    <row r="463" spans="8:18">
      <c r="H463" s="1"/>
      <c r="R463" s="1"/>
    </row>
    <row r="464" spans="8:18">
      <c r="H464" s="1"/>
      <c r="R464" s="1"/>
    </row>
    <row r="465" spans="8:18">
      <c r="H465" s="1"/>
      <c r="R465" s="1"/>
    </row>
    <row r="466" spans="8:18">
      <c r="H466" s="1"/>
      <c r="R466" s="1"/>
    </row>
    <row r="467" spans="8:18">
      <c r="H467" s="1"/>
      <c r="R467" s="1"/>
    </row>
    <row r="468" spans="8:18">
      <c r="H468" s="1"/>
      <c r="R468" s="1"/>
    </row>
    <row r="469" spans="8:18">
      <c r="H469" s="1"/>
      <c r="R469" s="1"/>
    </row>
    <row r="470" spans="8:18">
      <c r="H470" s="1"/>
      <c r="R470" s="1"/>
    </row>
    <row r="471" spans="8:18">
      <c r="H471" s="1"/>
      <c r="R471" s="1"/>
    </row>
    <row r="472" spans="8:18">
      <c r="H472" s="1"/>
      <c r="R472" s="1"/>
    </row>
    <row r="473" spans="8:18">
      <c r="H473" s="1"/>
      <c r="R473" s="1"/>
    </row>
    <row r="474" spans="8:18">
      <c r="H474" s="1"/>
      <c r="R474" s="1"/>
    </row>
    <row r="475" spans="8:18">
      <c r="H475" s="1"/>
      <c r="R475" s="1"/>
    </row>
    <row r="476" spans="8:18">
      <c r="H476" s="1"/>
      <c r="R476" s="1"/>
    </row>
    <row r="477" spans="8:18">
      <c r="H477" s="1"/>
      <c r="R477" s="1"/>
    </row>
    <row r="478" spans="8:18">
      <c r="H478" s="1"/>
      <c r="R478" s="1"/>
    </row>
    <row r="479" spans="8:18">
      <c r="H479" s="1"/>
      <c r="R479" s="1"/>
    </row>
    <row r="480" spans="8:18">
      <c r="H480" s="1"/>
      <c r="R480" s="1"/>
    </row>
    <row r="481" spans="8:18">
      <c r="H481" s="1"/>
      <c r="R481" s="1"/>
    </row>
    <row r="482" spans="8:18">
      <c r="H482" s="1"/>
      <c r="R482" s="1"/>
    </row>
    <row r="483" spans="8:18">
      <c r="H483" s="1"/>
      <c r="R483" s="1"/>
    </row>
    <row r="484" spans="8:18">
      <c r="H484" s="1"/>
      <c r="R484" s="1"/>
    </row>
    <row r="485" spans="8:18">
      <c r="H485" s="1"/>
      <c r="R485" s="1"/>
    </row>
    <row r="486" spans="8:18">
      <c r="H486" s="1"/>
      <c r="R486" s="1"/>
    </row>
    <row r="487" spans="8:18">
      <c r="H487" s="1"/>
      <c r="R487" s="1"/>
    </row>
    <row r="488" spans="8:18">
      <c r="H488" s="1"/>
      <c r="R488" s="1"/>
    </row>
    <row r="489" spans="8:18">
      <c r="H489" s="1"/>
      <c r="R489" s="1"/>
    </row>
    <row r="490" spans="8:18">
      <c r="H490" s="1"/>
      <c r="R490" s="1"/>
    </row>
    <row r="491" spans="8:18">
      <c r="H491" s="1"/>
      <c r="R491" s="1"/>
    </row>
    <row r="492" spans="8:18">
      <c r="H492" s="1"/>
      <c r="R492" s="1"/>
    </row>
    <row r="493" spans="8:18">
      <c r="H493" s="1"/>
      <c r="R493" s="1"/>
    </row>
    <row r="494" spans="8:18">
      <c r="H494" s="1"/>
      <c r="R494" s="1"/>
    </row>
    <row r="495" spans="8:18">
      <c r="H495" s="1"/>
      <c r="R495" s="1"/>
    </row>
    <row r="496" spans="8:18">
      <c r="H496" s="1"/>
      <c r="R496" s="1"/>
    </row>
    <row r="497" spans="8:18">
      <c r="H497" s="1"/>
      <c r="R497" s="1"/>
    </row>
    <row r="498" spans="8:18">
      <c r="H498" s="1"/>
      <c r="R498" s="1"/>
    </row>
    <row r="499" spans="8:18">
      <c r="H499" s="1"/>
      <c r="R499" s="1"/>
    </row>
    <row r="500" spans="8:18">
      <c r="H500" s="1"/>
      <c r="R500" s="1"/>
    </row>
    <row r="501" spans="8:18">
      <c r="H501" s="1"/>
      <c r="R501" s="1"/>
    </row>
    <row r="502" spans="8:18">
      <c r="H502" s="1"/>
      <c r="R502" s="1"/>
    </row>
    <row r="503" spans="8:18">
      <c r="H503" s="1"/>
      <c r="R503" s="1"/>
    </row>
    <row r="504" spans="8:18">
      <c r="H504" s="1"/>
      <c r="R504" s="1"/>
    </row>
    <row r="505" spans="8:18">
      <c r="H505" s="1"/>
      <c r="R505" s="1"/>
    </row>
    <row r="506" spans="8:18">
      <c r="H506" s="1"/>
      <c r="R506" s="1"/>
    </row>
    <row r="507" spans="8:18">
      <c r="H507" s="1"/>
      <c r="R507" s="1"/>
    </row>
    <row r="508" spans="8:18">
      <c r="H508" s="1"/>
      <c r="R508" s="1"/>
    </row>
    <row r="509" spans="8:18">
      <c r="H509" s="1"/>
      <c r="R509" s="1"/>
    </row>
    <row r="510" spans="8:18">
      <c r="H510" s="1"/>
      <c r="R510" s="1"/>
    </row>
    <row r="511" spans="8:18">
      <c r="H511" s="1"/>
      <c r="R511" s="1"/>
    </row>
    <row r="512" spans="8:18">
      <c r="H512" s="1"/>
      <c r="R512" s="1"/>
    </row>
    <row r="513" spans="8:18">
      <c r="H513" s="1"/>
      <c r="R513" s="1"/>
    </row>
    <row r="514" spans="8:18">
      <c r="H514" s="1"/>
      <c r="R514" s="1"/>
    </row>
    <row r="515" spans="8:18">
      <c r="H515" s="1"/>
      <c r="R515" s="1"/>
    </row>
    <row r="516" spans="8:18">
      <c r="H516" s="1"/>
      <c r="R516" s="1"/>
    </row>
    <row r="517" spans="8:18">
      <c r="H517" s="1"/>
      <c r="R517" s="1"/>
    </row>
    <row r="518" spans="8:18">
      <c r="H518" s="1"/>
      <c r="R518" s="1"/>
    </row>
    <row r="519" spans="8:18">
      <c r="H519" s="1"/>
      <c r="R519" s="1"/>
    </row>
    <row r="520" spans="8:18">
      <c r="H520" s="1"/>
      <c r="R520" s="1"/>
    </row>
    <row r="521" spans="8:18">
      <c r="H521" s="1"/>
      <c r="R521" s="1"/>
    </row>
    <row r="522" spans="8:18">
      <c r="H522" s="1"/>
      <c r="R522" s="1"/>
    </row>
    <row r="523" spans="8:18">
      <c r="H523" s="1"/>
      <c r="R523" s="1"/>
    </row>
    <row r="524" spans="8:18">
      <c r="H524" s="1"/>
      <c r="R524" s="1"/>
    </row>
    <row r="525" spans="8:18">
      <c r="H525" s="1"/>
      <c r="R525" s="1"/>
    </row>
    <row r="526" spans="8:18">
      <c r="H526" s="1"/>
      <c r="R526" s="1"/>
    </row>
    <row r="527" spans="8:18">
      <c r="H527" s="1"/>
      <c r="R527" s="1"/>
    </row>
    <row r="528" spans="8:18">
      <c r="H528" s="1"/>
      <c r="R528" s="1"/>
    </row>
    <row r="529" spans="8:18">
      <c r="H529" s="1"/>
      <c r="R529" s="1"/>
    </row>
    <row r="530" spans="8:18">
      <c r="H530" s="1"/>
      <c r="R530" s="1"/>
    </row>
    <row r="531" spans="8:18">
      <c r="H531" s="1"/>
      <c r="R531" s="1"/>
    </row>
    <row r="532" spans="8:18">
      <c r="H532" s="1"/>
      <c r="R532" s="1"/>
    </row>
    <row r="533" spans="8:18">
      <c r="H533" s="1"/>
      <c r="R533" s="1"/>
    </row>
    <row r="534" spans="8:18">
      <c r="H534" s="1"/>
      <c r="R534" s="1"/>
    </row>
    <row r="535" spans="8:18">
      <c r="H535" s="1"/>
      <c r="R535" s="1"/>
    </row>
    <row r="536" spans="8:18">
      <c r="H536" s="1"/>
      <c r="R536" s="1"/>
    </row>
    <row r="537" spans="8:18">
      <c r="H537" s="1"/>
      <c r="R537" s="1"/>
    </row>
    <row r="538" spans="8:18">
      <c r="H538" s="1"/>
      <c r="R538" s="1"/>
    </row>
    <row r="539" spans="8:18">
      <c r="H539" s="1"/>
      <c r="R539" s="1"/>
    </row>
    <row r="540" spans="8:18">
      <c r="H540" s="1"/>
      <c r="R540" s="1"/>
    </row>
    <row r="541" spans="8:18">
      <c r="H541" s="1"/>
      <c r="R541" s="1"/>
    </row>
    <row r="542" spans="8:18">
      <c r="H542" s="1"/>
      <c r="R542" s="1"/>
    </row>
    <row r="543" spans="8:18">
      <c r="H543" s="1"/>
      <c r="R543" s="1"/>
    </row>
    <row r="544" spans="8:18">
      <c r="H544" s="1"/>
      <c r="R544" s="1"/>
    </row>
    <row r="545" spans="8:18">
      <c r="H545" s="1"/>
      <c r="R545" s="1"/>
    </row>
    <row r="546" spans="8:18">
      <c r="H546" s="1"/>
      <c r="R546" s="1"/>
    </row>
    <row r="547" spans="8:18">
      <c r="H547" s="1"/>
      <c r="R547" s="1"/>
    </row>
    <row r="548" spans="8:18">
      <c r="H548" s="1"/>
      <c r="R548" s="1"/>
    </row>
    <row r="549" spans="8:18">
      <c r="H549" s="1"/>
      <c r="R549" s="1"/>
    </row>
    <row r="550" spans="8:18">
      <c r="H550" s="1"/>
      <c r="R550" s="1"/>
    </row>
    <row r="551" spans="8:18">
      <c r="H551" s="1"/>
      <c r="R551" s="1"/>
    </row>
    <row r="552" spans="8:18">
      <c r="H552" s="1"/>
      <c r="R552" s="1"/>
    </row>
    <row r="553" spans="8:18">
      <c r="H553" s="1"/>
      <c r="R553" s="1"/>
    </row>
    <row r="554" spans="8:18">
      <c r="H554" s="1"/>
      <c r="R554" s="1"/>
    </row>
    <row r="555" spans="8:18">
      <c r="H555" s="1"/>
      <c r="R555" s="1"/>
    </row>
    <row r="556" spans="8:18">
      <c r="H556" s="1"/>
      <c r="R556" s="1"/>
    </row>
    <row r="557" spans="8:18">
      <c r="H557" s="1"/>
      <c r="R557" s="1"/>
    </row>
    <row r="558" spans="8:18">
      <c r="H558" s="1"/>
      <c r="R558" s="1"/>
    </row>
    <row r="559" spans="8:18">
      <c r="H559" s="1"/>
      <c r="R559" s="1"/>
    </row>
    <row r="560" spans="8:18">
      <c r="H560" s="1"/>
      <c r="R560" s="1"/>
    </row>
    <row r="561" spans="8:18">
      <c r="H561" s="1"/>
      <c r="R561" s="1"/>
    </row>
    <row r="562" spans="8:18">
      <c r="H562" s="1"/>
      <c r="R562" s="1"/>
    </row>
    <row r="563" spans="8:18">
      <c r="H563" s="1"/>
      <c r="R563" s="1"/>
    </row>
    <row r="564" spans="8:18">
      <c r="H564" s="1"/>
      <c r="R564" s="1"/>
    </row>
    <row r="565" spans="8:18">
      <c r="H565" s="1"/>
      <c r="R565" s="1"/>
    </row>
    <row r="566" spans="8:18">
      <c r="H566" s="1"/>
      <c r="R566" s="1"/>
    </row>
    <row r="567" spans="8:18">
      <c r="H567" s="1"/>
      <c r="R567" s="1"/>
    </row>
    <row r="568" spans="8:18">
      <c r="H568" s="1"/>
      <c r="R568" s="1"/>
    </row>
    <row r="569" spans="8:18">
      <c r="H569" s="1"/>
      <c r="R569" s="1"/>
    </row>
    <row r="570" spans="8:18">
      <c r="H570" s="1"/>
      <c r="R570" s="1"/>
    </row>
    <row r="571" spans="8:18">
      <c r="H571" s="1"/>
      <c r="R571" s="1"/>
    </row>
    <row r="572" spans="8:18">
      <c r="H572" s="1"/>
      <c r="R572" s="1"/>
    </row>
    <row r="573" spans="8:18">
      <c r="H573" s="1"/>
      <c r="R573" s="1"/>
    </row>
    <row r="574" spans="8:18">
      <c r="H574" s="1"/>
      <c r="R574" s="1"/>
    </row>
    <row r="575" spans="8:18">
      <c r="H575" s="1"/>
      <c r="R575" s="1"/>
    </row>
    <row r="576" spans="8:18">
      <c r="H576" s="1"/>
      <c r="R576" s="1"/>
    </row>
    <row r="577" spans="8:18">
      <c r="H577" s="1"/>
      <c r="R577" s="1"/>
    </row>
    <row r="578" spans="8:18">
      <c r="H578" s="1"/>
      <c r="R578" s="1"/>
    </row>
    <row r="579" spans="8:18">
      <c r="H579" s="1"/>
      <c r="R579" s="1"/>
    </row>
    <row r="580" spans="8:18">
      <c r="H580" s="1"/>
      <c r="R580" s="1"/>
    </row>
    <row r="581" spans="8:18">
      <c r="H581" s="1"/>
      <c r="R581" s="1"/>
    </row>
    <row r="582" spans="8:18">
      <c r="H582" s="1"/>
      <c r="R582" s="1"/>
    </row>
    <row r="583" spans="8:18">
      <c r="H583" s="1"/>
      <c r="R583" s="1"/>
    </row>
    <row r="584" spans="8:18">
      <c r="H584" s="1"/>
      <c r="R584" s="1"/>
    </row>
    <row r="585" spans="8:18">
      <c r="H585" s="1"/>
      <c r="R585" s="1"/>
    </row>
    <row r="586" spans="8:18">
      <c r="H586" s="1"/>
      <c r="R586" s="1"/>
    </row>
    <row r="587" spans="8:18">
      <c r="H587" s="1"/>
      <c r="R587" s="1"/>
    </row>
    <row r="588" spans="8:18">
      <c r="H588" s="1"/>
      <c r="R588" s="1"/>
    </row>
    <row r="589" spans="8:18">
      <c r="H589" s="1"/>
      <c r="R589" s="1"/>
    </row>
    <row r="590" spans="8:18">
      <c r="H590" s="1"/>
      <c r="R590" s="1"/>
    </row>
    <row r="591" spans="8:18">
      <c r="H591" s="1"/>
      <c r="R591" s="1"/>
    </row>
    <row r="592" spans="8:18">
      <c r="H592" s="1"/>
      <c r="R592" s="1"/>
    </row>
    <row r="593" spans="8:18">
      <c r="H593" s="1"/>
      <c r="R593" s="1"/>
    </row>
    <row r="594" spans="8:18">
      <c r="H594" s="1"/>
      <c r="R594" s="1"/>
    </row>
    <row r="595" spans="8:18">
      <c r="H595" s="1"/>
      <c r="R595" s="1"/>
    </row>
    <row r="596" spans="8:18">
      <c r="H596" s="1"/>
      <c r="R596" s="1"/>
    </row>
    <row r="597" spans="8:18">
      <c r="H597" s="1"/>
    </row>
    <row r="598" spans="8:18">
      <c r="H598" s="1"/>
    </row>
    <row r="599" spans="8:18">
      <c r="H599" s="1"/>
    </row>
    <row r="600" spans="8:18">
      <c r="H600" s="1"/>
    </row>
    <row r="601" spans="8:18">
      <c r="H601" s="1"/>
    </row>
    <row r="602" spans="8:18">
      <c r="H602" s="1"/>
    </row>
    <row r="603" spans="8:18">
      <c r="H603" s="1"/>
    </row>
    <row r="604" spans="8:18">
      <c r="H604" s="1"/>
    </row>
    <row r="605" spans="8:18">
      <c r="H605" s="1"/>
    </row>
    <row r="606" spans="8:18">
      <c r="H606" s="1"/>
    </row>
    <row r="607" spans="8:18">
      <c r="H607" s="1"/>
    </row>
    <row r="608" spans="8:18">
      <c r="H608" s="1"/>
    </row>
    <row r="609" spans="8:8">
      <c r="H609" s="1"/>
    </row>
    <row r="610" spans="8:8">
      <c r="H610" s="1"/>
    </row>
    <row r="611" spans="8:8">
      <c r="H611" s="1"/>
    </row>
    <row r="612" spans="8:8">
      <c r="H612" s="1"/>
    </row>
    <row r="613" spans="8:8">
      <c r="H613" s="1"/>
    </row>
    <row r="614" spans="8:8">
      <c r="H614" s="1"/>
    </row>
    <row r="615" spans="8:8">
      <c r="H615" s="1"/>
    </row>
    <row r="616" spans="8:8">
      <c r="H616" s="1"/>
    </row>
    <row r="617" spans="8:8">
      <c r="H617" s="1"/>
    </row>
    <row r="618" spans="8:8">
      <c r="H618" s="1"/>
    </row>
    <row r="619" spans="8:8">
      <c r="H619" s="1"/>
    </row>
    <row r="620" spans="8:8">
      <c r="H620" s="1"/>
    </row>
    <row r="621" spans="8:8">
      <c r="H621" s="1"/>
    </row>
    <row r="622" spans="8:8">
      <c r="H622" s="1"/>
    </row>
    <row r="623" spans="8:8">
      <c r="H623" s="1"/>
    </row>
    <row r="624" spans="8:8">
      <c r="H624" s="1"/>
    </row>
    <row r="625" spans="8:8">
      <c r="H625" s="1"/>
    </row>
    <row r="626" spans="8:8">
      <c r="H626" s="1"/>
    </row>
    <row r="627" spans="8:8">
      <c r="H627" s="1"/>
    </row>
    <row r="628" spans="8:8">
      <c r="H628" s="1"/>
    </row>
    <row r="629" spans="8:8">
      <c r="H629" s="1"/>
    </row>
    <row r="630" spans="8:8">
      <c r="H630" s="1"/>
    </row>
    <row r="631" spans="8:8">
      <c r="H631" s="1"/>
    </row>
    <row r="632" spans="8:8">
      <c r="H632" s="1"/>
    </row>
    <row r="633" spans="8:8">
      <c r="H633" s="1"/>
    </row>
    <row r="634" spans="8:8">
      <c r="H634" s="1"/>
    </row>
    <row r="635" spans="8:8">
      <c r="H635" s="1"/>
    </row>
    <row r="636" spans="8:8">
      <c r="H636" s="1"/>
    </row>
    <row r="637" spans="8:8">
      <c r="H637" s="1"/>
    </row>
    <row r="638" spans="8:8">
      <c r="H638" s="1"/>
    </row>
    <row r="639" spans="8:8">
      <c r="H639" s="1"/>
    </row>
    <row r="640" spans="8:8">
      <c r="H640" s="1"/>
    </row>
    <row r="641" spans="8:8">
      <c r="H641" s="1"/>
    </row>
    <row r="642" spans="8:8">
      <c r="H642" s="1"/>
    </row>
    <row r="643" spans="8:8">
      <c r="H643" s="1"/>
    </row>
    <row r="644" spans="8:8">
      <c r="H644" s="1"/>
    </row>
    <row r="645" spans="8:8">
      <c r="H645" s="1"/>
    </row>
    <row r="646" spans="8:8">
      <c r="H646" s="1"/>
    </row>
    <row r="647" spans="8:8">
      <c r="H647" s="1"/>
    </row>
    <row r="648" spans="8:8">
      <c r="H648" s="1"/>
    </row>
    <row r="649" spans="8:8">
      <c r="H649" s="1"/>
    </row>
    <row r="650" spans="8:8">
      <c r="H650" s="1"/>
    </row>
    <row r="651" spans="8:8">
      <c r="H651" s="1"/>
    </row>
    <row r="652" spans="8:8">
      <c r="H652" s="1"/>
    </row>
    <row r="653" spans="8:8">
      <c r="H653" s="1"/>
    </row>
    <row r="654" spans="8:8">
      <c r="H654" s="1"/>
    </row>
    <row r="655" spans="8:8">
      <c r="H655" s="1"/>
    </row>
    <row r="656" spans="8:8">
      <c r="H656" s="1"/>
    </row>
    <row r="657" spans="8:8">
      <c r="H657" s="1"/>
    </row>
    <row r="658" spans="8:8">
      <c r="H658" s="1"/>
    </row>
    <row r="659" spans="8:8">
      <c r="H659" s="1"/>
    </row>
    <row r="660" spans="8:8">
      <c r="H660" s="1"/>
    </row>
    <row r="661" spans="8:8">
      <c r="H661" s="1"/>
    </row>
    <row r="662" spans="8:8">
      <c r="H662" s="1"/>
    </row>
    <row r="663" spans="8:8">
      <c r="H663" s="1"/>
    </row>
    <row r="664" spans="8:8">
      <c r="H664" s="1"/>
    </row>
    <row r="665" spans="8:8">
      <c r="H665" s="1"/>
    </row>
    <row r="666" spans="8:8">
      <c r="H666" s="1"/>
    </row>
    <row r="667" spans="8:8">
      <c r="H667" s="1"/>
    </row>
    <row r="668" spans="8:8">
      <c r="H668" s="1"/>
    </row>
    <row r="669" spans="8:8">
      <c r="H669" s="1"/>
    </row>
    <row r="670" spans="8:8">
      <c r="H670" s="1"/>
    </row>
    <row r="671" spans="8:8">
      <c r="H671" s="1"/>
    </row>
    <row r="672" spans="8:8">
      <c r="H672" s="1"/>
    </row>
    <row r="673" spans="8:8">
      <c r="H673" s="1"/>
    </row>
    <row r="674" spans="8:8">
      <c r="H674" s="1"/>
    </row>
    <row r="675" spans="8:8">
      <c r="H675" s="1"/>
    </row>
    <row r="676" spans="8:8">
      <c r="H676" s="1"/>
    </row>
    <row r="677" spans="8:8">
      <c r="H677" s="1"/>
    </row>
    <row r="678" spans="8:8">
      <c r="H678" s="1"/>
    </row>
    <row r="679" spans="8:8">
      <c r="H679" s="1"/>
    </row>
    <row r="680" spans="8:8">
      <c r="H680" s="1"/>
    </row>
    <row r="681" spans="8:8">
      <c r="H681" s="1"/>
    </row>
    <row r="682" spans="8:8">
      <c r="H682" s="1"/>
    </row>
    <row r="683" spans="8:8">
      <c r="H683" s="1"/>
    </row>
    <row r="684" spans="8:8">
      <c r="H684" s="1"/>
    </row>
    <row r="685" spans="8:8">
      <c r="H685" s="1"/>
    </row>
    <row r="686" spans="8:8">
      <c r="H686" s="1"/>
    </row>
    <row r="687" spans="8:8">
      <c r="H687" s="1"/>
    </row>
    <row r="688" spans="8:8">
      <c r="H688" s="1"/>
    </row>
    <row r="689" spans="8:8">
      <c r="H689" s="1"/>
    </row>
    <row r="690" spans="8:8">
      <c r="H690" s="1"/>
    </row>
    <row r="691" spans="8:8">
      <c r="H691" s="1"/>
    </row>
    <row r="692" spans="8:8">
      <c r="H692" s="1"/>
    </row>
    <row r="693" spans="8:8">
      <c r="H693" s="1"/>
    </row>
    <row r="694" spans="8:8">
      <c r="H694" s="1"/>
    </row>
    <row r="695" spans="8:8">
      <c r="H695" s="1"/>
    </row>
    <row r="696" spans="8:8">
      <c r="H696" s="1"/>
    </row>
    <row r="697" spans="8:8">
      <c r="H697" s="1"/>
    </row>
    <row r="698" spans="8:8">
      <c r="H698" s="1"/>
    </row>
    <row r="699" spans="8:8">
      <c r="H699" s="1"/>
    </row>
    <row r="700" spans="8:8">
      <c r="H700" s="1"/>
    </row>
    <row r="701" spans="8:8">
      <c r="H701" s="1"/>
    </row>
    <row r="702" spans="8:8">
      <c r="H702" s="1"/>
    </row>
    <row r="703" spans="8:8">
      <c r="H703" s="1"/>
    </row>
    <row r="704" spans="8:8">
      <c r="H704" s="1"/>
    </row>
    <row r="705" spans="8:8">
      <c r="H705" s="1"/>
    </row>
    <row r="706" spans="8:8">
      <c r="H706" s="1"/>
    </row>
    <row r="707" spans="8:8">
      <c r="H707" s="1"/>
    </row>
    <row r="708" spans="8:8">
      <c r="H708" s="1"/>
    </row>
    <row r="709" spans="8:8">
      <c r="H709" s="1"/>
    </row>
    <row r="710" spans="8:8">
      <c r="H710" s="1"/>
    </row>
    <row r="711" spans="8:8">
      <c r="H711" s="1"/>
    </row>
    <row r="712" spans="8:8">
      <c r="H712" s="1"/>
    </row>
    <row r="713" spans="8:8">
      <c r="H713" s="1"/>
    </row>
    <row r="714" spans="8:8">
      <c r="H714" s="1"/>
    </row>
    <row r="715" spans="8:8">
      <c r="H715" s="1"/>
    </row>
    <row r="716" spans="8:8">
      <c r="H716" s="1"/>
    </row>
    <row r="717" spans="8:8">
      <c r="H717" s="1"/>
    </row>
    <row r="718" spans="8:8">
      <c r="H718" s="1"/>
    </row>
    <row r="719" spans="8:8">
      <c r="H719" s="1"/>
    </row>
    <row r="720" spans="8:8">
      <c r="H720" s="1"/>
    </row>
    <row r="721" spans="8:8">
      <c r="H721" s="1"/>
    </row>
    <row r="722" spans="8:8">
      <c r="H722" s="1"/>
    </row>
    <row r="723" spans="8:8">
      <c r="H723" s="1"/>
    </row>
    <row r="724" spans="8:8">
      <c r="H724" s="1"/>
    </row>
    <row r="725" spans="8:8">
      <c r="H725" s="1"/>
    </row>
    <row r="726" spans="8:8">
      <c r="H726" s="1"/>
    </row>
    <row r="727" spans="8:8">
      <c r="H727" s="1"/>
    </row>
    <row r="728" spans="8:8">
      <c r="H728" s="1"/>
    </row>
    <row r="729" spans="8:8">
      <c r="H729" s="1"/>
    </row>
    <row r="730" spans="8:8">
      <c r="H730" s="1"/>
    </row>
    <row r="731" spans="8:8">
      <c r="H731" s="1"/>
    </row>
    <row r="732" spans="8:8">
      <c r="H732" s="1"/>
    </row>
    <row r="733" spans="8:8">
      <c r="H733" s="1"/>
    </row>
    <row r="734" spans="8:8">
      <c r="H734" s="1"/>
    </row>
    <row r="735" spans="8:8">
      <c r="H735" s="1"/>
    </row>
    <row r="736" spans="8:8">
      <c r="H736" s="1"/>
    </row>
    <row r="737" spans="8:8">
      <c r="H737" s="1"/>
    </row>
    <row r="738" spans="8:8">
      <c r="H738" s="1"/>
    </row>
    <row r="739" spans="8:8">
      <c r="H739" s="1"/>
    </row>
    <row r="740" spans="8:8">
      <c r="H740" s="1"/>
    </row>
    <row r="741" spans="8:8">
      <c r="H741" s="1"/>
    </row>
    <row r="742" spans="8:8">
      <c r="H742" s="1"/>
    </row>
    <row r="743" spans="8:8">
      <c r="H743" s="1"/>
    </row>
    <row r="744" spans="8:8">
      <c r="H744" s="1"/>
    </row>
    <row r="745" spans="8:8">
      <c r="H745" s="1"/>
    </row>
    <row r="746" spans="8:8">
      <c r="H746" s="1"/>
    </row>
    <row r="747" spans="8:8">
      <c r="H747" s="1"/>
    </row>
    <row r="748" spans="8:8">
      <c r="H748" s="1"/>
    </row>
    <row r="749" spans="8:8">
      <c r="H749" s="1"/>
    </row>
    <row r="750" spans="8:8">
      <c r="H750" s="1"/>
    </row>
    <row r="751" spans="8:8">
      <c r="H751" s="1"/>
    </row>
    <row r="752" spans="8:8">
      <c r="H752" s="1"/>
    </row>
    <row r="753" spans="8:8">
      <c r="H753" s="1"/>
    </row>
    <row r="754" spans="8:8">
      <c r="H754" s="1"/>
    </row>
    <row r="755" spans="8:8">
      <c r="H755" s="1"/>
    </row>
    <row r="756" spans="8:8">
      <c r="H756" s="1"/>
    </row>
    <row r="757" spans="8:8">
      <c r="H757" s="1"/>
    </row>
    <row r="758" spans="8:8">
      <c r="H758" s="1"/>
    </row>
    <row r="759" spans="8:8">
      <c r="H759" s="1"/>
    </row>
    <row r="760" spans="8:8">
      <c r="H760" s="1"/>
    </row>
    <row r="761" spans="8:8">
      <c r="H761" s="1"/>
    </row>
    <row r="762" spans="8:8">
      <c r="H762" s="1"/>
    </row>
    <row r="763" spans="8:8">
      <c r="H763" s="1"/>
    </row>
    <row r="764" spans="8:8">
      <c r="H764" s="1"/>
    </row>
    <row r="765" spans="8:8">
      <c r="H765" s="1"/>
    </row>
    <row r="766" spans="8:8">
      <c r="H766" s="1"/>
    </row>
    <row r="767" spans="8:8">
      <c r="H767" s="1"/>
    </row>
    <row r="768" spans="8:8">
      <c r="H768" s="1"/>
    </row>
    <row r="769" spans="8:8">
      <c r="H769" s="1"/>
    </row>
    <row r="770" spans="8:8">
      <c r="H770" s="1"/>
    </row>
    <row r="771" spans="8:8">
      <c r="H771" s="1"/>
    </row>
    <row r="772" spans="8:8">
      <c r="H772" s="1"/>
    </row>
    <row r="773" spans="8:8">
      <c r="H773" s="1"/>
    </row>
    <row r="774" spans="8:8">
      <c r="H774" s="1"/>
    </row>
    <row r="775" spans="8:8">
      <c r="H775" s="1"/>
    </row>
    <row r="776" spans="8:8">
      <c r="H776" s="1"/>
    </row>
    <row r="777" spans="8:8">
      <c r="H777" s="1"/>
    </row>
    <row r="778" spans="8:8">
      <c r="H778" s="1"/>
    </row>
    <row r="779" spans="8:8">
      <c r="H779" s="1"/>
    </row>
    <row r="780" spans="8:8">
      <c r="H780" s="1"/>
    </row>
    <row r="781" spans="8:8">
      <c r="H781" s="1"/>
    </row>
    <row r="782" spans="8:8">
      <c r="H782" s="1"/>
    </row>
    <row r="783" spans="8:8">
      <c r="H783" s="1"/>
    </row>
    <row r="784" spans="8:8">
      <c r="H784" s="1"/>
    </row>
    <row r="785" spans="8:8">
      <c r="H785" s="1"/>
    </row>
    <row r="786" spans="8:8">
      <c r="H786" s="1"/>
    </row>
    <row r="787" spans="8:8">
      <c r="H787" s="1"/>
    </row>
    <row r="788" spans="8:8">
      <c r="H788" s="1"/>
    </row>
    <row r="789" spans="8:8">
      <c r="H789" s="1"/>
    </row>
    <row r="790" spans="8:8">
      <c r="H790" s="1"/>
    </row>
    <row r="791" spans="8:8">
      <c r="H791" s="1"/>
    </row>
    <row r="792" spans="8:8">
      <c r="H792" s="1"/>
    </row>
    <row r="793" spans="8:8">
      <c r="H793" s="1"/>
    </row>
    <row r="794" spans="8:8">
      <c r="H794" s="1"/>
    </row>
    <row r="795" spans="8:8">
      <c r="H795" s="1"/>
    </row>
    <row r="796" spans="8:8">
      <c r="H796" s="1"/>
    </row>
    <row r="797" spans="8:8">
      <c r="H797" s="1"/>
    </row>
    <row r="798" spans="8:8">
      <c r="H798" s="1"/>
    </row>
    <row r="799" spans="8:8">
      <c r="H799" s="1"/>
    </row>
    <row r="800" spans="8:8">
      <c r="H800" s="1"/>
    </row>
    <row r="801" spans="8:8">
      <c r="H801" s="1"/>
    </row>
    <row r="802" spans="8:8">
      <c r="H802" s="1"/>
    </row>
    <row r="803" spans="8:8">
      <c r="H803" s="1"/>
    </row>
    <row r="804" spans="8:8">
      <c r="H804" s="1"/>
    </row>
    <row r="805" spans="8:8">
      <c r="H805" s="1"/>
    </row>
    <row r="806" spans="8:8">
      <c r="H806" s="1"/>
    </row>
    <row r="807" spans="8:8">
      <c r="H807" s="1"/>
    </row>
    <row r="808" spans="8:8">
      <c r="H808" s="1"/>
    </row>
    <row r="809" spans="8:8">
      <c r="H809" s="1"/>
    </row>
    <row r="810" spans="8:8">
      <c r="H810" s="1"/>
    </row>
    <row r="811" spans="8:8">
      <c r="H811" s="1"/>
    </row>
    <row r="812" spans="8:8">
      <c r="H812" s="1"/>
    </row>
    <row r="813" spans="8:8">
      <c r="H813" s="1"/>
    </row>
    <row r="814" spans="8:8">
      <c r="H814" s="1"/>
    </row>
    <row r="815" spans="8:8">
      <c r="H815" s="1"/>
    </row>
    <row r="816" spans="8:8">
      <c r="H816" s="1"/>
    </row>
    <row r="817" spans="8:8">
      <c r="H817" s="1"/>
    </row>
    <row r="818" spans="8:8">
      <c r="H818" s="1"/>
    </row>
    <row r="819" spans="8:8">
      <c r="H819" s="1"/>
    </row>
    <row r="820" spans="8:8">
      <c r="H820" s="1"/>
    </row>
    <row r="821" spans="8:8">
      <c r="H821" s="1"/>
    </row>
    <row r="822" spans="8:8">
      <c r="H822" s="1"/>
    </row>
    <row r="823" spans="8:8">
      <c r="H823" s="1"/>
    </row>
    <row r="824" spans="8:8">
      <c r="H824" s="1"/>
    </row>
    <row r="825" spans="8:8">
      <c r="H825" s="1"/>
    </row>
    <row r="826" spans="8:8">
      <c r="H826" s="1"/>
    </row>
    <row r="827" spans="8:8">
      <c r="H827" s="1"/>
    </row>
    <row r="828" spans="8:8">
      <c r="H828" s="1"/>
    </row>
    <row r="829" spans="8:8">
      <c r="H829" s="1"/>
    </row>
    <row r="830" spans="8:8">
      <c r="H830" s="1"/>
    </row>
    <row r="831" spans="8:8">
      <c r="H831" s="1"/>
    </row>
    <row r="832" spans="8:8">
      <c r="H832" s="1"/>
    </row>
    <row r="833" spans="8:8">
      <c r="H833" s="1"/>
    </row>
    <row r="834" spans="8:8">
      <c r="H834" s="1"/>
    </row>
    <row r="835" spans="8:8">
      <c r="H835" s="1"/>
    </row>
    <row r="836" spans="8:8">
      <c r="H836" s="1"/>
    </row>
    <row r="837" spans="8:8">
      <c r="H837" s="1"/>
    </row>
    <row r="838" spans="8:8">
      <c r="H838" s="1"/>
    </row>
    <row r="839" spans="8:8">
      <c r="H839" s="1"/>
    </row>
    <row r="840" spans="8:8">
      <c r="H840" s="1"/>
    </row>
    <row r="841" spans="8:8">
      <c r="H841" s="1"/>
    </row>
    <row r="842" spans="8:8">
      <c r="H842" s="1"/>
    </row>
    <row r="843" spans="8:8">
      <c r="H843" s="1"/>
    </row>
    <row r="844" spans="8:8">
      <c r="H844" s="1"/>
    </row>
    <row r="845" spans="8:8">
      <c r="H845" s="1"/>
    </row>
    <row r="846" spans="8:8">
      <c r="H846" s="1"/>
    </row>
    <row r="847" spans="8:8">
      <c r="H847" s="1"/>
    </row>
    <row r="848" spans="8:8">
      <c r="H848" s="1"/>
    </row>
    <row r="849" spans="8:8">
      <c r="H849" s="1"/>
    </row>
    <row r="850" spans="8:8">
      <c r="H850" s="1"/>
    </row>
    <row r="851" spans="8:8">
      <c r="H851" s="1"/>
    </row>
    <row r="852" spans="8:8">
      <c r="H852" s="1"/>
    </row>
    <row r="853" spans="8:8">
      <c r="H853" s="1"/>
    </row>
    <row r="854" spans="8:8">
      <c r="H854" s="1"/>
    </row>
    <row r="855" spans="8:8">
      <c r="H855" s="1"/>
    </row>
    <row r="856" spans="8:8">
      <c r="H856" s="1"/>
    </row>
    <row r="857" spans="8:8">
      <c r="H857" s="1"/>
    </row>
    <row r="858" spans="8:8">
      <c r="H858" s="1"/>
    </row>
    <row r="859" spans="8:8">
      <c r="H859" s="1"/>
    </row>
    <row r="860" spans="8:8">
      <c r="H860" s="1"/>
    </row>
    <row r="861" spans="8:8">
      <c r="H861" s="1"/>
    </row>
    <row r="862" spans="8:8">
      <c r="H862" s="1"/>
    </row>
    <row r="863" spans="8:8">
      <c r="H863" s="1"/>
    </row>
    <row r="864" spans="8:8">
      <c r="H864" s="1"/>
    </row>
    <row r="865" spans="8:8">
      <c r="H865" s="1"/>
    </row>
    <row r="866" spans="8:8">
      <c r="H866" s="1"/>
    </row>
    <row r="867" spans="8:8">
      <c r="H867" s="1"/>
    </row>
    <row r="868" spans="8:8">
      <c r="H868" s="1"/>
    </row>
    <row r="869" spans="8:8">
      <c r="H869" s="1"/>
    </row>
    <row r="870" spans="8:8">
      <c r="H870" s="1"/>
    </row>
    <row r="871" spans="8:8">
      <c r="H871" s="1"/>
    </row>
    <row r="872" spans="8:8">
      <c r="H872" s="1"/>
    </row>
    <row r="873" spans="8:8">
      <c r="H873" s="1"/>
    </row>
    <row r="874" spans="8:8">
      <c r="H874" s="1"/>
    </row>
    <row r="875" spans="8:8">
      <c r="H875" s="1"/>
    </row>
    <row r="876" spans="8:8">
      <c r="H876" s="1"/>
    </row>
    <row r="877" spans="8:8">
      <c r="H877" s="1"/>
    </row>
    <row r="878" spans="8:8">
      <c r="H878" s="1"/>
    </row>
    <row r="879" spans="8:8">
      <c r="H879" s="1"/>
    </row>
    <row r="880" spans="8:8">
      <c r="H880" s="1"/>
    </row>
    <row r="881" spans="8:8">
      <c r="H881" s="1"/>
    </row>
    <row r="882" spans="8:8">
      <c r="H882" s="1"/>
    </row>
    <row r="883" spans="8:8">
      <c r="H883" s="1"/>
    </row>
    <row r="884" spans="8:8">
      <c r="H884" s="1"/>
    </row>
    <row r="885" spans="8:8">
      <c r="H885" s="1"/>
    </row>
    <row r="886" spans="8:8">
      <c r="H886" s="1"/>
    </row>
    <row r="887" spans="8:8">
      <c r="H887" s="1"/>
    </row>
    <row r="888" spans="8:8">
      <c r="H888" s="1"/>
    </row>
    <row r="889" spans="8:8">
      <c r="H889" s="1"/>
    </row>
    <row r="890" spans="8:8">
      <c r="H890" s="1"/>
    </row>
    <row r="891" spans="8:8">
      <c r="H891" s="1"/>
    </row>
    <row r="892" spans="8:8">
      <c r="H892" s="1"/>
    </row>
    <row r="893" spans="8:8">
      <c r="H893" s="1"/>
    </row>
    <row r="894" spans="8:8">
      <c r="H894" s="1"/>
    </row>
    <row r="895" spans="8:8">
      <c r="H895" s="1"/>
    </row>
    <row r="896" spans="8:8">
      <c r="H896" s="1"/>
    </row>
    <row r="897" spans="8:8">
      <c r="H897" s="1"/>
    </row>
    <row r="898" spans="8:8">
      <c r="H898" s="1"/>
    </row>
    <row r="899" spans="8:8">
      <c r="H899" s="1"/>
    </row>
    <row r="900" spans="8:8">
      <c r="H900" s="1"/>
    </row>
    <row r="901" spans="8:8">
      <c r="H901" s="1"/>
    </row>
    <row r="902" spans="8:8">
      <c r="H902" s="1"/>
    </row>
    <row r="903" spans="8:8">
      <c r="H903" s="1"/>
    </row>
    <row r="904" spans="8:8">
      <c r="H904" s="1"/>
    </row>
    <row r="905" spans="8:8">
      <c r="H905" s="1"/>
    </row>
    <row r="906" spans="8:8">
      <c r="H906" s="1"/>
    </row>
    <row r="907" spans="8:8">
      <c r="H907" s="1"/>
    </row>
    <row r="908" spans="8:8">
      <c r="H908" s="1"/>
    </row>
    <row r="909" spans="8:8">
      <c r="H909" s="1"/>
    </row>
    <row r="910" spans="8:8">
      <c r="H910" s="1"/>
    </row>
    <row r="911" spans="8:8">
      <c r="H911" s="1"/>
    </row>
    <row r="912" spans="8:8">
      <c r="H912" s="1"/>
    </row>
    <row r="913" spans="8:8">
      <c r="H913" s="1"/>
    </row>
    <row r="914" spans="8:8">
      <c r="H914" s="1"/>
    </row>
    <row r="915" spans="8:8">
      <c r="H915" s="1"/>
    </row>
    <row r="916" spans="8:8">
      <c r="H916" s="1"/>
    </row>
    <row r="917" spans="8:8">
      <c r="H917" s="1"/>
    </row>
    <row r="918" spans="8:8">
      <c r="H918" s="1"/>
    </row>
    <row r="919" spans="8:8">
      <c r="H919" s="1"/>
    </row>
    <row r="920" spans="8:8">
      <c r="H920" s="1"/>
    </row>
    <row r="921" spans="8:8">
      <c r="H921" s="1"/>
    </row>
    <row r="922" spans="8:8">
      <c r="H922" s="1"/>
    </row>
    <row r="923" spans="8:8">
      <c r="H923" s="1"/>
    </row>
    <row r="924" spans="8:8">
      <c r="H924" s="1"/>
    </row>
    <row r="925" spans="8:8">
      <c r="H925" s="1"/>
    </row>
    <row r="926" spans="8:8">
      <c r="H926" s="1"/>
    </row>
    <row r="927" spans="8:8">
      <c r="H927" s="1"/>
    </row>
    <row r="928" spans="8:8">
      <c r="H928" s="1"/>
    </row>
    <row r="929" spans="8:8">
      <c r="H929" s="1"/>
    </row>
    <row r="930" spans="8:8">
      <c r="H930" s="1"/>
    </row>
    <row r="931" spans="8:8">
      <c r="H931" s="1"/>
    </row>
    <row r="932" spans="8:8">
      <c r="H932" s="1"/>
    </row>
    <row r="933" spans="8:8">
      <c r="H933" s="1"/>
    </row>
    <row r="934" spans="8:8">
      <c r="H934" s="1"/>
    </row>
    <row r="935" spans="8:8">
      <c r="H935" s="1"/>
    </row>
  </sheetData>
  <sortState xmlns:xlrd2="http://schemas.microsoft.com/office/spreadsheetml/2017/richdata2" ref="K2:R594">
    <sortCondition ref="M2:M59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4"/>
  <sheetViews>
    <sheetView topLeftCell="A2" workbookViewId="0">
      <selection activeCell="G2" sqref="G2:L2"/>
    </sheetView>
  </sheetViews>
  <sheetFormatPr defaultRowHeight="15"/>
  <cols>
    <col min="1" max="1" width="27.42578125" customWidth="1"/>
    <col min="2" max="2" width="23.140625" customWidth="1"/>
    <col min="3" max="3" width="8.28515625" customWidth="1"/>
    <col min="4" max="4" width="25.7109375" customWidth="1"/>
    <col min="5" max="5" width="11.28515625" customWidth="1"/>
    <col min="6" max="6" width="11.85546875" style="2" customWidth="1"/>
    <col min="7" max="7" width="11.85546875" customWidth="1"/>
    <col min="8" max="8" width="10.85546875" bestFit="1" customWidth="1"/>
    <col min="9" max="9" width="11.5703125" style="2" bestFit="1" customWidth="1"/>
    <col min="10" max="10" width="12.5703125" bestFit="1" customWidth="1"/>
    <col min="12" max="12" width="14.5703125" bestFit="1" customWidth="1"/>
    <col min="13" max="13" width="17.85546875" bestFit="1" customWidth="1"/>
  </cols>
  <sheetData>
    <row r="1" spans="1:14">
      <c r="A1" t="s">
        <v>14</v>
      </c>
      <c r="B1" t="s">
        <v>15</v>
      </c>
      <c r="C1" t="s">
        <v>10</v>
      </c>
      <c r="D1" t="s">
        <v>16</v>
      </c>
      <c r="E1" t="s">
        <v>17</v>
      </c>
      <c r="F1" t="s">
        <v>18</v>
      </c>
      <c r="G1" s="10" t="s">
        <v>20</v>
      </c>
      <c r="H1" t="s">
        <v>4</v>
      </c>
      <c r="I1" s="2" t="s">
        <v>6</v>
      </c>
      <c r="J1" t="s">
        <v>5</v>
      </c>
      <c r="K1" s="10" t="s">
        <v>11</v>
      </c>
      <c r="L1" s="10" t="s">
        <v>12</v>
      </c>
      <c r="M1" s="10" t="s">
        <v>21</v>
      </c>
    </row>
    <row r="2" spans="1:14" ht="60.75" thickBot="1">
      <c r="A2" s="36" t="s">
        <v>128</v>
      </c>
      <c r="B2" s="38" t="s">
        <v>77</v>
      </c>
      <c r="C2" s="37" t="s">
        <v>85</v>
      </c>
      <c r="D2" s="37" t="s">
        <v>129</v>
      </c>
      <c r="E2" s="39">
        <v>44190</v>
      </c>
      <c r="F2" s="40">
        <v>192.3</v>
      </c>
      <c r="G2" s="41" t="s">
        <v>1</v>
      </c>
      <c r="H2">
        <v>271500</v>
      </c>
      <c r="I2" s="2">
        <v>265000</v>
      </c>
      <c r="K2" s="6">
        <f>(+H2/(H2+I2))*100</f>
        <v>50.605778191985081</v>
      </c>
      <c r="L2" s="6">
        <f>(+I2/(H2+I2))*100</f>
        <v>49.394221808014912</v>
      </c>
    </row>
    <row r="3" spans="1:14" ht="60.75" thickBot="1">
      <c r="A3" s="36" t="s">
        <v>128</v>
      </c>
      <c r="B3" s="38" t="s">
        <v>77</v>
      </c>
      <c r="C3" s="37" t="s">
        <v>85</v>
      </c>
      <c r="D3" s="37" t="s">
        <v>129</v>
      </c>
      <c r="E3" s="39">
        <v>44176</v>
      </c>
      <c r="F3" s="40">
        <v>192.3</v>
      </c>
      <c r="G3" s="41" t="s">
        <v>1</v>
      </c>
      <c r="H3">
        <v>271500</v>
      </c>
      <c r="I3" s="2">
        <v>265000</v>
      </c>
      <c r="K3" s="6">
        <f t="shared" ref="K3:K53" si="0">(+H3/(H3+I3))*100</f>
        <v>50.605778191985081</v>
      </c>
      <c r="L3" s="6">
        <f t="shared" ref="L3:L53" si="1">(+I3/(H3+I3))*100</f>
        <v>49.394221808014912</v>
      </c>
    </row>
    <row r="4" spans="1:14" ht="60.75" thickBot="1">
      <c r="A4" s="36" t="s">
        <v>128</v>
      </c>
      <c r="B4" s="38" t="s">
        <v>77</v>
      </c>
      <c r="C4" s="37" t="s">
        <v>85</v>
      </c>
      <c r="D4" s="37" t="s">
        <v>129</v>
      </c>
      <c r="E4" s="39">
        <v>44162</v>
      </c>
      <c r="F4" s="40">
        <v>192.3</v>
      </c>
      <c r="G4" s="41" t="s">
        <v>1</v>
      </c>
      <c r="H4">
        <v>271500</v>
      </c>
      <c r="I4" s="2">
        <v>265000</v>
      </c>
      <c r="K4" s="6">
        <f t="shared" si="0"/>
        <v>50.605778191985081</v>
      </c>
      <c r="L4" s="6">
        <f t="shared" si="1"/>
        <v>49.394221808014912</v>
      </c>
    </row>
    <row r="5" spans="1:14" ht="60.75" thickBot="1">
      <c r="A5" s="36" t="s">
        <v>128</v>
      </c>
      <c r="B5" s="38" t="s">
        <v>77</v>
      </c>
      <c r="C5" s="37" t="s">
        <v>85</v>
      </c>
      <c r="D5" s="37" t="s">
        <v>129</v>
      </c>
      <c r="E5" s="39">
        <v>44148</v>
      </c>
      <c r="F5" s="40">
        <v>192.3</v>
      </c>
      <c r="G5" s="41" t="s">
        <v>1</v>
      </c>
      <c r="H5">
        <v>271500</v>
      </c>
      <c r="I5" s="2">
        <v>265000</v>
      </c>
      <c r="K5" s="6">
        <f t="shared" si="0"/>
        <v>50.605778191985081</v>
      </c>
      <c r="L5" s="6">
        <f t="shared" si="1"/>
        <v>49.394221808014912</v>
      </c>
    </row>
    <row r="6" spans="1:14" ht="60.75" thickBot="1">
      <c r="A6" s="36" t="s">
        <v>128</v>
      </c>
      <c r="B6" s="38" t="s">
        <v>77</v>
      </c>
      <c r="C6" s="37" t="s">
        <v>85</v>
      </c>
      <c r="D6" s="37" t="s">
        <v>129</v>
      </c>
      <c r="E6" s="39">
        <v>44134</v>
      </c>
      <c r="F6" s="40">
        <v>192.3</v>
      </c>
      <c r="G6" s="41" t="s">
        <v>1</v>
      </c>
      <c r="H6">
        <v>271500</v>
      </c>
      <c r="I6" s="2">
        <v>265000</v>
      </c>
      <c r="K6" s="6">
        <f t="shared" si="0"/>
        <v>50.605778191985081</v>
      </c>
      <c r="L6" s="6">
        <f t="shared" si="1"/>
        <v>49.394221808014912</v>
      </c>
    </row>
    <row r="7" spans="1:14" ht="60.75" thickBot="1">
      <c r="A7" s="36" t="s">
        <v>128</v>
      </c>
      <c r="B7" s="38" t="s">
        <v>77</v>
      </c>
      <c r="C7" s="37" t="s">
        <v>85</v>
      </c>
      <c r="D7" s="37" t="s">
        <v>129</v>
      </c>
      <c r="E7" s="39">
        <v>44120</v>
      </c>
      <c r="F7" s="40">
        <v>192.3</v>
      </c>
      <c r="G7" s="41" t="s">
        <v>1</v>
      </c>
      <c r="H7">
        <v>271500</v>
      </c>
      <c r="I7" s="2">
        <v>265000</v>
      </c>
      <c r="K7" s="6">
        <f t="shared" si="0"/>
        <v>50.605778191985081</v>
      </c>
      <c r="L7" s="6">
        <f t="shared" si="1"/>
        <v>49.394221808014912</v>
      </c>
    </row>
    <row r="8" spans="1:14" ht="60.75" thickBot="1">
      <c r="A8" s="36" t="s">
        <v>128</v>
      </c>
      <c r="B8" s="38" t="s">
        <v>77</v>
      </c>
      <c r="C8" s="37" t="s">
        <v>85</v>
      </c>
      <c r="D8" s="37" t="s">
        <v>129</v>
      </c>
      <c r="E8" s="39">
        <v>44106</v>
      </c>
      <c r="F8" s="40">
        <v>192.3</v>
      </c>
      <c r="G8" s="41" t="s">
        <v>1</v>
      </c>
      <c r="H8">
        <v>271500</v>
      </c>
      <c r="I8" s="2">
        <v>265000</v>
      </c>
      <c r="K8" s="6">
        <f t="shared" si="0"/>
        <v>50.605778191985081</v>
      </c>
      <c r="L8" s="6">
        <f t="shared" si="1"/>
        <v>49.394221808014912</v>
      </c>
    </row>
    <row r="9" spans="1:14" ht="60.75" thickBot="1">
      <c r="A9" s="36" t="s">
        <v>128</v>
      </c>
      <c r="B9" s="38" t="s">
        <v>77</v>
      </c>
      <c r="C9" s="37" t="s">
        <v>85</v>
      </c>
      <c r="D9" s="37" t="s">
        <v>129</v>
      </c>
      <c r="E9" s="39">
        <v>44092</v>
      </c>
      <c r="F9" s="40">
        <v>192.3</v>
      </c>
      <c r="G9" s="41" t="s">
        <v>1</v>
      </c>
      <c r="H9">
        <v>271500</v>
      </c>
      <c r="I9" s="2">
        <v>265000</v>
      </c>
      <c r="K9" s="6">
        <f t="shared" si="0"/>
        <v>50.605778191985081</v>
      </c>
      <c r="L9" s="6">
        <f t="shared" si="1"/>
        <v>49.394221808014912</v>
      </c>
    </row>
    <row r="10" spans="1:14" ht="60.75" thickBot="1">
      <c r="A10" s="36" t="s">
        <v>128</v>
      </c>
      <c r="B10" s="38" t="s">
        <v>77</v>
      </c>
      <c r="C10" s="37" t="s">
        <v>85</v>
      </c>
      <c r="D10" s="37" t="s">
        <v>129</v>
      </c>
      <c r="E10" s="39">
        <v>44078</v>
      </c>
      <c r="F10" s="40">
        <v>192.3</v>
      </c>
      <c r="G10" s="41" t="s">
        <v>1</v>
      </c>
      <c r="H10">
        <v>271500</v>
      </c>
      <c r="I10" s="2">
        <v>265000</v>
      </c>
      <c r="K10" s="6">
        <f t="shared" si="0"/>
        <v>50.605778191985081</v>
      </c>
      <c r="L10" s="6">
        <f t="shared" si="1"/>
        <v>49.394221808014912</v>
      </c>
    </row>
    <row r="11" spans="1:14" ht="60.75" thickBot="1">
      <c r="A11" s="36" t="s">
        <v>128</v>
      </c>
      <c r="B11" s="38" t="s">
        <v>77</v>
      </c>
      <c r="C11" s="37" t="s">
        <v>85</v>
      </c>
      <c r="D11" s="37" t="s">
        <v>129</v>
      </c>
      <c r="E11" s="39">
        <v>44064</v>
      </c>
      <c r="F11" s="40">
        <v>192.3</v>
      </c>
      <c r="G11" s="41" t="s">
        <v>1</v>
      </c>
      <c r="H11">
        <v>271500</v>
      </c>
      <c r="I11" s="2">
        <v>265000</v>
      </c>
      <c r="K11" s="6">
        <f t="shared" si="0"/>
        <v>50.605778191985081</v>
      </c>
      <c r="L11" s="6">
        <f t="shared" si="1"/>
        <v>49.394221808014912</v>
      </c>
      <c r="M11" s="8"/>
      <c r="N11" s="8"/>
    </row>
    <row r="12" spans="1:14" ht="30.75" thickBot="1">
      <c r="A12" s="36" t="s">
        <v>128</v>
      </c>
      <c r="B12" s="38" t="s">
        <v>130</v>
      </c>
      <c r="C12" s="37" t="s">
        <v>85</v>
      </c>
      <c r="D12" s="37" t="s">
        <v>86</v>
      </c>
      <c r="E12" s="39">
        <v>44056</v>
      </c>
      <c r="F12" s="40">
        <v>2000</v>
      </c>
      <c r="G12" s="41" t="s">
        <v>1</v>
      </c>
      <c r="H12">
        <v>271500</v>
      </c>
      <c r="I12" s="2">
        <v>265000</v>
      </c>
      <c r="K12" s="6">
        <f t="shared" si="0"/>
        <v>50.605778191985081</v>
      </c>
      <c r="L12" s="6">
        <f t="shared" si="1"/>
        <v>49.394221808014912</v>
      </c>
    </row>
    <row r="13" spans="1:14" ht="60.75" thickBot="1">
      <c r="A13" s="36" t="s">
        <v>128</v>
      </c>
      <c r="B13" s="38" t="s">
        <v>77</v>
      </c>
      <c r="C13" s="37" t="s">
        <v>85</v>
      </c>
      <c r="D13" s="37" t="s">
        <v>129</v>
      </c>
      <c r="E13" s="39">
        <v>44050</v>
      </c>
      <c r="F13" s="40">
        <v>192.3</v>
      </c>
      <c r="G13" s="41" t="s">
        <v>1</v>
      </c>
      <c r="H13">
        <v>271500</v>
      </c>
      <c r="I13" s="2">
        <v>265000</v>
      </c>
      <c r="K13" s="6">
        <f t="shared" si="0"/>
        <v>50.605778191985081</v>
      </c>
      <c r="L13" s="6">
        <f t="shared" si="1"/>
        <v>49.394221808014912</v>
      </c>
    </row>
    <row r="14" spans="1:14" ht="60.75" thickBot="1">
      <c r="A14" s="36" t="s">
        <v>128</v>
      </c>
      <c r="B14" s="38" t="s">
        <v>77</v>
      </c>
      <c r="C14" s="37" t="s">
        <v>85</v>
      </c>
      <c r="D14" s="37" t="s">
        <v>129</v>
      </c>
      <c r="E14" s="39">
        <v>44036</v>
      </c>
      <c r="F14" s="40">
        <v>192.3</v>
      </c>
      <c r="G14" s="41" t="s">
        <v>1</v>
      </c>
      <c r="H14">
        <v>271500</v>
      </c>
      <c r="I14" s="2">
        <v>265000</v>
      </c>
      <c r="K14" s="6">
        <f t="shared" si="0"/>
        <v>50.605778191985081</v>
      </c>
      <c r="L14" s="6">
        <f t="shared" si="1"/>
        <v>49.394221808014912</v>
      </c>
      <c r="N14" s="8"/>
    </row>
    <row r="15" spans="1:14" ht="60.75" thickBot="1">
      <c r="A15" s="36" t="s">
        <v>128</v>
      </c>
      <c r="B15" s="38" t="s">
        <v>77</v>
      </c>
      <c r="C15" s="37" t="s">
        <v>85</v>
      </c>
      <c r="D15" s="37" t="s">
        <v>129</v>
      </c>
      <c r="E15" s="39">
        <v>44022</v>
      </c>
      <c r="F15" s="40">
        <v>192.3</v>
      </c>
      <c r="G15" s="41" t="s">
        <v>1</v>
      </c>
      <c r="H15">
        <v>271500</v>
      </c>
      <c r="I15" s="2">
        <v>265000</v>
      </c>
      <c r="K15" s="6">
        <f t="shared" si="0"/>
        <v>50.605778191985081</v>
      </c>
      <c r="L15" s="6">
        <f t="shared" si="1"/>
        <v>49.394221808014912</v>
      </c>
    </row>
    <row r="16" spans="1:14" ht="60.75" thickBot="1">
      <c r="A16" s="36" t="s">
        <v>128</v>
      </c>
      <c r="B16" s="38" t="s">
        <v>77</v>
      </c>
      <c r="C16" s="37" t="s">
        <v>85</v>
      </c>
      <c r="D16" s="37" t="s">
        <v>129</v>
      </c>
      <c r="E16" s="39">
        <v>44008</v>
      </c>
      <c r="F16" s="40">
        <v>192.3</v>
      </c>
      <c r="G16" s="41" t="s">
        <v>1</v>
      </c>
      <c r="H16">
        <v>271500</v>
      </c>
      <c r="I16" s="2">
        <v>265000</v>
      </c>
      <c r="K16" s="6">
        <f t="shared" si="0"/>
        <v>50.605778191985081</v>
      </c>
      <c r="L16" s="6">
        <f t="shared" si="1"/>
        <v>49.394221808014912</v>
      </c>
    </row>
    <row r="17" spans="1:14" ht="60.75" thickBot="1">
      <c r="A17" s="36" t="s">
        <v>128</v>
      </c>
      <c r="B17" s="38" t="s">
        <v>77</v>
      </c>
      <c r="C17" s="37" t="s">
        <v>85</v>
      </c>
      <c r="D17" s="37" t="s">
        <v>129</v>
      </c>
      <c r="E17" s="39">
        <v>43994</v>
      </c>
      <c r="F17" s="40">
        <v>192.3</v>
      </c>
      <c r="G17" s="41" t="s">
        <v>1</v>
      </c>
      <c r="H17">
        <v>271500</v>
      </c>
      <c r="I17" s="2">
        <v>265000</v>
      </c>
      <c r="K17" s="6">
        <f t="shared" si="0"/>
        <v>50.605778191985081</v>
      </c>
      <c r="L17" s="6">
        <f t="shared" si="1"/>
        <v>49.394221808014912</v>
      </c>
      <c r="M17" s="7"/>
      <c r="N17" s="7"/>
    </row>
    <row r="18" spans="1:14" ht="60.75" thickBot="1">
      <c r="A18" s="36" t="s">
        <v>128</v>
      </c>
      <c r="B18" s="38" t="s">
        <v>77</v>
      </c>
      <c r="C18" s="37" t="s">
        <v>85</v>
      </c>
      <c r="D18" s="37" t="s">
        <v>129</v>
      </c>
      <c r="E18" s="39">
        <v>43980</v>
      </c>
      <c r="F18" s="40">
        <v>192.3</v>
      </c>
      <c r="G18" s="41" t="s">
        <v>1</v>
      </c>
      <c r="H18">
        <v>271500</v>
      </c>
      <c r="I18" s="2">
        <v>265000</v>
      </c>
      <c r="K18" s="6">
        <f t="shared" si="0"/>
        <v>50.605778191985081</v>
      </c>
      <c r="L18" s="6">
        <f t="shared" si="1"/>
        <v>49.394221808014912</v>
      </c>
      <c r="M18" s="7"/>
    </row>
    <row r="19" spans="1:14" ht="60.75" thickBot="1">
      <c r="A19" s="36" t="s">
        <v>128</v>
      </c>
      <c r="B19" s="38" t="s">
        <v>77</v>
      </c>
      <c r="C19" s="37" t="s">
        <v>85</v>
      </c>
      <c r="D19" s="37" t="s">
        <v>129</v>
      </c>
      <c r="E19" s="39">
        <v>43966</v>
      </c>
      <c r="F19" s="40">
        <v>192.3</v>
      </c>
      <c r="G19" s="41" t="s">
        <v>1</v>
      </c>
      <c r="H19">
        <v>271500</v>
      </c>
      <c r="I19" s="2">
        <v>265000</v>
      </c>
      <c r="K19" s="6">
        <f t="shared" si="0"/>
        <v>50.605778191985081</v>
      </c>
      <c r="L19" s="6">
        <f t="shared" si="1"/>
        <v>49.394221808014912</v>
      </c>
      <c r="M19" s="7"/>
    </row>
    <row r="20" spans="1:14" ht="60.75" thickBot="1">
      <c r="A20" s="36" t="s">
        <v>128</v>
      </c>
      <c r="B20" s="38" t="s">
        <v>77</v>
      </c>
      <c r="C20" s="37" t="s">
        <v>85</v>
      </c>
      <c r="D20" s="37" t="s">
        <v>129</v>
      </c>
      <c r="E20" s="39">
        <v>43952</v>
      </c>
      <c r="F20" s="40">
        <v>192.3</v>
      </c>
      <c r="G20" s="41" t="s">
        <v>1</v>
      </c>
      <c r="H20">
        <v>271500</v>
      </c>
      <c r="I20" s="2">
        <v>265000</v>
      </c>
      <c r="K20" s="6">
        <f t="shared" si="0"/>
        <v>50.605778191985081</v>
      </c>
      <c r="L20" s="6">
        <f t="shared" si="1"/>
        <v>49.394221808014912</v>
      </c>
      <c r="M20" s="7"/>
    </row>
    <row r="21" spans="1:14" ht="60.75" thickBot="1">
      <c r="A21" s="36" t="s">
        <v>128</v>
      </c>
      <c r="B21" s="38" t="s">
        <v>77</v>
      </c>
      <c r="C21" s="37" t="s">
        <v>85</v>
      </c>
      <c r="D21" s="37" t="s">
        <v>129</v>
      </c>
      <c r="E21" s="39">
        <v>43938</v>
      </c>
      <c r="F21" s="40">
        <v>192.3</v>
      </c>
      <c r="G21" s="41" t="s">
        <v>1</v>
      </c>
      <c r="H21">
        <v>271500</v>
      </c>
      <c r="I21" s="2">
        <v>265000</v>
      </c>
      <c r="K21" s="6">
        <f t="shared" si="0"/>
        <v>50.605778191985081</v>
      </c>
      <c r="L21" s="6">
        <f t="shared" si="1"/>
        <v>49.394221808014912</v>
      </c>
    </row>
    <row r="22" spans="1:14" ht="60.75" thickBot="1">
      <c r="A22" s="36" t="s">
        <v>128</v>
      </c>
      <c r="B22" s="38" t="s">
        <v>77</v>
      </c>
      <c r="C22" s="37" t="s">
        <v>85</v>
      </c>
      <c r="D22" s="37" t="s">
        <v>129</v>
      </c>
      <c r="E22" s="39">
        <v>43924</v>
      </c>
      <c r="F22" s="40">
        <v>192.3</v>
      </c>
      <c r="G22" s="41" t="s">
        <v>1</v>
      </c>
      <c r="H22">
        <v>271500</v>
      </c>
      <c r="I22" s="2">
        <v>265000</v>
      </c>
      <c r="K22" s="6">
        <f t="shared" si="0"/>
        <v>50.605778191985081</v>
      </c>
      <c r="L22" s="6">
        <f t="shared" si="1"/>
        <v>49.394221808014912</v>
      </c>
    </row>
    <row r="23" spans="1:14" ht="60.75" thickBot="1">
      <c r="A23" s="36" t="s">
        <v>128</v>
      </c>
      <c r="B23" s="38" t="s">
        <v>77</v>
      </c>
      <c r="C23" s="37" t="s">
        <v>85</v>
      </c>
      <c r="D23" s="37" t="s">
        <v>129</v>
      </c>
      <c r="E23" s="39">
        <v>43910</v>
      </c>
      <c r="F23" s="40">
        <v>192.3</v>
      </c>
      <c r="G23" s="41" t="s">
        <v>1</v>
      </c>
      <c r="H23">
        <v>271500</v>
      </c>
      <c r="I23" s="2">
        <v>265000</v>
      </c>
      <c r="K23" s="6">
        <f t="shared" si="0"/>
        <v>50.605778191985081</v>
      </c>
      <c r="L23" s="6">
        <f t="shared" si="1"/>
        <v>49.394221808014912</v>
      </c>
    </row>
    <row r="24" spans="1:14" ht="60.75" thickBot="1">
      <c r="A24" s="36" t="s">
        <v>128</v>
      </c>
      <c r="B24" s="38" t="s">
        <v>77</v>
      </c>
      <c r="C24" s="37" t="s">
        <v>85</v>
      </c>
      <c r="D24" s="37" t="s">
        <v>129</v>
      </c>
      <c r="E24" s="39">
        <v>43896</v>
      </c>
      <c r="F24" s="40">
        <v>192.3</v>
      </c>
      <c r="G24" s="41" t="s">
        <v>1</v>
      </c>
      <c r="H24">
        <v>271500</v>
      </c>
      <c r="I24" s="2">
        <v>265000</v>
      </c>
      <c r="K24" s="6">
        <f t="shared" si="0"/>
        <v>50.605778191985081</v>
      </c>
      <c r="L24" s="6">
        <f t="shared" si="1"/>
        <v>49.394221808014912</v>
      </c>
    </row>
    <row r="25" spans="1:14" ht="60.75" thickBot="1">
      <c r="A25" s="36" t="s">
        <v>128</v>
      </c>
      <c r="B25" s="38" t="s">
        <v>77</v>
      </c>
      <c r="C25" s="37" t="s">
        <v>85</v>
      </c>
      <c r="D25" s="37" t="s">
        <v>129</v>
      </c>
      <c r="E25" s="39">
        <v>43882</v>
      </c>
      <c r="F25" s="40">
        <v>192.3</v>
      </c>
      <c r="G25" s="41" t="s">
        <v>1</v>
      </c>
      <c r="H25">
        <v>271500</v>
      </c>
      <c r="I25" s="2">
        <v>265000</v>
      </c>
      <c r="K25" s="6">
        <f t="shared" si="0"/>
        <v>50.605778191985081</v>
      </c>
      <c r="L25" s="6">
        <f t="shared" si="1"/>
        <v>49.394221808014912</v>
      </c>
    </row>
    <row r="26" spans="1:14" ht="60.75" thickBot="1">
      <c r="A26" s="36" t="s">
        <v>128</v>
      </c>
      <c r="B26" s="38" t="s">
        <v>77</v>
      </c>
      <c r="C26" s="37" t="s">
        <v>85</v>
      </c>
      <c r="D26" s="37" t="s">
        <v>129</v>
      </c>
      <c r="E26" s="39">
        <v>43868</v>
      </c>
      <c r="F26" s="40">
        <v>192.3</v>
      </c>
      <c r="G26" s="41" t="s">
        <v>1</v>
      </c>
      <c r="H26">
        <v>271500</v>
      </c>
      <c r="I26" s="2">
        <v>265000</v>
      </c>
      <c r="K26" s="6">
        <f t="shared" si="0"/>
        <v>50.605778191985081</v>
      </c>
      <c r="L26" s="6">
        <f t="shared" si="1"/>
        <v>49.394221808014912</v>
      </c>
    </row>
    <row r="27" spans="1:14" ht="60.75" thickBot="1">
      <c r="A27" s="36" t="s">
        <v>128</v>
      </c>
      <c r="B27" s="38" t="s">
        <v>77</v>
      </c>
      <c r="C27" s="37" t="s">
        <v>85</v>
      </c>
      <c r="D27" s="37" t="s">
        <v>129</v>
      </c>
      <c r="E27" s="39">
        <v>43854</v>
      </c>
      <c r="F27" s="40">
        <v>192.3</v>
      </c>
      <c r="G27" s="41" t="s">
        <v>1</v>
      </c>
      <c r="H27">
        <v>271500</v>
      </c>
      <c r="I27" s="2">
        <v>265000</v>
      </c>
      <c r="K27" s="6">
        <f t="shared" si="0"/>
        <v>50.605778191985081</v>
      </c>
      <c r="L27" s="6">
        <f t="shared" si="1"/>
        <v>49.394221808014912</v>
      </c>
    </row>
    <row r="28" spans="1:14" ht="60.75" thickBot="1">
      <c r="A28" s="36" t="s">
        <v>128</v>
      </c>
      <c r="B28" s="38" t="s">
        <v>77</v>
      </c>
      <c r="C28" s="37" t="s">
        <v>85</v>
      </c>
      <c r="D28" s="37" t="s">
        <v>129</v>
      </c>
      <c r="E28" s="39">
        <v>43826</v>
      </c>
      <c r="F28" s="40">
        <v>192.3</v>
      </c>
      <c r="G28" s="41" t="s">
        <v>1</v>
      </c>
      <c r="H28">
        <v>271500</v>
      </c>
      <c r="I28" s="2">
        <v>265000</v>
      </c>
      <c r="K28" s="6">
        <f t="shared" si="0"/>
        <v>50.605778191985081</v>
      </c>
      <c r="L28" s="6">
        <f t="shared" si="1"/>
        <v>49.394221808014912</v>
      </c>
    </row>
    <row r="29" spans="1:14" ht="60.75" thickBot="1">
      <c r="A29" s="36" t="s">
        <v>128</v>
      </c>
      <c r="B29" s="38" t="s">
        <v>77</v>
      </c>
      <c r="C29" s="37" t="s">
        <v>85</v>
      </c>
      <c r="D29" s="37" t="s">
        <v>129</v>
      </c>
      <c r="E29" s="39">
        <v>43812</v>
      </c>
      <c r="F29" s="40">
        <v>192.3</v>
      </c>
      <c r="G29" s="41" t="s">
        <v>1</v>
      </c>
      <c r="H29">
        <v>271500</v>
      </c>
      <c r="I29" s="2">
        <v>265000</v>
      </c>
      <c r="K29" s="6">
        <f t="shared" si="0"/>
        <v>50.605778191985081</v>
      </c>
      <c r="L29" s="6">
        <f t="shared" si="1"/>
        <v>49.394221808014912</v>
      </c>
    </row>
    <row r="30" spans="1:14" ht="30.75" thickBot="1">
      <c r="A30" s="36" t="s">
        <v>131</v>
      </c>
      <c r="B30" s="38" t="s">
        <v>132</v>
      </c>
      <c r="C30" s="37" t="s">
        <v>85</v>
      </c>
      <c r="D30" s="37" t="s">
        <v>86</v>
      </c>
      <c r="E30" s="39">
        <v>43801</v>
      </c>
      <c r="F30" s="40">
        <v>2000</v>
      </c>
      <c r="G30" s="41" t="s">
        <v>1</v>
      </c>
      <c r="H30">
        <v>271500</v>
      </c>
      <c r="I30" s="2">
        <v>265000</v>
      </c>
      <c r="K30" s="6">
        <f t="shared" si="0"/>
        <v>50.605778191985081</v>
      </c>
      <c r="L30" s="6">
        <f t="shared" si="1"/>
        <v>49.394221808014912</v>
      </c>
    </row>
    <row r="31" spans="1:14" ht="60.75" thickBot="1">
      <c r="A31" s="36" t="s">
        <v>128</v>
      </c>
      <c r="B31" s="38" t="s">
        <v>77</v>
      </c>
      <c r="C31" s="37" t="s">
        <v>85</v>
      </c>
      <c r="D31" s="37" t="s">
        <v>129</v>
      </c>
      <c r="E31" s="39">
        <v>43798</v>
      </c>
      <c r="F31" s="40">
        <v>192.3</v>
      </c>
      <c r="G31" s="41" t="s">
        <v>1</v>
      </c>
      <c r="H31">
        <v>271500</v>
      </c>
      <c r="I31" s="2">
        <v>265000</v>
      </c>
      <c r="K31" s="6">
        <f t="shared" si="0"/>
        <v>50.605778191985081</v>
      </c>
      <c r="L31" s="6">
        <f t="shared" si="1"/>
        <v>49.394221808014912</v>
      </c>
    </row>
    <row r="32" spans="1:14" ht="60.75" thickBot="1">
      <c r="A32" s="36" t="s">
        <v>128</v>
      </c>
      <c r="B32" s="38" t="s">
        <v>77</v>
      </c>
      <c r="C32" s="37" t="s">
        <v>85</v>
      </c>
      <c r="D32" s="37" t="s">
        <v>129</v>
      </c>
      <c r="E32" s="39">
        <v>43784</v>
      </c>
      <c r="F32" s="40">
        <v>192.3</v>
      </c>
      <c r="G32" s="41" t="s">
        <v>1</v>
      </c>
      <c r="H32">
        <v>271500</v>
      </c>
      <c r="I32" s="2">
        <v>265000</v>
      </c>
      <c r="K32" s="6">
        <f t="shared" si="0"/>
        <v>50.605778191985081</v>
      </c>
      <c r="L32" s="6">
        <f t="shared" si="1"/>
        <v>49.394221808014912</v>
      </c>
    </row>
    <row r="33" spans="1:12" ht="60.75" thickBot="1">
      <c r="A33" s="36" t="s">
        <v>128</v>
      </c>
      <c r="B33" s="38" t="s">
        <v>77</v>
      </c>
      <c r="C33" s="37" t="s">
        <v>85</v>
      </c>
      <c r="D33" s="37" t="s">
        <v>129</v>
      </c>
      <c r="E33" s="39">
        <v>43770</v>
      </c>
      <c r="F33" s="40">
        <v>192.3</v>
      </c>
      <c r="G33" s="41" t="s">
        <v>1</v>
      </c>
      <c r="H33">
        <v>271500</v>
      </c>
      <c r="I33" s="2">
        <v>265000</v>
      </c>
      <c r="K33" s="6">
        <f t="shared" si="0"/>
        <v>50.605778191985081</v>
      </c>
      <c r="L33" s="6">
        <f t="shared" si="1"/>
        <v>49.394221808014912</v>
      </c>
    </row>
    <row r="34" spans="1:12" ht="60.75" thickBot="1">
      <c r="A34" s="36" t="s">
        <v>128</v>
      </c>
      <c r="B34" s="38" t="s">
        <v>77</v>
      </c>
      <c r="C34" s="37" t="s">
        <v>85</v>
      </c>
      <c r="D34" s="37" t="s">
        <v>129</v>
      </c>
      <c r="E34" s="39">
        <v>43756</v>
      </c>
      <c r="F34" s="40">
        <v>192.3</v>
      </c>
      <c r="G34" s="41" t="s">
        <v>1</v>
      </c>
      <c r="H34">
        <v>271500</v>
      </c>
      <c r="I34" s="2">
        <v>265000</v>
      </c>
      <c r="K34" s="6">
        <f t="shared" si="0"/>
        <v>50.605778191985081</v>
      </c>
      <c r="L34" s="6">
        <f t="shared" si="1"/>
        <v>49.394221808014912</v>
      </c>
    </row>
    <row r="35" spans="1:12" ht="60.75" thickBot="1">
      <c r="A35" s="36" t="s">
        <v>128</v>
      </c>
      <c r="B35" s="38" t="s">
        <v>77</v>
      </c>
      <c r="C35" s="37" t="s">
        <v>85</v>
      </c>
      <c r="D35" s="37" t="s">
        <v>129</v>
      </c>
      <c r="E35" s="39">
        <v>43742</v>
      </c>
      <c r="F35" s="40">
        <v>192.3</v>
      </c>
      <c r="G35" s="41" t="s">
        <v>1</v>
      </c>
      <c r="H35">
        <v>271500</v>
      </c>
      <c r="I35" s="2">
        <v>265000</v>
      </c>
      <c r="K35" s="6">
        <f t="shared" si="0"/>
        <v>50.605778191985081</v>
      </c>
      <c r="L35" s="6">
        <f t="shared" si="1"/>
        <v>49.394221808014912</v>
      </c>
    </row>
    <row r="36" spans="1:12" ht="60.75" thickBot="1">
      <c r="A36" s="36" t="s">
        <v>128</v>
      </c>
      <c r="B36" s="38" t="s">
        <v>77</v>
      </c>
      <c r="C36" s="37" t="s">
        <v>85</v>
      </c>
      <c r="D36" s="37" t="s">
        <v>129</v>
      </c>
      <c r="E36" s="39">
        <v>43728</v>
      </c>
      <c r="F36" s="40">
        <v>192.3</v>
      </c>
      <c r="G36" s="41" t="s">
        <v>1</v>
      </c>
      <c r="H36">
        <v>271500</v>
      </c>
      <c r="I36" s="2">
        <v>265000</v>
      </c>
      <c r="K36" s="6">
        <f t="shared" si="0"/>
        <v>50.605778191985081</v>
      </c>
      <c r="L36" s="6">
        <f t="shared" si="1"/>
        <v>49.394221808014912</v>
      </c>
    </row>
    <row r="37" spans="1:12" ht="60.75" thickBot="1">
      <c r="A37" s="36" t="s">
        <v>128</v>
      </c>
      <c r="B37" s="38" t="s">
        <v>77</v>
      </c>
      <c r="C37" s="37" t="s">
        <v>85</v>
      </c>
      <c r="D37" s="37" t="s">
        <v>129</v>
      </c>
      <c r="E37" s="39">
        <v>43714</v>
      </c>
      <c r="F37" s="40">
        <v>192.3</v>
      </c>
      <c r="G37" s="41" t="s">
        <v>1</v>
      </c>
      <c r="H37">
        <v>271500</v>
      </c>
      <c r="I37" s="2">
        <v>265000</v>
      </c>
      <c r="K37" s="6">
        <f t="shared" si="0"/>
        <v>50.605778191985081</v>
      </c>
      <c r="L37" s="6">
        <f t="shared" si="1"/>
        <v>49.394221808014912</v>
      </c>
    </row>
    <row r="38" spans="1:12" ht="60.75" thickBot="1">
      <c r="A38" s="36" t="s">
        <v>128</v>
      </c>
      <c r="B38" s="38" t="s">
        <v>77</v>
      </c>
      <c r="C38" s="37" t="s">
        <v>85</v>
      </c>
      <c r="D38" s="37" t="s">
        <v>129</v>
      </c>
      <c r="E38" s="39">
        <v>43700</v>
      </c>
      <c r="F38" s="40">
        <v>192.3</v>
      </c>
      <c r="G38" s="41" t="s">
        <v>1</v>
      </c>
      <c r="H38">
        <v>271500</v>
      </c>
      <c r="I38" s="2">
        <v>265000</v>
      </c>
      <c r="K38" s="6">
        <f t="shared" si="0"/>
        <v>50.605778191985081</v>
      </c>
      <c r="L38" s="6">
        <f t="shared" si="1"/>
        <v>49.394221808014912</v>
      </c>
    </row>
    <row r="39" spans="1:12" ht="60.75" thickBot="1">
      <c r="A39" s="36" t="s">
        <v>128</v>
      </c>
      <c r="B39" s="38" t="s">
        <v>77</v>
      </c>
      <c r="C39" s="37" t="s">
        <v>85</v>
      </c>
      <c r="D39" s="37" t="s">
        <v>129</v>
      </c>
      <c r="E39" s="39">
        <v>43686</v>
      </c>
      <c r="F39" s="40">
        <v>192.3</v>
      </c>
      <c r="G39" s="41" t="s">
        <v>1</v>
      </c>
      <c r="H39">
        <v>271500</v>
      </c>
      <c r="I39" s="2">
        <v>265000</v>
      </c>
      <c r="K39" s="6">
        <f t="shared" si="0"/>
        <v>50.605778191985081</v>
      </c>
      <c r="L39" s="6">
        <f t="shared" si="1"/>
        <v>49.394221808014912</v>
      </c>
    </row>
    <row r="40" spans="1:12" ht="60.75" thickBot="1">
      <c r="A40" s="36" t="s">
        <v>128</v>
      </c>
      <c r="B40" s="38" t="s">
        <v>77</v>
      </c>
      <c r="C40" s="37" t="s">
        <v>85</v>
      </c>
      <c r="D40" s="37" t="s">
        <v>129</v>
      </c>
      <c r="E40" s="39">
        <v>43672</v>
      </c>
      <c r="F40" s="40">
        <v>192.3</v>
      </c>
      <c r="G40" s="41" t="s">
        <v>1</v>
      </c>
      <c r="H40">
        <v>271500</v>
      </c>
      <c r="I40" s="2">
        <v>265000</v>
      </c>
      <c r="K40" s="6">
        <f t="shared" si="0"/>
        <v>50.605778191985081</v>
      </c>
      <c r="L40" s="6">
        <f t="shared" si="1"/>
        <v>49.394221808014912</v>
      </c>
    </row>
    <row r="41" spans="1:12" ht="60.75" thickBot="1">
      <c r="A41" s="36" t="s">
        <v>128</v>
      </c>
      <c r="B41" s="38" t="s">
        <v>77</v>
      </c>
      <c r="C41" s="37" t="s">
        <v>85</v>
      </c>
      <c r="D41" s="37" t="s">
        <v>129</v>
      </c>
      <c r="E41" s="39">
        <v>43658</v>
      </c>
      <c r="F41" s="40">
        <v>192.3</v>
      </c>
      <c r="G41" s="41" t="s">
        <v>1</v>
      </c>
      <c r="H41">
        <v>271500</v>
      </c>
      <c r="I41" s="2">
        <v>265000</v>
      </c>
      <c r="K41" s="6">
        <f t="shared" si="0"/>
        <v>50.605778191985081</v>
      </c>
      <c r="L41" s="6">
        <f t="shared" si="1"/>
        <v>49.394221808014912</v>
      </c>
    </row>
    <row r="42" spans="1:12" ht="60.75" thickBot="1">
      <c r="A42" s="36" t="s">
        <v>128</v>
      </c>
      <c r="B42" s="38" t="s">
        <v>77</v>
      </c>
      <c r="C42" s="37" t="s">
        <v>85</v>
      </c>
      <c r="D42" s="37" t="s">
        <v>129</v>
      </c>
      <c r="E42" s="39">
        <v>43644</v>
      </c>
      <c r="F42" s="40">
        <v>192.3</v>
      </c>
      <c r="G42" s="41" t="s">
        <v>1</v>
      </c>
      <c r="H42">
        <v>271500</v>
      </c>
      <c r="I42" s="2">
        <v>265000</v>
      </c>
      <c r="K42" s="6">
        <f t="shared" si="0"/>
        <v>50.605778191985081</v>
      </c>
      <c r="L42" s="6">
        <f t="shared" si="1"/>
        <v>49.394221808014912</v>
      </c>
    </row>
    <row r="43" spans="1:12" ht="60.75" thickBot="1">
      <c r="A43" s="36" t="s">
        <v>128</v>
      </c>
      <c r="B43" s="38" t="s">
        <v>77</v>
      </c>
      <c r="C43" s="37" t="s">
        <v>85</v>
      </c>
      <c r="D43" s="37" t="s">
        <v>129</v>
      </c>
      <c r="E43" s="39">
        <v>43630</v>
      </c>
      <c r="F43" s="40">
        <v>192.3</v>
      </c>
      <c r="G43" s="41" t="s">
        <v>1</v>
      </c>
      <c r="H43">
        <v>271500</v>
      </c>
      <c r="I43" s="2">
        <v>265000</v>
      </c>
      <c r="K43" s="6">
        <f t="shared" si="0"/>
        <v>50.605778191985081</v>
      </c>
      <c r="L43" s="6">
        <f t="shared" si="1"/>
        <v>49.394221808014912</v>
      </c>
    </row>
    <row r="44" spans="1:12" ht="60.75" thickBot="1">
      <c r="A44" s="36" t="s">
        <v>128</v>
      </c>
      <c r="B44" s="38" t="s">
        <v>77</v>
      </c>
      <c r="C44" s="37" t="s">
        <v>85</v>
      </c>
      <c r="D44" s="37" t="s">
        <v>129</v>
      </c>
      <c r="E44" s="39">
        <v>43616</v>
      </c>
      <c r="F44" s="40">
        <v>192.3</v>
      </c>
      <c r="G44" s="41" t="s">
        <v>1</v>
      </c>
      <c r="H44">
        <v>271500</v>
      </c>
      <c r="I44" s="2">
        <v>265000</v>
      </c>
      <c r="K44" s="6">
        <f t="shared" si="0"/>
        <v>50.605778191985081</v>
      </c>
      <c r="L44" s="6">
        <f t="shared" si="1"/>
        <v>49.394221808014912</v>
      </c>
    </row>
    <row r="45" spans="1:12" ht="60.75" thickBot="1">
      <c r="A45" s="36" t="s">
        <v>128</v>
      </c>
      <c r="B45" s="38" t="s">
        <v>77</v>
      </c>
      <c r="C45" s="37" t="s">
        <v>85</v>
      </c>
      <c r="D45" s="37" t="s">
        <v>129</v>
      </c>
      <c r="E45" s="39">
        <v>43602</v>
      </c>
      <c r="F45" s="40">
        <v>192.3</v>
      </c>
      <c r="G45" s="41" t="s">
        <v>1</v>
      </c>
      <c r="H45">
        <v>271500</v>
      </c>
      <c r="I45" s="2">
        <v>265000</v>
      </c>
      <c r="K45" s="6">
        <f t="shared" si="0"/>
        <v>50.605778191985081</v>
      </c>
      <c r="L45" s="6">
        <f t="shared" si="1"/>
        <v>49.394221808014912</v>
      </c>
    </row>
    <row r="46" spans="1:12" ht="29.25" thickBot="1">
      <c r="A46" s="36" t="s">
        <v>128</v>
      </c>
      <c r="B46" s="38" t="s">
        <v>0</v>
      </c>
      <c r="C46" s="37" t="s">
        <v>85</v>
      </c>
      <c r="D46" s="37" t="s">
        <v>86</v>
      </c>
      <c r="E46" s="39">
        <v>43593</v>
      </c>
      <c r="F46" s="40">
        <v>2800</v>
      </c>
      <c r="G46" s="41" t="s">
        <v>1</v>
      </c>
      <c r="H46">
        <v>271500</v>
      </c>
      <c r="I46" s="2">
        <v>265000</v>
      </c>
      <c r="K46" s="6">
        <f t="shared" si="0"/>
        <v>50.605778191985081</v>
      </c>
      <c r="L46" s="6">
        <f t="shared" si="1"/>
        <v>49.394221808014912</v>
      </c>
    </row>
    <row r="47" spans="1:12" ht="60.75" thickBot="1">
      <c r="A47" s="36" t="s">
        <v>128</v>
      </c>
      <c r="B47" s="38" t="s">
        <v>77</v>
      </c>
      <c r="C47" s="37" t="s">
        <v>85</v>
      </c>
      <c r="D47" s="37" t="s">
        <v>129</v>
      </c>
      <c r="E47" s="39">
        <v>43588</v>
      </c>
      <c r="F47" s="40">
        <v>192.3</v>
      </c>
      <c r="G47" s="41" t="s">
        <v>1</v>
      </c>
      <c r="H47">
        <v>271500</v>
      </c>
      <c r="I47" s="2">
        <v>265000</v>
      </c>
      <c r="K47" s="6">
        <f t="shared" si="0"/>
        <v>50.605778191985081</v>
      </c>
      <c r="L47" s="6">
        <f t="shared" si="1"/>
        <v>49.394221808014912</v>
      </c>
    </row>
    <row r="48" spans="1:12" ht="29.25" thickBot="1">
      <c r="A48" s="36" t="s">
        <v>133</v>
      </c>
      <c r="B48" s="38" t="s">
        <v>134</v>
      </c>
      <c r="C48" s="37" t="s">
        <v>85</v>
      </c>
      <c r="D48" s="37" t="s">
        <v>88</v>
      </c>
      <c r="E48" s="39">
        <v>43578</v>
      </c>
      <c r="F48" s="40">
        <v>2800</v>
      </c>
      <c r="G48" s="41" t="s">
        <v>1</v>
      </c>
      <c r="H48">
        <v>271500</v>
      </c>
      <c r="I48" s="2">
        <v>265000</v>
      </c>
      <c r="K48" s="6">
        <f t="shared" si="0"/>
        <v>50.605778191985081</v>
      </c>
      <c r="L48" s="6">
        <f t="shared" si="1"/>
        <v>49.394221808014912</v>
      </c>
    </row>
    <row r="49" spans="1:12" ht="60.75" thickBot="1">
      <c r="A49" s="36" t="s">
        <v>128</v>
      </c>
      <c r="B49" s="38" t="s">
        <v>77</v>
      </c>
      <c r="C49" s="37" t="s">
        <v>85</v>
      </c>
      <c r="D49" s="37" t="s">
        <v>129</v>
      </c>
      <c r="E49" s="39">
        <v>43574</v>
      </c>
      <c r="F49" s="40">
        <v>192.3</v>
      </c>
      <c r="G49" s="41" t="s">
        <v>1</v>
      </c>
      <c r="H49">
        <v>271500</v>
      </c>
      <c r="I49" s="2">
        <v>265000</v>
      </c>
      <c r="K49" s="6">
        <f t="shared" si="0"/>
        <v>50.605778191985081</v>
      </c>
      <c r="L49" s="6">
        <f t="shared" si="1"/>
        <v>49.394221808014912</v>
      </c>
    </row>
    <row r="50" spans="1:12" ht="60.75" thickBot="1">
      <c r="A50" s="36" t="s">
        <v>128</v>
      </c>
      <c r="B50" s="38" t="s">
        <v>77</v>
      </c>
      <c r="C50" s="37" t="s">
        <v>85</v>
      </c>
      <c r="D50" s="37" t="s">
        <v>129</v>
      </c>
      <c r="E50" s="39">
        <v>43560</v>
      </c>
      <c r="F50" s="40">
        <v>192.3</v>
      </c>
      <c r="G50" s="41" t="s">
        <v>1</v>
      </c>
      <c r="H50">
        <v>271500</v>
      </c>
      <c r="I50" s="2">
        <v>265000</v>
      </c>
      <c r="K50" s="6">
        <f t="shared" si="0"/>
        <v>50.605778191985081</v>
      </c>
      <c r="L50" s="6">
        <f t="shared" si="1"/>
        <v>49.394221808014912</v>
      </c>
    </row>
    <row r="51" spans="1:12" ht="60.75" thickBot="1">
      <c r="A51" s="36" t="s">
        <v>128</v>
      </c>
      <c r="B51" s="38" t="s">
        <v>77</v>
      </c>
      <c r="C51" s="37" t="s">
        <v>85</v>
      </c>
      <c r="D51" s="37" t="s">
        <v>129</v>
      </c>
      <c r="E51" s="39">
        <v>43546</v>
      </c>
      <c r="F51" s="40">
        <v>192.3</v>
      </c>
      <c r="G51" s="41" t="s">
        <v>1</v>
      </c>
      <c r="H51">
        <v>271500</v>
      </c>
      <c r="I51" s="2">
        <v>265000</v>
      </c>
      <c r="K51" s="6">
        <f t="shared" si="0"/>
        <v>50.605778191985081</v>
      </c>
      <c r="L51" s="6">
        <f t="shared" si="1"/>
        <v>49.394221808014912</v>
      </c>
    </row>
    <row r="52" spans="1:12" ht="60.75" thickBot="1">
      <c r="A52" s="36" t="s">
        <v>128</v>
      </c>
      <c r="B52" s="38" t="s">
        <v>77</v>
      </c>
      <c r="C52" s="37" t="s">
        <v>85</v>
      </c>
      <c r="D52" s="37" t="s">
        <v>129</v>
      </c>
      <c r="E52" s="39">
        <v>43532</v>
      </c>
      <c r="F52" s="40">
        <v>192.3</v>
      </c>
      <c r="G52" s="41" t="s">
        <v>1</v>
      </c>
      <c r="H52">
        <v>271500</v>
      </c>
      <c r="I52" s="2">
        <v>265000</v>
      </c>
      <c r="K52" s="6">
        <f t="shared" si="0"/>
        <v>50.605778191985081</v>
      </c>
      <c r="L52" s="6">
        <f t="shared" si="1"/>
        <v>49.394221808014912</v>
      </c>
    </row>
    <row r="53" spans="1:12" ht="60.75" thickBot="1">
      <c r="A53" s="36" t="s">
        <v>128</v>
      </c>
      <c r="B53" s="38" t="s">
        <v>77</v>
      </c>
      <c r="C53" s="37" t="s">
        <v>85</v>
      </c>
      <c r="D53" s="37" t="s">
        <v>129</v>
      </c>
      <c r="E53" s="39">
        <v>43518</v>
      </c>
      <c r="F53" s="40">
        <v>192.3</v>
      </c>
      <c r="G53" s="41" t="s">
        <v>1</v>
      </c>
      <c r="H53">
        <v>271500</v>
      </c>
      <c r="I53" s="2">
        <v>265000</v>
      </c>
      <c r="K53" s="6">
        <f t="shared" si="0"/>
        <v>50.605778191985081</v>
      </c>
      <c r="L53" s="6">
        <f t="shared" si="1"/>
        <v>49.394221808014912</v>
      </c>
    </row>
    <row r="54" spans="1:12">
      <c r="F54" s="11">
        <f>SUM(F2:F53)</f>
        <v>18830.399999999987</v>
      </c>
    </row>
  </sheetData>
  <sortState xmlns:xlrd2="http://schemas.microsoft.com/office/spreadsheetml/2017/richdata2" ref="A1:G14">
    <sortCondition ref="G1:G14"/>
  </sortState>
  <hyperlinks>
    <hyperlink ref="B2" r:id="rId1" tooltip="AMERISOURCEBERGEN CORPORATION POLITICAL ACTION COMMITTEE (ABC PAC)" display="https://www.fec.gov/data/committee/C00400929/" xr:uid="{55890932-843B-422A-B754-DA50F55D9992}"/>
    <hyperlink ref="B3" r:id="rId2" tooltip="AMERISOURCEBERGEN CORPORATION POLITICAL ACTION COMMITTEE (ABC PAC)" display="https://www.fec.gov/data/committee/C00400929/" xr:uid="{8268B9CE-E144-49FA-BD30-F9533E01FCC1}"/>
    <hyperlink ref="B4" r:id="rId3" tooltip="AMERISOURCEBERGEN CORPORATION POLITICAL ACTION COMMITTEE (ABC PAC)" display="https://www.fec.gov/data/committee/C00400929/" xr:uid="{FEDFB683-0845-4862-9161-6BD1FFFB4995}"/>
    <hyperlink ref="B5" r:id="rId4" tooltip="AMERISOURCEBERGEN CORPORATION POLITICAL ACTION COMMITTEE (ABC PAC)" display="https://www.fec.gov/data/committee/C00400929/" xr:uid="{54AC9602-F561-40D4-91E5-6C4536EE9925}"/>
    <hyperlink ref="B6" r:id="rId5" tooltip="AMERISOURCEBERGEN CORPORATION POLITICAL ACTION COMMITTEE (ABC PAC)" display="https://www.fec.gov/data/committee/C00400929/" xr:uid="{D34078F0-F010-45D7-8A00-CC391DC1619B}"/>
    <hyperlink ref="B7" r:id="rId6" tooltip="AMERISOURCEBERGEN CORPORATION POLITICAL ACTION COMMITTEE (ABC PAC)" display="https://www.fec.gov/data/committee/C00400929/" xr:uid="{406EDB7C-BDB0-4DDB-ADEE-98D35EEF134F}"/>
    <hyperlink ref="B8" r:id="rId7" tooltip="AMERISOURCEBERGEN CORPORATION POLITICAL ACTION COMMITTEE (ABC PAC)" display="https://www.fec.gov/data/committee/C00400929/" xr:uid="{F0743AE2-EF89-4284-AC7A-C518588E1C94}"/>
    <hyperlink ref="B9" r:id="rId8" tooltip="AMERISOURCEBERGEN CORPORATION POLITICAL ACTION COMMITTEE (ABC PAC)" display="https://www.fec.gov/data/committee/C00400929/" xr:uid="{E6746493-AC52-4ECC-9430-D6EE61C3E836}"/>
    <hyperlink ref="B10" r:id="rId9" tooltip="AMERISOURCEBERGEN CORPORATION POLITICAL ACTION COMMITTEE (ABC PAC)" display="https://www.fec.gov/data/committee/C00400929/" xr:uid="{FC0439D8-1A12-479E-AC11-D4980A5E8A3C}"/>
    <hyperlink ref="B11" r:id="rId10" tooltip="AMERISOURCEBERGEN CORPORATION POLITICAL ACTION COMMITTEE (ABC PAC)" display="https://www.fec.gov/data/committee/C00400929/" xr:uid="{BD5416EF-0829-4544-BF97-5D41B7A5CF0F}"/>
    <hyperlink ref="B12" r:id="rId11" tooltip="VERN BUCHANAN FOR CONGRESS" display="https://www.fec.gov/data/committee/C00412759/" xr:uid="{C181CF40-4CF2-414E-A64C-B57CAB117C2B}"/>
    <hyperlink ref="B13" r:id="rId12" tooltip="AMERISOURCEBERGEN CORPORATION POLITICAL ACTION COMMITTEE (ABC PAC)" display="https://www.fec.gov/data/committee/C00400929/" xr:uid="{EBA54C32-1B06-45C0-8F81-672B3A8752FA}"/>
    <hyperlink ref="B14" r:id="rId13" tooltip="AMERISOURCEBERGEN CORPORATION POLITICAL ACTION COMMITTEE (ABC PAC)" display="https://www.fec.gov/data/committee/C00400929/" xr:uid="{CE6C99F7-ACDD-4B78-8BB8-136C9281CE9E}"/>
    <hyperlink ref="B15" r:id="rId14" tooltip="AMERISOURCEBERGEN CORPORATION POLITICAL ACTION COMMITTEE (ABC PAC)" display="https://www.fec.gov/data/committee/C00400929/" xr:uid="{25AAF428-5247-4644-9BF6-0DDDB74DA699}"/>
    <hyperlink ref="B16" r:id="rId15" tooltip="AMERISOURCEBERGEN CORPORATION POLITICAL ACTION COMMITTEE (ABC PAC)" display="https://www.fec.gov/data/committee/C00400929/" xr:uid="{DB0F7DD1-BBE3-41E0-902C-A1930DDD2645}"/>
    <hyperlink ref="B17" r:id="rId16" tooltip="AMERISOURCEBERGEN CORPORATION POLITICAL ACTION COMMITTEE (ABC PAC)" display="https://www.fec.gov/data/committee/C00400929/" xr:uid="{94A6D82D-4E72-4A30-82C6-48DB8CC5B11E}"/>
    <hyperlink ref="B18" r:id="rId17" tooltip="AMERISOURCEBERGEN CORPORATION POLITICAL ACTION COMMITTEE (ABC PAC)" display="https://www.fec.gov/data/committee/C00400929/" xr:uid="{1586040B-40A7-4F47-8F17-3EEB86DD4B80}"/>
    <hyperlink ref="B19" r:id="rId18" tooltip="AMERISOURCEBERGEN CORPORATION POLITICAL ACTION COMMITTEE (ABC PAC)" display="https://www.fec.gov/data/committee/C00400929/" xr:uid="{819D45FD-5C6E-4143-A8BC-29620534A29F}"/>
    <hyperlink ref="B20" r:id="rId19" tooltip="AMERISOURCEBERGEN CORPORATION POLITICAL ACTION COMMITTEE (ABC PAC)" display="https://www.fec.gov/data/committee/C00400929/" xr:uid="{CDE13C04-8F2A-4D2A-8D87-532B38E95C64}"/>
    <hyperlink ref="B21" r:id="rId20" tooltip="AMERISOURCEBERGEN CORPORATION POLITICAL ACTION COMMITTEE (ABC PAC)" display="https://www.fec.gov/data/committee/C00400929/" xr:uid="{27CF35AE-176A-44A7-BE5F-5D65174586DC}"/>
    <hyperlink ref="B22" r:id="rId21" tooltip="AMERISOURCEBERGEN CORPORATION POLITICAL ACTION COMMITTEE (ABC PAC)" display="https://www.fec.gov/data/committee/C00400929/" xr:uid="{175D0494-2D92-4A01-959B-490AEFA0E40A}"/>
    <hyperlink ref="B23" r:id="rId22" tooltip="AMERISOURCEBERGEN CORPORATION POLITICAL ACTION COMMITTEE (ABC PAC)" display="https://www.fec.gov/data/committee/C00400929/" xr:uid="{1261856A-7889-4749-BF2D-2796EF56AC5E}"/>
    <hyperlink ref="B24" r:id="rId23" tooltip="AMERISOURCEBERGEN CORPORATION POLITICAL ACTION COMMITTEE (ABC PAC)" display="https://www.fec.gov/data/committee/C00400929/" xr:uid="{085EC793-9F44-4C3A-B63D-82303570F572}"/>
    <hyperlink ref="B25" r:id="rId24" tooltip="AMERISOURCEBERGEN CORPORATION POLITICAL ACTION COMMITTEE (ABC PAC)" display="https://www.fec.gov/data/committee/C00400929/" xr:uid="{EE34F4A0-EC42-4591-9BBA-5207FAF7EF41}"/>
    <hyperlink ref="B26" r:id="rId25" tooltip="AMERISOURCEBERGEN CORPORATION POLITICAL ACTION COMMITTEE (ABC PAC)" display="https://www.fec.gov/data/committee/C00400929/" xr:uid="{5C9701AF-91DA-45D5-AB8D-7689195F6DC7}"/>
    <hyperlink ref="B27" r:id="rId26" tooltip="AMERISOURCEBERGEN CORPORATION POLITICAL ACTION COMMITTEE (ABC PAC)" display="https://www.fec.gov/data/committee/C00400929/" xr:uid="{99AB3CB4-27BE-4583-AD1A-B8A5E138C9E3}"/>
    <hyperlink ref="B28" r:id="rId27" tooltip="AMERISOURCEBERGEN CORPORATION POLITICAL ACTION COMMITTEE (ABC PAC)" display="https://www.fec.gov/data/committee/C00400929/" xr:uid="{41489E82-51EB-4484-A17B-575ADDF44A62}"/>
    <hyperlink ref="B29" r:id="rId28" tooltip="AMERISOURCEBERGEN CORPORATION POLITICAL ACTION COMMITTEE (ABC PAC)" display="https://www.fec.gov/data/committee/C00400929/" xr:uid="{9EEA1634-F437-4CB2-958B-A968C4B14F9A}"/>
    <hyperlink ref="B30" r:id="rId29" tooltip="RUBIO VICTORY COMMITTEE" display="https://www.fec.gov/data/committee/C00494617/" xr:uid="{B4D27B7E-8485-418C-99FC-6533970C436B}"/>
    <hyperlink ref="B31" r:id="rId30" tooltip="AMERISOURCEBERGEN CORPORATION POLITICAL ACTION COMMITTEE (ABC PAC)" display="https://www.fec.gov/data/committee/C00400929/" xr:uid="{D7FC1FA1-9ED8-4BAF-9746-ED007A93148D}"/>
    <hyperlink ref="B32" r:id="rId31" tooltip="AMERISOURCEBERGEN CORPORATION POLITICAL ACTION COMMITTEE (ABC PAC)" display="https://www.fec.gov/data/committee/C00400929/" xr:uid="{88CF6CFE-2537-4556-8D2F-4530DFBAB66A}"/>
    <hyperlink ref="B33" r:id="rId32" tooltip="AMERISOURCEBERGEN CORPORATION POLITICAL ACTION COMMITTEE (ABC PAC)" display="https://www.fec.gov/data/committee/C00400929/" xr:uid="{2B59DB80-625D-4BEB-8A45-25CA32824516}"/>
    <hyperlink ref="B34" r:id="rId33" tooltip="AMERISOURCEBERGEN CORPORATION POLITICAL ACTION COMMITTEE (ABC PAC)" display="https://www.fec.gov/data/committee/C00400929/" xr:uid="{2C3F7C99-960A-4D70-A829-C5FFBDEBD81F}"/>
    <hyperlink ref="B35" r:id="rId34" tooltip="AMERISOURCEBERGEN CORPORATION POLITICAL ACTION COMMITTEE (ABC PAC)" display="https://www.fec.gov/data/committee/C00400929/" xr:uid="{A05C0F8D-512E-4F5C-816E-FD987AA5221A}"/>
    <hyperlink ref="B36" r:id="rId35" tooltip="AMERISOURCEBERGEN CORPORATION POLITICAL ACTION COMMITTEE (ABC PAC)" display="https://www.fec.gov/data/committee/C00400929/" xr:uid="{C7BCD8BB-0A5C-4A4A-94FF-7215FADA5BC3}"/>
    <hyperlink ref="B37" r:id="rId36" tooltip="AMERISOURCEBERGEN CORPORATION POLITICAL ACTION COMMITTEE (ABC PAC)" display="https://www.fec.gov/data/committee/C00400929/" xr:uid="{358F8601-6444-4272-A27A-2D42F4BCAD7A}"/>
    <hyperlink ref="B38" r:id="rId37" tooltip="AMERISOURCEBERGEN CORPORATION POLITICAL ACTION COMMITTEE (ABC PAC)" display="https://www.fec.gov/data/committee/C00400929/" xr:uid="{1506F137-2E37-460B-ACB6-784B1EF73B09}"/>
    <hyperlink ref="B39" r:id="rId38" tooltip="AMERISOURCEBERGEN CORPORATION POLITICAL ACTION COMMITTEE (ABC PAC)" display="https://www.fec.gov/data/committee/C00400929/" xr:uid="{937E49FF-E1A0-477C-90EC-934696888F10}"/>
    <hyperlink ref="B40" r:id="rId39" tooltip="AMERISOURCEBERGEN CORPORATION POLITICAL ACTION COMMITTEE (ABC PAC)" display="https://www.fec.gov/data/committee/C00400929/" xr:uid="{ABB677D8-4F53-4369-A560-A60AABEEE9C8}"/>
    <hyperlink ref="B41" r:id="rId40" tooltip="AMERISOURCEBERGEN CORPORATION POLITICAL ACTION COMMITTEE (ABC PAC)" display="https://www.fec.gov/data/committee/C00400929/" xr:uid="{BB9D20C1-541F-4A3C-8A7D-04E2F1A6CD55}"/>
    <hyperlink ref="B42" r:id="rId41" tooltip="AMERISOURCEBERGEN CORPORATION POLITICAL ACTION COMMITTEE (ABC PAC)" display="https://www.fec.gov/data/committee/C00400929/" xr:uid="{61EFE54F-6C5E-4759-8798-6258B72DFF3B}"/>
    <hyperlink ref="B43" r:id="rId42" tooltip="AMERISOURCEBERGEN CORPORATION POLITICAL ACTION COMMITTEE (ABC PAC)" display="https://www.fec.gov/data/committee/C00400929/" xr:uid="{5928D4CF-F513-4741-8692-5AFB67CEBE5A}"/>
    <hyperlink ref="B44" r:id="rId43" tooltip="AMERISOURCEBERGEN CORPORATION POLITICAL ACTION COMMITTEE (ABC PAC)" display="https://www.fec.gov/data/committee/C00400929/" xr:uid="{84F45B58-9A12-4B58-ADE1-F10EB2562AFF}"/>
    <hyperlink ref="B45" r:id="rId44" tooltip="AMERISOURCEBERGEN CORPORATION POLITICAL ACTION COMMITTEE (ABC PAC)" display="https://www.fec.gov/data/committee/C00400929/" xr:uid="{D29BAFC4-EDE4-4904-A1A3-0FEE94D83FD7}"/>
    <hyperlink ref="B46" r:id="rId45" tooltip="BIDEN FOR PRESIDENT" display="https://www.fec.gov/data/committee/C00703975/" xr:uid="{F6CF4A86-0335-496D-8F3A-71916EF81CF8}"/>
    <hyperlink ref="B47" r:id="rId46" tooltip="AMERISOURCEBERGEN CORPORATION POLITICAL ACTION COMMITTEE (ABC PAC)" display="https://www.fec.gov/data/committee/C00400929/" xr:uid="{77820AED-C5C2-4F17-B8D8-6AFB3FD7A73D}"/>
    <hyperlink ref="B48" r:id="rId47" tooltip="HOYER FOR CONGRESS" display="https://www.fec.gov/data/committee/C00140715/" xr:uid="{1B532EF7-A9B4-47BB-B530-5AEC8080BCA6}"/>
    <hyperlink ref="B49" r:id="rId48" tooltip="AMERISOURCEBERGEN CORPORATION POLITICAL ACTION COMMITTEE (ABC PAC)" display="https://www.fec.gov/data/committee/C00400929/" xr:uid="{9999DE34-4404-4234-9DC8-C59590FE814F}"/>
    <hyperlink ref="B50" r:id="rId49" tooltip="AMERISOURCEBERGEN CORPORATION POLITICAL ACTION COMMITTEE (ABC PAC)" display="https://www.fec.gov/data/committee/C00400929/" xr:uid="{BAD28ED3-9AC6-4CC3-9333-E8DFF8B68E66}"/>
    <hyperlink ref="B51" r:id="rId50" tooltip="AMERISOURCEBERGEN CORPORATION POLITICAL ACTION COMMITTEE (ABC PAC)" display="https://www.fec.gov/data/committee/C00400929/" xr:uid="{588F44C6-7A0B-41D5-ACF4-F67FD5D1D1E5}"/>
    <hyperlink ref="B52" r:id="rId51" tooltip="AMERISOURCEBERGEN CORPORATION POLITICAL ACTION COMMITTEE (ABC PAC)" display="https://www.fec.gov/data/committee/C00400929/" xr:uid="{3E6E76A3-AC09-41A3-BB35-65984FE18104}"/>
    <hyperlink ref="B53" r:id="rId52" tooltip="AMERISOURCEBERGEN CORPORATION POLITICAL ACTION COMMITTEE (ABC PAC)" display="https://www.fec.gov/data/committee/C00400929/" xr:uid="{4272BE38-15A4-4BC1-A356-A7246F7EACDF}"/>
  </hyperlinks>
  <pageMargins left="0.7" right="0.7" top="0.75" bottom="0.75" header="0.3" footer="0.3"/>
  <pageSetup orientation="portrait" r:id="rId5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8"/>
  <sheetViews>
    <sheetView workbookViewId="0">
      <selection activeCell="A2" sqref="A2"/>
    </sheetView>
  </sheetViews>
  <sheetFormatPr defaultRowHeight="15"/>
  <cols>
    <col min="1" max="1" width="29.85546875" customWidth="1"/>
    <col min="2" max="2" width="59.140625" customWidth="1"/>
    <col min="4" max="4" width="25.5703125" customWidth="1"/>
    <col min="5" max="5" width="17.42578125" customWidth="1"/>
    <col min="6" max="6" width="12.7109375" customWidth="1"/>
    <col min="7" max="7" width="18.42578125" customWidth="1"/>
  </cols>
  <sheetData>
    <row r="1" spans="1:13">
      <c r="A1" t="s">
        <v>14</v>
      </c>
      <c r="B1" t="s">
        <v>15</v>
      </c>
      <c r="C1" t="s">
        <v>10</v>
      </c>
      <c r="D1" t="s">
        <v>16</v>
      </c>
      <c r="E1" t="s">
        <v>17</v>
      </c>
      <c r="F1" t="s">
        <v>18</v>
      </c>
      <c r="G1" s="10" t="s">
        <v>20</v>
      </c>
      <c r="H1" t="s">
        <v>4</v>
      </c>
      <c r="I1" s="2" t="s">
        <v>6</v>
      </c>
      <c r="J1" t="s">
        <v>5</v>
      </c>
      <c r="K1" s="10" t="s">
        <v>11</v>
      </c>
      <c r="L1" s="10" t="s">
        <v>12</v>
      </c>
      <c r="M1" s="10" t="s">
        <v>21</v>
      </c>
    </row>
    <row r="2" spans="1:13" ht="16.5" thickBot="1">
      <c r="A2" s="16" t="s">
        <v>141</v>
      </c>
      <c r="B2" s="38" t="s">
        <v>142</v>
      </c>
      <c r="C2" s="37" t="s">
        <v>143</v>
      </c>
      <c r="D2" s="37" t="s">
        <v>144</v>
      </c>
      <c r="E2" s="39">
        <v>44127</v>
      </c>
      <c r="F2" s="40">
        <v>250</v>
      </c>
      <c r="G2" s="35" t="s">
        <v>2</v>
      </c>
      <c r="H2">
        <v>0</v>
      </c>
      <c r="I2" s="2">
        <v>100</v>
      </c>
      <c r="K2" s="6">
        <f t="shared" ref="K2" si="0">(+H2/(H2+I2))*100</f>
        <v>0</v>
      </c>
      <c r="L2" s="6">
        <f t="shared" ref="L2" si="1">(+I2/(H2+I2))*100</f>
        <v>100</v>
      </c>
    </row>
    <row r="3" spans="1:13" ht="16.5" thickBot="1">
      <c r="A3" s="36" t="s">
        <v>141</v>
      </c>
      <c r="B3" s="38" t="s">
        <v>145</v>
      </c>
      <c r="C3" s="37" t="s">
        <v>143</v>
      </c>
      <c r="D3" s="37" t="s">
        <v>144</v>
      </c>
      <c r="E3" s="39">
        <v>44112</v>
      </c>
      <c r="F3" s="40">
        <v>500</v>
      </c>
      <c r="G3" s="35" t="s">
        <v>2</v>
      </c>
      <c r="H3">
        <v>0</v>
      </c>
      <c r="I3" s="2">
        <v>100</v>
      </c>
      <c r="K3" s="6">
        <f t="shared" ref="K3:K6" si="2">(+H3/(H3+I3))*100</f>
        <v>0</v>
      </c>
      <c r="L3" s="6">
        <f t="shared" ref="L3:L6" si="3">(+I3/(H3+I3))*100</f>
        <v>100</v>
      </c>
    </row>
    <row r="4" spans="1:13" ht="15.75">
      <c r="A4" t="s">
        <v>141</v>
      </c>
      <c r="B4" t="s">
        <v>145</v>
      </c>
      <c r="C4" t="s">
        <v>143</v>
      </c>
      <c r="D4" t="s">
        <v>144</v>
      </c>
      <c r="E4" s="1">
        <v>44059</v>
      </c>
      <c r="F4" s="11">
        <v>1000</v>
      </c>
      <c r="G4" s="35" t="s">
        <v>2</v>
      </c>
      <c r="H4">
        <v>0</v>
      </c>
      <c r="I4" s="2">
        <v>100</v>
      </c>
      <c r="K4" s="6">
        <f t="shared" si="2"/>
        <v>0</v>
      </c>
      <c r="L4" s="6">
        <f t="shared" si="3"/>
        <v>100</v>
      </c>
    </row>
    <row r="5" spans="1:13" ht="15.75">
      <c r="A5" t="s">
        <v>141</v>
      </c>
      <c r="B5" t="s">
        <v>145</v>
      </c>
      <c r="C5" t="s">
        <v>143</v>
      </c>
      <c r="D5" t="s">
        <v>144</v>
      </c>
      <c r="E5" s="1">
        <v>43981</v>
      </c>
      <c r="F5" s="11">
        <v>250</v>
      </c>
      <c r="G5" s="35" t="s">
        <v>2</v>
      </c>
      <c r="H5">
        <v>0</v>
      </c>
      <c r="I5" s="2">
        <v>100</v>
      </c>
      <c r="K5" s="6">
        <f t="shared" si="2"/>
        <v>0</v>
      </c>
      <c r="L5" s="6">
        <f t="shared" si="3"/>
        <v>100</v>
      </c>
    </row>
    <row r="6" spans="1:13" ht="15.75">
      <c r="A6" t="s">
        <v>141</v>
      </c>
      <c r="B6" t="s">
        <v>145</v>
      </c>
      <c r="C6" t="s">
        <v>143</v>
      </c>
      <c r="D6" t="s">
        <v>144</v>
      </c>
      <c r="E6" s="1">
        <v>43950</v>
      </c>
      <c r="F6" s="11">
        <v>1000</v>
      </c>
      <c r="G6" s="35" t="s">
        <v>2</v>
      </c>
      <c r="H6">
        <v>0</v>
      </c>
      <c r="I6" s="2">
        <v>100</v>
      </c>
      <c r="K6" s="6">
        <f t="shared" si="2"/>
        <v>0</v>
      </c>
      <c r="L6" s="6">
        <f t="shared" si="3"/>
        <v>100</v>
      </c>
    </row>
    <row r="7" spans="1:13" ht="15.75">
      <c r="E7" s="1"/>
      <c r="F7" s="11">
        <f>SUM(F2:F6)</f>
        <v>3000</v>
      </c>
      <c r="K7" s="6"/>
      <c r="L7" s="6"/>
    </row>
    <row r="8" spans="1:13">
      <c r="E8" s="1"/>
      <c r="F8" s="11"/>
    </row>
    <row r="9" spans="1:13">
      <c r="E9" s="1"/>
      <c r="F9" s="11"/>
    </row>
    <row r="10" spans="1:13" ht="15.75">
      <c r="A10" t="s">
        <v>146</v>
      </c>
      <c r="E10" s="1"/>
      <c r="F10" s="11"/>
      <c r="K10" s="6"/>
      <c r="L10" s="6"/>
    </row>
    <row r="11" spans="1:13" ht="15.75">
      <c r="E11" s="1"/>
      <c r="F11" s="11"/>
      <c r="K11" s="6"/>
      <c r="L11" s="6"/>
    </row>
    <row r="12" spans="1:13" ht="15.75">
      <c r="E12" s="1"/>
      <c r="F12" s="11"/>
      <c r="K12" s="6"/>
      <c r="L12" s="6"/>
    </row>
    <row r="13" spans="1:13" ht="15.75">
      <c r="D13" t="s">
        <v>64</v>
      </c>
      <c r="E13" s="1"/>
      <c r="F13" s="11"/>
      <c r="K13" s="6"/>
      <c r="L13" s="6"/>
    </row>
    <row r="14" spans="1:13" ht="15.75">
      <c r="E14" s="1"/>
      <c r="F14" s="11"/>
      <c r="K14" s="6"/>
      <c r="L14" s="6"/>
    </row>
    <row r="15" spans="1:13" ht="15.75">
      <c r="E15" s="1"/>
      <c r="F15" s="11"/>
      <c r="K15" s="6"/>
      <c r="L15" s="6"/>
    </row>
    <row r="16" spans="1:13" ht="15.75">
      <c r="E16" s="1"/>
      <c r="F16" s="11"/>
      <c r="K16" s="6"/>
      <c r="L16" s="6"/>
    </row>
    <row r="17" spans="1:12" ht="15.75">
      <c r="E17" s="1"/>
      <c r="F17" s="11"/>
      <c r="K17" s="6"/>
      <c r="L17" s="6"/>
    </row>
    <row r="18" spans="1:12" ht="15.75">
      <c r="E18" s="1"/>
      <c r="F18" s="11"/>
      <c r="K18" s="6"/>
      <c r="L18" s="6"/>
    </row>
    <row r="19" spans="1:12" ht="15.75">
      <c r="E19" s="1"/>
      <c r="F19" s="11"/>
      <c r="K19" s="6"/>
      <c r="L19" s="6"/>
    </row>
    <row r="20" spans="1:12">
      <c r="E20" s="1"/>
      <c r="F20" s="11"/>
    </row>
    <row r="22" spans="1:12">
      <c r="C22" t="s">
        <v>23</v>
      </c>
    </row>
    <row r="23" spans="1:12">
      <c r="A23" s="2"/>
      <c r="C23" s="15"/>
    </row>
    <row r="24" spans="1:12">
      <c r="A24" s="21" t="s">
        <v>24</v>
      </c>
    </row>
    <row r="25" spans="1:12">
      <c r="A25" s="74" t="s">
        <v>25</v>
      </c>
      <c r="B25" s="74" t="s">
        <v>26</v>
      </c>
      <c r="C25" s="23" t="s">
        <v>27</v>
      </c>
      <c r="D25" s="74" t="s">
        <v>28</v>
      </c>
      <c r="E25" s="22" t="s">
        <v>29</v>
      </c>
      <c r="F25" s="74" t="s">
        <v>31</v>
      </c>
    </row>
    <row r="26" spans="1:12">
      <c r="A26" s="74"/>
      <c r="B26" s="74"/>
      <c r="C26" s="23" t="s">
        <v>18</v>
      </c>
      <c r="D26" s="74"/>
      <c r="E26" s="22" t="s">
        <v>30</v>
      </c>
      <c r="F26" s="74"/>
    </row>
    <row r="27" spans="1:12" ht="129.6" customHeight="1">
      <c r="A27" s="24" t="s">
        <v>19</v>
      </c>
      <c r="B27" s="66" t="s">
        <v>33</v>
      </c>
      <c r="C27" s="67">
        <v>2500</v>
      </c>
      <c r="D27" s="68">
        <v>41949</v>
      </c>
      <c r="E27" s="66" t="s">
        <v>34</v>
      </c>
      <c r="F27" s="69" t="s">
        <v>35</v>
      </c>
    </row>
    <row r="28" spans="1:12">
      <c r="A28" s="25" t="s">
        <v>32</v>
      </c>
      <c r="B28" s="66"/>
      <c r="C28" s="67"/>
      <c r="D28" s="68"/>
      <c r="E28" s="66"/>
      <c r="F28" s="69"/>
    </row>
    <row r="29" spans="1:12">
      <c r="A29" s="25">
        <v>10112</v>
      </c>
      <c r="B29" s="66"/>
      <c r="C29" s="67"/>
      <c r="D29" s="68"/>
      <c r="E29" s="66"/>
      <c r="F29" s="69"/>
    </row>
    <row r="30" spans="1:12" ht="100.9" customHeight="1">
      <c r="A30" s="26" t="s">
        <v>19</v>
      </c>
      <c r="B30" s="70" t="s">
        <v>37</v>
      </c>
      <c r="C30" s="71">
        <v>208</v>
      </c>
      <c r="D30" s="72">
        <v>41530</v>
      </c>
      <c r="E30" s="70" t="s">
        <v>34</v>
      </c>
      <c r="F30" s="73" t="s">
        <v>38</v>
      </c>
    </row>
    <row r="31" spans="1:12">
      <c r="A31" s="27" t="s">
        <v>36</v>
      </c>
      <c r="B31" s="70"/>
      <c r="C31" s="71"/>
      <c r="D31" s="72"/>
      <c r="E31" s="70"/>
      <c r="F31" s="73"/>
    </row>
    <row r="32" spans="1:12">
      <c r="A32" s="27">
        <v>90045</v>
      </c>
      <c r="B32" s="70"/>
      <c r="C32" s="71"/>
      <c r="D32" s="72"/>
      <c r="E32" s="70"/>
      <c r="F32" s="73"/>
    </row>
    <row r="33" spans="1:6" ht="100.9" customHeight="1">
      <c r="A33" s="24" t="s">
        <v>19</v>
      </c>
      <c r="B33" s="66" t="s">
        <v>37</v>
      </c>
      <c r="C33" s="67">
        <v>208</v>
      </c>
      <c r="D33" s="68">
        <v>41516</v>
      </c>
      <c r="E33" s="66" t="s">
        <v>34</v>
      </c>
      <c r="F33" s="69" t="s">
        <v>38</v>
      </c>
    </row>
    <row r="34" spans="1:6">
      <c r="A34" s="25" t="s">
        <v>36</v>
      </c>
      <c r="B34" s="66"/>
      <c r="C34" s="67"/>
      <c r="D34" s="68"/>
      <c r="E34" s="66"/>
      <c r="F34" s="69"/>
    </row>
    <row r="35" spans="1:6">
      <c r="A35" s="25">
        <v>90045</v>
      </c>
      <c r="B35" s="66"/>
      <c r="C35" s="67"/>
      <c r="D35" s="68"/>
      <c r="E35" s="66"/>
      <c r="F35" s="69"/>
    </row>
    <row r="36" spans="1:6" ht="100.9" customHeight="1">
      <c r="A36" s="26" t="s">
        <v>19</v>
      </c>
      <c r="B36" s="70" t="s">
        <v>37</v>
      </c>
      <c r="C36" s="71">
        <v>208</v>
      </c>
      <c r="D36" s="72">
        <v>41501</v>
      </c>
      <c r="E36" s="70" t="s">
        <v>34</v>
      </c>
      <c r="F36" s="73" t="s">
        <v>38</v>
      </c>
    </row>
    <row r="37" spans="1:6">
      <c r="A37" s="27" t="s">
        <v>36</v>
      </c>
      <c r="B37" s="70"/>
      <c r="C37" s="71"/>
      <c r="D37" s="72"/>
      <c r="E37" s="70"/>
      <c r="F37" s="73"/>
    </row>
    <row r="38" spans="1:6">
      <c r="A38" s="27">
        <v>90045</v>
      </c>
      <c r="B38" s="70"/>
      <c r="C38" s="71"/>
      <c r="D38" s="72"/>
      <c r="E38" s="70"/>
      <c r="F38" s="73"/>
    </row>
    <row r="39" spans="1:6" ht="100.9" customHeight="1">
      <c r="A39" s="24" t="s">
        <v>19</v>
      </c>
      <c r="B39" s="66" t="s">
        <v>37</v>
      </c>
      <c r="C39" s="67">
        <v>208</v>
      </c>
      <c r="D39" s="68">
        <v>41486</v>
      </c>
      <c r="E39" s="66" t="s">
        <v>34</v>
      </c>
      <c r="F39" s="69" t="s">
        <v>38</v>
      </c>
    </row>
    <row r="40" spans="1:6">
      <c r="A40" s="25" t="s">
        <v>36</v>
      </c>
      <c r="B40" s="66"/>
      <c r="C40" s="67"/>
      <c r="D40" s="68"/>
      <c r="E40" s="66"/>
      <c r="F40" s="69"/>
    </row>
    <row r="41" spans="1:6">
      <c r="A41" s="25">
        <v>90045</v>
      </c>
      <c r="B41" s="66"/>
      <c r="C41" s="67"/>
      <c r="D41" s="68"/>
      <c r="E41" s="66"/>
      <c r="F41" s="69"/>
    </row>
    <row r="42" spans="1:6" ht="100.9" customHeight="1">
      <c r="A42" s="26" t="s">
        <v>19</v>
      </c>
      <c r="B42" s="70" t="s">
        <v>37</v>
      </c>
      <c r="C42" s="71">
        <v>208</v>
      </c>
      <c r="D42" s="72">
        <v>41470</v>
      </c>
      <c r="E42" s="70" t="s">
        <v>34</v>
      </c>
      <c r="F42" s="73" t="s">
        <v>38</v>
      </c>
    </row>
    <row r="43" spans="1:6">
      <c r="A43" s="27" t="s">
        <v>36</v>
      </c>
      <c r="B43" s="70"/>
      <c r="C43" s="71"/>
      <c r="D43" s="72"/>
      <c r="E43" s="70"/>
      <c r="F43" s="73"/>
    </row>
    <row r="44" spans="1:6">
      <c r="A44" s="27">
        <v>90045</v>
      </c>
      <c r="B44" s="70"/>
      <c r="C44" s="71"/>
      <c r="D44" s="72"/>
      <c r="E44" s="70"/>
      <c r="F44" s="73"/>
    </row>
    <row r="45" spans="1:6" ht="100.9" customHeight="1">
      <c r="A45" s="24" t="s">
        <v>19</v>
      </c>
      <c r="B45" s="66" t="s">
        <v>37</v>
      </c>
      <c r="C45" s="67">
        <v>208</v>
      </c>
      <c r="D45" s="68">
        <v>41453</v>
      </c>
      <c r="E45" s="66" t="s">
        <v>34</v>
      </c>
      <c r="F45" s="69" t="s">
        <v>38</v>
      </c>
    </row>
    <row r="46" spans="1:6">
      <c r="A46" s="25" t="s">
        <v>36</v>
      </c>
      <c r="B46" s="66"/>
      <c r="C46" s="67"/>
      <c r="D46" s="68"/>
      <c r="E46" s="66"/>
      <c r="F46" s="69"/>
    </row>
    <row r="47" spans="1:6">
      <c r="A47" s="25">
        <v>90045</v>
      </c>
      <c r="B47" s="66"/>
      <c r="C47" s="67"/>
      <c r="D47" s="68"/>
      <c r="E47" s="66"/>
      <c r="F47" s="69"/>
    </row>
    <row r="48" spans="1:6" ht="100.9" customHeight="1">
      <c r="A48" s="26" t="s">
        <v>19</v>
      </c>
      <c r="B48" s="70" t="s">
        <v>37</v>
      </c>
      <c r="C48" s="71">
        <v>208</v>
      </c>
      <c r="D48" s="72">
        <v>41439</v>
      </c>
      <c r="E48" s="70" t="s">
        <v>34</v>
      </c>
      <c r="F48" s="73" t="s">
        <v>38</v>
      </c>
    </row>
    <row r="49" spans="1:6">
      <c r="A49" s="27" t="s">
        <v>36</v>
      </c>
      <c r="B49" s="70"/>
      <c r="C49" s="71"/>
      <c r="D49" s="72"/>
      <c r="E49" s="70"/>
      <c r="F49" s="73"/>
    </row>
    <row r="50" spans="1:6">
      <c r="A50" s="27">
        <v>90045</v>
      </c>
      <c r="B50" s="70"/>
      <c r="C50" s="71"/>
      <c r="D50" s="72"/>
      <c r="E50" s="70"/>
      <c r="F50" s="73"/>
    </row>
    <row r="51" spans="1:6" ht="100.9" customHeight="1">
      <c r="A51" s="24" t="s">
        <v>19</v>
      </c>
      <c r="B51" s="66" t="s">
        <v>37</v>
      </c>
      <c r="C51" s="67">
        <v>208</v>
      </c>
      <c r="D51" s="68">
        <v>41425</v>
      </c>
      <c r="E51" s="66" t="s">
        <v>34</v>
      </c>
      <c r="F51" s="69" t="s">
        <v>38</v>
      </c>
    </row>
    <row r="52" spans="1:6">
      <c r="A52" s="25" t="s">
        <v>36</v>
      </c>
      <c r="B52" s="66"/>
      <c r="C52" s="67"/>
      <c r="D52" s="68"/>
      <c r="E52" s="66"/>
      <c r="F52" s="69"/>
    </row>
    <row r="53" spans="1:6">
      <c r="A53" s="25">
        <v>90045</v>
      </c>
      <c r="B53" s="66"/>
      <c r="C53" s="67"/>
      <c r="D53" s="68"/>
      <c r="E53" s="66"/>
      <c r="F53" s="69"/>
    </row>
    <row r="54" spans="1:6" ht="100.9" customHeight="1">
      <c r="A54" s="26" t="s">
        <v>19</v>
      </c>
      <c r="B54" s="70" t="s">
        <v>37</v>
      </c>
      <c r="C54" s="71">
        <v>208</v>
      </c>
      <c r="D54" s="72">
        <v>41409</v>
      </c>
      <c r="E54" s="70" t="s">
        <v>34</v>
      </c>
      <c r="F54" s="73" t="s">
        <v>38</v>
      </c>
    </row>
    <row r="55" spans="1:6">
      <c r="A55" s="27" t="s">
        <v>36</v>
      </c>
      <c r="B55" s="70"/>
      <c r="C55" s="71"/>
      <c r="D55" s="72"/>
      <c r="E55" s="70"/>
      <c r="F55" s="73"/>
    </row>
    <row r="56" spans="1:6">
      <c r="A56" s="27">
        <v>90045</v>
      </c>
      <c r="B56" s="70"/>
      <c r="C56" s="71"/>
      <c r="D56" s="72"/>
      <c r="E56" s="70"/>
      <c r="F56" s="73"/>
    </row>
    <row r="57" spans="1:6" ht="100.9" customHeight="1">
      <c r="A57" s="24" t="s">
        <v>19</v>
      </c>
      <c r="B57" s="66" t="s">
        <v>37</v>
      </c>
      <c r="C57" s="67">
        <v>208</v>
      </c>
      <c r="D57" s="68">
        <v>41394</v>
      </c>
      <c r="E57" s="66"/>
      <c r="F57" s="69" t="s">
        <v>38</v>
      </c>
    </row>
    <row r="58" spans="1:6">
      <c r="A58" s="25" t="s">
        <v>36</v>
      </c>
      <c r="B58" s="66"/>
      <c r="C58" s="67"/>
      <c r="D58" s="68"/>
      <c r="E58" s="66"/>
      <c r="F58" s="69"/>
    </row>
    <row r="59" spans="1:6">
      <c r="A59" s="25">
        <v>90045</v>
      </c>
      <c r="B59" s="66"/>
      <c r="C59" s="67"/>
      <c r="D59" s="68"/>
      <c r="E59" s="66"/>
      <c r="F59" s="69"/>
    </row>
    <row r="60" spans="1:6" ht="100.9" customHeight="1">
      <c r="A60" s="26" t="s">
        <v>19</v>
      </c>
      <c r="B60" s="70" t="s">
        <v>37</v>
      </c>
      <c r="C60" s="71">
        <v>208</v>
      </c>
      <c r="D60" s="72">
        <v>41379</v>
      </c>
      <c r="E60" s="70"/>
      <c r="F60" s="73" t="s">
        <v>38</v>
      </c>
    </row>
    <row r="61" spans="1:6">
      <c r="A61" s="27" t="s">
        <v>36</v>
      </c>
      <c r="B61" s="70"/>
      <c r="C61" s="71"/>
      <c r="D61" s="72"/>
      <c r="E61" s="70"/>
      <c r="F61" s="73"/>
    </row>
    <row r="62" spans="1:6">
      <c r="A62" s="27">
        <v>90045</v>
      </c>
      <c r="B62" s="70"/>
      <c r="C62" s="71"/>
      <c r="D62" s="72"/>
      <c r="E62" s="70"/>
      <c r="F62" s="73"/>
    </row>
    <row r="63" spans="1:6" ht="100.9" customHeight="1">
      <c r="A63" s="24" t="s">
        <v>19</v>
      </c>
      <c r="B63" s="66" t="s">
        <v>37</v>
      </c>
      <c r="C63" s="67">
        <v>208</v>
      </c>
      <c r="D63" s="68">
        <v>41362</v>
      </c>
      <c r="E63" s="66"/>
      <c r="F63" s="69" t="s">
        <v>38</v>
      </c>
    </row>
    <row r="64" spans="1:6">
      <c r="A64" s="25" t="s">
        <v>36</v>
      </c>
      <c r="B64" s="66"/>
      <c r="C64" s="67"/>
      <c r="D64" s="68"/>
      <c r="E64" s="66"/>
      <c r="F64" s="69"/>
    </row>
    <row r="65" spans="1:6">
      <c r="A65" s="25">
        <v>90045</v>
      </c>
      <c r="B65" s="66"/>
      <c r="C65" s="67"/>
      <c r="D65" s="68"/>
      <c r="E65" s="66"/>
      <c r="F65" s="69"/>
    </row>
    <row r="66" spans="1:6" ht="100.9" customHeight="1">
      <c r="A66" s="26" t="s">
        <v>19</v>
      </c>
      <c r="B66" s="70" t="s">
        <v>37</v>
      </c>
      <c r="C66" s="71">
        <v>208</v>
      </c>
      <c r="D66" s="72">
        <v>41348</v>
      </c>
      <c r="E66" s="70"/>
      <c r="F66" s="73" t="s">
        <v>38</v>
      </c>
    </row>
    <row r="67" spans="1:6">
      <c r="A67" s="27" t="s">
        <v>36</v>
      </c>
      <c r="B67" s="70"/>
      <c r="C67" s="71"/>
      <c r="D67" s="72"/>
      <c r="E67" s="70"/>
      <c r="F67" s="73"/>
    </row>
    <row r="68" spans="1:6">
      <c r="A68" s="27">
        <v>90045</v>
      </c>
      <c r="B68" s="70"/>
      <c r="C68" s="71"/>
      <c r="D68" s="72"/>
      <c r="E68" s="70"/>
      <c r="F68" s="73"/>
    </row>
    <row r="69" spans="1:6" ht="100.9" customHeight="1">
      <c r="A69" s="24" t="s">
        <v>19</v>
      </c>
      <c r="B69" s="66" t="s">
        <v>37</v>
      </c>
      <c r="C69" s="67">
        <v>208</v>
      </c>
      <c r="D69" s="68">
        <v>41333</v>
      </c>
      <c r="E69" s="66"/>
      <c r="F69" s="69" t="s">
        <v>38</v>
      </c>
    </row>
    <row r="70" spans="1:6">
      <c r="A70" s="25" t="s">
        <v>36</v>
      </c>
      <c r="B70" s="66"/>
      <c r="C70" s="67"/>
      <c r="D70" s="68"/>
      <c r="E70" s="66"/>
      <c r="F70" s="69"/>
    </row>
    <row r="71" spans="1:6">
      <c r="A71" s="25">
        <v>90045</v>
      </c>
      <c r="B71" s="66"/>
      <c r="C71" s="67"/>
      <c r="D71" s="68"/>
      <c r="E71" s="66"/>
      <c r="F71" s="69"/>
    </row>
    <row r="72" spans="1:6" ht="100.9" customHeight="1">
      <c r="A72" s="26" t="s">
        <v>19</v>
      </c>
      <c r="B72" s="70" t="s">
        <v>37</v>
      </c>
      <c r="C72" s="71">
        <v>208</v>
      </c>
      <c r="D72" s="72">
        <v>41320</v>
      </c>
      <c r="E72" s="70"/>
      <c r="F72" s="73" t="s">
        <v>38</v>
      </c>
    </row>
    <row r="73" spans="1:6">
      <c r="A73" s="27" t="s">
        <v>36</v>
      </c>
      <c r="B73" s="70"/>
      <c r="C73" s="71"/>
      <c r="D73" s="72"/>
      <c r="E73" s="70"/>
      <c r="F73" s="73"/>
    </row>
    <row r="74" spans="1:6">
      <c r="A74" s="27">
        <v>90045</v>
      </c>
      <c r="B74" s="70"/>
      <c r="C74" s="71"/>
      <c r="D74" s="72"/>
      <c r="E74" s="70"/>
      <c r="F74" s="73"/>
    </row>
    <row r="75" spans="1:6" ht="100.9" customHeight="1">
      <c r="A75" s="24" t="s">
        <v>19</v>
      </c>
      <c r="B75" s="66" t="s">
        <v>37</v>
      </c>
      <c r="C75" s="67">
        <v>208</v>
      </c>
      <c r="D75" s="68">
        <v>41305</v>
      </c>
      <c r="E75" s="66"/>
      <c r="F75" s="69" t="s">
        <v>38</v>
      </c>
    </row>
    <row r="76" spans="1:6">
      <c r="A76" s="25" t="s">
        <v>36</v>
      </c>
      <c r="B76" s="66"/>
      <c r="C76" s="67"/>
      <c r="D76" s="68"/>
      <c r="E76" s="66"/>
      <c r="F76" s="69"/>
    </row>
    <row r="77" spans="1:6">
      <c r="A77" s="25">
        <v>90045</v>
      </c>
      <c r="B77" s="66"/>
      <c r="C77" s="67"/>
      <c r="D77" s="68"/>
      <c r="E77" s="66"/>
      <c r="F77" s="69"/>
    </row>
    <row r="78" spans="1:6" ht="100.9" customHeight="1">
      <c r="A78" s="26" t="s">
        <v>19</v>
      </c>
      <c r="B78" s="70" t="s">
        <v>37</v>
      </c>
      <c r="C78" s="71">
        <v>208</v>
      </c>
      <c r="D78" s="72">
        <v>41289</v>
      </c>
      <c r="E78" s="70"/>
      <c r="F78" s="73" t="s">
        <v>38</v>
      </c>
    </row>
    <row r="79" spans="1:6">
      <c r="A79" s="27" t="s">
        <v>36</v>
      </c>
      <c r="B79" s="70"/>
      <c r="C79" s="71"/>
      <c r="D79" s="72"/>
      <c r="E79" s="70"/>
      <c r="F79" s="73"/>
    </row>
    <row r="80" spans="1:6">
      <c r="A80" s="27">
        <v>90045</v>
      </c>
      <c r="B80" s="70"/>
      <c r="C80" s="71"/>
      <c r="D80" s="72"/>
      <c r="E80" s="70"/>
      <c r="F80" s="73"/>
    </row>
    <row r="81" spans="1:6" ht="129.6" customHeight="1">
      <c r="A81" s="24" t="s">
        <v>19</v>
      </c>
      <c r="B81" s="66" t="s">
        <v>40</v>
      </c>
      <c r="C81" s="67">
        <v>2000</v>
      </c>
      <c r="D81" s="68">
        <v>42300</v>
      </c>
      <c r="E81" s="66" t="s">
        <v>34</v>
      </c>
      <c r="F81" s="69" t="s">
        <v>35</v>
      </c>
    </row>
    <row r="82" spans="1:6">
      <c r="A82" s="25" t="s">
        <v>39</v>
      </c>
      <c r="B82" s="66"/>
      <c r="C82" s="67"/>
      <c r="D82" s="68"/>
      <c r="E82" s="66"/>
      <c r="F82" s="69"/>
    </row>
    <row r="83" spans="1:6">
      <c r="A83" s="25">
        <v>33010</v>
      </c>
      <c r="B83" s="66"/>
      <c r="C83" s="67"/>
      <c r="D83" s="68"/>
      <c r="E83" s="66"/>
      <c r="F83" s="69"/>
    </row>
    <row r="84" spans="1:6" ht="100.9" customHeight="1">
      <c r="A84" s="24" t="s">
        <v>41</v>
      </c>
      <c r="B84" s="66" t="s">
        <v>42</v>
      </c>
      <c r="C84" s="67">
        <v>208</v>
      </c>
      <c r="D84" s="68">
        <v>40543</v>
      </c>
      <c r="E84" s="66" t="s">
        <v>34</v>
      </c>
      <c r="F84" s="69" t="s">
        <v>38</v>
      </c>
    </row>
    <row r="85" spans="1:6">
      <c r="A85" s="25" t="s">
        <v>36</v>
      </c>
      <c r="B85" s="66"/>
      <c r="C85" s="67"/>
      <c r="D85" s="68"/>
      <c r="E85" s="66"/>
      <c r="F85" s="69"/>
    </row>
    <row r="86" spans="1:6">
      <c r="A86" s="25">
        <v>90045</v>
      </c>
      <c r="B86" s="66"/>
      <c r="C86" s="67"/>
      <c r="D86" s="68"/>
      <c r="E86" s="66"/>
      <c r="F86" s="69"/>
    </row>
    <row r="87" spans="1:6" ht="100.9" customHeight="1">
      <c r="A87" s="26" t="s">
        <v>41</v>
      </c>
      <c r="B87" s="70" t="s">
        <v>42</v>
      </c>
      <c r="C87" s="71">
        <v>208</v>
      </c>
      <c r="D87" s="72">
        <v>40527</v>
      </c>
      <c r="E87" s="70" t="s">
        <v>34</v>
      </c>
      <c r="F87" s="73" t="s">
        <v>38</v>
      </c>
    </row>
    <row r="88" spans="1:6">
      <c r="A88" s="27" t="s">
        <v>36</v>
      </c>
      <c r="B88" s="70"/>
      <c r="C88" s="71"/>
      <c r="D88" s="72"/>
      <c r="E88" s="70"/>
      <c r="F88" s="73"/>
    </row>
    <row r="89" spans="1:6">
      <c r="A89" s="27">
        <v>90045</v>
      </c>
      <c r="B89" s="70"/>
      <c r="C89" s="71"/>
      <c r="D89" s="72"/>
      <c r="E89" s="70"/>
      <c r="F89" s="73"/>
    </row>
    <row r="90" spans="1:6" ht="100.9" customHeight="1">
      <c r="A90" s="24" t="s">
        <v>41</v>
      </c>
      <c r="B90" s="66" t="s">
        <v>42</v>
      </c>
      <c r="C90" s="67">
        <v>208</v>
      </c>
      <c r="D90" s="68">
        <v>40512</v>
      </c>
      <c r="E90" s="66" t="s">
        <v>34</v>
      </c>
      <c r="F90" s="69" t="s">
        <v>38</v>
      </c>
    </row>
    <row r="91" spans="1:6">
      <c r="A91" s="25" t="s">
        <v>36</v>
      </c>
      <c r="B91" s="66"/>
      <c r="C91" s="67"/>
      <c r="D91" s="68"/>
      <c r="E91" s="66"/>
      <c r="F91" s="69"/>
    </row>
    <row r="92" spans="1:6">
      <c r="A92" s="25">
        <v>90045</v>
      </c>
      <c r="B92" s="66"/>
      <c r="C92" s="67"/>
      <c r="D92" s="68"/>
      <c r="E92" s="66"/>
      <c r="F92" s="69"/>
    </row>
    <row r="93" spans="1:6" ht="100.9" customHeight="1">
      <c r="A93" s="26" t="s">
        <v>41</v>
      </c>
      <c r="B93" s="70" t="s">
        <v>43</v>
      </c>
      <c r="C93" s="71">
        <v>208</v>
      </c>
      <c r="D93" s="72">
        <v>40497</v>
      </c>
      <c r="E93" s="70" t="s">
        <v>34</v>
      </c>
      <c r="F93" s="73" t="s">
        <v>38</v>
      </c>
    </row>
    <row r="94" spans="1:6">
      <c r="A94" s="27" t="s">
        <v>36</v>
      </c>
      <c r="B94" s="70"/>
      <c r="C94" s="71"/>
      <c r="D94" s="72"/>
      <c r="E94" s="70"/>
      <c r="F94" s="73"/>
    </row>
    <row r="95" spans="1:6">
      <c r="A95" s="27">
        <v>90045</v>
      </c>
      <c r="B95" s="70"/>
      <c r="C95" s="71"/>
      <c r="D95" s="72"/>
      <c r="E95" s="70"/>
      <c r="F95" s="73"/>
    </row>
    <row r="96" spans="1:6" ht="100.9" customHeight="1">
      <c r="A96" s="24" t="s">
        <v>41</v>
      </c>
      <c r="B96" s="66" t="s">
        <v>43</v>
      </c>
      <c r="C96" s="67">
        <v>208</v>
      </c>
      <c r="D96" s="68">
        <v>40480</v>
      </c>
      <c r="E96" s="66" t="s">
        <v>34</v>
      </c>
      <c r="F96" s="69" t="s">
        <v>38</v>
      </c>
    </row>
    <row r="97" spans="1:6">
      <c r="A97" s="25" t="s">
        <v>36</v>
      </c>
      <c r="B97" s="66"/>
      <c r="C97" s="67"/>
      <c r="D97" s="68"/>
      <c r="E97" s="66"/>
      <c r="F97" s="69"/>
    </row>
    <row r="98" spans="1:6">
      <c r="A98" s="25">
        <v>90045</v>
      </c>
      <c r="B98" s="66"/>
      <c r="C98" s="67"/>
      <c r="D98" s="68"/>
      <c r="E98" s="66"/>
      <c r="F98" s="69"/>
    </row>
    <row r="99" spans="1:6" ht="100.9" customHeight="1">
      <c r="A99" s="26" t="s">
        <v>41</v>
      </c>
      <c r="B99" s="70" t="s">
        <v>43</v>
      </c>
      <c r="C99" s="71">
        <v>208</v>
      </c>
      <c r="D99" s="72">
        <v>40466</v>
      </c>
      <c r="E99" s="70" t="s">
        <v>34</v>
      </c>
      <c r="F99" s="73" t="s">
        <v>38</v>
      </c>
    </row>
    <row r="100" spans="1:6">
      <c r="A100" s="27" t="s">
        <v>36</v>
      </c>
      <c r="B100" s="70"/>
      <c r="C100" s="71"/>
      <c r="D100" s="72"/>
      <c r="E100" s="70"/>
      <c r="F100" s="73"/>
    </row>
    <row r="101" spans="1:6">
      <c r="A101" s="27">
        <v>90045</v>
      </c>
      <c r="B101" s="70"/>
      <c r="C101" s="71"/>
      <c r="D101" s="72"/>
      <c r="E101" s="70"/>
      <c r="F101" s="73"/>
    </row>
    <row r="102" spans="1:6" ht="100.9" customHeight="1">
      <c r="A102" s="24" t="s">
        <v>41</v>
      </c>
      <c r="B102" s="66" t="s">
        <v>43</v>
      </c>
      <c r="C102" s="67">
        <v>208</v>
      </c>
      <c r="D102" s="68">
        <v>40451</v>
      </c>
      <c r="E102" s="66" t="s">
        <v>34</v>
      </c>
      <c r="F102" s="69" t="s">
        <v>38</v>
      </c>
    </row>
    <row r="103" spans="1:6">
      <c r="A103" s="25" t="s">
        <v>36</v>
      </c>
      <c r="B103" s="66"/>
      <c r="C103" s="67"/>
      <c r="D103" s="68"/>
      <c r="E103" s="66"/>
      <c r="F103" s="69"/>
    </row>
    <row r="104" spans="1:6">
      <c r="A104" s="25">
        <v>90045</v>
      </c>
      <c r="B104" s="66"/>
      <c r="C104" s="67"/>
      <c r="D104" s="68"/>
      <c r="E104" s="66"/>
      <c r="F104" s="69"/>
    </row>
    <row r="105" spans="1:6" ht="100.9" customHeight="1">
      <c r="A105" s="26" t="s">
        <v>41</v>
      </c>
      <c r="B105" s="70" t="s">
        <v>43</v>
      </c>
      <c r="C105" s="71">
        <v>208</v>
      </c>
      <c r="D105" s="72">
        <v>40436</v>
      </c>
      <c r="E105" s="70" t="s">
        <v>34</v>
      </c>
      <c r="F105" s="73" t="s">
        <v>38</v>
      </c>
    </row>
    <row r="106" spans="1:6">
      <c r="A106" s="27" t="s">
        <v>36</v>
      </c>
      <c r="B106" s="70"/>
      <c r="C106" s="71"/>
      <c r="D106" s="72"/>
      <c r="E106" s="70"/>
      <c r="F106" s="73"/>
    </row>
    <row r="107" spans="1:6">
      <c r="A107" s="27">
        <v>90045</v>
      </c>
      <c r="B107" s="70"/>
      <c r="C107" s="71"/>
      <c r="D107" s="72"/>
      <c r="E107" s="70"/>
      <c r="F107" s="73"/>
    </row>
    <row r="108" spans="1:6" ht="100.9" customHeight="1">
      <c r="A108" s="24" t="s">
        <v>41</v>
      </c>
      <c r="B108" s="66" t="s">
        <v>43</v>
      </c>
      <c r="C108" s="67">
        <v>208</v>
      </c>
      <c r="D108" s="68">
        <v>40421</v>
      </c>
      <c r="E108" s="66" t="s">
        <v>34</v>
      </c>
      <c r="F108" s="69" t="s">
        <v>38</v>
      </c>
    </row>
    <row r="109" spans="1:6">
      <c r="A109" s="25" t="s">
        <v>36</v>
      </c>
      <c r="B109" s="66"/>
      <c r="C109" s="67"/>
      <c r="D109" s="68"/>
      <c r="E109" s="66"/>
      <c r="F109" s="69"/>
    </row>
    <row r="110" spans="1:6">
      <c r="A110" s="25">
        <v>90045</v>
      </c>
      <c r="B110" s="66"/>
      <c r="C110" s="67"/>
      <c r="D110" s="68"/>
      <c r="E110" s="66"/>
      <c r="F110" s="69"/>
    </row>
    <row r="111" spans="1:6" ht="100.9" customHeight="1">
      <c r="A111" s="26" t="s">
        <v>41</v>
      </c>
      <c r="B111" s="70" t="s">
        <v>43</v>
      </c>
      <c r="C111" s="71">
        <v>208</v>
      </c>
      <c r="D111" s="72">
        <v>40405</v>
      </c>
      <c r="E111" s="70" t="s">
        <v>34</v>
      </c>
      <c r="F111" s="73" t="s">
        <v>38</v>
      </c>
    </row>
    <row r="112" spans="1:6">
      <c r="A112" s="27" t="s">
        <v>36</v>
      </c>
      <c r="B112" s="70"/>
      <c r="C112" s="71"/>
      <c r="D112" s="72"/>
      <c r="E112" s="70"/>
      <c r="F112" s="73"/>
    </row>
    <row r="113" spans="1:6">
      <c r="A113" s="27">
        <v>90045</v>
      </c>
      <c r="B113" s="70"/>
      <c r="C113" s="71"/>
      <c r="D113" s="72"/>
      <c r="E113" s="70"/>
      <c r="F113" s="73"/>
    </row>
    <row r="114" spans="1:6" ht="100.9" customHeight="1">
      <c r="A114" s="24" t="s">
        <v>41</v>
      </c>
      <c r="B114" s="66" t="s">
        <v>43</v>
      </c>
      <c r="C114" s="67">
        <v>208</v>
      </c>
      <c r="D114" s="68">
        <v>40390</v>
      </c>
      <c r="E114" s="66" t="s">
        <v>34</v>
      </c>
      <c r="F114" s="69" t="s">
        <v>38</v>
      </c>
    </row>
    <row r="115" spans="1:6">
      <c r="A115" s="25" t="s">
        <v>36</v>
      </c>
      <c r="B115" s="66"/>
      <c r="C115" s="67"/>
      <c r="D115" s="68"/>
      <c r="E115" s="66"/>
      <c r="F115" s="69"/>
    </row>
    <row r="116" spans="1:6">
      <c r="A116" s="25">
        <v>90045</v>
      </c>
      <c r="B116" s="66"/>
      <c r="C116" s="67"/>
      <c r="D116" s="68"/>
      <c r="E116" s="66"/>
      <c r="F116" s="69"/>
    </row>
    <row r="117" spans="1:6" ht="100.9" customHeight="1">
      <c r="A117" s="26" t="s">
        <v>41</v>
      </c>
      <c r="B117" s="70" t="s">
        <v>43</v>
      </c>
      <c r="C117" s="71">
        <v>208</v>
      </c>
      <c r="D117" s="72">
        <v>40374</v>
      </c>
      <c r="E117" s="70" t="s">
        <v>34</v>
      </c>
      <c r="F117" s="73" t="s">
        <v>38</v>
      </c>
    </row>
    <row r="118" spans="1:6">
      <c r="A118" s="27" t="s">
        <v>36</v>
      </c>
      <c r="B118" s="70"/>
      <c r="C118" s="71"/>
      <c r="D118" s="72"/>
      <c r="E118" s="70"/>
      <c r="F118" s="73"/>
    </row>
    <row r="119" spans="1:6">
      <c r="A119" s="27">
        <v>90045</v>
      </c>
      <c r="B119" s="70"/>
      <c r="C119" s="71"/>
      <c r="D119" s="72"/>
      <c r="E119" s="70"/>
      <c r="F119" s="73"/>
    </row>
    <row r="120" spans="1:6" ht="100.9" customHeight="1">
      <c r="A120" s="24" t="s">
        <v>41</v>
      </c>
      <c r="B120" s="66" t="s">
        <v>43</v>
      </c>
      <c r="C120" s="67">
        <v>208</v>
      </c>
      <c r="D120" s="68">
        <v>40359</v>
      </c>
      <c r="E120" s="66" t="s">
        <v>34</v>
      </c>
      <c r="F120" s="69" t="s">
        <v>38</v>
      </c>
    </row>
    <row r="121" spans="1:6">
      <c r="A121" s="25" t="s">
        <v>36</v>
      </c>
      <c r="B121" s="66"/>
      <c r="C121" s="67"/>
      <c r="D121" s="68"/>
      <c r="E121" s="66"/>
      <c r="F121" s="69"/>
    </row>
    <row r="122" spans="1:6">
      <c r="A122" s="25">
        <v>90045</v>
      </c>
      <c r="B122" s="66"/>
      <c r="C122" s="67"/>
      <c r="D122" s="68"/>
      <c r="E122" s="66"/>
      <c r="F122" s="69"/>
    </row>
    <row r="123" spans="1:6" ht="100.9" customHeight="1">
      <c r="A123" s="26" t="s">
        <v>41</v>
      </c>
      <c r="B123" s="70" t="s">
        <v>43</v>
      </c>
      <c r="C123" s="71">
        <v>208</v>
      </c>
      <c r="D123" s="72">
        <v>40344</v>
      </c>
      <c r="E123" s="70" t="s">
        <v>34</v>
      </c>
      <c r="F123" s="73" t="s">
        <v>38</v>
      </c>
    </row>
    <row r="124" spans="1:6">
      <c r="A124" s="27" t="s">
        <v>36</v>
      </c>
      <c r="B124" s="70"/>
      <c r="C124" s="71"/>
      <c r="D124" s="72"/>
      <c r="E124" s="70"/>
      <c r="F124" s="73"/>
    </row>
    <row r="125" spans="1:6">
      <c r="A125" s="27">
        <v>90045</v>
      </c>
      <c r="B125" s="70"/>
      <c r="C125" s="71"/>
      <c r="D125" s="72"/>
      <c r="E125" s="70"/>
      <c r="F125" s="73"/>
    </row>
    <row r="126" spans="1:6" ht="100.9" customHeight="1">
      <c r="A126" s="24" t="s">
        <v>41</v>
      </c>
      <c r="B126" s="66" t="s">
        <v>43</v>
      </c>
      <c r="C126" s="67">
        <v>208</v>
      </c>
      <c r="D126" s="68">
        <v>40329</v>
      </c>
      <c r="E126" s="66" t="s">
        <v>34</v>
      </c>
      <c r="F126" s="69" t="s">
        <v>38</v>
      </c>
    </row>
    <row r="127" spans="1:6">
      <c r="A127" s="25" t="s">
        <v>36</v>
      </c>
      <c r="B127" s="66"/>
      <c r="C127" s="67"/>
      <c r="D127" s="68"/>
      <c r="E127" s="66"/>
      <c r="F127" s="69"/>
    </row>
    <row r="128" spans="1:6">
      <c r="A128" s="25">
        <v>90045</v>
      </c>
      <c r="B128" s="66"/>
      <c r="C128" s="67"/>
      <c r="D128" s="68"/>
      <c r="E128" s="66"/>
      <c r="F128" s="69"/>
    </row>
  </sheetData>
  <mergeCells count="174">
    <mergeCell ref="A25:A26"/>
    <mergeCell ref="B25:B26"/>
    <mergeCell ref="D25:D26"/>
    <mergeCell ref="F25:F26"/>
    <mergeCell ref="B27:B29"/>
    <mergeCell ref="C27:C29"/>
    <mergeCell ref="D27:D29"/>
    <mergeCell ref="E27:E29"/>
    <mergeCell ref="F27:F29"/>
    <mergeCell ref="B30:B32"/>
    <mergeCell ref="C30:C32"/>
    <mergeCell ref="D30:D32"/>
    <mergeCell ref="E30:E32"/>
    <mergeCell ref="F30:F32"/>
    <mergeCell ref="B33:B35"/>
    <mergeCell ref="C33:C35"/>
    <mergeCell ref="D33:D35"/>
    <mergeCell ref="E33:E35"/>
    <mergeCell ref="F33:F35"/>
    <mergeCell ref="B36:B38"/>
    <mergeCell ref="C36:C38"/>
    <mergeCell ref="D36:D38"/>
    <mergeCell ref="E36:E38"/>
    <mergeCell ref="F36:F38"/>
    <mergeCell ref="B39:B41"/>
    <mergeCell ref="C39:C41"/>
    <mergeCell ref="D39:D41"/>
    <mergeCell ref="E39:E41"/>
    <mergeCell ref="F39:F41"/>
    <mergeCell ref="B42:B44"/>
    <mergeCell ref="C42:C44"/>
    <mergeCell ref="D42:D44"/>
    <mergeCell ref="E42:E44"/>
    <mergeCell ref="F42:F44"/>
    <mergeCell ref="B45:B47"/>
    <mergeCell ref="C45:C47"/>
    <mergeCell ref="D45:D47"/>
    <mergeCell ref="E45:E47"/>
    <mergeCell ref="F45:F47"/>
    <mergeCell ref="B48:B50"/>
    <mergeCell ref="C48:C50"/>
    <mergeCell ref="D48:D50"/>
    <mergeCell ref="E48:E50"/>
    <mergeCell ref="F48:F50"/>
    <mergeCell ref="B51:B53"/>
    <mergeCell ref="C51:C53"/>
    <mergeCell ref="D51:D53"/>
    <mergeCell ref="E51:E53"/>
    <mergeCell ref="F51:F53"/>
    <mergeCell ref="B54:B56"/>
    <mergeCell ref="C54:C56"/>
    <mergeCell ref="D54:D56"/>
    <mergeCell ref="E54:E56"/>
    <mergeCell ref="F54:F56"/>
    <mergeCell ref="B57:B59"/>
    <mergeCell ref="C57:C59"/>
    <mergeCell ref="D57:D59"/>
    <mergeCell ref="E57:E59"/>
    <mergeCell ref="F57:F59"/>
    <mergeCell ref="B60:B62"/>
    <mergeCell ref="C60:C62"/>
    <mergeCell ref="D60:D62"/>
    <mergeCell ref="E60:E62"/>
    <mergeCell ref="F60:F62"/>
    <mergeCell ref="B63:B65"/>
    <mergeCell ref="C63:C65"/>
    <mergeCell ref="D63:D65"/>
    <mergeCell ref="E63:E65"/>
    <mergeCell ref="F63:F65"/>
    <mergeCell ref="B66:B68"/>
    <mergeCell ref="C66:C68"/>
    <mergeCell ref="D66:D68"/>
    <mergeCell ref="E66:E68"/>
    <mergeCell ref="F66:F68"/>
    <mergeCell ref="B69:B71"/>
    <mergeCell ref="C69:C71"/>
    <mergeCell ref="D69:D71"/>
    <mergeCell ref="E69:E71"/>
    <mergeCell ref="F69:F71"/>
    <mergeCell ref="B72:B74"/>
    <mergeCell ref="C72:C74"/>
    <mergeCell ref="D72:D74"/>
    <mergeCell ref="E72:E74"/>
    <mergeCell ref="F72:F74"/>
    <mergeCell ref="B75:B77"/>
    <mergeCell ref="C75:C77"/>
    <mergeCell ref="D75:D77"/>
    <mergeCell ref="E75:E77"/>
    <mergeCell ref="F75:F77"/>
    <mergeCell ref="B78:B80"/>
    <mergeCell ref="C78:C80"/>
    <mergeCell ref="D78:D80"/>
    <mergeCell ref="E78:E80"/>
    <mergeCell ref="F78:F80"/>
    <mergeCell ref="B81:B83"/>
    <mergeCell ref="C81:C83"/>
    <mergeCell ref="D81:D83"/>
    <mergeCell ref="E81:E83"/>
    <mergeCell ref="F81:F83"/>
    <mergeCell ref="B84:B86"/>
    <mergeCell ref="C84:C86"/>
    <mergeCell ref="D84:D86"/>
    <mergeCell ref="E84:E86"/>
    <mergeCell ref="F84:F86"/>
    <mergeCell ref="B87:B89"/>
    <mergeCell ref="C87:C89"/>
    <mergeCell ref="D87:D89"/>
    <mergeCell ref="E87:E89"/>
    <mergeCell ref="F87:F89"/>
    <mergeCell ref="B90:B92"/>
    <mergeCell ref="C90:C92"/>
    <mergeCell ref="D90:D92"/>
    <mergeCell ref="E90:E92"/>
    <mergeCell ref="F90:F92"/>
    <mergeCell ref="B93:B95"/>
    <mergeCell ref="C93:C95"/>
    <mergeCell ref="D93:D95"/>
    <mergeCell ref="E93:E95"/>
    <mergeCell ref="F93:F95"/>
    <mergeCell ref="B96:B98"/>
    <mergeCell ref="C96:C98"/>
    <mergeCell ref="D96:D98"/>
    <mergeCell ref="E96:E98"/>
    <mergeCell ref="F96:F98"/>
    <mergeCell ref="B99:B101"/>
    <mergeCell ref="C99:C101"/>
    <mergeCell ref="D99:D101"/>
    <mergeCell ref="E99:E101"/>
    <mergeCell ref="F99:F101"/>
    <mergeCell ref="B102:B104"/>
    <mergeCell ref="C102:C104"/>
    <mergeCell ref="D102:D104"/>
    <mergeCell ref="E102:E104"/>
    <mergeCell ref="F102:F104"/>
    <mergeCell ref="B105:B107"/>
    <mergeCell ref="C105:C107"/>
    <mergeCell ref="D105:D107"/>
    <mergeCell ref="E105:E107"/>
    <mergeCell ref="F105:F107"/>
    <mergeCell ref="B108:B110"/>
    <mergeCell ref="C108:C110"/>
    <mergeCell ref="D108:D110"/>
    <mergeCell ref="E108:E110"/>
    <mergeCell ref="F108:F110"/>
    <mergeCell ref="B111:B113"/>
    <mergeCell ref="C111:C113"/>
    <mergeCell ref="D111:D113"/>
    <mergeCell ref="E111:E113"/>
    <mergeCell ref="F111:F113"/>
    <mergeCell ref="B114:B116"/>
    <mergeCell ref="C114:C116"/>
    <mergeCell ref="D114:D116"/>
    <mergeCell ref="E114:E116"/>
    <mergeCell ref="F114:F116"/>
    <mergeCell ref="B117:B119"/>
    <mergeCell ref="C117:C119"/>
    <mergeCell ref="D117:D119"/>
    <mergeCell ref="E117:E119"/>
    <mergeCell ref="F117:F119"/>
    <mergeCell ref="B126:B128"/>
    <mergeCell ref="C126:C128"/>
    <mergeCell ref="D126:D128"/>
    <mergeCell ref="E126:E128"/>
    <mergeCell ref="F126:F128"/>
    <mergeCell ref="B120:B122"/>
    <mergeCell ref="C120:C122"/>
    <mergeCell ref="D120:D122"/>
    <mergeCell ref="E120:E122"/>
    <mergeCell ref="F120:F122"/>
    <mergeCell ref="B123:B125"/>
    <mergeCell ref="C123:C125"/>
    <mergeCell ref="D123:D125"/>
    <mergeCell ref="E123:E125"/>
    <mergeCell ref="F123:F125"/>
  </mergeCells>
  <hyperlinks>
    <hyperlink ref="A27" r:id="rId1" display="javascript:CenterPopup('http://docquery.fec.gov/cgi-bin/fecimg/?14952808283','700','800')" xr:uid="{00000000-0004-0000-0300-000000000000}"/>
    <hyperlink ref="F27" r:id="rId2" display="https://www.campaignmoney.com/political/committees/comcast-corporation-nbcuniversal-political-action-committee-federal.asp?cycle=14" xr:uid="{00000000-0004-0000-0300-000001000000}"/>
    <hyperlink ref="A30" r:id="rId3" display="javascript:CenterPopup('http://docquery.fec.gov/cgi-bin/fecimg/?13942117439','700','800')" xr:uid="{00000000-0004-0000-0300-000002000000}"/>
    <hyperlink ref="F30" r:id="rId4" display="https://www.campaignmoney.com/political/committees/univision-communications-inc-political-action-committee.asp?cycle=14" xr:uid="{00000000-0004-0000-0300-000003000000}"/>
    <hyperlink ref="A33" r:id="rId5" display="javascript:CenterPopup('http://docquery.fec.gov/cgi-bin/fecimg/?13941595877','700','800')" xr:uid="{00000000-0004-0000-0300-000004000000}"/>
    <hyperlink ref="F33" r:id="rId6" display="https://www.campaignmoney.com/political/committees/univision-communications-inc-political-action-committee.asp?cycle=14" xr:uid="{00000000-0004-0000-0300-000005000000}"/>
    <hyperlink ref="A36" r:id="rId7" display="javascript:CenterPopup('http://docquery.fec.gov/cgi-bin/fecimg/?13941595877','700','800')" xr:uid="{00000000-0004-0000-0300-000006000000}"/>
    <hyperlink ref="F36" r:id="rId8" display="https://www.campaignmoney.com/political/committees/univision-communications-inc-political-action-committee.asp?cycle=14" xr:uid="{00000000-0004-0000-0300-000007000000}"/>
    <hyperlink ref="A39" r:id="rId9" display="javascript:CenterPopup('http://docquery.fec.gov/cgi-bin/fecimg/?13964542711','700','800')" xr:uid="{00000000-0004-0000-0300-000008000000}"/>
    <hyperlink ref="F39" r:id="rId10" display="https://www.campaignmoney.com/political/committees/univision-communications-inc-political-action-committee.asp?cycle=14" xr:uid="{00000000-0004-0000-0300-000009000000}"/>
    <hyperlink ref="A42" r:id="rId11" display="javascript:CenterPopup('http://docquery.fec.gov/cgi-bin/fecimg/?13964542711','700','800')" xr:uid="{00000000-0004-0000-0300-00000A000000}"/>
    <hyperlink ref="F42" r:id="rId12" display="https://www.campaignmoney.com/political/committees/univision-communications-inc-political-action-committee.asp?cycle=14" xr:uid="{00000000-0004-0000-0300-00000B000000}"/>
    <hyperlink ref="A45" r:id="rId13" display="javascript:CenterPopup('http://docquery.fec.gov/cgi-bin/fecimg/?13941159738','700','800')" xr:uid="{00000000-0004-0000-0300-00000C000000}"/>
    <hyperlink ref="F45" r:id="rId14" display="https://www.campaignmoney.com/political/committees/univision-communications-inc-political-action-committee.asp?cycle=14" xr:uid="{00000000-0004-0000-0300-00000D000000}"/>
    <hyperlink ref="A48" r:id="rId15" display="javascript:CenterPopup('http://docquery.fec.gov/cgi-bin/fecimg/?13941159738','700','800')" xr:uid="{00000000-0004-0000-0300-00000E000000}"/>
    <hyperlink ref="F48" r:id="rId16" display="https://www.campaignmoney.com/political/committees/univision-communications-inc-political-action-committee.asp?cycle=14" xr:uid="{00000000-0004-0000-0300-00000F000000}"/>
    <hyperlink ref="A51" r:id="rId17" display="javascript:CenterPopup('http://docquery.fec.gov/cgi-bin/fecimg/?13940924169','700','800')" xr:uid="{00000000-0004-0000-0300-000010000000}"/>
    <hyperlink ref="F51" r:id="rId18" display="https://www.campaignmoney.com/political/committees/univision-communications-inc-political-action-committee.asp?cycle=14" xr:uid="{00000000-0004-0000-0300-000011000000}"/>
    <hyperlink ref="A54" r:id="rId19" display="javascript:CenterPopup('http://docquery.fec.gov/cgi-bin/fecimg/?13940924169','700','800')" xr:uid="{00000000-0004-0000-0300-000012000000}"/>
    <hyperlink ref="F54" r:id="rId20" display="https://www.campaignmoney.com/political/committees/univision-communications-inc-political-action-committee.asp?cycle=14" xr:uid="{00000000-0004-0000-0300-000013000000}"/>
    <hyperlink ref="A57" r:id="rId21" display="javascript:CenterPopup('http://docquery.fec.gov/cgi-bin/fecimg/?13962483617','700','800')" xr:uid="{00000000-0004-0000-0300-000014000000}"/>
    <hyperlink ref="F57" r:id="rId22" display="https://www.campaignmoney.com/political/committees/univision-communications-inc-political-action-committee.asp?cycle=14" xr:uid="{00000000-0004-0000-0300-000015000000}"/>
    <hyperlink ref="A60" r:id="rId23" display="javascript:CenterPopup('http://docquery.fec.gov/cgi-bin/fecimg/?13962483617','700','800')" xr:uid="{00000000-0004-0000-0300-000016000000}"/>
    <hyperlink ref="F60" r:id="rId24" display="https://www.campaignmoney.com/political/committees/univision-communications-inc-political-action-committee.asp?cycle=14" xr:uid="{00000000-0004-0000-0300-000017000000}"/>
    <hyperlink ref="A63" r:id="rId25" display="javascript:CenterPopup('http://docquery.fec.gov/cgi-bin/fecimg/?13940607831','700','800')" xr:uid="{00000000-0004-0000-0300-000018000000}"/>
    <hyperlink ref="F63" r:id="rId26" display="https://www.campaignmoney.com/political/committees/univision-communications-inc-political-action-committee.asp?cycle=14" xr:uid="{00000000-0004-0000-0300-000019000000}"/>
    <hyperlink ref="A66" r:id="rId27" display="javascript:CenterPopup('http://docquery.fec.gov/cgi-bin/fecimg/?13940607831','700','800')" xr:uid="{00000000-0004-0000-0300-00001A000000}"/>
    <hyperlink ref="F66" r:id="rId28" display="https://www.campaignmoney.com/political/committees/univision-communications-inc-political-action-committee.asp?cycle=14" xr:uid="{00000000-0004-0000-0300-00001B000000}"/>
    <hyperlink ref="A69" r:id="rId29" display="javascript:CenterPopup('http://docquery.fec.gov/cgi-bin/fecimg/?13940484198','700','800')" xr:uid="{00000000-0004-0000-0300-00001C000000}"/>
    <hyperlink ref="F69" r:id="rId30" display="https://www.campaignmoney.com/political/committees/univision-communications-inc-political-action-committee.asp?cycle=14" xr:uid="{00000000-0004-0000-0300-00001D000000}"/>
    <hyperlink ref="A72" r:id="rId31" display="javascript:CenterPopup('http://docquery.fec.gov/cgi-bin/fecimg/?13940484198','700','800')" xr:uid="{00000000-0004-0000-0300-00001E000000}"/>
    <hyperlink ref="F72" r:id="rId32" display="https://www.campaignmoney.com/political/committees/univision-communications-inc-political-action-committee.asp?cycle=14" xr:uid="{00000000-0004-0000-0300-00001F000000}"/>
    <hyperlink ref="A75" r:id="rId33" display="javascript:CenterPopup('http://docquery.fec.gov/cgi-bin/fecimg/?13960954630','700','800')" xr:uid="{00000000-0004-0000-0300-000020000000}"/>
    <hyperlink ref="F75" r:id="rId34" display="https://www.campaignmoney.com/political/committees/univision-communications-inc-political-action-committee.asp?cycle=14" xr:uid="{00000000-0004-0000-0300-000021000000}"/>
    <hyperlink ref="A78" r:id="rId35" display="javascript:CenterPopup('http://docquery.fec.gov/cgi-bin/fecimg/?13960954630','700','800')" xr:uid="{00000000-0004-0000-0300-000022000000}"/>
    <hyperlink ref="F78" r:id="rId36" display="https://www.campaignmoney.com/political/committees/univision-communications-inc-political-action-committee.asp?cycle=14" xr:uid="{00000000-0004-0000-0300-000023000000}"/>
    <hyperlink ref="A81" r:id="rId37" display="javascript:CenterPopup('http://docquery.fec.gov/cgi-bin/fecimg/?201511199003389894','700','800')" xr:uid="{00000000-0004-0000-0300-000024000000}"/>
    <hyperlink ref="F81" r:id="rId38" display="https://www.campaignmoney.com/political/committees/comcast-corporation-nbcuniversal-political-action-committee-federal.asp?cycle=16" xr:uid="{00000000-0004-0000-0300-000025000000}"/>
    <hyperlink ref="A84" r:id="rId39" display="javascript:CenterPopup('http://docquery.fec.gov/cgi-bin/fecimg/?11990095718','700','800')" xr:uid="{00000000-0004-0000-0300-000026000000}"/>
    <hyperlink ref="F84" r:id="rId40" display="https://www.campaignmoney.com/political/committees/univision-communications-inc-political-action-committee.asp?cycle=10" xr:uid="{00000000-0004-0000-0300-000027000000}"/>
    <hyperlink ref="A87" r:id="rId41" display="javascript:CenterPopup('http://docquery.fec.gov/cgi-bin/fecimg/?11990095718','700','800')" xr:uid="{00000000-0004-0000-0300-000028000000}"/>
    <hyperlink ref="F87" r:id="rId42" display="https://www.campaignmoney.com/political/committees/univision-communications-inc-political-action-committee.asp?cycle=10" xr:uid="{00000000-0004-0000-0300-000029000000}"/>
    <hyperlink ref="A90" r:id="rId43" display="javascript:CenterPopup('http://docquery.fec.gov/cgi-bin/fecimg/?11990095718','700','800')" xr:uid="{00000000-0004-0000-0300-00002A000000}"/>
    <hyperlink ref="F90" r:id="rId44" display="https://www.campaignmoney.com/political/committees/univision-communications-inc-political-action-committee.asp?cycle=10" xr:uid="{00000000-0004-0000-0300-00002B000000}"/>
    <hyperlink ref="A93" r:id="rId45" display="javascript:CenterPopup('http://docquery.fec.gov/cgi-bin/fecimg/?10992418308','700','800')" xr:uid="{00000000-0004-0000-0300-00002C000000}"/>
    <hyperlink ref="F93" r:id="rId46" display="https://www.campaignmoney.com/political/committees/univision-communications-inc-political-action-committee.asp?cycle=10" xr:uid="{00000000-0004-0000-0300-00002D000000}"/>
    <hyperlink ref="A96" r:id="rId47" display="javascript:CenterPopup('http://docquery.fec.gov/cgi-bin/fecimg/?10992418308','700','800')" xr:uid="{00000000-0004-0000-0300-00002E000000}"/>
    <hyperlink ref="F96" r:id="rId48" display="https://www.campaignmoney.com/political/committees/univision-communications-inc-political-action-committee.asp?cycle=10" xr:uid="{00000000-0004-0000-0300-00002F000000}"/>
    <hyperlink ref="A99" r:id="rId49" display="javascript:CenterPopup('http://docquery.fec.gov/cgi-bin/fecimg/?10992418308','700','800')" xr:uid="{00000000-0004-0000-0300-000030000000}"/>
    <hyperlink ref="F99" r:id="rId50" display="https://www.campaignmoney.com/political/committees/univision-communications-inc-political-action-committee.asp?cycle=10" xr:uid="{00000000-0004-0000-0300-000031000000}"/>
    <hyperlink ref="A102" r:id="rId51" display="javascript:CenterPopup('http://docquery.fec.gov/cgi-bin/fecimg/?10991466269','700','800')" xr:uid="{00000000-0004-0000-0300-000032000000}"/>
    <hyperlink ref="F102" r:id="rId52" display="https://www.campaignmoney.com/political/committees/univision-communications-inc-political-action-committee.asp?cycle=10" xr:uid="{00000000-0004-0000-0300-000033000000}"/>
    <hyperlink ref="A105" r:id="rId53" display="javascript:CenterPopup('http://docquery.fec.gov/cgi-bin/fecimg/?10991466269','700','800')" xr:uid="{00000000-0004-0000-0300-000034000000}"/>
    <hyperlink ref="F105" r:id="rId54" display="https://www.campaignmoney.com/political/committees/univision-communications-inc-political-action-committee.asp?cycle=10" xr:uid="{00000000-0004-0000-0300-000035000000}"/>
    <hyperlink ref="A108" r:id="rId55" display="javascript:CenterPopup('http://docquery.fec.gov/cgi-bin/fecimg/?10991190770','700','800')" xr:uid="{00000000-0004-0000-0300-000036000000}"/>
    <hyperlink ref="F108" r:id="rId56" display="https://www.campaignmoney.com/political/committees/univision-communications-inc-political-action-committee.asp?cycle=10" xr:uid="{00000000-0004-0000-0300-000037000000}"/>
    <hyperlink ref="A111" r:id="rId57" display="javascript:CenterPopup('http://docquery.fec.gov/cgi-bin/fecimg/?10991190770','700','800')" xr:uid="{00000000-0004-0000-0300-000038000000}"/>
    <hyperlink ref="F111" r:id="rId58" display="https://www.campaignmoney.com/political/committees/univision-communications-inc-political-action-committee.asp?cycle=10" xr:uid="{00000000-0004-0000-0300-000039000000}"/>
    <hyperlink ref="A114" r:id="rId59" display="javascript:CenterPopup('http://docquery.fec.gov/cgi-bin/fecimg/?10931135408','700','800')" xr:uid="{00000000-0004-0000-0300-00003A000000}"/>
    <hyperlink ref="F114" r:id="rId60" display="https://www.campaignmoney.com/political/committees/univision-communications-inc-political-action-committee.asp?cycle=10" xr:uid="{00000000-0004-0000-0300-00003B000000}"/>
    <hyperlink ref="A117" r:id="rId61" display="javascript:CenterPopup('http://docquery.fec.gov/cgi-bin/fecimg/?10931135408','700','800')" xr:uid="{00000000-0004-0000-0300-00003C000000}"/>
    <hyperlink ref="F117" r:id="rId62" display="https://www.campaignmoney.com/political/committees/univision-communications-inc-political-action-committee.asp?cycle=10" xr:uid="{00000000-0004-0000-0300-00003D000000}"/>
    <hyperlink ref="A120" r:id="rId63" display="javascript:CenterPopup('http://docquery.fec.gov/cgi-bin/fecimg/?10990978645','700','800')" xr:uid="{00000000-0004-0000-0300-00003E000000}"/>
    <hyperlink ref="F120" r:id="rId64" display="https://www.campaignmoney.com/political/committees/univision-communications-inc-political-action-committee.asp?cycle=10" xr:uid="{00000000-0004-0000-0300-00003F000000}"/>
    <hyperlink ref="A123" r:id="rId65" display="javascript:CenterPopup('http://docquery.fec.gov/cgi-bin/fecimg/?10990978644','700','800')" xr:uid="{00000000-0004-0000-0300-000040000000}"/>
    <hyperlink ref="F123" r:id="rId66" display="https://www.campaignmoney.com/political/committees/univision-communications-inc-political-action-committee.asp?cycle=10" xr:uid="{00000000-0004-0000-0300-000041000000}"/>
    <hyperlink ref="A126" r:id="rId67" display="javascript:CenterPopup('http://docquery.fec.gov/cgi-bin/fecimg/?10990793024','700','800')" xr:uid="{00000000-0004-0000-0300-000042000000}"/>
    <hyperlink ref="F126" r:id="rId68" display="https://www.campaignmoney.com/political/committees/univision-communications-inc-political-action-committee.asp?cycle=10" xr:uid="{00000000-0004-0000-0300-000043000000}"/>
  </hyperlinks>
  <pageMargins left="0.7" right="0.7" top="0.75" bottom="0.75" header="0.3" footer="0.3"/>
  <pageSetup orientation="portrait" r:id="rId6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4105-5E5C-448C-BD8D-3CE5579DFE4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2"/>
  <sheetViews>
    <sheetView workbookViewId="0">
      <selection activeCell="H1" sqref="H1"/>
    </sheetView>
  </sheetViews>
  <sheetFormatPr defaultColWidth="8.85546875" defaultRowHeight="15"/>
  <cols>
    <col min="1" max="1" width="54.28515625" style="10" customWidth="1"/>
    <col min="2" max="2" width="48.42578125" style="10" customWidth="1"/>
    <col min="3" max="3" width="9.5703125" style="10" customWidth="1"/>
    <col min="4" max="4" width="21.85546875" style="10" customWidth="1"/>
    <col min="5" max="5" width="12.7109375" style="10" customWidth="1"/>
    <col min="6" max="6" width="15.28515625" style="10" customWidth="1"/>
    <col min="7" max="16384" width="8.85546875" style="10"/>
  </cols>
  <sheetData>
    <row r="1" spans="1:13" ht="15.75" thickBot="1">
      <c r="A1" s="10" t="s">
        <v>14</v>
      </c>
      <c r="B1" s="10" t="s">
        <v>15</v>
      </c>
      <c r="C1" s="10" t="s">
        <v>10</v>
      </c>
      <c r="D1" s="10" t="s">
        <v>16</v>
      </c>
      <c r="E1" s="10" t="s">
        <v>17</v>
      </c>
      <c r="F1" s="10" t="s">
        <v>18</v>
      </c>
      <c r="G1" s="10" t="s">
        <v>20</v>
      </c>
      <c r="H1" s="10" t="s">
        <v>4</v>
      </c>
      <c r="I1" s="12" t="s">
        <v>6</v>
      </c>
      <c r="J1" s="10" t="s">
        <v>5</v>
      </c>
      <c r="K1" s="10" t="s">
        <v>11</v>
      </c>
      <c r="L1" s="10" t="s">
        <v>12</v>
      </c>
      <c r="M1" s="10" t="s">
        <v>21</v>
      </c>
    </row>
    <row r="2" spans="1:13" ht="16.5" thickBot="1">
      <c r="A2" s="50" t="s">
        <v>149</v>
      </c>
      <c r="B2" s="51" t="s">
        <v>150</v>
      </c>
      <c r="C2" s="52" t="s">
        <v>151</v>
      </c>
      <c r="D2" s="37" t="s">
        <v>152</v>
      </c>
      <c r="E2" s="39"/>
      <c r="F2" s="40">
        <v>10000</v>
      </c>
      <c r="G2" s="41" t="s">
        <v>3</v>
      </c>
      <c r="H2"/>
      <c r="I2" s="2"/>
      <c r="K2" s="14" t="e">
        <f>(+H2/(H2+I2))*100</f>
        <v>#DIV/0!</v>
      </c>
      <c r="L2" s="14" t="e">
        <f>(+I2/(H2+I2))*100</f>
        <v>#DIV/0!</v>
      </c>
    </row>
    <row r="3" spans="1:13" ht="16.5" thickBot="1">
      <c r="A3" s="36" t="s">
        <v>155</v>
      </c>
      <c r="B3" s="38" t="s">
        <v>156</v>
      </c>
      <c r="C3" s="37" t="s">
        <v>151</v>
      </c>
      <c r="D3" s="37" t="s">
        <v>157</v>
      </c>
      <c r="E3" s="39">
        <v>43830</v>
      </c>
      <c r="F3" s="40">
        <v>1000</v>
      </c>
      <c r="G3" s="41" t="s">
        <v>3</v>
      </c>
      <c r="H3"/>
      <c r="I3" s="2"/>
      <c r="K3" s="14" t="e">
        <f>(+H3/(H3+I3))*100</f>
        <v>#DIV/0!</v>
      </c>
      <c r="L3" s="14" t="e">
        <f>(+I3/(H3+I3))*100</f>
        <v>#DIV/0!</v>
      </c>
    </row>
    <row r="4" spans="1:13" ht="29.25" thickBot="1">
      <c r="A4" s="36" t="s">
        <v>158</v>
      </c>
      <c r="B4" s="38" t="s">
        <v>159</v>
      </c>
      <c r="C4" s="37" t="s">
        <v>151</v>
      </c>
      <c r="D4" s="37" t="s">
        <v>160</v>
      </c>
      <c r="E4" s="39">
        <v>43830</v>
      </c>
      <c r="F4" s="40">
        <v>1000</v>
      </c>
      <c r="G4" s="35" t="s">
        <v>3</v>
      </c>
      <c r="H4"/>
      <c r="I4" s="2"/>
      <c r="K4" s="14" t="e">
        <f t="shared" ref="K4:K51" si="0">(+H4/(H4+I4))*100</f>
        <v>#DIV/0!</v>
      </c>
      <c r="L4" s="14" t="e">
        <f t="shared" ref="L4:L51" si="1">(+I4/(H4+I4))*100</f>
        <v>#DIV/0!</v>
      </c>
    </row>
    <row r="5" spans="1:13" ht="16.5" thickBot="1">
      <c r="A5" s="36"/>
      <c r="B5" s="38"/>
      <c r="C5" s="37"/>
      <c r="D5" s="37"/>
      <c r="E5" s="39"/>
      <c r="F5" s="40"/>
      <c r="G5" s="41"/>
      <c r="H5"/>
      <c r="I5" s="2"/>
      <c r="K5" s="14" t="e">
        <f t="shared" si="0"/>
        <v>#DIV/0!</v>
      </c>
      <c r="L5" s="14" t="e">
        <f t="shared" si="1"/>
        <v>#DIV/0!</v>
      </c>
    </row>
    <row r="6" spans="1:13" ht="16.5" thickBot="1">
      <c r="A6" s="36"/>
      <c r="B6" s="38"/>
      <c r="C6" s="37"/>
      <c r="D6" s="37"/>
      <c r="E6" s="39"/>
      <c r="F6" s="40"/>
      <c r="G6" s="41"/>
      <c r="H6"/>
      <c r="I6" s="2"/>
      <c r="K6" s="14" t="e">
        <f t="shared" si="0"/>
        <v>#DIV/0!</v>
      </c>
      <c r="L6" s="14" t="e">
        <f t="shared" si="1"/>
        <v>#DIV/0!</v>
      </c>
    </row>
    <row r="7" spans="1:13" ht="16.5" thickBot="1">
      <c r="A7" s="36"/>
      <c r="B7" s="38"/>
      <c r="C7" s="37"/>
      <c r="D7" s="37"/>
      <c r="E7" s="39"/>
      <c r="F7" s="40"/>
      <c r="G7" s="41"/>
      <c r="H7"/>
      <c r="I7" s="2"/>
      <c r="K7" s="14" t="e">
        <f t="shared" si="0"/>
        <v>#DIV/0!</v>
      </c>
      <c r="L7" s="14" t="e">
        <f t="shared" si="1"/>
        <v>#DIV/0!</v>
      </c>
    </row>
    <row r="8" spans="1:13" ht="16.5" thickBot="1">
      <c r="A8" s="36"/>
      <c r="B8" s="38"/>
      <c r="C8" s="37"/>
      <c r="D8" s="37"/>
      <c r="E8" s="39"/>
      <c r="F8" s="40"/>
      <c r="G8" s="41"/>
      <c r="H8"/>
      <c r="I8" s="2"/>
      <c r="K8" s="14" t="e">
        <f t="shared" si="0"/>
        <v>#DIV/0!</v>
      </c>
      <c r="L8" s="14" t="e">
        <f t="shared" si="1"/>
        <v>#DIV/0!</v>
      </c>
    </row>
    <row r="9" spans="1:13" ht="16.5" thickBot="1">
      <c r="A9" s="36"/>
      <c r="B9" s="38"/>
      <c r="C9" s="37"/>
      <c r="D9" s="37"/>
      <c r="E9" s="39"/>
      <c r="F9" s="40"/>
      <c r="G9" s="41"/>
      <c r="H9"/>
      <c r="I9" s="2"/>
      <c r="K9" s="14" t="e">
        <f t="shared" si="0"/>
        <v>#DIV/0!</v>
      </c>
      <c r="L9" s="14" t="e">
        <f t="shared" si="1"/>
        <v>#DIV/0!</v>
      </c>
    </row>
    <row r="10" spans="1:13" ht="16.5" thickBot="1">
      <c r="A10" s="36"/>
      <c r="B10" s="38"/>
      <c r="C10" s="37"/>
      <c r="D10" s="37"/>
      <c r="E10" s="39"/>
      <c r="F10" s="40"/>
      <c r="G10" s="41"/>
      <c r="H10"/>
      <c r="I10" s="2"/>
      <c r="K10" s="14" t="e">
        <f t="shared" si="0"/>
        <v>#DIV/0!</v>
      </c>
      <c r="L10" s="14" t="e">
        <f t="shared" si="1"/>
        <v>#DIV/0!</v>
      </c>
    </row>
    <row r="11" spans="1:13" ht="16.5" thickBot="1">
      <c r="A11" s="36"/>
      <c r="B11" s="38"/>
      <c r="C11" s="37"/>
      <c r="D11" s="37"/>
      <c r="E11" s="39"/>
      <c r="F11" s="40"/>
      <c r="G11" s="41"/>
      <c r="H11"/>
      <c r="I11" s="2"/>
      <c r="K11" s="14" t="e">
        <f t="shared" si="0"/>
        <v>#DIV/0!</v>
      </c>
      <c r="L11" s="14" t="e">
        <f t="shared" si="1"/>
        <v>#DIV/0!</v>
      </c>
    </row>
    <row r="12" spans="1:13" ht="16.5" thickBot="1">
      <c r="A12" s="36"/>
      <c r="B12" s="38"/>
      <c r="C12" s="37"/>
      <c r="D12" s="37"/>
      <c r="E12" s="39"/>
      <c r="F12" s="40"/>
      <c r="G12" s="41"/>
      <c r="H12"/>
      <c r="I12" s="2"/>
      <c r="K12" s="14" t="e">
        <f t="shared" si="0"/>
        <v>#DIV/0!</v>
      </c>
      <c r="L12" s="14" t="e">
        <f t="shared" si="1"/>
        <v>#DIV/0!</v>
      </c>
    </row>
    <row r="13" spans="1:13" ht="16.5" thickBot="1">
      <c r="A13" s="36"/>
      <c r="B13" s="38"/>
      <c r="C13" s="37"/>
      <c r="D13" s="37"/>
      <c r="E13" s="39"/>
      <c r="F13" s="40"/>
      <c r="G13" s="41"/>
      <c r="H13"/>
      <c r="I13" s="2"/>
      <c r="K13" s="14" t="e">
        <f t="shared" si="0"/>
        <v>#DIV/0!</v>
      </c>
      <c r="L13" s="14" t="e">
        <f t="shared" si="1"/>
        <v>#DIV/0!</v>
      </c>
    </row>
    <row r="14" spans="1:13" ht="16.5" thickBot="1">
      <c r="A14" s="36"/>
      <c r="B14" s="38"/>
      <c r="C14" s="37"/>
      <c r="D14" s="37"/>
      <c r="E14" s="39"/>
      <c r="F14" s="40"/>
      <c r="G14" s="41"/>
      <c r="H14"/>
      <c r="I14" s="2"/>
      <c r="K14" s="14" t="e">
        <f t="shared" si="0"/>
        <v>#DIV/0!</v>
      </c>
      <c r="L14" s="14" t="e">
        <f t="shared" si="1"/>
        <v>#DIV/0!</v>
      </c>
    </row>
    <row r="15" spans="1:13" ht="16.5" thickBot="1">
      <c r="A15" s="36"/>
      <c r="B15" s="38"/>
      <c r="C15" s="37"/>
      <c r="D15" s="37"/>
      <c r="E15" s="39"/>
      <c r="F15" s="40"/>
      <c r="G15" s="41"/>
      <c r="H15"/>
      <c r="I15" s="2"/>
      <c r="K15" s="14" t="e">
        <f t="shared" si="0"/>
        <v>#DIV/0!</v>
      </c>
      <c r="L15" s="14" t="e">
        <f t="shared" si="1"/>
        <v>#DIV/0!</v>
      </c>
    </row>
    <row r="16" spans="1:13" ht="16.5" thickBot="1">
      <c r="A16" s="36"/>
      <c r="B16" s="38"/>
      <c r="C16" s="37"/>
      <c r="D16" s="37"/>
      <c r="E16" s="39"/>
      <c r="F16" s="40"/>
      <c r="G16" s="41"/>
      <c r="H16"/>
      <c r="I16" s="2"/>
      <c r="K16" s="14" t="e">
        <f t="shared" si="0"/>
        <v>#DIV/0!</v>
      </c>
      <c r="L16" s="14" t="e">
        <f t="shared" si="1"/>
        <v>#DIV/0!</v>
      </c>
    </row>
    <row r="17" spans="1:12" ht="16.5" thickBot="1">
      <c r="A17" s="36"/>
      <c r="B17" s="38"/>
      <c r="C17" s="37"/>
      <c r="D17" s="37"/>
      <c r="E17" s="39"/>
      <c r="F17" s="40"/>
      <c r="G17" s="41"/>
      <c r="H17"/>
      <c r="I17" s="2"/>
      <c r="K17" s="14" t="e">
        <f t="shared" si="0"/>
        <v>#DIV/0!</v>
      </c>
      <c r="L17" s="14" t="e">
        <f t="shared" si="1"/>
        <v>#DIV/0!</v>
      </c>
    </row>
    <row r="18" spans="1:12" ht="16.5" thickBot="1">
      <c r="A18" s="36"/>
      <c r="B18" s="38"/>
      <c r="C18" s="37"/>
      <c r="D18" s="37"/>
      <c r="E18" s="39"/>
      <c r="F18" s="40"/>
      <c r="G18" s="41"/>
      <c r="H18"/>
      <c r="I18" s="2"/>
      <c r="K18" s="14" t="e">
        <f t="shared" si="0"/>
        <v>#DIV/0!</v>
      </c>
      <c r="L18" s="14" t="e">
        <f t="shared" si="1"/>
        <v>#DIV/0!</v>
      </c>
    </row>
    <row r="19" spans="1:12" ht="16.5" thickBot="1">
      <c r="A19" s="36"/>
      <c r="B19" s="38"/>
      <c r="C19" s="37"/>
      <c r="D19" s="37"/>
      <c r="E19" s="39"/>
      <c r="F19" s="40"/>
      <c r="G19" s="41"/>
      <c r="H19"/>
      <c r="I19" s="2"/>
      <c r="K19" s="14" t="e">
        <f t="shared" si="0"/>
        <v>#DIV/0!</v>
      </c>
      <c r="L19" s="14" t="e">
        <f t="shared" si="1"/>
        <v>#DIV/0!</v>
      </c>
    </row>
    <row r="20" spans="1:12" ht="16.5" thickBot="1">
      <c r="A20" s="36"/>
      <c r="B20" s="38"/>
      <c r="C20" s="37"/>
      <c r="D20" s="37"/>
      <c r="E20" s="39"/>
      <c r="F20" s="40"/>
      <c r="G20" s="41"/>
      <c r="H20"/>
      <c r="I20" s="2"/>
      <c r="K20" s="14" t="e">
        <f t="shared" si="0"/>
        <v>#DIV/0!</v>
      </c>
      <c r="L20" s="14" t="e">
        <f t="shared" si="1"/>
        <v>#DIV/0!</v>
      </c>
    </row>
    <row r="21" spans="1:12" ht="16.5" thickBot="1">
      <c r="A21" s="36"/>
      <c r="B21" s="38"/>
      <c r="C21" s="37"/>
      <c r="D21" s="37"/>
      <c r="E21" s="39"/>
      <c r="F21" s="40"/>
      <c r="G21" s="41"/>
      <c r="H21"/>
      <c r="I21" s="2"/>
      <c r="K21" s="14" t="e">
        <f t="shared" si="0"/>
        <v>#DIV/0!</v>
      </c>
      <c r="L21" s="14" t="e">
        <f t="shared" si="1"/>
        <v>#DIV/0!</v>
      </c>
    </row>
    <row r="22" spans="1:12" ht="16.5" thickBot="1">
      <c r="A22" s="36"/>
      <c r="B22" s="38"/>
      <c r="C22" s="37"/>
      <c r="D22" s="37"/>
      <c r="E22" s="39"/>
      <c r="F22" s="40"/>
      <c r="G22" s="41"/>
      <c r="H22"/>
      <c r="I22" s="2"/>
      <c r="K22" s="14" t="e">
        <f t="shared" si="0"/>
        <v>#DIV/0!</v>
      </c>
      <c r="L22" s="14" t="e">
        <f t="shared" si="1"/>
        <v>#DIV/0!</v>
      </c>
    </row>
    <row r="23" spans="1:12" ht="16.5" thickBot="1">
      <c r="A23" s="36"/>
      <c r="B23" s="38"/>
      <c r="C23" s="37"/>
      <c r="D23" s="37"/>
      <c r="E23" s="39"/>
      <c r="F23" s="40"/>
      <c r="G23" s="41"/>
      <c r="H23"/>
      <c r="I23" s="2"/>
      <c r="K23" s="14" t="e">
        <f t="shared" si="0"/>
        <v>#DIV/0!</v>
      </c>
      <c r="L23" s="14" t="e">
        <f t="shared" si="1"/>
        <v>#DIV/0!</v>
      </c>
    </row>
    <row r="24" spans="1:12" ht="16.5" thickBot="1">
      <c r="A24" s="36"/>
      <c r="B24" s="38"/>
      <c r="C24" s="37"/>
      <c r="D24" s="37"/>
      <c r="E24" s="39"/>
      <c r="F24" s="40"/>
      <c r="G24" s="41"/>
      <c r="H24"/>
      <c r="I24" s="2"/>
      <c r="K24" s="14" t="e">
        <f t="shared" si="0"/>
        <v>#DIV/0!</v>
      </c>
      <c r="L24" s="14" t="e">
        <f t="shared" si="1"/>
        <v>#DIV/0!</v>
      </c>
    </row>
    <row r="25" spans="1:12" ht="16.5" thickBot="1">
      <c r="A25" s="36"/>
      <c r="B25" s="38"/>
      <c r="C25" s="37"/>
      <c r="D25" s="37"/>
      <c r="E25" s="39"/>
      <c r="F25" s="40"/>
      <c r="G25" s="41"/>
      <c r="H25"/>
      <c r="I25" s="2"/>
      <c r="K25" s="14" t="e">
        <f t="shared" si="0"/>
        <v>#DIV/0!</v>
      </c>
      <c r="L25" s="14" t="e">
        <f t="shared" si="1"/>
        <v>#DIV/0!</v>
      </c>
    </row>
    <row r="26" spans="1:12" ht="16.5" thickBot="1">
      <c r="A26" s="36"/>
      <c r="B26" s="38"/>
      <c r="C26" s="37"/>
      <c r="D26" s="37"/>
      <c r="E26" s="39"/>
      <c r="F26" s="40"/>
      <c r="G26" s="41"/>
      <c r="H26"/>
      <c r="I26" s="2"/>
      <c r="K26" s="14" t="e">
        <f t="shared" si="0"/>
        <v>#DIV/0!</v>
      </c>
      <c r="L26" s="14" t="e">
        <f t="shared" si="1"/>
        <v>#DIV/0!</v>
      </c>
    </row>
    <row r="27" spans="1:12" ht="16.5" thickBot="1">
      <c r="A27" s="36"/>
      <c r="B27" s="38"/>
      <c r="C27" s="37"/>
      <c r="D27" s="37"/>
      <c r="E27" s="39"/>
      <c r="F27" s="40"/>
      <c r="G27" s="41"/>
      <c r="H27"/>
      <c r="I27" s="2"/>
      <c r="K27" s="14" t="e">
        <f t="shared" si="0"/>
        <v>#DIV/0!</v>
      </c>
      <c r="L27" s="14" t="e">
        <f t="shared" si="1"/>
        <v>#DIV/0!</v>
      </c>
    </row>
    <row r="28" spans="1:12" ht="16.5" thickBot="1">
      <c r="A28" s="36"/>
      <c r="B28" s="38"/>
      <c r="C28" s="37"/>
      <c r="D28" s="37"/>
      <c r="E28" s="39"/>
      <c r="F28" s="40"/>
      <c r="G28" s="41"/>
      <c r="H28"/>
      <c r="I28" s="2"/>
      <c r="K28" s="14" t="e">
        <f t="shared" si="0"/>
        <v>#DIV/0!</v>
      </c>
      <c r="L28" s="14" t="e">
        <f t="shared" si="1"/>
        <v>#DIV/0!</v>
      </c>
    </row>
    <row r="29" spans="1:12" ht="16.5" thickBot="1">
      <c r="A29" s="36"/>
      <c r="B29" s="38"/>
      <c r="C29" s="37"/>
      <c r="D29" s="37"/>
      <c r="E29" s="39"/>
      <c r="F29" s="40"/>
      <c r="G29" s="41"/>
      <c r="H29"/>
      <c r="I29" s="2"/>
      <c r="K29" s="14" t="e">
        <f t="shared" si="0"/>
        <v>#DIV/0!</v>
      </c>
      <c r="L29" s="14" t="e">
        <f t="shared" si="1"/>
        <v>#DIV/0!</v>
      </c>
    </row>
    <row r="30" spans="1:12" ht="16.5" thickBot="1">
      <c r="A30" s="36"/>
      <c r="B30" s="38"/>
      <c r="C30" s="37"/>
      <c r="D30" s="37"/>
      <c r="E30" s="39"/>
      <c r="F30" s="40"/>
      <c r="G30" s="41"/>
      <c r="H30"/>
      <c r="I30" s="2"/>
      <c r="K30" s="14" t="e">
        <f t="shared" si="0"/>
        <v>#DIV/0!</v>
      </c>
      <c r="L30" s="14" t="e">
        <f t="shared" si="1"/>
        <v>#DIV/0!</v>
      </c>
    </row>
    <row r="31" spans="1:12" ht="16.5" thickBot="1">
      <c r="A31" s="36"/>
      <c r="B31" s="38"/>
      <c r="C31" s="37"/>
      <c r="D31" s="37"/>
      <c r="E31" s="39"/>
      <c r="F31" s="40"/>
      <c r="G31" s="41"/>
      <c r="H31"/>
      <c r="I31" s="2"/>
      <c r="K31" s="14" t="e">
        <f t="shared" si="0"/>
        <v>#DIV/0!</v>
      </c>
      <c r="L31" s="14" t="e">
        <f t="shared" si="1"/>
        <v>#DIV/0!</v>
      </c>
    </row>
    <row r="32" spans="1:12" ht="16.5" thickBot="1">
      <c r="A32" s="36"/>
      <c r="B32" s="38"/>
      <c r="C32" s="37"/>
      <c r="D32" s="37"/>
      <c r="E32" s="39"/>
      <c r="F32" s="40"/>
      <c r="G32" s="41"/>
      <c r="H32"/>
      <c r="I32" s="2"/>
      <c r="K32" s="14" t="e">
        <f t="shared" si="0"/>
        <v>#DIV/0!</v>
      </c>
      <c r="L32" s="14" t="e">
        <f t="shared" si="1"/>
        <v>#DIV/0!</v>
      </c>
    </row>
    <row r="33" spans="1:12" ht="16.5" thickBot="1">
      <c r="A33" s="36"/>
      <c r="B33" s="38"/>
      <c r="C33" s="37"/>
      <c r="D33" s="37"/>
      <c r="E33" s="39"/>
      <c r="F33" s="40"/>
      <c r="G33" s="41"/>
      <c r="H33"/>
      <c r="I33" s="2"/>
      <c r="K33" s="14" t="e">
        <f t="shared" si="0"/>
        <v>#DIV/0!</v>
      </c>
      <c r="L33" s="14" t="e">
        <f t="shared" si="1"/>
        <v>#DIV/0!</v>
      </c>
    </row>
    <row r="34" spans="1:12" ht="16.5" thickBot="1">
      <c r="A34" s="36"/>
      <c r="B34" s="38"/>
      <c r="C34" s="37"/>
      <c r="D34" s="37"/>
      <c r="E34" s="39"/>
      <c r="F34" s="40"/>
      <c r="G34" s="41"/>
      <c r="H34"/>
      <c r="I34" s="2"/>
      <c r="K34" s="14" t="e">
        <f t="shared" si="0"/>
        <v>#DIV/0!</v>
      </c>
      <c r="L34" s="14" t="e">
        <f t="shared" si="1"/>
        <v>#DIV/0!</v>
      </c>
    </row>
    <row r="35" spans="1:12" ht="16.5" thickBot="1">
      <c r="A35" s="36"/>
      <c r="B35" s="38"/>
      <c r="C35" s="37"/>
      <c r="D35" s="37"/>
      <c r="E35" s="39"/>
      <c r="F35" s="40"/>
      <c r="G35" s="41"/>
      <c r="H35"/>
      <c r="I35" s="2"/>
      <c r="K35" s="14" t="e">
        <f t="shared" si="0"/>
        <v>#DIV/0!</v>
      </c>
      <c r="L35" s="14" t="e">
        <f t="shared" si="1"/>
        <v>#DIV/0!</v>
      </c>
    </row>
    <row r="36" spans="1:12" ht="16.5" thickBot="1">
      <c r="A36" s="36"/>
      <c r="B36" s="38"/>
      <c r="C36" s="37"/>
      <c r="D36" s="37"/>
      <c r="E36" s="39"/>
      <c r="F36" s="40"/>
      <c r="G36" s="41"/>
      <c r="H36"/>
      <c r="I36" s="2"/>
      <c r="K36" s="14" t="e">
        <f t="shared" si="0"/>
        <v>#DIV/0!</v>
      </c>
      <c r="L36" s="14" t="e">
        <f t="shared" si="1"/>
        <v>#DIV/0!</v>
      </c>
    </row>
    <row r="37" spans="1:12" ht="16.5" thickBot="1">
      <c r="A37" s="36"/>
      <c r="B37" s="38"/>
      <c r="C37" s="37"/>
      <c r="D37" s="37"/>
      <c r="E37" s="39"/>
      <c r="F37" s="40"/>
      <c r="G37" s="41"/>
      <c r="H37"/>
      <c r="I37" s="2"/>
      <c r="K37" s="14" t="e">
        <f t="shared" si="0"/>
        <v>#DIV/0!</v>
      </c>
      <c r="L37" s="14" t="e">
        <f t="shared" si="1"/>
        <v>#DIV/0!</v>
      </c>
    </row>
    <row r="38" spans="1:12" ht="16.5" thickBot="1">
      <c r="A38" s="36"/>
      <c r="B38" s="38"/>
      <c r="C38" s="37"/>
      <c r="D38" s="37"/>
      <c r="E38" s="39"/>
      <c r="F38" s="40"/>
      <c r="G38" s="41"/>
      <c r="H38"/>
      <c r="I38" s="2"/>
      <c r="K38" s="14" t="e">
        <f t="shared" si="0"/>
        <v>#DIV/0!</v>
      </c>
      <c r="L38" s="14" t="e">
        <f t="shared" si="1"/>
        <v>#DIV/0!</v>
      </c>
    </row>
    <row r="39" spans="1:12" ht="16.5" thickBot="1">
      <c r="A39" s="36"/>
      <c r="B39" s="38"/>
      <c r="C39" s="37"/>
      <c r="D39" s="37"/>
      <c r="E39" s="39"/>
      <c r="F39" s="40"/>
      <c r="G39" s="41"/>
      <c r="H39"/>
      <c r="I39" s="2"/>
      <c r="K39" s="14" t="e">
        <f t="shared" si="0"/>
        <v>#DIV/0!</v>
      </c>
      <c r="L39" s="14" t="e">
        <f t="shared" si="1"/>
        <v>#DIV/0!</v>
      </c>
    </row>
    <row r="40" spans="1:12" ht="16.5" thickBot="1">
      <c r="A40" s="36"/>
      <c r="B40" s="38"/>
      <c r="C40" s="37"/>
      <c r="D40" s="37"/>
      <c r="E40" s="39"/>
      <c r="F40" s="40"/>
      <c r="G40" s="41"/>
      <c r="H40"/>
      <c r="I40" s="2"/>
      <c r="K40" s="14" t="e">
        <f t="shared" si="0"/>
        <v>#DIV/0!</v>
      </c>
      <c r="L40" s="14" t="e">
        <f t="shared" si="1"/>
        <v>#DIV/0!</v>
      </c>
    </row>
    <row r="41" spans="1:12" ht="16.5" thickBot="1">
      <c r="A41" s="36"/>
      <c r="B41" s="38"/>
      <c r="C41" s="37"/>
      <c r="D41" s="37"/>
      <c r="E41" s="39"/>
      <c r="F41" s="40"/>
      <c r="G41" s="41"/>
      <c r="H41"/>
      <c r="I41" s="2"/>
      <c r="K41" s="14" t="e">
        <f t="shared" si="0"/>
        <v>#DIV/0!</v>
      </c>
      <c r="L41" s="14" t="e">
        <f t="shared" si="1"/>
        <v>#DIV/0!</v>
      </c>
    </row>
    <row r="42" spans="1:12" ht="16.5" thickBot="1">
      <c r="A42" s="36"/>
      <c r="B42" s="38"/>
      <c r="C42" s="37"/>
      <c r="D42" s="37"/>
      <c r="E42" s="39"/>
      <c r="F42" s="40"/>
      <c r="G42" s="41"/>
      <c r="H42"/>
      <c r="I42" s="2"/>
      <c r="K42" s="14" t="e">
        <f t="shared" si="0"/>
        <v>#DIV/0!</v>
      </c>
      <c r="L42" s="14" t="e">
        <f t="shared" si="1"/>
        <v>#DIV/0!</v>
      </c>
    </row>
    <row r="43" spans="1:12" ht="16.5" thickBot="1">
      <c r="A43" s="36"/>
      <c r="B43" s="38"/>
      <c r="C43" s="37"/>
      <c r="D43" s="37"/>
      <c r="E43" s="39"/>
      <c r="F43" s="40"/>
      <c r="G43" s="41"/>
      <c r="H43"/>
      <c r="I43" s="2"/>
      <c r="K43" s="14" t="e">
        <f t="shared" si="0"/>
        <v>#DIV/0!</v>
      </c>
      <c r="L43" s="14" t="e">
        <f t="shared" si="1"/>
        <v>#DIV/0!</v>
      </c>
    </row>
    <row r="44" spans="1:12" ht="16.5" thickBot="1">
      <c r="A44" s="36"/>
      <c r="B44" s="38"/>
      <c r="C44" s="37"/>
      <c r="D44" s="37"/>
      <c r="E44" s="39"/>
      <c r="F44" s="40"/>
      <c r="G44" s="41"/>
      <c r="H44"/>
      <c r="I44" s="2"/>
      <c r="K44" s="14" t="e">
        <f t="shared" si="0"/>
        <v>#DIV/0!</v>
      </c>
      <c r="L44" s="14" t="e">
        <f t="shared" si="1"/>
        <v>#DIV/0!</v>
      </c>
    </row>
    <row r="45" spans="1:12" ht="16.5" thickBot="1">
      <c r="A45" s="36"/>
      <c r="B45" s="38"/>
      <c r="C45" s="37"/>
      <c r="D45" s="37"/>
      <c r="E45" s="39"/>
      <c r="F45" s="40"/>
      <c r="G45" s="41"/>
      <c r="H45"/>
      <c r="I45" s="2"/>
      <c r="K45" s="14" t="e">
        <f t="shared" si="0"/>
        <v>#DIV/0!</v>
      </c>
      <c r="L45" s="14" t="e">
        <f t="shared" si="1"/>
        <v>#DIV/0!</v>
      </c>
    </row>
    <row r="46" spans="1:12" ht="16.5" thickBot="1">
      <c r="A46" s="36"/>
      <c r="B46" s="38"/>
      <c r="C46" s="37"/>
      <c r="D46" s="37"/>
      <c r="E46" s="39"/>
      <c r="F46" s="40"/>
      <c r="G46" s="41"/>
      <c r="H46"/>
      <c r="I46" s="2"/>
      <c r="K46" s="14" t="e">
        <f t="shared" si="0"/>
        <v>#DIV/0!</v>
      </c>
      <c r="L46" s="14" t="e">
        <f t="shared" si="1"/>
        <v>#DIV/0!</v>
      </c>
    </row>
    <row r="47" spans="1:12" ht="16.5" thickBot="1">
      <c r="A47" s="36"/>
      <c r="B47" s="38"/>
      <c r="C47" s="37"/>
      <c r="D47" s="37"/>
      <c r="E47" s="39"/>
      <c r="F47" s="40"/>
      <c r="G47" s="41"/>
      <c r="H47"/>
      <c r="I47" s="2"/>
      <c r="K47" s="14" t="e">
        <f t="shared" si="0"/>
        <v>#DIV/0!</v>
      </c>
      <c r="L47" s="14" t="e">
        <f t="shared" si="1"/>
        <v>#DIV/0!</v>
      </c>
    </row>
    <row r="48" spans="1:12" ht="16.5" thickBot="1">
      <c r="A48" s="36"/>
      <c r="B48" s="38"/>
      <c r="C48" s="37"/>
      <c r="D48" s="37"/>
      <c r="E48" s="39"/>
      <c r="F48" s="40"/>
      <c r="G48" s="41"/>
      <c r="H48"/>
      <c r="I48" s="2"/>
      <c r="K48" s="14" t="e">
        <f t="shared" si="0"/>
        <v>#DIV/0!</v>
      </c>
      <c r="L48" s="14" t="e">
        <f t="shared" si="1"/>
        <v>#DIV/0!</v>
      </c>
    </row>
    <row r="49" spans="1:12" ht="16.5" thickBot="1">
      <c r="A49" s="36"/>
      <c r="B49" s="38"/>
      <c r="C49" s="37"/>
      <c r="D49" s="37"/>
      <c r="E49" s="39"/>
      <c r="F49" s="40"/>
      <c r="G49" s="41"/>
      <c r="H49"/>
      <c r="I49" s="2"/>
      <c r="K49" s="14" t="e">
        <f t="shared" si="0"/>
        <v>#DIV/0!</v>
      </c>
      <c r="L49" s="14" t="e">
        <f t="shared" si="1"/>
        <v>#DIV/0!</v>
      </c>
    </row>
    <row r="50" spans="1:12" ht="16.5" thickBot="1">
      <c r="A50" s="36"/>
      <c r="B50" s="38"/>
      <c r="C50" s="37"/>
      <c r="D50" s="37"/>
      <c r="E50" s="39"/>
      <c r="F50" s="40"/>
      <c r="G50" s="41"/>
      <c r="H50"/>
      <c r="I50" s="2"/>
      <c r="K50" s="14" t="e">
        <f t="shared" si="0"/>
        <v>#DIV/0!</v>
      </c>
      <c r="L50" s="14" t="e">
        <f t="shared" si="1"/>
        <v>#DIV/0!</v>
      </c>
    </row>
    <row r="51" spans="1:12" ht="16.5" thickBot="1">
      <c r="A51" s="36"/>
      <c r="B51" s="38"/>
      <c r="C51" s="37"/>
      <c r="D51" s="37"/>
      <c r="E51" s="39"/>
      <c r="F51" s="40"/>
      <c r="G51" s="41"/>
      <c r="H51"/>
      <c r="I51" s="2"/>
      <c r="K51" s="14" t="e">
        <f t="shared" si="0"/>
        <v>#DIV/0!</v>
      </c>
      <c r="L51" s="14" t="e">
        <f t="shared" si="1"/>
        <v>#DIV/0!</v>
      </c>
    </row>
    <row r="52" spans="1:12">
      <c r="A52" s="28"/>
      <c r="F52" s="13"/>
    </row>
    <row r="53" spans="1:12">
      <c r="A53" s="28"/>
    </row>
    <row r="54" spans="1:12">
      <c r="A54" s="28"/>
    </row>
    <row r="55" spans="1:12">
      <c r="A55" s="28"/>
    </row>
    <row r="56" spans="1:12">
      <c r="A56" s="28"/>
    </row>
    <row r="57" spans="1:12">
      <c r="A57" s="28"/>
    </row>
    <row r="58" spans="1:12">
      <c r="A58" s="28"/>
    </row>
    <row r="62" spans="1:12">
      <c r="A62" s="16"/>
    </row>
  </sheetData>
  <sortState xmlns:xlrd2="http://schemas.microsoft.com/office/spreadsheetml/2017/richdata2" ref="A2:M715">
    <sortCondition ref="D2:D715"/>
  </sortState>
  <hyperlinks>
    <hyperlink ref="B2" r:id="rId1" tooltip="TEAM PERDUE" display="https://www.fec.gov/data/committee/C00578542/" xr:uid="{0734CAF2-53BC-49CD-8762-FA33301E8E93}"/>
    <hyperlink ref="B3" r:id="rId2" tooltip="PERDUE VICTORY INC" display="https://www.fec.gov/data/committee/C00571620/" xr:uid="{A134A32E-DAB2-4DE9-AB46-AC442FC2CC42}"/>
    <hyperlink ref="B4" r:id="rId3" tooltip="PERDUE FOR SENATE" display="https://www.fec.gov/data/committee/C00547570/" xr:uid="{CB10EEAA-7C3F-4B22-8AF9-5AC0602A1EDA}"/>
  </hyperlinks>
  <pageMargins left="0.7" right="0.7" top="0.75" bottom="0.75" header="0.3" footer="0.3"/>
  <pageSetup orientation="portrait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8"/>
  <sheetViews>
    <sheetView workbookViewId="0">
      <selection activeCell="J11" sqref="J11"/>
    </sheetView>
  </sheetViews>
  <sheetFormatPr defaultRowHeight="15"/>
  <cols>
    <col min="1" max="1" width="15.28515625" customWidth="1"/>
    <col min="2" max="2" width="23" customWidth="1"/>
    <col min="3" max="3" width="14.5703125" customWidth="1"/>
    <col min="4" max="4" width="23.5703125" customWidth="1"/>
    <col min="5" max="5" width="12.5703125" customWidth="1"/>
    <col min="6" max="6" width="12.140625" customWidth="1"/>
  </cols>
  <sheetData>
    <row r="1" spans="1:13">
      <c r="A1" t="s">
        <v>14</v>
      </c>
      <c r="B1" t="s">
        <v>15</v>
      </c>
      <c r="C1" t="s">
        <v>10</v>
      </c>
      <c r="D1" t="s">
        <v>16</v>
      </c>
      <c r="E1" t="s">
        <v>17</v>
      </c>
      <c r="F1" t="s">
        <v>18</v>
      </c>
      <c r="G1" s="10" t="s">
        <v>20</v>
      </c>
      <c r="H1" t="s">
        <v>4</v>
      </c>
      <c r="I1" s="2" t="s">
        <v>6</v>
      </c>
      <c r="J1" t="s">
        <v>5</v>
      </c>
      <c r="K1" s="10" t="s">
        <v>11</v>
      </c>
      <c r="L1" s="10" t="s">
        <v>12</v>
      </c>
      <c r="M1" s="10" t="s">
        <v>21</v>
      </c>
    </row>
    <row r="2" spans="1:13" ht="16.5" thickBot="1">
      <c r="A2" t="s">
        <v>136</v>
      </c>
      <c r="B2" s="38" t="s">
        <v>137</v>
      </c>
      <c r="C2" s="37" t="s">
        <v>22</v>
      </c>
      <c r="D2" s="37" t="s">
        <v>138</v>
      </c>
      <c r="E2" s="39">
        <v>44097</v>
      </c>
      <c r="F2" s="40">
        <v>1000</v>
      </c>
      <c r="G2" s="35" t="s">
        <v>2</v>
      </c>
      <c r="H2">
        <v>0</v>
      </c>
      <c r="I2">
        <v>100</v>
      </c>
      <c r="K2" s="14">
        <f>(+H2/(H2+I2))*100</f>
        <v>0</v>
      </c>
      <c r="L2" s="14">
        <f>(+I2/(H2+I2))*100</f>
        <v>100</v>
      </c>
    </row>
    <row r="3" spans="1:13" ht="29.25" thickBot="1">
      <c r="A3" s="36" t="s">
        <v>136</v>
      </c>
      <c r="B3" s="38" t="s">
        <v>139</v>
      </c>
      <c r="C3" s="37" t="s">
        <v>22</v>
      </c>
      <c r="D3" s="37" t="s">
        <v>138</v>
      </c>
      <c r="E3" s="39">
        <v>44024</v>
      </c>
      <c r="F3" s="40">
        <v>250</v>
      </c>
      <c r="G3" s="35" t="s">
        <v>2</v>
      </c>
      <c r="H3">
        <v>0</v>
      </c>
      <c r="I3">
        <v>100</v>
      </c>
      <c r="K3" s="14">
        <f>(+H3/(H3+I3))*100</f>
        <v>0</v>
      </c>
      <c r="L3" s="14">
        <f>(+I3/(H3+I3))*100</f>
        <v>100</v>
      </c>
    </row>
    <row r="4" spans="1:13">
      <c r="F4" s="11">
        <f>SUM(F2:F3)</f>
        <v>1250</v>
      </c>
    </row>
    <row r="5" spans="1:13">
      <c r="K5" t="s">
        <v>65</v>
      </c>
    </row>
    <row r="8" spans="1:13">
      <c r="A8" s="43"/>
    </row>
    <row r="19" spans="1:1">
      <c r="A19" s="17"/>
    </row>
    <row r="24" spans="1:1">
      <c r="A24" s="2"/>
    </row>
    <row r="28" spans="1:1">
      <c r="A2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7"/>
  <sheetViews>
    <sheetView workbookViewId="0">
      <selection activeCell="A6" sqref="A6"/>
    </sheetView>
  </sheetViews>
  <sheetFormatPr defaultRowHeight="15"/>
  <cols>
    <col min="1" max="1" width="19.140625" customWidth="1"/>
    <col min="2" max="2" width="20.28515625" customWidth="1"/>
    <col min="3" max="3" width="15.7109375" customWidth="1"/>
    <col min="4" max="4" width="43.140625" customWidth="1"/>
    <col min="5" max="5" width="11.7109375" customWidth="1"/>
    <col min="6" max="6" width="20.28515625" customWidth="1"/>
    <col min="8" max="8" width="13.85546875" customWidth="1"/>
  </cols>
  <sheetData>
    <row r="1" spans="1:13">
      <c r="A1" t="s">
        <v>14</v>
      </c>
      <c r="B1" t="s">
        <v>15</v>
      </c>
      <c r="C1" t="s">
        <v>10</v>
      </c>
      <c r="D1" t="s">
        <v>16</v>
      </c>
      <c r="E1" t="s">
        <v>17</v>
      </c>
      <c r="F1" t="s">
        <v>18</v>
      </c>
      <c r="G1" s="10" t="s">
        <v>20</v>
      </c>
      <c r="H1" t="s">
        <v>4</v>
      </c>
      <c r="I1" s="2" t="s">
        <v>6</v>
      </c>
      <c r="J1" t="s">
        <v>5</v>
      </c>
      <c r="K1" s="10" t="s">
        <v>11</v>
      </c>
      <c r="L1" s="10" t="s">
        <v>12</v>
      </c>
      <c r="M1" s="10" t="s">
        <v>21</v>
      </c>
    </row>
    <row r="2" spans="1:13" ht="16.5" thickBot="1">
      <c r="A2" s="36"/>
      <c r="B2" s="38"/>
      <c r="C2" s="37"/>
      <c r="D2" s="37"/>
      <c r="E2" s="39"/>
      <c r="F2" s="40"/>
      <c r="G2" s="41"/>
      <c r="H2" s="44"/>
      <c r="I2" s="10"/>
      <c r="K2" s="14" t="e">
        <f>(+H2/(H2+I2))*100</f>
        <v>#DIV/0!</v>
      </c>
      <c r="L2" s="14" t="e">
        <f>(+I2/(H2+I2))*100</f>
        <v>#DIV/0!</v>
      </c>
    </row>
    <row r="3" spans="1:13" ht="16.5" thickBot="1">
      <c r="A3" s="36"/>
      <c r="B3" s="38"/>
      <c r="C3" s="37"/>
      <c r="D3" s="37"/>
      <c r="E3" s="39"/>
      <c r="F3" s="40"/>
      <c r="G3" s="41"/>
      <c r="H3" s="44"/>
      <c r="I3" s="10"/>
      <c r="K3" s="14" t="e">
        <f t="shared" ref="K3:K26" si="0">(+H3/(H3+I3))*100</f>
        <v>#DIV/0!</v>
      </c>
      <c r="L3" s="14" t="e">
        <f t="shared" ref="L3:L26" si="1">(+I3/(H3+I3))*100</f>
        <v>#DIV/0!</v>
      </c>
    </row>
    <row r="4" spans="1:13" ht="16.5" thickBot="1">
      <c r="A4" s="36"/>
      <c r="B4" s="38"/>
      <c r="C4" s="37"/>
      <c r="D4" s="37"/>
      <c r="E4" s="39"/>
      <c r="F4" s="40"/>
      <c r="G4" s="41"/>
      <c r="H4" s="44"/>
      <c r="I4" s="10"/>
      <c r="K4" s="14" t="e">
        <f t="shared" si="0"/>
        <v>#DIV/0!</v>
      </c>
      <c r="L4" s="14" t="e">
        <f t="shared" si="1"/>
        <v>#DIV/0!</v>
      </c>
    </row>
    <row r="5" spans="1:13" ht="16.5" thickBot="1">
      <c r="A5" s="36"/>
      <c r="B5" s="38"/>
      <c r="C5" s="37"/>
      <c r="D5" s="37"/>
      <c r="E5" s="39"/>
      <c r="F5" s="40"/>
      <c r="G5" s="41"/>
      <c r="H5" s="44"/>
      <c r="I5" s="10"/>
      <c r="K5" s="14" t="e">
        <f t="shared" si="0"/>
        <v>#DIV/0!</v>
      </c>
      <c r="L5" s="14" t="e">
        <f t="shared" si="1"/>
        <v>#DIV/0!</v>
      </c>
    </row>
    <row r="6" spans="1:13" ht="16.5" thickBot="1">
      <c r="A6" s="36"/>
      <c r="B6" s="38"/>
      <c r="C6" s="37"/>
      <c r="D6" s="37"/>
      <c r="E6" s="39"/>
      <c r="F6" s="40"/>
      <c r="G6" s="41"/>
      <c r="H6" s="44"/>
      <c r="I6" s="10"/>
      <c r="K6" s="14" t="e">
        <f t="shared" si="0"/>
        <v>#DIV/0!</v>
      </c>
      <c r="L6" s="14" t="e">
        <f t="shared" si="1"/>
        <v>#DIV/0!</v>
      </c>
    </row>
    <row r="7" spans="1:13" ht="16.5" thickBot="1">
      <c r="A7" s="36"/>
      <c r="B7" s="38"/>
      <c r="C7" s="37"/>
      <c r="D7" s="37"/>
      <c r="E7" s="39"/>
      <c r="F7" s="40"/>
      <c r="G7" s="41"/>
      <c r="H7" s="44"/>
      <c r="I7" s="10"/>
      <c r="K7" s="14" t="e">
        <f t="shared" si="0"/>
        <v>#DIV/0!</v>
      </c>
      <c r="L7" s="14" t="e">
        <f t="shared" si="1"/>
        <v>#DIV/0!</v>
      </c>
    </row>
    <row r="8" spans="1:13" ht="16.5" thickBot="1">
      <c r="A8" s="36"/>
      <c r="B8" s="38"/>
      <c r="C8" s="37"/>
      <c r="D8" s="37"/>
      <c r="E8" s="39"/>
      <c r="F8" s="40"/>
      <c r="G8" s="41"/>
      <c r="H8" s="44"/>
      <c r="I8" s="10"/>
      <c r="K8" s="14" t="e">
        <f t="shared" si="0"/>
        <v>#DIV/0!</v>
      </c>
      <c r="L8" s="14" t="e">
        <f t="shared" si="1"/>
        <v>#DIV/0!</v>
      </c>
    </row>
    <row r="9" spans="1:13" ht="16.5" thickBot="1">
      <c r="A9" s="36"/>
      <c r="B9" s="38"/>
      <c r="C9" s="37"/>
      <c r="D9" s="37"/>
      <c r="E9" s="39"/>
      <c r="F9" s="40"/>
      <c r="G9" s="41"/>
      <c r="H9" s="44"/>
      <c r="I9" s="10"/>
      <c r="K9" s="14" t="e">
        <f t="shared" si="0"/>
        <v>#DIV/0!</v>
      </c>
      <c r="L9" s="14" t="e">
        <f t="shared" si="1"/>
        <v>#DIV/0!</v>
      </c>
    </row>
    <row r="10" spans="1:13" ht="16.5" thickBot="1">
      <c r="A10" s="36"/>
      <c r="B10" s="38"/>
      <c r="C10" s="37"/>
      <c r="D10" s="37"/>
      <c r="E10" s="39"/>
      <c r="F10" s="40"/>
      <c r="G10" s="41"/>
      <c r="H10" s="44"/>
      <c r="I10" s="10"/>
      <c r="K10" s="14" t="e">
        <f t="shared" si="0"/>
        <v>#DIV/0!</v>
      </c>
      <c r="L10" s="14" t="e">
        <f t="shared" si="1"/>
        <v>#DIV/0!</v>
      </c>
    </row>
    <row r="11" spans="1:13" ht="16.5" thickBot="1">
      <c r="A11" s="36"/>
      <c r="B11" s="38"/>
      <c r="C11" s="37"/>
      <c r="D11" s="37"/>
      <c r="E11" s="39"/>
      <c r="F11" s="40"/>
      <c r="G11" s="41"/>
      <c r="H11" s="44"/>
      <c r="I11" s="10"/>
      <c r="K11" s="14" t="e">
        <f t="shared" si="0"/>
        <v>#DIV/0!</v>
      </c>
      <c r="L11" s="14" t="e">
        <f t="shared" si="1"/>
        <v>#DIV/0!</v>
      </c>
    </row>
    <row r="12" spans="1:13" ht="16.5" thickBot="1">
      <c r="A12" s="36"/>
      <c r="B12" s="38"/>
      <c r="C12" s="37"/>
      <c r="D12" s="37"/>
      <c r="E12" s="39"/>
      <c r="F12" s="40"/>
      <c r="G12" s="41"/>
      <c r="H12" s="44"/>
      <c r="I12" s="10"/>
      <c r="K12" s="14" t="e">
        <f t="shared" si="0"/>
        <v>#DIV/0!</v>
      </c>
      <c r="L12" s="14" t="e">
        <f t="shared" si="1"/>
        <v>#DIV/0!</v>
      </c>
    </row>
    <row r="13" spans="1:13" ht="16.5" thickBot="1">
      <c r="A13" s="36"/>
      <c r="B13" s="38"/>
      <c r="C13" s="37"/>
      <c r="D13" s="37"/>
      <c r="E13" s="39"/>
      <c r="F13" s="40"/>
      <c r="G13" s="41"/>
      <c r="H13" s="44"/>
      <c r="I13" s="10"/>
      <c r="K13" s="14" t="e">
        <f t="shared" si="0"/>
        <v>#DIV/0!</v>
      </c>
      <c r="L13" s="14" t="e">
        <f t="shared" si="1"/>
        <v>#DIV/0!</v>
      </c>
    </row>
    <row r="14" spans="1:13" ht="16.5" thickBot="1">
      <c r="A14" s="36"/>
      <c r="B14" s="38"/>
      <c r="C14" s="37"/>
      <c r="D14" s="37"/>
      <c r="E14" s="39"/>
      <c r="F14" s="40"/>
      <c r="G14" s="41"/>
      <c r="H14" s="44"/>
      <c r="I14" s="10"/>
      <c r="K14" s="14" t="e">
        <f t="shared" si="0"/>
        <v>#DIV/0!</v>
      </c>
      <c r="L14" s="14" t="e">
        <f t="shared" si="1"/>
        <v>#DIV/0!</v>
      </c>
    </row>
    <row r="15" spans="1:13" ht="16.5" thickBot="1">
      <c r="A15" s="36"/>
      <c r="B15" s="38"/>
      <c r="C15" s="37"/>
      <c r="D15" s="37"/>
      <c r="E15" s="39"/>
      <c r="F15" s="40"/>
      <c r="G15" s="41"/>
      <c r="H15" s="44"/>
      <c r="I15" s="10"/>
      <c r="K15" s="14" t="e">
        <f t="shared" si="0"/>
        <v>#DIV/0!</v>
      </c>
      <c r="L15" s="14" t="e">
        <f t="shared" si="1"/>
        <v>#DIV/0!</v>
      </c>
    </row>
    <row r="16" spans="1:13" ht="16.5" thickBot="1">
      <c r="A16" s="36"/>
      <c r="B16" s="38"/>
      <c r="C16" s="37"/>
      <c r="D16" s="37"/>
      <c r="E16" s="39"/>
      <c r="F16" s="40"/>
      <c r="G16" s="41"/>
      <c r="H16" s="44"/>
      <c r="I16" s="10"/>
      <c r="K16" s="14" t="e">
        <f t="shared" si="0"/>
        <v>#DIV/0!</v>
      </c>
      <c r="L16" s="14" t="e">
        <f t="shared" si="1"/>
        <v>#DIV/0!</v>
      </c>
    </row>
    <row r="17" spans="1:12" ht="16.5" thickBot="1">
      <c r="A17" s="36"/>
      <c r="B17" s="38"/>
      <c r="C17" s="37"/>
      <c r="D17" s="37"/>
      <c r="E17" s="39"/>
      <c r="F17" s="40"/>
      <c r="G17" s="41"/>
      <c r="H17" s="44"/>
      <c r="I17" s="10"/>
      <c r="K17" s="14" t="e">
        <f t="shared" si="0"/>
        <v>#DIV/0!</v>
      </c>
      <c r="L17" s="14" t="e">
        <f t="shared" si="1"/>
        <v>#DIV/0!</v>
      </c>
    </row>
    <row r="18" spans="1:12" ht="16.5" thickBot="1">
      <c r="A18" s="36"/>
      <c r="B18" s="38"/>
      <c r="C18" s="37"/>
      <c r="D18" s="37"/>
      <c r="E18" s="39"/>
      <c r="F18" s="40"/>
      <c r="G18" s="41"/>
      <c r="H18" s="44"/>
      <c r="I18" s="10"/>
      <c r="K18" s="14" t="e">
        <f t="shared" si="0"/>
        <v>#DIV/0!</v>
      </c>
      <c r="L18" s="14" t="e">
        <f t="shared" si="1"/>
        <v>#DIV/0!</v>
      </c>
    </row>
    <row r="19" spans="1:12" ht="16.5" thickBot="1">
      <c r="A19" s="36"/>
      <c r="B19" s="38"/>
      <c r="C19" s="37"/>
      <c r="D19" s="37"/>
      <c r="E19" s="39"/>
      <c r="F19" s="40"/>
      <c r="G19" s="41"/>
      <c r="H19" s="44"/>
      <c r="I19" s="10"/>
      <c r="K19" s="14" t="e">
        <f t="shared" si="0"/>
        <v>#DIV/0!</v>
      </c>
      <c r="L19" s="14" t="e">
        <f t="shared" si="1"/>
        <v>#DIV/0!</v>
      </c>
    </row>
    <row r="20" spans="1:12" ht="16.5" thickBot="1">
      <c r="A20" s="36"/>
      <c r="B20" s="38"/>
      <c r="C20" s="37"/>
      <c r="D20" s="37"/>
      <c r="E20" s="39"/>
      <c r="F20" s="40"/>
      <c r="G20" s="41"/>
      <c r="H20" s="44"/>
      <c r="I20" s="10"/>
      <c r="K20" s="14" t="e">
        <f t="shared" si="0"/>
        <v>#DIV/0!</v>
      </c>
      <c r="L20" s="14" t="e">
        <f t="shared" si="1"/>
        <v>#DIV/0!</v>
      </c>
    </row>
    <row r="21" spans="1:12" ht="16.5" thickBot="1">
      <c r="A21" s="36"/>
      <c r="B21" s="38"/>
      <c r="C21" s="37"/>
      <c r="D21" s="37"/>
      <c r="E21" s="39"/>
      <c r="F21" s="40"/>
      <c r="G21" s="41"/>
      <c r="H21" s="44"/>
      <c r="I21" s="10"/>
      <c r="K21" s="14" t="e">
        <f t="shared" si="0"/>
        <v>#DIV/0!</v>
      </c>
      <c r="L21" s="14" t="e">
        <f t="shared" si="1"/>
        <v>#DIV/0!</v>
      </c>
    </row>
    <row r="22" spans="1:12" ht="16.5" thickBot="1">
      <c r="A22" s="36"/>
      <c r="B22" s="38"/>
      <c r="C22" s="37"/>
      <c r="D22" s="37"/>
      <c r="E22" s="39"/>
      <c r="F22" s="40"/>
      <c r="G22" s="41"/>
      <c r="H22" s="44"/>
      <c r="I22" s="10"/>
      <c r="K22" s="14" t="e">
        <f t="shared" si="0"/>
        <v>#DIV/0!</v>
      </c>
      <c r="L22" s="14" t="e">
        <f t="shared" si="1"/>
        <v>#DIV/0!</v>
      </c>
    </row>
    <row r="23" spans="1:12" ht="16.5" thickBot="1">
      <c r="A23" s="36"/>
      <c r="B23" s="38"/>
      <c r="C23" s="37"/>
      <c r="D23" s="37"/>
      <c r="E23" s="39"/>
      <c r="F23" s="40"/>
      <c r="G23" s="41"/>
      <c r="H23" s="44"/>
      <c r="I23" s="10"/>
      <c r="K23" s="14" t="e">
        <f t="shared" si="0"/>
        <v>#DIV/0!</v>
      </c>
      <c r="L23" s="14" t="e">
        <f t="shared" si="1"/>
        <v>#DIV/0!</v>
      </c>
    </row>
    <row r="24" spans="1:12" ht="16.5" thickBot="1">
      <c r="A24" s="36"/>
      <c r="B24" s="38"/>
      <c r="C24" s="37"/>
      <c r="D24" s="37"/>
      <c r="E24" s="39"/>
      <c r="F24" s="40"/>
      <c r="G24" s="41"/>
      <c r="H24" s="44"/>
      <c r="I24" s="10"/>
      <c r="K24" s="14" t="e">
        <f t="shared" si="0"/>
        <v>#DIV/0!</v>
      </c>
      <c r="L24" s="14" t="e">
        <f t="shared" si="1"/>
        <v>#DIV/0!</v>
      </c>
    </row>
    <row r="25" spans="1:12" ht="16.5" thickBot="1">
      <c r="A25" s="36"/>
      <c r="B25" s="38"/>
      <c r="C25" s="37"/>
      <c r="D25" s="37"/>
      <c r="E25" s="39"/>
      <c r="F25" s="40"/>
      <c r="G25" s="41"/>
      <c r="H25" s="44"/>
      <c r="I25" s="10"/>
      <c r="K25" s="14" t="e">
        <f t="shared" si="0"/>
        <v>#DIV/0!</v>
      </c>
      <c r="L25" s="14" t="e">
        <f t="shared" si="1"/>
        <v>#DIV/0!</v>
      </c>
    </row>
    <row r="26" spans="1:12" ht="16.5" thickBot="1">
      <c r="A26" s="36"/>
      <c r="B26" s="38"/>
      <c r="C26" s="37"/>
      <c r="D26" s="37"/>
      <c r="E26" s="39"/>
      <c r="F26" s="40"/>
      <c r="G26" s="41"/>
      <c r="H26" s="44"/>
      <c r="I26" s="10"/>
      <c r="K26" s="14" t="e">
        <f t="shared" si="0"/>
        <v>#DIV/0!</v>
      </c>
      <c r="L26" s="14" t="e">
        <f t="shared" si="1"/>
        <v>#DIV/0!</v>
      </c>
    </row>
    <row r="27" spans="1:12">
      <c r="F27" s="11"/>
    </row>
  </sheetData>
  <sortState xmlns:xlrd2="http://schemas.microsoft.com/office/spreadsheetml/2017/richdata2" ref="A22:F350">
    <sortCondition ref="A22:A350"/>
    <sortCondition ref="D22:D350"/>
    <sortCondition ref="B22:B350"/>
    <sortCondition ref="C22:C35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"/>
  <sheetViews>
    <sheetView workbookViewId="0">
      <selection activeCell="H5" sqref="H5"/>
    </sheetView>
  </sheetViews>
  <sheetFormatPr defaultRowHeight="15"/>
  <cols>
    <col min="2" max="2" width="23" customWidth="1"/>
    <col min="4" max="4" width="19.5703125" customWidth="1"/>
    <col min="5" max="5" width="10.42578125" customWidth="1"/>
    <col min="6" max="6" width="11.85546875" customWidth="1"/>
  </cols>
  <sheetData>
    <row r="1" spans="1:13">
      <c r="A1" t="s">
        <v>14</v>
      </c>
      <c r="B1" t="s">
        <v>15</v>
      </c>
      <c r="C1" t="s">
        <v>10</v>
      </c>
      <c r="D1" t="s">
        <v>16</v>
      </c>
      <c r="E1" t="s">
        <v>17</v>
      </c>
      <c r="F1" t="s">
        <v>18</v>
      </c>
      <c r="G1" s="10" t="s">
        <v>20</v>
      </c>
      <c r="H1" t="s">
        <v>4</v>
      </c>
      <c r="I1" s="2" t="s">
        <v>6</v>
      </c>
      <c r="J1" t="s">
        <v>5</v>
      </c>
      <c r="K1" s="10" t="s">
        <v>11</v>
      </c>
      <c r="L1" s="10" t="s">
        <v>12</v>
      </c>
      <c r="M1" s="10" t="s">
        <v>21</v>
      </c>
    </row>
    <row r="2" spans="1:13" ht="43.5" thickBot="1">
      <c r="A2" s="36" t="s">
        <v>165</v>
      </c>
      <c r="B2" s="38" t="s">
        <v>0</v>
      </c>
      <c r="C2" s="37" t="s">
        <v>166</v>
      </c>
      <c r="D2" s="37" t="s">
        <v>167</v>
      </c>
      <c r="E2" s="39">
        <v>44117</v>
      </c>
      <c r="F2" s="40">
        <v>200</v>
      </c>
      <c r="G2" s="41" t="s">
        <v>2</v>
      </c>
      <c r="H2">
        <v>0</v>
      </c>
      <c r="I2" s="2">
        <v>100</v>
      </c>
      <c r="J2" s="10"/>
      <c r="K2" s="14">
        <f>(+H2/(H2+I2))*100</f>
        <v>0</v>
      </c>
      <c r="L2" s="14">
        <f>(+I2/(H2+I2))*100</f>
        <v>100</v>
      </c>
    </row>
    <row r="3" spans="1:13" ht="43.5" thickBot="1">
      <c r="A3" s="36" t="s">
        <v>165</v>
      </c>
      <c r="B3" s="38" t="s">
        <v>168</v>
      </c>
      <c r="C3" s="37" t="s">
        <v>166</v>
      </c>
      <c r="D3" s="37" t="s">
        <v>167</v>
      </c>
      <c r="E3" s="39">
        <v>44061</v>
      </c>
      <c r="F3" s="40">
        <v>100</v>
      </c>
      <c r="G3" s="41" t="s">
        <v>2</v>
      </c>
      <c r="H3">
        <v>0</v>
      </c>
      <c r="I3" s="2">
        <v>100</v>
      </c>
      <c r="J3" s="10"/>
      <c r="K3" s="14">
        <f>(+H3/(H3+I3))*100</f>
        <v>0</v>
      </c>
      <c r="L3" s="14">
        <f>(+I3/(H3+I3))*100</f>
        <v>100</v>
      </c>
    </row>
  </sheetData>
  <hyperlinks>
    <hyperlink ref="B2" r:id="rId1" tooltip="BIDEN FOR PRESIDENT" display="https://www.fec.gov/data/committee/C00703975/" xr:uid="{37BE49CF-2CD1-43B4-A573-0B750A171EEF}"/>
    <hyperlink ref="B3" r:id="rId2" tooltip="ACTBLUE" display="https://www.fec.gov/data/committee/C00401224/" xr:uid="{8B335396-3B32-44EC-B870-A6E1C63BA36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2"/>
  <sheetViews>
    <sheetView workbookViewId="0">
      <selection activeCell="F10" sqref="F10"/>
    </sheetView>
  </sheetViews>
  <sheetFormatPr defaultColWidth="8.85546875" defaultRowHeight="15"/>
  <cols>
    <col min="1" max="1" width="24" style="10" customWidth="1"/>
    <col min="2" max="2" width="41.140625" style="10" customWidth="1"/>
    <col min="3" max="4" width="8.85546875" style="10"/>
    <col min="5" max="5" width="12.7109375" style="10" customWidth="1"/>
    <col min="6" max="6" width="12.42578125" style="10" customWidth="1"/>
    <col min="7" max="16384" width="8.85546875" style="10"/>
  </cols>
  <sheetData>
    <row r="1" spans="1:13">
      <c r="A1" s="10" t="s">
        <v>14</v>
      </c>
      <c r="B1" s="10" t="s">
        <v>15</v>
      </c>
      <c r="C1" s="10" t="s">
        <v>10</v>
      </c>
      <c r="D1" s="10" t="s">
        <v>16</v>
      </c>
      <c r="E1" s="10" t="s">
        <v>17</v>
      </c>
      <c r="F1" s="10" t="s">
        <v>18</v>
      </c>
      <c r="G1" s="10" t="s">
        <v>20</v>
      </c>
      <c r="H1" s="10" t="s">
        <v>4</v>
      </c>
      <c r="I1" s="12" t="s">
        <v>6</v>
      </c>
      <c r="J1" s="10" t="s">
        <v>5</v>
      </c>
      <c r="K1" s="10" t="s">
        <v>11</v>
      </c>
      <c r="L1" s="10" t="s">
        <v>12</v>
      </c>
      <c r="M1" s="10" t="s">
        <v>21</v>
      </c>
    </row>
    <row r="2" spans="1:13" ht="29.25" thickBot="1">
      <c r="A2" s="36" t="s">
        <v>177</v>
      </c>
      <c r="B2" s="38" t="s">
        <v>178</v>
      </c>
      <c r="C2" s="37" t="s">
        <v>179</v>
      </c>
      <c r="D2" s="37" t="s">
        <v>180</v>
      </c>
      <c r="E2" s="39">
        <v>43790</v>
      </c>
      <c r="F2" s="40">
        <v>2800</v>
      </c>
      <c r="H2" s="10">
        <v>0</v>
      </c>
      <c r="I2" s="10">
        <v>100</v>
      </c>
      <c r="K2" s="14">
        <f>(+H2/(H2+I2))*100</f>
        <v>0</v>
      </c>
      <c r="L2" s="14">
        <f>(+I2/(H2+I2))*100</f>
        <v>100</v>
      </c>
    </row>
    <row r="3" spans="1:13" ht="29.25" thickBot="1">
      <c r="A3" s="36" t="s">
        <v>177</v>
      </c>
      <c r="B3" s="38" t="s">
        <v>178</v>
      </c>
      <c r="C3" s="37" t="s">
        <v>179</v>
      </c>
      <c r="D3" s="37" t="s">
        <v>180</v>
      </c>
      <c r="E3" s="39">
        <v>43790</v>
      </c>
      <c r="F3" s="40">
        <v>2800</v>
      </c>
      <c r="H3" s="10">
        <v>0</v>
      </c>
      <c r="I3" s="10">
        <v>100</v>
      </c>
      <c r="K3" s="14">
        <f t="shared" ref="K3:K4" si="0">(+H3/(H3+I3))*100</f>
        <v>0</v>
      </c>
      <c r="L3" s="14">
        <f t="shared" ref="L3:L4" si="1">(+I3/(H3+I3))*100</f>
        <v>100</v>
      </c>
    </row>
    <row r="4" spans="1:13" ht="29.25" thickBot="1">
      <c r="A4" s="36" t="s">
        <v>177</v>
      </c>
      <c r="B4" s="38" t="s">
        <v>181</v>
      </c>
      <c r="C4" s="37" t="s">
        <v>179</v>
      </c>
      <c r="D4" s="37" t="s">
        <v>180</v>
      </c>
      <c r="E4" s="39">
        <v>43556</v>
      </c>
      <c r="F4" s="40">
        <v>2800</v>
      </c>
      <c r="H4" s="10">
        <v>0</v>
      </c>
      <c r="I4" s="10">
        <v>100</v>
      </c>
      <c r="K4" s="14">
        <f t="shared" si="0"/>
        <v>0</v>
      </c>
      <c r="L4" s="14">
        <f t="shared" si="1"/>
        <v>100</v>
      </c>
    </row>
    <row r="5" spans="1:13" ht="16.5" thickBot="1">
      <c r="A5" s="36"/>
      <c r="B5" s="38"/>
      <c r="C5" s="37"/>
      <c r="D5" s="37"/>
      <c r="E5" s="39"/>
      <c r="F5" s="40">
        <f>SUM(F2:F4)</f>
        <v>8400</v>
      </c>
      <c r="K5" s="14"/>
      <c r="L5" s="14"/>
    </row>
    <row r="6" spans="1:13" ht="16.5" thickBot="1">
      <c r="A6" s="36"/>
      <c r="B6" s="38"/>
      <c r="C6" s="37"/>
      <c r="D6" s="37"/>
      <c r="E6" s="39"/>
      <c r="F6" s="40"/>
      <c r="K6" s="14"/>
      <c r="L6" s="14"/>
    </row>
    <row r="7" spans="1:13" ht="16.5" thickBot="1">
      <c r="A7" s="36"/>
      <c r="B7" s="38"/>
      <c r="C7" s="37"/>
      <c r="D7" s="37"/>
      <c r="E7" s="39"/>
      <c r="F7" s="40"/>
      <c r="K7" s="14"/>
      <c r="L7" s="14"/>
    </row>
    <row r="8" spans="1:13" ht="16.5" thickBot="1">
      <c r="A8" s="36"/>
      <c r="B8" s="38"/>
      <c r="C8" s="37"/>
      <c r="D8" s="37"/>
      <c r="E8" s="39"/>
      <c r="F8" s="40"/>
      <c r="K8" s="14"/>
      <c r="L8" s="14"/>
    </row>
    <row r="9" spans="1:13" ht="16.5" thickBot="1">
      <c r="A9" s="36"/>
      <c r="B9" s="38"/>
      <c r="C9" s="37"/>
      <c r="D9" s="37"/>
      <c r="E9" s="39"/>
      <c r="F9" s="40"/>
      <c r="K9" s="14"/>
      <c r="L9" s="14"/>
    </row>
    <row r="10" spans="1:13" ht="16.5" thickBot="1">
      <c r="A10" s="36"/>
      <c r="B10" s="38"/>
      <c r="C10" s="37"/>
      <c r="D10" s="37"/>
      <c r="E10" s="39"/>
      <c r="F10" s="40"/>
      <c r="K10" s="14"/>
      <c r="L10" s="14"/>
    </row>
    <row r="11" spans="1:13" ht="16.5" thickBot="1">
      <c r="A11" s="36"/>
      <c r="B11" s="38"/>
      <c r="C11" s="37"/>
      <c r="D11" s="37"/>
      <c r="E11" s="39"/>
      <c r="F11" s="40"/>
      <c r="K11" s="14"/>
      <c r="L11" s="14"/>
    </row>
    <row r="12" spans="1:13" ht="16.5" thickBot="1">
      <c r="A12" s="36"/>
      <c r="B12" s="38"/>
      <c r="C12" s="37"/>
      <c r="D12" s="37"/>
      <c r="E12" s="39"/>
      <c r="F12" s="40"/>
      <c r="K12" s="14"/>
      <c r="L12" s="14"/>
    </row>
    <row r="13" spans="1:13" ht="16.5" thickBot="1">
      <c r="A13" s="36"/>
      <c r="B13" s="38"/>
      <c r="C13" s="37"/>
      <c r="D13" s="37"/>
      <c r="E13" s="39"/>
      <c r="F13" s="40"/>
      <c r="K13" s="14"/>
      <c r="L13" s="14"/>
    </row>
    <row r="14" spans="1:13" ht="16.5" thickBot="1">
      <c r="A14" s="36"/>
      <c r="B14" s="38"/>
      <c r="C14" s="37"/>
      <c r="D14" s="37"/>
      <c r="E14" s="39"/>
      <c r="F14" s="40"/>
      <c r="K14" s="14"/>
      <c r="L14" s="14"/>
    </row>
    <row r="15" spans="1:13" ht="16.5" thickBot="1">
      <c r="A15" s="36"/>
      <c r="B15" s="38"/>
      <c r="C15" s="37"/>
      <c r="D15" s="37"/>
      <c r="E15" s="39"/>
      <c r="F15" s="40"/>
      <c r="K15" s="14"/>
      <c r="L15" s="14"/>
    </row>
    <row r="16" spans="1:13" ht="16.5" thickBot="1">
      <c r="A16" s="36"/>
      <c r="B16" s="38"/>
      <c r="C16" s="37"/>
      <c r="D16" s="37"/>
      <c r="E16" s="39"/>
      <c r="F16" s="40"/>
      <c r="K16" s="14"/>
      <c r="L16" s="14"/>
    </row>
    <row r="17" spans="1:12" ht="16.5" thickBot="1">
      <c r="A17" s="36"/>
      <c r="B17" s="38"/>
      <c r="C17" s="37"/>
      <c r="D17" s="37"/>
      <c r="E17" s="39"/>
      <c r="F17" s="40"/>
      <c r="K17" s="14"/>
      <c r="L17" s="14"/>
    </row>
    <row r="18" spans="1:12" ht="16.5" thickBot="1">
      <c r="A18" s="36"/>
      <c r="B18" s="38"/>
      <c r="C18" s="37"/>
      <c r="D18" s="37"/>
      <c r="E18" s="39"/>
      <c r="F18" s="40"/>
      <c r="K18" s="14"/>
      <c r="L18" s="14"/>
    </row>
    <row r="19" spans="1:12" ht="16.5" thickBot="1">
      <c r="A19" s="36"/>
      <c r="B19" s="38"/>
      <c r="C19" s="37"/>
      <c r="D19" s="37"/>
      <c r="E19" s="39"/>
      <c r="F19" s="40"/>
      <c r="K19" s="14"/>
      <c r="L19" s="14"/>
    </row>
    <row r="20" spans="1:12" ht="16.5" thickBot="1">
      <c r="A20" s="36"/>
      <c r="B20" s="38"/>
      <c r="C20" s="37"/>
      <c r="D20" s="37"/>
      <c r="E20" s="39"/>
      <c r="F20" s="40"/>
      <c r="K20" s="14"/>
      <c r="L20" s="14"/>
    </row>
    <row r="21" spans="1:12" ht="16.5" thickBot="1">
      <c r="A21" s="36"/>
      <c r="B21" s="38"/>
      <c r="C21" s="37"/>
      <c r="D21" s="37"/>
      <c r="E21" s="39"/>
      <c r="F21" s="40"/>
      <c r="K21" s="14"/>
      <c r="L21" s="14"/>
    </row>
    <row r="22" spans="1:12" ht="16.5" thickBot="1">
      <c r="A22" s="36"/>
      <c r="B22" s="38"/>
      <c r="C22" s="37"/>
      <c r="D22" s="37"/>
      <c r="E22" s="39"/>
      <c r="F22" s="40"/>
      <c r="K22" s="14"/>
      <c r="L22" s="14"/>
    </row>
    <row r="23" spans="1:12" ht="16.5" thickBot="1">
      <c r="A23" s="36"/>
      <c r="B23" s="38"/>
      <c r="C23" s="37"/>
      <c r="D23" s="37"/>
      <c r="E23" s="39"/>
      <c r="F23" s="40"/>
      <c r="K23" s="14"/>
      <c r="L23" s="14"/>
    </row>
    <row r="24" spans="1:12" ht="16.5" thickBot="1">
      <c r="A24" s="36"/>
      <c r="B24" s="38"/>
      <c r="C24" s="37"/>
      <c r="D24" s="37"/>
      <c r="E24" s="39"/>
      <c r="F24" s="40"/>
      <c r="K24" s="14"/>
      <c r="L24" s="14"/>
    </row>
    <row r="25" spans="1:12" ht="16.5" thickBot="1">
      <c r="A25" s="36"/>
      <c r="B25" s="38"/>
      <c r="C25" s="37"/>
      <c r="D25" s="37"/>
      <c r="E25" s="39"/>
      <c r="F25" s="40"/>
      <c r="K25" s="14"/>
      <c r="L25" s="14"/>
    </row>
    <row r="26" spans="1:12" ht="16.5" thickBot="1">
      <c r="A26" s="36"/>
      <c r="B26" s="38"/>
      <c r="C26" s="37"/>
      <c r="D26" s="37"/>
      <c r="E26" s="39"/>
      <c r="F26" s="40"/>
      <c r="K26" s="14"/>
      <c r="L26" s="14"/>
    </row>
    <row r="27" spans="1:12" ht="16.5" thickBot="1">
      <c r="A27" s="36"/>
      <c r="B27" s="38"/>
      <c r="C27" s="37"/>
      <c r="D27" s="37"/>
      <c r="E27" s="39"/>
      <c r="F27" s="40"/>
      <c r="K27" s="14"/>
      <c r="L27" s="14"/>
    </row>
    <row r="28" spans="1:12" ht="16.5" thickBot="1">
      <c r="A28" s="36"/>
      <c r="B28" s="38"/>
      <c r="C28" s="37"/>
      <c r="D28" s="37"/>
      <c r="E28" s="39"/>
      <c r="F28" s="40"/>
      <c r="K28" s="14"/>
      <c r="L28" s="14"/>
    </row>
    <row r="29" spans="1:12" ht="16.5" thickBot="1">
      <c r="A29" s="36"/>
      <c r="B29" s="38"/>
      <c r="C29" s="37"/>
      <c r="D29" s="37"/>
      <c r="E29" s="39"/>
      <c r="F29" s="40"/>
      <c r="K29" s="14"/>
      <c r="L29" s="14"/>
    </row>
    <row r="30" spans="1:12" ht="16.5" thickBot="1">
      <c r="A30" s="36"/>
      <c r="B30" s="38"/>
      <c r="C30" s="37"/>
      <c r="D30" s="37"/>
      <c r="E30" s="39"/>
      <c r="F30" s="40"/>
      <c r="K30" s="14"/>
      <c r="L30" s="14"/>
    </row>
    <row r="31" spans="1:12" ht="16.5" thickBot="1">
      <c r="A31" s="36"/>
      <c r="B31" s="38"/>
      <c r="C31" s="37"/>
      <c r="D31" s="37"/>
      <c r="E31" s="39"/>
      <c r="F31" s="40"/>
      <c r="K31" s="14"/>
      <c r="L31" s="14"/>
    </row>
    <row r="32" spans="1:12" ht="16.5" thickBot="1">
      <c r="A32" s="36"/>
      <c r="B32" s="38"/>
      <c r="C32" s="37"/>
      <c r="D32" s="37"/>
      <c r="E32" s="39"/>
      <c r="F32" s="40"/>
      <c r="K32" s="14"/>
      <c r="L32" s="14"/>
    </row>
    <row r="33" spans="1:12" ht="16.5" thickBot="1">
      <c r="A33" s="36"/>
      <c r="B33" s="38"/>
      <c r="C33" s="37"/>
      <c r="D33" s="37"/>
      <c r="E33" s="39"/>
      <c r="F33" s="40"/>
      <c r="K33" s="14"/>
      <c r="L33" s="14"/>
    </row>
    <row r="34" spans="1:12" ht="16.5" thickBot="1">
      <c r="A34" s="36"/>
      <c r="B34" s="38"/>
      <c r="C34" s="37"/>
      <c r="D34" s="37"/>
      <c r="E34" s="39"/>
      <c r="F34" s="40"/>
      <c r="K34" s="14"/>
      <c r="L34" s="14"/>
    </row>
    <row r="35" spans="1:12" ht="16.5" thickBot="1">
      <c r="A35" s="36"/>
      <c r="B35" s="38"/>
      <c r="C35" s="37"/>
      <c r="D35" s="37"/>
      <c r="E35" s="39"/>
      <c r="F35" s="40"/>
      <c r="K35" s="14"/>
      <c r="L35" s="14"/>
    </row>
    <row r="36" spans="1:12" ht="16.5" thickBot="1">
      <c r="A36" s="36"/>
      <c r="B36" s="38"/>
      <c r="C36" s="37"/>
      <c r="D36" s="37"/>
      <c r="E36" s="39"/>
      <c r="F36" s="40"/>
      <c r="K36" s="14"/>
      <c r="L36" s="14"/>
    </row>
    <row r="37" spans="1:12" ht="16.5" thickBot="1">
      <c r="A37" s="36"/>
      <c r="B37" s="38"/>
      <c r="C37" s="37"/>
      <c r="D37" s="37"/>
      <c r="E37" s="39"/>
      <c r="F37" s="40"/>
      <c r="K37" s="14"/>
      <c r="L37" s="14"/>
    </row>
    <row r="38" spans="1:12" ht="16.5" thickBot="1">
      <c r="A38" s="36"/>
      <c r="B38" s="38"/>
      <c r="C38" s="37"/>
      <c r="D38" s="37"/>
      <c r="E38" s="39"/>
      <c r="F38" s="40"/>
      <c r="K38" s="14"/>
      <c r="L38" s="14"/>
    </row>
    <row r="39" spans="1:12" ht="16.5" thickBot="1">
      <c r="A39" s="36"/>
      <c r="B39" s="38"/>
      <c r="C39" s="37"/>
      <c r="D39" s="37"/>
      <c r="E39" s="39"/>
      <c r="F39" s="40"/>
      <c r="K39" s="14"/>
      <c r="L39" s="14"/>
    </row>
    <row r="40" spans="1:12" ht="16.5" thickBot="1">
      <c r="A40" s="36"/>
      <c r="B40" s="38"/>
      <c r="C40" s="37"/>
      <c r="D40" s="37"/>
      <c r="E40" s="39"/>
      <c r="F40" s="40"/>
      <c r="K40" s="14"/>
      <c r="L40" s="14"/>
    </row>
    <row r="41" spans="1:12" ht="16.5" thickBot="1">
      <c r="A41" s="36"/>
      <c r="B41" s="38"/>
      <c r="C41" s="37"/>
      <c r="D41" s="37"/>
      <c r="E41" s="39"/>
      <c r="F41" s="40"/>
      <c r="K41" s="14"/>
      <c r="L41" s="14"/>
    </row>
    <row r="42" spans="1:12" ht="16.5" thickBot="1">
      <c r="A42" s="36"/>
      <c r="B42" s="38"/>
      <c r="C42" s="37"/>
      <c r="D42" s="37"/>
      <c r="E42" s="39"/>
      <c r="F42" s="40"/>
      <c r="K42" s="14"/>
      <c r="L42" s="14"/>
    </row>
    <row r="43" spans="1:12" ht="16.5" thickBot="1">
      <c r="A43" s="36"/>
      <c r="B43" s="38"/>
      <c r="C43" s="37"/>
      <c r="D43" s="37"/>
      <c r="E43" s="39"/>
      <c r="F43" s="40"/>
      <c r="K43" s="14"/>
      <c r="L43" s="14"/>
    </row>
    <row r="44" spans="1:12" ht="16.5" thickBot="1">
      <c r="A44" s="36"/>
      <c r="B44" s="38"/>
      <c r="C44" s="37"/>
      <c r="D44" s="37"/>
      <c r="E44" s="39"/>
      <c r="F44" s="40"/>
      <c r="K44" s="14"/>
      <c r="L44" s="14"/>
    </row>
    <row r="45" spans="1:12" ht="16.5" thickBot="1">
      <c r="A45" s="36"/>
      <c r="B45" s="38"/>
      <c r="C45" s="37"/>
      <c r="D45" s="37"/>
      <c r="E45" s="39"/>
      <c r="F45" s="40"/>
      <c r="K45" s="14"/>
      <c r="L45" s="14"/>
    </row>
    <row r="46" spans="1:12" ht="16.5" thickBot="1">
      <c r="A46" s="36"/>
      <c r="B46" s="38"/>
      <c r="C46" s="37"/>
      <c r="D46" s="37"/>
      <c r="E46" s="39"/>
      <c r="F46" s="40"/>
      <c r="K46" s="14"/>
      <c r="L46" s="14"/>
    </row>
    <row r="47" spans="1:12" ht="16.5" thickBot="1">
      <c r="A47" s="36"/>
      <c r="B47" s="38"/>
      <c r="C47" s="37"/>
      <c r="D47" s="37"/>
      <c r="E47" s="39"/>
      <c r="F47" s="40"/>
      <c r="K47" s="14"/>
      <c r="L47" s="14"/>
    </row>
    <row r="48" spans="1:12" ht="16.5" thickBot="1">
      <c r="A48" s="36"/>
      <c r="B48" s="38"/>
      <c r="C48" s="37"/>
      <c r="D48" s="37"/>
      <c r="E48" s="39"/>
      <c r="F48" s="40"/>
      <c r="K48" s="14"/>
      <c r="L48" s="14"/>
    </row>
    <row r="49" spans="1:12" ht="16.5" thickBot="1">
      <c r="A49" s="36"/>
      <c r="B49" s="38"/>
      <c r="C49" s="37"/>
      <c r="D49" s="37"/>
      <c r="E49" s="39"/>
      <c r="F49" s="40"/>
      <c r="K49" s="14"/>
      <c r="L49" s="14"/>
    </row>
    <row r="50" spans="1:12" ht="16.5" thickBot="1">
      <c r="A50" s="36"/>
      <c r="B50" s="38"/>
      <c r="C50" s="37"/>
      <c r="D50" s="37"/>
      <c r="E50" s="39"/>
      <c r="F50" s="40"/>
      <c r="K50" s="14"/>
      <c r="L50" s="14"/>
    </row>
    <row r="51" spans="1:12" ht="16.5" thickBot="1">
      <c r="A51" s="36"/>
      <c r="B51" s="38"/>
      <c r="C51" s="37"/>
      <c r="D51" s="37"/>
      <c r="E51" s="39"/>
      <c r="F51" s="40"/>
      <c r="K51" s="14"/>
      <c r="L51" s="14"/>
    </row>
    <row r="52" spans="1:12">
      <c r="F52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0"/>
  <sheetViews>
    <sheetView workbookViewId="0">
      <selection activeCell="F2" sqref="F2:F5"/>
    </sheetView>
  </sheetViews>
  <sheetFormatPr defaultRowHeight="15"/>
  <cols>
    <col min="2" max="2" width="22.5703125" customWidth="1"/>
    <col min="5" max="6" width="13.7109375" customWidth="1"/>
    <col min="7" max="7" width="11.7109375" customWidth="1"/>
    <col min="12" max="12" width="13.5703125" customWidth="1"/>
  </cols>
  <sheetData>
    <row r="1" spans="1:16">
      <c r="A1" s="10" t="s">
        <v>14</v>
      </c>
      <c r="B1" s="10" t="s">
        <v>15</v>
      </c>
      <c r="C1" s="10" t="s">
        <v>10</v>
      </c>
      <c r="D1" s="10" t="s">
        <v>16</v>
      </c>
      <c r="E1" s="10" t="s">
        <v>17</v>
      </c>
      <c r="F1" s="10" t="s">
        <v>18</v>
      </c>
      <c r="G1" s="10" t="s">
        <v>20</v>
      </c>
      <c r="H1" s="10" t="s">
        <v>4</v>
      </c>
      <c r="I1" s="12" t="s">
        <v>6</v>
      </c>
      <c r="J1" s="10" t="s">
        <v>5</v>
      </c>
      <c r="K1" s="10" t="s">
        <v>11</v>
      </c>
      <c r="L1" s="10" t="s">
        <v>12</v>
      </c>
      <c r="M1" s="10" t="s">
        <v>21</v>
      </c>
      <c r="N1" s="10"/>
      <c r="O1" s="10"/>
      <c r="P1" s="10"/>
    </row>
    <row r="2" spans="1:16" ht="57.75" thickBot="1">
      <c r="A2" s="36" t="s">
        <v>172</v>
      </c>
      <c r="B2" s="38" t="s">
        <v>173</v>
      </c>
      <c r="C2" s="37" t="s">
        <v>171</v>
      </c>
      <c r="D2" s="37" t="s">
        <v>174</v>
      </c>
      <c r="E2" s="39">
        <v>44000</v>
      </c>
      <c r="F2" s="40">
        <v>500</v>
      </c>
      <c r="G2" t="s">
        <v>2</v>
      </c>
      <c r="H2">
        <v>0</v>
      </c>
      <c r="I2" s="2">
        <v>100</v>
      </c>
      <c r="K2" s="6">
        <f>(+H2/(H2+I2))*100</f>
        <v>0</v>
      </c>
      <c r="L2" s="6">
        <f>(+I2/(H2+I2))*100</f>
        <v>100</v>
      </c>
      <c r="M2" s="14"/>
    </row>
    <row r="3" spans="1:16" ht="86.25" thickBot="1">
      <c r="A3" s="36" t="s">
        <v>172</v>
      </c>
      <c r="B3" s="38" t="s">
        <v>173</v>
      </c>
      <c r="C3" s="37" t="s">
        <v>171</v>
      </c>
      <c r="D3" s="37" t="s">
        <v>175</v>
      </c>
      <c r="E3" s="39">
        <v>43799</v>
      </c>
      <c r="F3" s="40">
        <v>1000</v>
      </c>
      <c r="G3" t="s">
        <v>2</v>
      </c>
      <c r="H3">
        <v>0</v>
      </c>
      <c r="I3" s="2">
        <v>100</v>
      </c>
      <c r="K3" s="6">
        <f t="shared" ref="K3:K4" si="0">(+H3/(H3+I3))*100</f>
        <v>0</v>
      </c>
      <c r="L3" s="6">
        <f t="shared" ref="L3:L4" si="1">(+I3/(H3+I3))*100</f>
        <v>100</v>
      </c>
    </row>
    <row r="4" spans="1:16" ht="86.25" thickBot="1">
      <c r="A4" s="36" t="s">
        <v>172</v>
      </c>
      <c r="B4" s="38" t="s">
        <v>173</v>
      </c>
      <c r="C4" s="37" t="s">
        <v>171</v>
      </c>
      <c r="D4" s="37" t="s">
        <v>175</v>
      </c>
      <c r="E4" s="39">
        <v>43574</v>
      </c>
      <c r="F4" s="40">
        <v>1000</v>
      </c>
      <c r="G4" t="s">
        <v>2</v>
      </c>
      <c r="H4">
        <v>0</v>
      </c>
      <c r="I4" s="2">
        <v>100</v>
      </c>
      <c r="K4" s="6">
        <f t="shared" si="0"/>
        <v>0</v>
      </c>
      <c r="L4" s="6">
        <f t="shared" si="1"/>
        <v>100</v>
      </c>
    </row>
    <row r="5" spans="1:16" ht="16.5" thickBot="1">
      <c r="A5" s="36"/>
      <c r="B5" s="38"/>
      <c r="C5" s="37"/>
      <c r="D5" s="37"/>
      <c r="E5" s="39"/>
      <c r="F5" s="40">
        <f>SUM(F2:F4)</f>
        <v>2500</v>
      </c>
      <c r="I5" s="2"/>
      <c r="K5" s="6"/>
      <c r="L5" s="6"/>
    </row>
    <row r="6" spans="1:16" ht="16.5" thickBot="1">
      <c r="A6" s="36"/>
      <c r="B6" s="38"/>
      <c r="C6" s="37"/>
      <c r="D6" s="37"/>
      <c r="E6" s="39"/>
      <c r="F6" s="40"/>
      <c r="I6" s="2"/>
      <c r="K6" s="6"/>
      <c r="L6" s="6"/>
    </row>
    <row r="7" spans="1:16" ht="16.5" thickBot="1">
      <c r="A7" s="36"/>
      <c r="B7" s="38"/>
      <c r="C7" s="37"/>
      <c r="D7" s="37"/>
      <c r="E7" s="39"/>
      <c r="F7" s="40"/>
      <c r="I7" s="2"/>
      <c r="K7" s="6"/>
      <c r="L7" s="6"/>
    </row>
    <row r="8" spans="1:16" ht="16.5" thickBot="1">
      <c r="A8" s="36"/>
      <c r="B8" s="38"/>
      <c r="C8" s="37"/>
      <c r="D8" s="37"/>
      <c r="E8" s="39"/>
      <c r="F8" s="40"/>
      <c r="I8" s="2"/>
      <c r="K8" s="6"/>
      <c r="L8" s="6"/>
    </row>
    <row r="9" spans="1:16" ht="16.5" thickBot="1">
      <c r="A9" s="36"/>
      <c r="B9" s="38"/>
      <c r="C9" s="37"/>
      <c r="D9" s="37"/>
      <c r="E9" s="39"/>
      <c r="F9" s="40"/>
      <c r="I9" s="2"/>
      <c r="K9" s="6"/>
      <c r="L9" s="6"/>
    </row>
    <row r="10" spans="1:16" ht="16.5" thickBot="1">
      <c r="A10" s="36"/>
      <c r="B10" s="38"/>
      <c r="C10" s="37"/>
      <c r="D10" s="37"/>
      <c r="E10" s="39"/>
      <c r="F10" s="40"/>
      <c r="I10" s="2"/>
      <c r="K10" s="6"/>
      <c r="L10" s="6"/>
    </row>
    <row r="11" spans="1:16" ht="16.5" thickBot="1">
      <c r="A11" s="36"/>
      <c r="B11" s="38"/>
      <c r="C11" s="37"/>
      <c r="D11" s="37"/>
      <c r="E11" s="39"/>
      <c r="F11" s="40"/>
      <c r="I11" s="2"/>
      <c r="K11" s="6"/>
      <c r="L11" s="6"/>
    </row>
    <row r="12" spans="1:16" ht="16.5" thickBot="1">
      <c r="A12" s="36"/>
      <c r="B12" s="38"/>
      <c r="C12" s="37"/>
      <c r="D12" s="37"/>
      <c r="E12" s="39"/>
      <c r="F12" s="40"/>
      <c r="I12" s="2"/>
      <c r="K12" s="6"/>
      <c r="L12" s="6"/>
    </row>
    <row r="13" spans="1:16" ht="16.5" thickBot="1">
      <c r="A13" s="36"/>
      <c r="B13" s="38"/>
      <c r="C13" s="37"/>
      <c r="D13" s="37"/>
      <c r="E13" s="39"/>
      <c r="F13" s="40"/>
      <c r="I13" s="2"/>
      <c r="K13" s="6"/>
      <c r="L13" s="6"/>
    </row>
    <row r="14" spans="1:16" ht="16.5" thickBot="1">
      <c r="A14" s="36"/>
      <c r="B14" s="38"/>
      <c r="C14" s="37"/>
      <c r="D14" s="37"/>
      <c r="E14" s="39"/>
      <c r="F14" s="40"/>
      <c r="I14" s="2"/>
      <c r="K14" s="6"/>
      <c r="L14" s="6"/>
    </row>
    <row r="15" spans="1:16" ht="16.5" thickBot="1">
      <c r="A15" s="36"/>
      <c r="B15" s="38"/>
      <c r="C15" s="37"/>
      <c r="D15" s="37"/>
      <c r="E15" s="39"/>
      <c r="F15" s="40"/>
      <c r="I15" s="2"/>
      <c r="K15" s="6"/>
      <c r="L15" s="6"/>
    </row>
    <row r="16" spans="1:16" ht="16.5" thickBot="1">
      <c r="A16" s="36"/>
      <c r="B16" s="38"/>
      <c r="C16" s="37"/>
      <c r="D16" s="37"/>
      <c r="E16" s="39"/>
      <c r="F16" s="40"/>
      <c r="I16" s="2"/>
      <c r="K16" s="6"/>
      <c r="L16" s="6"/>
    </row>
    <row r="17" spans="1:12" ht="16.5" thickBot="1">
      <c r="A17" s="36"/>
      <c r="B17" s="38"/>
      <c r="C17" s="37"/>
      <c r="D17" s="37"/>
      <c r="E17" s="39"/>
      <c r="F17" s="40"/>
      <c r="I17" s="2"/>
      <c r="K17" s="6"/>
      <c r="L17" s="6"/>
    </row>
    <row r="18" spans="1:12" ht="16.5" thickBot="1">
      <c r="A18" s="36"/>
      <c r="B18" s="38"/>
      <c r="C18" s="37"/>
      <c r="D18" s="37"/>
      <c r="E18" s="39"/>
      <c r="F18" s="40"/>
      <c r="I18" s="2"/>
      <c r="K18" s="6"/>
      <c r="L18" s="6"/>
    </row>
    <row r="19" spans="1:12" ht="16.5" thickBot="1">
      <c r="A19" s="36"/>
      <c r="B19" s="38"/>
      <c r="C19" s="37"/>
      <c r="D19" s="37"/>
      <c r="E19" s="39"/>
      <c r="F19" s="40"/>
      <c r="I19" s="2"/>
      <c r="K19" s="6"/>
      <c r="L19" s="6"/>
    </row>
    <row r="20" spans="1:12" ht="16.5" thickBot="1">
      <c r="A20" s="36"/>
      <c r="B20" s="38"/>
      <c r="C20" s="37"/>
      <c r="D20" s="37"/>
      <c r="E20" s="39"/>
      <c r="F20" s="40"/>
      <c r="I20" s="2"/>
      <c r="K20" s="6"/>
      <c r="L20" s="6"/>
    </row>
    <row r="21" spans="1:12" ht="16.5" thickBot="1">
      <c r="A21" s="36"/>
      <c r="B21" s="38"/>
      <c r="C21" s="37"/>
      <c r="D21" s="37"/>
      <c r="E21" s="39"/>
      <c r="F21" s="40"/>
      <c r="I21" s="2"/>
      <c r="K21" s="6"/>
      <c r="L21" s="6"/>
    </row>
    <row r="22" spans="1:12" ht="16.5" thickBot="1">
      <c r="A22" s="36"/>
      <c r="B22" s="38"/>
      <c r="C22" s="37"/>
      <c r="D22" s="37"/>
      <c r="E22" s="39"/>
      <c r="F22" s="40"/>
      <c r="I22" s="2"/>
      <c r="K22" s="6"/>
      <c r="L22" s="6"/>
    </row>
    <row r="23" spans="1:12" ht="16.5" thickBot="1">
      <c r="A23" s="36"/>
      <c r="B23" s="38"/>
      <c r="C23" s="37"/>
      <c r="D23" s="37"/>
      <c r="E23" s="39"/>
      <c r="F23" s="40"/>
      <c r="I23" s="2"/>
      <c r="K23" s="6"/>
      <c r="L23" s="6"/>
    </row>
    <row r="24" spans="1:12" ht="16.5" thickBot="1">
      <c r="A24" s="36"/>
      <c r="B24" s="38"/>
      <c r="C24" s="37"/>
      <c r="D24" s="37"/>
      <c r="E24" s="39"/>
      <c r="F24" s="40"/>
      <c r="I24" s="2"/>
      <c r="K24" s="6"/>
      <c r="L24" s="6"/>
    </row>
    <row r="25" spans="1:12" ht="16.5" thickBot="1">
      <c r="A25" s="36"/>
      <c r="B25" s="38"/>
      <c r="C25" s="37"/>
      <c r="D25" s="37"/>
      <c r="E25" s="39"/>
      <c r="F25" s="40"/>
      <c r="I25" s="2"/>
      <c r="K25" s="6"/>
      <c r="L25" s="6"/>
    </row>
    <row r="26" spans="1:12" ht="16.5" thickBot="1">
      <c r="A26" s="36"/>
      <c r="B26" s="38"/>
      <c r="C26" s="37"/>
      <c r="D26" s="37"/>
      <c r="E26" s="39"/>
      <c r="F26" s="40"/>
      <c r="I26" s="2"/>
      <c r="K26" s="6"/>
      <c r="L26" s="6"/>
    </row>
    <row r="27" spans="1:12" ht="16.5" thickBot="1">
      <c r="A27" s="36"/>
      <c r="B27" s="38"/>
      <c r="C27" s="37"/>
      <c r="D27" s="37"/>
      <c r="E27" s="39"/>
      <c r="F27" s="40"/>
      <c r="I27" s="2"/>
      <c r="K27" s="6"/>
      <c r="L27" s="6"/>
    </row>
    <row r="28" spans="1:12" ht="16.5" thickBot="1">
      <c r="A28" s="36"/>
      <c r="B28" s="38"/>
      <c r="C28" s="37"/>
      <c r="D28" s="37"/>
      <c r="E28" s="39"/>
      <c r="F28" s="40"/>
      <c r="I28" s="2"/>
      <c r="K28" s="6"/>
      <c r="L28" s="6"/>
    </row>
    <row r="29" spans="1:12" ht="16.5" thickBot="1">
      <c r="A29" s="36"/>
      <c r="B29" s="38"/>
      <c r="C29" s="37"/>
      <c r="D29" s="37"/>
      <c r="E29" s="39"/>
      <c r="F29" s="40"/>
      <c r="I29" s="2"/>
      <c r="K29" s="6"/>
      <c r="L29" s="6"/>
    </row>
    <row r="30" spans="1:12" ht="16.5" thickBot="1">
      <c r="A30" s="36"/>
      <c r="B30" s="38"/>
      <c r="C30" s="37"/>
      <c r="D30" s="37"/>
      <c r="E30" s="39"/>
      <c r="F30" s="40"/>
      <c r="I30" s="2"/>
      <c r="K30" s="6"/>
      <c r="L30" s="6"/>
    </row>
    <row r="31" spans="1:12" ht="16.5" thickBot="1">
      <c r="A31" s="36"/>
      <c r="B31" s="38"/>
      <c r="C31" s="37"/>
      <c r="D31" s="37"/>
      <c r="E31" s="39"/>
      <c r="F31" s="40"/>
      <c r="I31" s="2"/>
      <c r="K31" s="6"/>
      <c r="L31" s="6"/>
    </row>
    <row r="32" spans="1:12" ht="16.5" thickBot="1">
      <c r="A32" s="36"/>
      <c r="B32" s="38"/>
      <c r="C32" s="37"/>
      <c r="D32" s="37"/>
      <c r="E32" s="39"/>
      <c r="F32" s="40"/>
      <c r="I32" s="2"/>
      <c r="K32" s="6"/>
      <c r="L32" s="6"/>
    </row>
    <row r="33" spans="1:12" ht="16.5" thickBot="1">
      <c r="A33" s="36"/>
      <c r="B33" s="38"/>
      <c r="C33" s="37"/>
      <c r="D33" s="37"/>
      <c r="E33" s="39"/>
      <c r="F33" s="40"/>
      <c r="I33" s="2"/>
      <c r="K33" s="6"/>
      <c r="L33" s="6"/>
    </row>
    <row r="34" spans="1:12" ht="16.5" thickBot="1">
      <c r="A34" s="36"/>
      <c r="B34" s="38"/>
      <c r="C34" s="37"/>
      <c r="D34" s="37"/>
      <c r="E34" s="39"/>
      <c r="F34" s="40"/>
      <c r="I34" s="2"/>
      <c r="K34" s="6"/>
      <c r="L34" s="6"/>
    </row>
    <row r="35" spans="1:12" ht="16.5" thickBot="1">
      <c r="A35" s="36"/>
      <c r="B35" s="38"/>
      <c r="C35" s="37"/>
      <c r="D35" s="37"/>
      <c r="E35" s="39"/>
      <c r="F35" s="40"/>
      <c r="I35" s="2"/>
      <c r="K35" s="6"/>
      <c r="L35" s="6"/>
    </row>
    <row r="36" spans="1:12" ht="16.5" thickBot="1">
      <c r="A36" s="36"/>
      <c r="B36" s="38"/>
      <c r="C36" s="37"/>
      <c r="D36" s="37"/>
      <c r="E36" s="39"/>
      <c r="F36" s="40"/>
      <c r="I36" s="2"/>
      <c r="K36" s="6"/>
      <c r="L36" s="6"/>
    </row>
    <row r="37" spans="1:12" ht="16.5" thickBot="1">
      <c r="A37" s="36"/>
      <c r="B37" s="38"/>
      <c r="C37" s="37"/>
      <c r="D37" s="37"/>
      <c r="E37" s="39"/>
      <c r="F37" s="40"/>
      <c r="I37" s="2"/>
      <c r="K37" s="6"/>
      <c r="L37" s="6"/>
    </row>
    <row r="38" spans="1:12" ht="16.5" thickBot="1">
      <c r="A38" s="36"/>
      <c r="B38" s="38"/>
      <c r="C38" s="37"/>
      <c r="D38" s="37"/>
      <c r="E38" s="39"/>
      <c r="F38" s="40"/>
      <c r="I38" s="2"/>
      <c r="K38" s="6"/>
      <c r="L38" s="6"/>
    </row>
    <row r="39" spans="1:12" ht="16.5" thickBot="1">
      <c r="A39" s="36"/>
      <c r="B39" s="38"/>
      <c r="C39" s="37"/>
      <c r="D39" s="37"/>
      <c r="E39" s="39"/>
      <c r="F39" s="40"/>
      <c r="I39" s="2"/>
      <c r="K39" s="6"/>
      <c r="L39" s="6"/>
    </row>
    <row r="40" spans="1:12" ht="16.5" thickBot="1">
      <c r="A40" s="36"/>
      <c r="B40" s="38"/>
      <c r="C40" s="37"/>
      <c r="D40" s="37"/>
      <c r="E40" s="39"/>
      <c r="F40" s="40"/>
      <c r="I40" s="2"/>
      <c r="K40" s="6"/>
      <c r="L40" s="6"/>
    </row>
    <row r="41" spans="1:12" ht="16.5" thickBot="1">
      <c r="A41" s="36"/>
      <c r="B41" s="38"/>
      <c r="C41" s="37"/>
      <c r="D41" s="37"/>
      <c r="E41" s="39"/>
      <c r="F41" s="40"/>
      <c r="I41" s="2"/>
      <c r="K41" s="6"/>
      <c r="L41" s="6"/>
    </row>
    <row r="42" spans="1:12" ht="16.5" thickBot="1">
      <c r="A42" s="36"/>
      <c r="B42" s="38"/>
      <c r="C42" s="37"/>
      <c r="D42" s="37"/>
      <c r="E42" s="39"/>
      <c r="F42" s="40"/>
      <c r="I42" s="2"/>
      <c r="K42" s="6"/>
      <c r="L42" s="6"/>
    </row>
    <row r="43" spans="1:12" ht="16.5" thickBot="1">
      <c r="A43" s="36"/>
      <c r="B43" s="38"/>
      <c r="C43" s="37"/>
      <c r="D43" s="37"/>
      <c r="E43" s="39"/>
      <c r="F43" s="40"/>
      <c r="I43" s="2"/>
      <c r="K43" s="6"/>
      <c r="L43" s="6"/>
    </row>
    <row r="44" spans="1:12" ht="16.5" thickBot="1">
      <c r="A44" s="36"/>
      <c r="B44" s="38"/>
      <c r="C44" s="37"/>
      <c r="D44" s="37"/>
      <c r="E44" s="39"/>
      <c r="F44" s="40"/>
      <c r="I44" s="2"/>
      <c r="K44" s="6"/>
      <c r="L44" s="6"/>
    </row>
    <row r="45" spans="1:12" ht="16.5" thickBot="1">
      <c r="A45" s="36"/>
      <c r="B45" s="38"/>
      <c r="C45" s="37"/>
      <c r="D45" s="37"/>
      <c r="E45" s="39"/>
      <c r="F45" s="40"/>
      <c r="I45" s="2"/>
      <c r="K45" s="6"/>
      <c r="L45" s="6"/>
    </row>
    <row r="46" spans="1:12" ht="16.5" thickBot="1">
      <c r="A46" s="36"/>
      <c r="B46" s="38"/>
      <c r="C46" s="37"/>
      <c r="D46" s="37"/>
      <c r="E46" s="39"/>
      <c r="F46" s="40"/>
      <c r="I46" s="2"/>
      <c r="K46" s="6"/>
      <c r="L46" s="6"/>
    </row>
    <row r="47" spans="1:12" ht="16.5" thickBot="1">
      <c r="A47" s="36"/>
      <c r="B47" s="38"/>
      <c r="C47" s="37"/>
      <c r="D47" s="37"/>
      <c r="E47" s="39"/>
      <c r="F47" s="40"/>
      <c r="I47" s="2"/>
      <c r="K47" s="6"/>
      <c r="L47" s="6"/>
    </row>
    <row r="48" spans="1:12" ht="16.5" thickBot="1">
      <c r="A48" s="36"/>
      <c r="B48" s="38"/>
      <c r="C48" s="37"/>
      <c r="D48" s="37"/>
      <c r="E48" s="39"/>
      <c r="F48" s="40"/>
      <c r="I48" s="2"/>
      <c r="K48" s="6"/>
      <c r="L48" s="6"/>
    </row>
    <row r="49" spans="1:12" ht="16.5" thickBot="1">
      <c r="A49" s="36"/>
      <c r="B49" s="38"/>
      <c r="C49" s="37"/>
      <c r="D49" s="37"/>
      <c r="E49" s="39"/>
      <c r="F49" s="40"/>
      <c r="I49" s="2"/>
      <c r="K49" s="6"/>
      <c r="L49" s="6"/>
    </row>
    <row r="50" spans="1:12">
      <c r="F50" s="11"/>
    </row>
  </sheetData>
  <hyperlinks>
    <hyperlink ref="B2" r:id="rId1" tooltip="FRIENDS OF ADEM 2020" display="https://www.fec.gov/data/committee/C00713404/" xr:uid="{0328D517-44A5-4222-8AF4-C3DEA08D9364}"/>
    <hyperlink ref="B3" r:id="rId2" tooltip="FRIENDS OF ADEM 2020" display="https://www.fec.gov/data/committee/C00713404/" xr:uid="{C2D6906E-3D8B-41BF-8053-26EE4C4CC11C}"/>
    <hyperlink ref="B4" r:id="rId3" tooltip="FRIENDS OF ADEM 2020" display="https://www.fec.gov/data/committee/C00713404/" xr:uid="{D4307B24-31FC-4C2F-BEA9-9E28CBD10B63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52"/>
  <sheetViews>
    <sheetView workbookViewId="0">
      <selection activeCell="A2" sqref="A2"/>
    </sheetView>
  </sheetViews>
  <sheetFormatPr defaultRowHeight="15"/>
  <cols>
    <col min="1" max="1" width="18.7109375" customWidth="1"/>
    <col min="2" max="2" width="19" customWidth="1"/>
    <col min="5" max="5" width="16.28515625" customWidth="1"/>
    <col min="6" max="6" width="15" customWidth="1"/>
  </cols>
  <sheetData>
    <row r="1" spans="1:16">
      <c r="A1" s="10" t="s">
        <v>14</v>
      </c>
      <c r="B1" s="10" t="s">
        <v>15</v>
      </c>
      <c r="C1" s="10" t="s">
        <v>10</v>
      </c>
      <c r="D1" s="10" t="s">
        <v>16</v>
      </c>
      <c r="E1" s="10" t="s">
        <v>17</v>
      </c>
      <c r="F1" s="10" t="s">
        <v>18</v>
      </c>
      <c r="G1" s="10" t="s">
        <v>20</v>
      </c>
      <c r="H1" s="10" t="s">
        <v>4</v>
      </c>
      <c r="I1" s="12" t="s">
        <v>6</v>
      </c>
      <c r="J1" s="10" t="s">
        <v>5</v>
      </c>
      <c r="K1" s="10" t="s">
        <v>11</v>
      </c>
      <c r="L1" s="10" t="s">
        <v>12</v>
      </c>
      <c r="M1" s="10" t="s">
        <v>21</v>
      </c>
      <c r="N1" s="10"/>
      <c r="O1" s="10"/>
      <c r="P1" s="10"/>
    </row>
    <row r="2" spans="1:16" ht="16.5" thickBot="1">
      <c r="A2" s="16"/>
      <c r="B2" s="38"/>
      <c r="C2" s="37"/>
      <c r="D2" s="37"/>
      <c r="E2" s="46"/>
      <c r="F2" s="40"/>
      <c r="G2" s="35"/>
      <c r="H2">
        <v>0</v>
      </c>
      <c r="I2" s="2">
        <v>100</v>
      </c>
      <c r="K2" s="14">
        <f>(+H2/(H2+I2))*100</f>
        <v>0</v>
      </c>
      <c r="L2" s="14">
        <f>(+I2/(H2+I2))*100</f>
        <v>100</v>
      </c>
    </row>
    <row r="3" spans="1:16" ht="16.5" thickBot="1">
      <c r="A3" s="36"/>
      <c r="B3" s="38"/>
      <c r="C3" s="37"/>
      <c r="D3" s="37"/>
      <c r="E3" s="39"/>
      <c r="F3" s="40"/>
      <c r="G3" s="35"/>
      <c r="I3" s="2"/>
      <c r="K3" s="14" t="e">
        <f t="shared" ref="K3:K23" si="0">(+H3/(H3+I3))*100</f>
        <v>#DIV/0!</v>
      </c>
      <c r="L3" s="14" t="e">
        <f t="shared" ref="L3:L23" si="1">(+I3/(H3+I3))*100</f>
        <v>#DIV/0!</v>
      </c>
    </row>
    <row r="4" spans="1:16" ht="16.5" thickBot="1">
      <c r="A4" s="36"/>
      <c r="B4" s="38"/>
      <c r="C4" s="37"/>
      <c r="D4" s="37"/>
      <c r="E4" s="39"/>
      <c r="F4" s="40"/>
      <c r="G4" s="35"/>
      <c r="I4" s="2"/>
      <c r="K4" s="14" t="e">
        <f t="shared" si="0"/>
        <v>#DIV/0!</v>
      </c>
      <c r="L4" s="14" t="e">
        <f t="shared" si="1"/>
        <v>#DIV/0!</v>
      </c>
    </row>
    <row r="5" spans="1:16" ht="16.5" thickBot="1">
      <c r="A5" s="36"/>
      <c r="B5" s="38"/>
      <c r="C5" s="37"/>
      <c r="D5" s="37"/>
      <c r="E5" s="39"/>
      <c r="F5" s="40"/>
      <c r="G5" s="35"/>
      <c r="I5" s="2"/>
      <c r="K5" s="14" t="e">
        <f t="shared" si="0"/>
        <v>#DIV/0!</v>
      </c>
      <c r="L5" s="14" t="e">
        <f t="shared" si="1"/>
        <v>#DIV/0!</v>
      </c>
    </row>
    <row r="6" spans="1:16" ht="16.5" thickBot="1">
      <c r="A6" s="36"/>
      <c r="B6" s="38"/>
      <c r="C6" s="37"/>
      <c r="D6" s="37"/>
      <c r="E6" s="39"/>
      <c r="F6" s="40"/>
      <c r="G6" s="35"/>
      <c r="I6" s="2"/>
      <c r="K6" s="14" t="e">
        <f t="shared" si="0"/>
        <v>#DIV/0!</v>
      </c>
      <c r="L6" s="14" t="e">
        <f t="shared" si="1"/>
        <v>#DIV/0!</v>
      </c>
    </row>
    <row r="7" spans="1:16" ht="16.5" thickBot="1">
      <c r="A7" s="36"/>
      <c r="B7" s="38"/>
      <c r="C7" s="37"/>
      <c r="D7" s="37"/>
      <c r="E7" s="39"/>
      <c r="F7" s="40"/>
      <c r="G7" s="35"/>
      <c r="I7" s="2"/>
      <c r="K7" s="14" t="e">
        <f t="shared" si="0"/>
        <v>#DIV/0!</v>
      </c>
      <c r="L7" s="14" t="e">
        <f t="shared" si="1"/>
        <v>#DIV/0!</v>
      </c>
    </row>
    <row r="8" spans="1:16" ht="16.5" thickBot="1">
      <c r="A8" s="36"/>
      <c r="B8" s="38"/>
      <c r="C8" s="37"/>
      <c r="D8" s="37"/>
      <c r="E8" s="39"/>
      <c r="F8" s="40"/>
      <c r="G8" s="35"/>
      <c r="I8" s="2"/>
      <c r="K8" s="14" t="e">
        <f t="shared" si="0"/>
        <v>#DIV/0!</v>
      </c>
      <c r="L8" s="14" t="e">
        <f t="shared" si="1"/>
        <v>#DIV/0!</v>
      </c>
    </row>
    <row r="9" spans="1:16" ht="16.5" thickBot="1">
      <c r="A9" s="36"/>
      <c r="B9" s="38"/>
      <c r="C9" s="37"/>
      <c r="D9" s="37"/>
      <c r="E9" s="39"/>
      <c r="F9" s="40"/>
      <c r="G9" s="35"/>
      <c r="I9" s="2"/>
      <c r="K9" s="14" t="e">
        <f t="shared" si="0"/>
        <v>#DIV/0!</v>
      </c>
      <c r="L9" s="14" t="e">
        <f t="shared" si="1"/>
        <v>#DIV/0!</v>
      </c>
    </row>
    <row r="10" spans="1:16" ht="16.5" thickBot="1">
      <c r="A10" s="36"/>
      <c r="B10" s="38"/>
      <c r="C10" s="37"/>
      <c r="D10" s="37"/>
      <c r="E10" s="39"/>
      <c r="F10" s="40"/>
      <c r="G10" s="35"/>
      <c r="I10" s="2"/>
      <c r="K10" s="14" t="e">
        <f t="shared" si="0"/>
        <v>#DIV/0!</v>
      </c>
      <c r="L10" s="14" t="e">
        <f t="shared" si="1"/>
        <v>#DIV/0!</v>
      </c>
    </row>
    <row r="11" spans="1:16" ht="16.5" thickBot="1">
      <c r="A11" s="36"/>
      <c r="B11" s="38"/>
      <c r="C11" s="37"/>
      <c r="D11" s="37"/>
      <c r="E11" s="39"/>
      <c r="F11" s="40"/>
      <c r="G11" s="35"/>
      <c r="I11" s="2"/>
      <c r="K11" s="14" t="e">
        <f t="shared" si="0"/>
        <v>#DIV/0!</v>
      </c>
      <c r="L11" s="14" t="e">
        <f t="shared" si="1"/>
        <v>#DIV/0!</v>
      </c>
    </row>
    <row r="12" spans="1:16" ht="16.5" thickBot="1">
      <c r="A12" s="36"/>
      <c r="B12" s="38"/>
      <c r="C12" s="37"/>
      <c r="D12" s="37"/>
      <c r="E12" s="39"/>
      <c r="F12" s="40"/>
      <c r="G12" s="35"/>
      <c r="I12" s="2"/>
      <c r="K12" s="14" t="e">
        <f t="shared" si="0"/>
        <v>#DIV/0!</v>
      </c>
      <c r="L12" s="14" t="e">
        <f t="shared" si="1"/>
        <v>#DIV/0!</v>
      </c>
    </row>
    <row r="13" spans="1:16" ht="16.5" thickBot="1">
      <c r="A13" s="36"/>
      <c r="B13" s="38"/>
      <c r="C13" s="37"/>
      <c r="D13" s="37"/>
      <c r="E13" s="39"/>
      <c r="F13" s="40"/>
      <c r="G13" s="35"/>
      <c r="I13" s="2"/>
      <c r="K13" s="14" t="e">
        <f t="shared" si="0"/>
        <v>#DIV/0!</v>
      </c>
      <c r="L13" s="14" t="e">
        <f t="shared" si="1"/>
        <v>#DIV/0!</v>
      </c>
    </row>
    <row r="14" spans="1:16" ht="16.5" thickBot="1">
      <c r="A14" s="36"/>
      <c r="B14" s="38"/>
      <c r="C14" s="37"/>
      <c r="D14" s="37"/>
      <c r="E14" s="39"/>
      <c r="F14" s="40"/>
      <c r="G14" s="35"/>
      <c r="I14" s="2"/>
      <c r="K14" s="14" t="e">
        <f t="shared" si="0"/>
        <v>#DIV/0!</v>
      </c>
      <c r="L14" s="14" t="e">
        <f t="shared" si="1"/>
        <v>#DIV/0!</v>
      </c>
    </row>
    <row r="15" spans="1:16" ht="16.5" thickBot="1">
      <c r="A15" s="36"/>
      <c r="B15" s="38"/>
      <c r="C15" s="37"/>
      <c r="D15" s="37"/>
      <c r="E15" s="39"/>
      <c r="F15" s="40"/>
      <c r="G15" s="35"/>
      <c r="I15" s="2"/>
      <c r="K15" s="14" t="e">
        <f t="shared" si="0"/>
        <v>#DIV/0!</v>
      </c>
      <c r="L15" s="14" t="e">
        <f t="shared" si="1"/>
        <v>#DIV/0!</v>
      </c>
    </row>
    <row r="16" spans="1:16" ht="16.5" thickBot="1">
      <c r="A16" s="36"/>
      <c r="B16" s="38"/>
      <c r="C16" s="37"/>
      <c r="D16" s="37"/>
      <c r="E16" s="39"/>
      <c r="F16" s="40"/>
      <c r="G16" s="35"/>
      <c r="I16" s="2"/>
      <c r="K16" s="14" t="e">
        <f t="shared" si="0"/>
        <v>#DIV/0!</v>
      </c>
      <c r="L16" s="14" t="e">
        <f t="shared" si="1"/>
        <v>#DIV/0!</v>
      </c>
    </row>
    <row r="17" spans="1:12" ht="16.5" thickBot="1">
      <c r="A17" s="36"/>
      <c r="B17" s="38"/>
      <c r="C17" s="37"/>
      <c r="D17" s="37"/>
      <c r="E17" s="39"/>
      <c r="F17" s="40"/>
      <c r="G17" s="35"/>
      <c r="I17" s="2"/>
      <c r="K17" s="14" t="e">
        <f t="shared" si="0"/>
        <v>#DIV/0!</v>
      </c>
      <c r="L17" s="14" t="e">
        <f t="shared" si="1"/>
        <v>#DIV/0!</v>
      </c>
    </row>
    <row r="18" spans="1:12" ht="16.5" thickBot="1">
      <c r="A18" s="36"/>
      <c r="B18" s="38"/>
      <c r="C18" s="37"/>
      <c r="D18" s="37"/>
      <c r="E18" s="39"/>
      <c r="F18" s="40"/>
      <c r="G18" s="35"/>
      <c r="I18" s="2"/>
      <c r="K18" s="14" t="e">
        <f t="shared" si="0"/>
        <v>#DIV/0!</v>
      </c>
      <c r="L18" s="14" t="e">
        <f t="shared" si="1"/>
        <v>#DIV/0!</v>
      </c>
    </row>
    <row r="19" spans="1:12" ht="16.5" thickBot="1">
      <c r="A19" s="36"/>
      <c r="B19" s="38"/>
      <c r="C19" s="37"/>
      <c r="D19" s="37"/>
      <c r="E19" s="39"/>
      <c r="F19" s="40"/>
      <c r="G19" s="35"/>
      <c r="I19" s="2"/>
      <c r="K19" s="14" t="e">
        <f t="shared" si="0"/>
        <v>#DIV/0!</v>
      </c>
      <c r="L19" s="14" t="e">
        <f t="shared" si="1"/>
        <v>#DIV/0!</v>
      </c>
    </row>
    <row r="20" spans="1:12" ht="16.5" thickBot="1">
      <c r="A20" s="36"/>
      <c r="B20" s="38"/>
      <c r="C20" s="37"/>
      <c r="D20" s="37"/>
      <c r="E20" s="39"/>
      <c r="F20" s="40"/>
      <c r="G20" s="35"/>
      <c r="I20" s="2"/>
      <c r="K20" s="14" t="e">
        <f t="shared" si="0"/>
        <v>#DIV/0!</v>
      </c>
      <c r="L20" s="14" t="e">
        <f t="shared" si="1"/>
        <v>#DIV/0!</v>
      </c>
    </row>
    <row r="21" spans="1:12" ht="16.5" thickBot="1">
      <c r="A21" s="36"/>
      <c r="B21" s="38"/>
      <c r="C21" s="37"/>
      <c r="D21" s="37"/>
      <c r="E21" s="39"/>
      <c r="F21" s="40"/>
      <c r="G21" s="35"/>
      <c r="I21" s="2"/>
      <c r="K21" s="14" t="e">
        <f t="shared" si="0"/>
        <v>#DIV/0!</v>
      </c>
      <c r="L21" s="14" t="e">
        <f t="shared" si="1"/>
        <v>#DIV/0!</v>
      </c>
    </row>
    <row r="22" spans="1:12" ht="16.5" thickBot="1">
      <c r="A22" s="36"/>
      <c r="B22" s="38"/>
      <c r="C22" s="37"/>
      <c r="D22" s="37"/>
      <c r="E22" s="39"/>
      <c r="F22" s="40"/>
      <c r="G22" s="35"/>
      <c r="I22" s="2"/>
      <c r="K22" s="14" t="e">
        <f t="shared" si="0"/>
        <v>#DIV/0!</v>
      </c>
      <c r="L22" s="14" t="e">
        <f t="shared" si="1"/>
        <v>#DIV/0!</v>
      </c>
    </row>
    <row r="23" spans="1:12" ht="16.5" thickBot="1">
      <c r="A23" s="36"/>
      <c r="B23" s="38"/>
      <c r="C23" s="37"/>
      <c r="D23" s="37"/>
      <c r="E23" s="39"/>
      <c r="F23" s="40"/>
      <c r="G23" s="35"/>
      <c r="I23" s="2"/>
      <c r="K23" s="14" t="e">
        <f t="shared" si="0"/>
        <v>#DIV/0!</v>
      </c>
      <c r="L23" s="14" t="e">
        <f t="shared" si="1"/>
        <v>#DIV/0!</v>
      </c>
    </row>
    <row r="24" spans="1:12" ht="15.75">
      <c r="A24" s="19"/>
      <c r="E24" s="1"/>
      <c r="F24" s="11"/>
      <c r="H24" s="29"/>
      <c r="I24" s="29"/>
      <c r="K24" s="14"/>
      <c r="L24" s="14"/>
    </row>
    <row r="25" spans="1:12" ht="15.75">
      <c r="A25" s="19"/>
      <c r="E25" s="1"/>
      <c r="F25" s="11"/>
      <c r="H25" s="29"/>
      <c r="I25" s="29"/>
      <c r="K25" s="14"/>
      <c r="L25" s="14"/>
    </row>
    <row r="26" spans="1:12" ht="15.75">
      <c r="A26" s="19"/>
      <c r="E26" s="1"/>
      <c r="F26" s="11"/>
      <c r="H26" s="29"/>
      <c r="I26" s="29"/>
      <c r="K26" s="14"/>
      <c r="L26" s="14"/>
    </row>
    <row r="27" spans="1:12" ht="15.75">
      <c r="E27" s="1"/>
      <c r="F27" s="11"/>
      <c r="H27" s="29"/>
      <c r="I27" s="29"/>
      <c r="K27" s="14"/>
      <c r="L27" s="14"/>
    </row>
    <row r="28" spans="1:12" ht="15.75">
      <c r="E28" s="1"/>
      <c r="F28" s="11"/>
      <c r="H28" s="29"/>
      <c r="I28" s="29"/>
      <c r="K28" s="14"/>
      <c r="L28" s="14"/>
    </row>
    <row r="29" spans="1:12" ht="15.75">
      <c r="A29" s="19"/>
      <c r="E29" s="1"/>
      <c r="F29" s="11"/>
      <c r="H29" s="29"/>
      <c r="I29" s="29"/>
      <c r="K29" s="14"/>
      <c r="L29" s="14"/>
    </row>
    <row r="30" spans="1:12" ht="15.75">
      <c r="A30" s="19"/>
      <c r="E30" s="1"/>
      <c r="F30" s="11"/>
      <c r="H30" s="29"/>
      <c r="I30" s="29"/>
      <c r="K30" s="14"/>
      <c r="L30" s="14"/>
    </row>
    <row r="31" spans="1:12" ht="15.75">
      <c r="A31" s="20"/>
      <c r="E31" s="1"/>
      <c r="F31" s="11"/>
      <c r="H31" s="29"/>
      <c r="I31" s="29"/>
      <c r="K31" s="14"/>
      <c r="L31" s="14"/>
    </row>
    <row r="32" spans="1:12" ht="15.75">
      <c r="A32" s="19"/>
      <c r="E32" s="1"/>
      <c r="F32" s="11"/>
      <c r="H32" s="29"/>
      <c r="I32" s="29"/>
      <c r="K32" s="14"/>
      <c r="L32" s="14"/>
    </row>
    <row r="33" spans="1:12" ht="15.75">
      <c r="A33" s="16"/>
      <c r="E33" s="1"/>
      <c r="F33" s="11"/>
      <c r="H33" s="29"/>
      <c r="I33" s="29"/>
      <c r="K33" s="14"/>
      <c r="L33" s="14"/>
    </row>
    <row r="34" spans="1:12" ht="15.75">
      <c r="E34" s="1"/>
      <c r="F34" s="11"/>
      <c r="H34" s="29"/>
      <c r="I34" s="29"/>
      <c r="K34" s="14"/>
      <c r="L34" s="14"/>
    </row>
    <row r="35" spans="1:12" ht="15.75">
      <c r="E35" s="1"/>
      <c r="F35" s="11"/>
      <c r="H35" s="29"/>
      <c r="I35" s="29"/>
      <c r="K35" s="14"/>
      <c r="L35" s="14"/>
    </row>
    <row r="36" spans="1:12" ht="15.75">
      <c r="E36" s="1"/>
      <c r="F36" s="11"/>
      <c r="H36" s="29"/>
      <c r="I36" s="29"/>
      <c r="K36" s="14"/>
      <c r="L36" s="14"/>
    </row>
    <row r="37" spans="1:12" ht="15.75">
      <c r="E37" s="1"/>
      <c r="F37" s="11"/>
      <c r="H37" s="29"/>
      <c r="I37" s="29"/>
      <c r="K37" s="14"/>
      <c r="L37" s="14"/>
    </row>
    <row r="38" spans="1:12" ht="15.75">
      <c r="E38" s="1"/>
      <c r="F38" s="11"/>
      <c r="H38" s="29"/>
      <c r="I38" s="29"/>
      <c r="K38" s="14"/>
      <c r="L38" s="14"/>
    </row>
    <row r="39" spans="1:12" ht="15.75">
      <c r="E39" s="1"/>
      <c r="F39" s="11"/>
      <c r="H39" s="29"/>
      <c r="I39" s="29"/>
      <c r="K39" s="14"/>
      <c r="L39" s="14"/>
    </row>
    <row r="40" spans="1:12" ht="15.75">
      <c r="E40" s="1"/>
      <c r="F40" s="11"/>
      <c r="H40" s="29"/>
      <c r="I40" s="29"/>
      <c r="K40" s="14"/>
      <c r="L40" s="14"/>
    </row>
    <row r="41" spans="1:12" ht="15.75">
      <c r="E41" s="1"/>
      <c r="F41" s="11"/>
      <c r="H41" s="29"/>
      <c r="I41" s="29"/>
      <c r="K41" s="14"/>
      <c r="L41" s="14"/>
    </row>
    <row r="42" spans="1:12" ht="15.75">
      <c r="E42" s="1"/>
      <c r="F42" s="11"/>
      <c r="H42" s="29"/>
      <c r="I42" s="29"/>
      <c r="K42" s="14"/>
      <c r="L42" s="14"/>
    </row>
    <row r="43" spans="1:12" ht="15.75">
      <c r="E43" s="1"/>
      <c r="F43" s="11"/>
      <c r="H43" s="29"/>
      <c r="I43" s="29"/>
      <c r="K43" s="14"/>
      <c r="L43" s="14"/>
    </row>
    <row r="44" spans="1:12" ht="15.75">
      <c r="E44" s="1"/>
      <c r="F44" s="11"/>
      <c r="H44" s="29"/>
      <c r="I44" s="29"/>
      <c r="K44" s="14"/>
      <c r="L44" s="14"/>
    </row>
    <row r="45" spans="1:12" ht="15.75">
      <c r="E45" s="1"/>
      <c r="F45" s="11"/>
      <c r="H45" s="29"/>
      <c r="I45" s="29"/>
      <c r="K45" s="14"/>
      <c r="L45" s="14"/>
    </row>
    <row r="46" spans="1:12" ht="15.75">
      <c r="E46" s="1"/>
      <c r="F46" s="11"/>
      <c r="H46" s="29"/>
      <c r="I46" s="29"/>
      <c r="K46" s="14"/>
      <c r="L46" s="14"/>
    </row>
    <row r="47" spans="1:12" ht="15.75">
      <c r="E47" s="1"/>
      <c r="F47" s="11"/>
      <c r="H47" s="29"/>
      <c r="I47" s="29"/>
      <c r="K47" s="14"/>
      <c r="L47" s="14"/>
    </row>
    <row r="48" spans="1:12" ht="15.75">
      <c r="E48" s="1"/>
      <c r="F48" s="11"/>
      <c r="H48" s="29"/>
      <c r="I48" s="29"/>
      <c r="K48" s="14"/>
      <c r="L48" s="14"/>
    </row>
    <row r="49" spans="5:12" ht="15.75">
      <c r="E49" s="1"/>
      <c r="F49" s="11"/>
      <c r="H49" s="29"/>
      <c r="I49" s="29"/>
      <c r="K49" s="14"/>
      <c r="L49" s="14"/>
    </row>
    <row r="50" spans="5:12" ht="15.75">
      <c r="E50" s="1"/>
      <c r="F50" s="11"/>
      <c r="H50" s="29"/>
      <c r="I50" s="29"/>
      <c r="K50" s="14"/>
      <c r="L50" s="14"/>
    </row>
    <row r="51" spans="5:12" ht="15.75">
      <c r="E51" s="1"/>
      <c r="F51" s="11"/>
      <c r="H51" s="29"/>
      <c r="I51" s="29"/>
      <c r="K51" s="14"/>
      <c r="L51" s="14"/>
    </row>
    <row r="52" spans="5:12">
      <c r="F52" s="11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7"/>
  <sheetViews>
    <sheetView topLeftCell="C47" workbookViewId="0">
      <selection activeCell="G54" sqref="G54:L54"/>
    </sheetView>
  </sheetViews>
  <sheetFormatPr defaultRowHeight="15"/>
  <cols>
    <col min="2" max="2" width="72.7109375" customWidth="1"/>
    <col min="4" max="4" width="46.5703125" customWidth="1"/>
    <col min="5" max="5" width="17" customWidth="1"/>
    <col min="6" max="6" width="14.5703125" customWidth="1"/>
  </cols>
  <sheetData>
    <row r="1" spans="1:16">
      <c r="A1" s="10" t="s">
        <v>14</v>
      </c>
      <c r="B1" s="10" t="s">
        <v>15</v>
      </c>
      <c r="C1" s="10" t="s">
        <v>10</v>
      </c>
      <c r="D1" s="10" t="s">
        <v>16</v>
      </c>
      <c r="E1" s="10" t="s">
        <v>17</v>
      </c>
      <c r="F1" s="10" t="s">
        <v>18</v>
      </c>
      <c r="G1" s="10" t="s">
        <v>20</v>
      </c>
      <c r="H1" s="10" t="s">
        <v>4</v>
      </c>
      <c r="I1" s="12" t="s">
        <v>6</v>
      </c>
      <c r="J1" s="10" t="s">
        <v>5</v>
      </c>
      <c r="K1" s="10" t="s">
        <v>11</v>
      </c>
      <c r="L1" s="10" t="s">
        <v>12</v>
      </c>
      <c r="M1" s="10" t="s">
        <v>21</v>
      </c>
      <c r="N1" s="10"/>
      <c r="O1" s="10"/>
      <c r="P1" s="10"/>
    </row>
    <row r="2" spans="1:16" ht="14.25" customHeight="1" thickBot="1">
      <c r="A2" s="36" t="s">
        <v>87</v>
      </c>
      <c r="B2" s="38" t="s">
        <v>186</v>
      </c>
      <c r="C2" s="37" t="s">
        <v>85</v>
      </c>
      <c r="D2" s="37" t="s">
        <v>192</v>
      </c>
      <c r="E2" s="39">
        <v>44130</v>
      </c>
      <c r="F2" s="40">
        <v>1000</v>
      </c>
      <c r="G2" t="s">
        <v>2</v>
      </c>
      <c r="H2">
        <v>0</v>
      </c>
      <c r="I2" s="2">
        <v>100</v>
      </c>
      <c r="K2" s="6">
        <f>(+H2/(H2+I2))*100</f>
        <v>0</v>
      </c>
      <c r="L2" s="6">
        <f>(+I2/(H2+I2))*100</f>
        <v>100</v>
      </c>
    </row>
    <row r="3" spans="1:16" ht="43.5" thickBot="1">
      <c r="A3" s="36" t="s">
        <v>87</v>
      </c>
      <c r="B3" s="38" t="s">
        <v>81</v>
      </c>
      <c r="C3" s="37" t="s">
        <v>85</v>
      </c>
      <c r="D3" s="37" t="s">
        <v>192</v>
      </c>
      <c r="E3" s="39">
        <v>44068</v>
      </c>
      <c r="F3" s="40">
        <v>1000</v>
      </c>
      <c r="G3" t="s">
        <v>2</v>
      </c>
      <c r="H3">
        <v>0</v>
      </c>
      <c r="I3" s="2">
        <v>100</v>
      </c>
      <c r="K3" s="6">
        <f>(+H3/(H3+I3))*100</f>
        <v>0</v>
      </c>
      <c r="L3" s="6">
        <f>(+I3/(H3+I3))*100</f>
        <v>100</v>
      </c>
    </row>
    <row r="4" spans="1:16" ht="16.5" thickBot="1">
      <c r="A4" s="36"/>
      <c r="B4" s="38"/>
      <c r="C4" s="37"/>
      <c r="D4" s="37"/>
      <c r="E4" s="39"/>
      <c r="F4" s="40"/>
      <c r="I4" s="2"/>
      <c r="K4" s="6"/>
      <c r="L4" s="6"/>
    </row>
    <row r="5" spans="1:16" ht="16.5" thickBot="1">
      <c r="A5" s="36"/>
      <c r="B5" s="38"/>
      <c r="C5" s="37"/>
      <c r="D5" s="37"/>
      <c r="E5" s="39"/>
      <c r="F5" s="40"/>
      <c r="I5" s="2"/>
      <c r="K5" s="6"/>
      <c r="L5" s="6"/>
    </row>
    <row r="6" spans="1:16" ht="43.5" thickBot="1">
      <c r="A6" s="36" t="s">
        <v>87</v>
      </c>
      <c r="B6" s="38" t="s">
        <v>77</v>
      </c>
      <c r="C6" s="37" t="s">
        <v>85</v>
      </c>
      <c r="D6" s="37" t="s">
        <v>192</v>
      </c>
      <c r="E6" s="39">
        <v>44190</v>
      </c>
      <c r="F6" s="40">
        <v>192.3</v>
      </c>
      <c r="G6" s="41" t="s">
        <v>1</v>
      </c>
      <c r="H6">
        <v>271500</v>
      </c>
      <c r="I6" s="2">
        <v>265000</v>
      </c>
      <c r="K6" s="6">
        <f>(+H6/(H6+I6))*100</f>
        <v>50.605778191985081</v>
      </c>
      <c r="L6" s="6">
        <f>(+I6/(H6+I6))*100</f>
        <v>49.394221808014912</v>
      </c>
    </row>
    <row r="7" spans="1:16" ht="43.5" thickBot="1">
      <c r="A7" s="36" t="s">
        <v>87</v>
      </c>
      <c r="B7" s="38" t="s">
        <v>77</v>
      </c>
      <c r="C7" s="37" t="s">
        <v>85</v>
      </c>
      <c r="D7" s="37" t="s">
        <v>192</v>
      </c>
      <c r="E7" s="39">
        <v>44176</v>
      </c>
      <c r="F7" s="40">
        <v>192.3</v>
      </c>
      <c r="G7" s="41" t="s">
        <v>1</v>
      </c>
      <c r="H7">
        <v>271500</v>
      </c>
      <c r="I7" s="2">
        <v>265000</v>
      </c>
      <c r="K7" s="6">
        <f t="shared" ref="K7:K55" si="0">(+H7/(H7+I7))*100</f>
        <v>50.605778191985081</v>
      </c>
      <c r="L7" s="6">
        <f t="shared" ref="L7:L55" si="1">(+I7/(H7+I7))*100</f>
        <v>49.394221808014912</v>
      </c>
    </row>
    <row r="8" spans="1:16" ht="43.5" thickBot="1">
      <c r="A8" s="36" t="s">
        <v>87</v>
      </c>
      <c r="B8" s="38" t="s">
        <v>77</v>
      </c>
      <c r="C8" s="37" t="s">
        <v>85</v>
      </c>
      <c r="D8" s="37" t="s">
        <v>192</v>
      </c>
      <c r="E8" s="39">
        <v>44162</v>
      </c>
      <c r="F8" s="40">
        <v>192.3</v>
      </c>
      <c r="G8" s="41" t="s">
        <v>1</v>
      </c>
      <c r="H8">
        <v>271500</v>
      </c>
      <c r="I8" s="2">
        <v>265000</v>
      </c>
      <c r="K8" s="6">
        <f t="shared" si="0"/>
        <v>50.605778191985081</v>
      </c>
      <c r="L8" s="6">
        <f t="shared" si="1"/>
        <v>49.394221808014912</v>
      </c>
    </row>
    <row r="9" spans="1:16" ht="43.5" thickBot="1">
      <c r="A9" s="36" t="s">
        <v>87</v>
      </c>
      <c r="B9" s="38" t="s">
        <v>77</v>
      </c>
      <c r="C9" s="37" t="s">
        <v>85</v>
      </c>
      <c r="D9" s="37" t="s">
        <v>192</v>
      </c>
      <c r="E9" s="39">
        <v>44148</v>
      </c>
      <c r="F9" s="40">
        <v>192.3</v>
      </c>
      <c r="G9" s="41" t="s">
        <v>1</v>
      </c>
      <c r="H9">
        <v>271500</v>
      </c>
      <c r="I9" s="2">
        <v>265000</v>
      </c>
      <c r="K9" s="6">
        <f t="shared" si="0"/>
        <v>50.605778191985081</v>
      </c>
      <c r="L9" s="6">
        <f t="shared" si="1"/>
        <v>49.394221808014912</v>
      </c>
    </row>
    <row r="10" spans="1:16" ht="43.5" thickBot="1">
      <c r="A10" s="36" t="s">
        <v>87</v>
      </c>
      <c r="B10" s="38" t="s">
        <v>77</v>
      </c>
      <c r="C10" s="37" t="s">
        <v>85</v>
      </c>
      <c r="D10" s="37" t="s">
        <v>192</v>
      </c>
      <c r="E10" s="39">
        <v>44134</v>
      </c>
      <c r="F10" s="40">
        <v>192.3</v>
      </c>
      <c r="G10" s="41" t="s">
        <v>1</v>
      </c>
      <c r="H10">
        <v>271500</v>
      </c>
      <c r="I10" s="2">
        <v>265000</v>
      </c>
      <c r="K10" s="6">
        <f t="shared" si="0"/>
        <v>50.605778191985081</v>
      </c>
      <c r="L10" s="6">
        <f t="shared" si="1"/>
        <v>49.394221808014912</v>
      </c>
    </row>
    <row r="11" spans="1:16" ht="43.5" thickBot="1">
      <c r="A11" s="36" t="s">
        <v>87</v>
      </c>
      <c r="B11" s="38" t="s">
        <v>77</v>
      </c>
      <c r="C11" s="37" t="s">
        <v>85</v>
      </c>
      <c r="D11" s="37" t="s">
        <v>192</v>
      </c>
      <c r="E11" s="39">
        <v>44120</v>
      </c>
      <c r="F11" s="40">
        <v>192.3</v>
      </c>
      <c r="G11" s="41" t="s">
        <v>1</v>
      </c>
      <c r="H11">
        <v>271500</v>
      </c>
      <c r="I11" s="2">
        <v>265000</v>
      </c>
      <c r="K11" s="6">
        <f t="shared" si="0"/>
        <v>50.605778191985081</v>
      </c>
      <c r="L11" s="6">
        <f t="shared" si="1"/>
        <v>49.394221808014912</v>
      </c>
    </row>
    <row r="12" spans="1:16" ht="43.5" thickBot="1">
      <c r="A12" s="36" t="s">
        <v>87</v>
      </c>
      <c r="B12" s="38" t="s">
        <v>77</v>
      </c>
      <c r="C12" s="37" t="s">
        <v>85</v>
      </c>
      <c r="D12" s="37" t="s">
        <v>192</v>
      </c>
      <c r="E12" s="39">
        <v>44106</v>
      </c>
      <c r="F12" s="40">
        <v>192.3</v>
      </c>
      <c r="G12" s="41" t="s">
        <v>1</v>
      </c>
      <c r="H12">
        <v>271500</v>
      </c>
      <c r="I12" s="2">
        <v>265000</v>
      </c>
      <c r="K12" s="6">
        <f t="shared" si="0"/>
        <v>50.605778191985081</v>
      </c>
      <c r="L12" s="6">
        <f t="shared" si="1"/>
        <v>49.394221808014912</v>
      </c>
    </row>
    <row r="13" spans="1:16" ht="43.5" thickBot="1">
      <c r="A13" s="36" t="s">
        <v>87</v>
      </c>
      <c r="B13" s="38" t="s">
        <v>77</v>
      </c>
      <c r="C13" s="37" t="s">
        <v>85</v>
      </c>
      <c r="D13" s="37" t="s">
        <v>192</v>
      </c>
      <c r="E13" s="39">
        <v>44092</v>
      </c>
      <c r="F13" s="40">
        <v>192.3</v>
      </c>
      <c r="G13" s="41" t="s">
        <v>1</v>
      </c>
      <c r="H13">
        <v>271500</v>
      </c>
      <c r="I13" s="2">
        <v>265000</v>
      </c>
      <c r="K13" s="6">
        <f t="shared" si="0"/>
        <v>50.605778191985081</v>
      </c>
      <c r="L13" s="6">
        <f t="shared" si="1"/>
        <v>49.394221808014912</v>
      </c>
    </row>
    <row r="14" spans="1:16" ht="43.5" thickBot="1">
      <c r="A14" s="36" t="s">
        <v>87</v>
      </c>
      <c r="B14" s="38" t="s">
        <v>77</v>
      </c>
      <c r="C14" s="37" t="s">
        <v>85</v>
      </c>
      <c r="D14" s="37" t="s">
        <v>192</v>
      </c>
      <c r="E14" s="39">
        <v>44078</v>
      </c>
      <c r="F14" s="40">
        <v>192.3</v>
      </c>
      <c r="G14" s="41" t="s">
        <v>1</v>
      </c>
      <c r="H14">
        <v>271500</v>
      </c>
      <c r="I14" s="2">
        <v>265000</v>
      </c>
      <c r="K14" s="6">
        <f t="shared" si="0"/>
        <v>50.605778191985081</v>
      </c>
      <c r="L14" s="6">
        <f t="shared" si="1"/>
        <v>49.394221808014912</v>
      </c>
    </row>
    <row r="15" spans="1:16" ht="43.5" thickBot="1">
      <c r="A15" s="36" t="s">
        <v>87</v>
      </c>
      <c r="B15" s="38" t="s">
        <v>77</v>
      </c>
      <c r="C15" s="37" t="s">
        <v>85</v>
      </c>
      <c r="D15" s="37" t="s">
        <v>192</v>
      </c>
      <c r="E15" s="39">
        <v>44064</v>
      </c>
      <c r="F15" s="40">
        <v>192.3</v>
      </c>
      <c r="G15" s="41" t="s">
        <v>1</v>
      </c>
      <c r="H15">
        <v>271500</v>
      </c>
      <c r="I15" s="2">
        <v>265000</v>
      </c>
      <c r="K15" s="6">
        <f t="shared" si="0"/>
        <v>50.605778191985081</v>
      </c>
      <c r="L15" s="6">
        <f t="shared" si="1"/>
        <v>49.394221808014912</v>
      </c>
    </row>
    <row r="16" spans="1:16" ht="43.5" thickBot="1">
      <c r="A16" s="36" t="s">
        <v>87</v>
      </c>
      <c r="B16" s="38" t="s">
        <v>77</v>
      </c>
      <c r="C16" s="37" t="s">
        <v>85</v>
      </c>
      <c r="D16" s="37" t="s">
        <v>192</v>
      </c>
      <c r="E16" s="39">
        <v>44050</v>
      </c>
      <c r="F16" s="40">
        <v>192.3</v>
      </c>
      <c r="G16" s="41" t="s">
        <v>1</v>
      </c>
      <c r="H16">
        <v>271500</v>
      </c>
      <c r="I16" s="2">
        <v>265000</v>
      </c>
      <c r="K16" s="6">
        <f t="shared" si="0"/>
        <v>50.605778191985081</v>
      </c>
      <c r="L16" s="6">
        <f t="shared" si="1"/>
        <v>49.394221808014912</v>
      </c>
    </row>
    <row r="17" spans="1:12" ht="43.5" thickBot="1">
      <c r="A17" s="36" t="s">
        <v>87</v>
      </c>
      <c r="B17" s="38" t="s">
        <v>77</v>
      </c>
      <c r="C17" s="37" t="s">
        <v>85</v>
      </c>
      <c r="D17" s="37" t="s">
        <v>192</v>
      </c>
      <c r="E17" s="39">
        <v>44036</v>
      </c>
      <c r="F17" s="40">
        <v>192.3</v>
      </c>
      <c r="G17" s="41" t="s">
        <v>1</v>
      </c>
      <c r="H17">
        <v>271500</v>
      </c>
      <c r="I17" s="2">
        <v>265000</v>
      </c>
      <c r="K17" s="6">
        <f t="shared" si="0"/>
        <v>50.605778191985081</v>
      </c>
      <c r="L17" s="6">
        <f t="shared" si="1"/>
        <v>49.394221808014912</v>
      </c>
    </row>
    <row r="18" spans="1:12" ht="43.5" thickBot="1">
      <c r="A18" s="36" t="s">
        <v>87</v>
      </c>
      <c r="B18" s="38" t="s">
        <v>77</v>
      </c>
      <c r="C18" s="37" t="s">
        <v>85</v>
      </c>
      <c r="D18" s="37" t="s">
        <v>192</v>
      </c>
      <c r="E18" s="39">
        <v>44022</v>
      </c>
      <c r="F18" s="40">
        <v>192.3</v>
      </c>
      <c r="G18" s="41" t="s">
        <v>1</v>
      </c>
      <c r="H18">
        <v>271500</v>
      </c>
      <c r="I18" s="2">
        <v>265000</v>
      </c>
      <c r="K18" s="6">
        <f t="shared" si="0"/>
        <v>50.605778191985081</v>
      </c>
      <c r="L18" s="6">
        <f t="shared" si="1"/>
        <v>49.394221808014912</v>
      </c>
    </row>
    <row r="19" spans="1:12" ht="43.5" thickBot="1">
      <c r="A19" s="36" t="s">
        <v>87</v>
      </c>
      <c r="B19" s="38" t="s">
        <v>77</v>
      </c>
      <c r="C19" s="37" t="s">
        <v>85</v>
      </c>
      <c r="D19" s="37" t="s">
        <v>192</v>
      </c>
      <c r="E19" s="39">
        <v>44008</v>
      </c>
      <c r="F19" s="40">
        <v>192.3</v>
      </c>
      <c r="G19" s="41" t="s">
        <v>1</v>
      </c>
      <c r="H19">
        <v>271500</v>
      </c>
      <c r="I19" s="2">
        <v>265000</v>
      </c>
      <c r="K19" s="6">
        <f t="shared" si="0"/>
        <v>50.605778191985081</v>
      </c>
      <c r="L19" s="6">
        <f t="shared" si="1"/>
        <v>49.394221808014912</v>
      </c>
    </row>
    <row r="20" spans="1:12" ht="43.5" thickBot="1">
      <c r="A20" s="36" t="s">
        <v>87</v>
      </c>
      <c r="B20" s="38" t="s">
        <v>77</v>
      </c>
      <c r="C20" s="37" t="s">
        <v>85</v>
      </c>
      <c r="D20" s="37" t="s">
        <v>192</v>
      </c>
      <c r="E20" s="39">
        <v>43994</v>
      </c>
      <c r="F20" s="40">
        <v>192.3</v>
      </c>
      <c r="G20" s="41" t="s">
        <v>1</v>
      </c>
      <c r="H20">
        <v>271500</v>
      </c>
      <c r="I20" s="2">
        <v>265000</v>
      </c>
      <c r="K20" s="6">
        <f t="shared" si="0"/>
        <v>50.605778191985081</v>
      </c>
      <c r="L20" s="6">
        <f t="shared" si="1"/>
        <v>49.394221808014912</v>
      </c>
    </row>
    <row r="21" spans="1:12" ht="43.5" thickBot="1">
      <c r="A21" s="36" t="s">
        <v>87</v>
      </c>
      <c r="B21" s="38" t="s">
        <v>77</v>
      </c>
      <c r="C21" s="37" t="s">
        <v>85</v>
      </c>
      <c r="D21" s="37" t="s">
        <v>192</v>
      </c>
      <c r="E21" s="39">
        <v>43980</v>
      </c>
      <c r="F21" s="40">
        <v>192.3</v>
      </c>
      <c r="G21" s="41" t="s">
        <v>1</v>
      </c>
      <c r="H21">
        <v>271500</v>
      </c>
      <c r="I21" s="2">
        <v>265000</v>
      </c>
      <c r="K21" s="6">
        <f t="shared" si="0"/>
        <v>50.605778191985081</v>
      </c>
      <c r="L21" s="6">
        <f t="shared" si="1"/>
        <v>49.394221808014912</v>
      </c>
    </row>
    <row r="22" spans="1:12" ht="43.5" thickBot="1">
      <c r="A22" s="36" t="s">
        <v>87</v>
      </c>
      <c r="B22" s="38" t="s">
        <v>77</v>
      </c>
      <c r="C22" s="37" t="s">
        <v>85</v>
      </c>
      <c r="D22" s="37" t="s">
        <v>192</v>
      </c>
      <c r="E22" s="39">
        <v>43966</v>
      </c>
      <c r="F22" s="40">
        <v>192.3</v>
      </c>
      <c r="G22" s="41" t="s">
        <v>1</v>
      </c>
      <c r="H22">
        <v>271500</v>
      </c>
      <c r="I22" s="2">
        <v>265000</v>
      </c>
      <c r="K22" s="6">
        <f t="shared" si="0"/>
        <v>50.605778191985081</v>
      </c>
      <c r="L22" s="6">
        <f t="shared" si="1"/>
        <v>49.394221808014912</v>
      </c>
    </row>
    <row r="23" spans="1:12" ht="43.5" thickBot="1">
      <c r="A23" s="36" t="s">
        <v>87</v>
      </c>
      <c r="B23" s="38" t="s">
        <v>77</v>
      </c>
      <c r="C23" s="37" t="s">
        <v>85</v>
      </c>
      <c r="D23" s="37" t="s">
        <v>192</v>
      </c>
      <c r="E23" s="39">
        <v>43952</v>
      </c>
      <c r="F23" s="40">
        <v>192.3</v>
      </c>
      <c r="G23" s="41" t="s">
        <v>1</v>
      </c>
      <c r="H23">
        <v>271500</v>
      </c>
      <c r="I23" s="2">
        <v>265000</v>
      </c>
      <c r="K23" s="6">
        <f t="shared" si="0"/>
        <v>50.605778191985081</v>
      </c>
      <c r="L23" s="6">
        <f t="shared" si="1"/>
        <v>49.394221808014912</v>
      </c>
    </row>
    <row r="24" spans="1:12" ht="43.5" thickBot="1">
      <c r="A24" s="36" t="s">
        <v>87</v>
      </c>
      <c r="B24" s="38" t="s">
        <v>77</v>
      </c>
      <c r="C24" s="37" t="s">
        <v>85</v>
      </c>
      <c r="D24" s="37" t="s">
        <v>192</v>
      </c>
      <c r="E24" s="39">
        <v>43938</v>
      </c>
      <c r="F24" s="40">
        <v>192.3</v>
      </c>
      <c r="G24" s="41" t="s">
        <v>1</v>
      </c>
      <c r="H24">
        <v>271500</v>
      </c>
      <c r="I24" s="2">
        <v>265000</v>
      </c>
      <c r="K24" s="6">
        <f t="shared" si="0"/>
        <v>50.605778191985081</v>
      </c>
      <c r="L24" s="6">
        <f t="shared" si="1"/>
        <v>49.394221808014912</v>
      </c>
    </row>
    <row r="25" spans="1:12" ht="43.5" thickBot="1">
      <c r="A25" s="36" t="s">
        <v>87</v>
      </c>
      <c r="B25" s="38" t="s">
        <v>77</v>
      </c>
      <c r="C25" s="37" t="s">
        <v>85</v>
      </c>
      <c r="D25" s="37" t="s">
        <v>192</v>
      </c>
      <c r="E25" s="39">
        <v>43924</v>
      </c>
      <c r="F25" s="40">
        <v>192.3</v>
      </c>
      <c r="G25" s="41" t="s">
        <v>1</v>
      </c>
      <c r="H25">
        <v>271500</v>
      </c>
      <c r="I25" s="2">
        <v>265000</v>
      </c>
      <c r="K25" s="6">
        <f t="shared" si="0"/>
        <v>50.605778191985081</v>
      </c>
      <c r="L25" s="6">
        <f t="shared" si="1"/>
        <v>49.394221808014912</v>
      </c>
    </row>
    <row r="26" spans="1:12" ht="43.5" thickBot="1">
      <c r="A26" s="36" t="s">
        <v>87</v>
      </c>
      <c r="B26" s="38" t="s">
        <v>77</v>
      </c>
      <c r="C26" s="37" t="s">
        <v>85</v>
      </c>
      <c r="D26" s="37" t="s">
        <v>192</v>
      </c>
      <c r="E26" s="39">
        <v>43910</v>
      </c>
      <c r="F26" s="40">
        <v>192.3</v>
      </c>
      <c r="G26" s="41" t="s">
        <v>1</v>
      </c>
      <c r="H26">
        <v>271500</v>
      </c>
      <c r="I26" s="2">
        <v>265000</v>
      </c>
      <c r="K26" s="6">
        <f t="shared" si="0"/>
        <v>50.605778191985081</v>
      </c>
      <c r="L26" s="6">
        <f t="shared" si="1"/>
        <v>49.394221808014912</v>
      </c>
    </row>
    <row r="27" spans="1:12" ht="43.5" thickBot="1">
      <c r="A27" s="36" t="s">
        <v>87</v>
      </c>
      <c r="B27" s="38" t="s">
        <v>77</v>
      </c>
      <c r="C27" s="37" t="s">
        <v>85</v>
      </c>
      <c r="D27" s="37" t="s">
        <v>192</v>
      </c>
      <c r="E27" s="39">
        <v>43896</v>
      </c>
      <c r="F27" s="40">
        <v>192.3</v>
      </c>
      <c r="G27" s="41" t="s">
        <v>1</v>
      </c>
      <c r="H27">
        <v>271500</v>
      </c>
      <c r="I27" s="2">
        <v>265000</v>
      </c>
      <c r="K27" s="6">
        <f t="shared" si="0"/>
        <v>50.605778191985081</v>
      </c>
      <c r="L27" s="6">
        <f t="shared" si="1"/>
        <v>49.394221808014912</v>
      </c>
    </row>
    <row r="28" spans="1:12" ht="43.5" thickBot="1">
      <c r="A28" s="36" t="s">
        <v>87</v>
      </c>
      <c r="B28" s="38" t="s">
        <v>77</v>
      </c>
      <c r="C28" s="37" t="s">
        <v>85</v>
      </c>
      <c r="D28" s="37" t="s">
        <v>192</v>
      </c>
      <c r="E28" s="39">
        <v>43882</v>
      </c>
      <c r="F28" s="40">
        <v>192.3</v>
      </c>
      <c r="G28" s="41" t="s">
        <v>1</v>
      </c>
      <c r="H28">
        <v>271500</v>
      </c>
      <c r="I28" s="2">
        <v>265000</v>
      </c>
      <c r="K28" s="6">
        <f t="shared" si="0"/>
        <v>50.605778191985081</v>
      </c>
      <c r="L28" s="6">
        <f t="shared" si="1"/>
        <v>49.394221808014912</v>
      </c>
    </row>
    <row r="29" spans="1:12" ht="43.5" thickBot="1">
      <c r="A29" s="36" t="s">
        <v>87</v>
      </c>
      <c r="B29" s="38" t="s">
        <v>77</v>
      </c>
      <c r="C29" s="37" t="s">
        <v>85</v>
      </c>
      <c r="D29" s="37" t="s">
        <v>192</v>
      </c>
      <c r="E29" s="39">
        <v>43868</v>
      </c>
      <c r="F29" s="40">
        <v>192.3</v>
      </c>
      <c r="G29" s="41" t="s">
        <v>1</v>
      </c>
      <c r="H29">
        <v>271500</v>
      </c>
      <c r="I29" s="2">
        <v>265000</v>
      </c>
      <c r="K29" s="6">
        <f t="shared" si="0"/>
        <v>50.605778191985081</v>
      </c>
      <c r="L29" s="6">
        <f t="shared" si="1"/>
        <v>49.394221808014912</v>
      </c>
    </row>
    <row r="30" spans="1:12" ht="43.5" thickBot="1">
      <c r="A30" s="36" t="s">
        <v>87</v>
      </c>
      <c r="B30" s="38" t="s">
        <v>77</v>
      </c>
      <c r="C30" s="37" t="s">
        <v>85</v>
      </c>
      <c r="D30" s="37" t="s">
        <v>192</v>
      </c>
      <c r="E30" s="39">
        <v>43854</v>
      </c>
      <c r="F30" s="40">
        <v>192.3</v>
      </c>
      <c r="G30" s="41" t="s">
        <v>1</v>
      </c>
      <c r="H30">
        <v>271500</v>
      </c>
      <c r="I30" s="2">
        <v>265000</v>
      </c>
      <c r="K30" s="6">
        <f t="shared" si="0"/>
        <v>50.605778191985081</v>
      </c>
      <c r="L30" s="6">
        <f t="shared" si="1"/>
        <v>49.394221808014912</v>
      </c>
    </row>
    <row r="31" spans="1:12" ht="43.5" thickBot="1">
      <c r="A31" s="36" t="s">
        <v>87</v>
      </c>
      <c r="B31" s="38" t="s">
        <v>77</v>
      </c>
      <c r="C31" s="37" t="s">
        <v>85</v>
      </c>
      <c r="D31" s="37" t="s">
        <v>192</v>
      </c>
      <c r="E31" s="39">
        <v>43826</v>
      </c>
      <c r="F31" s="40">
        <v>192.3</v>
      </c>
      <c r="G31" s="41" t="s">
        <v>1</v>
      </c>
      <c r="H31">
        <v>271500</v>
      </c>
      <c r="I31" s="2">
        <v>265000</v>
      </c>
      <c r="K31" s="6">
        <f t="shared" si="0"/>
        <v>50.605778191985081</v>
      </c>
      <c r="L31" s="6">
        <f t="shared" si="1"/>
        <v>49.394221808014912</v>
      </c>
    </row>
    <row r="32" spans="1:12" ht="43.5" thickBot="1">
      <c r="A32" s="36" t="s">
        <v>87</v>
      </c>
      <c r="B32" s="38" t="s">
        <v>77</v>
      </c>
      <c r="C32" s="37" t="s">
        <v>85</v>
      </c>
      <c r="D32" s="37" t="s">
        <v>192</v>
      </c>
      <c r="E32" s="39">
        <v>43812</v>
      </c>
      <c r="F32" s="40">
        <v>192.3</v>
      </c>
      <c r="G32" s="41" t="s">
        <v>1</v>
      </c>
      <c r="H32">
        <v>271500</v>
      </c>
      <c r="I32" s="2">
        <v>265000</v>
      </c>
      <c r="K32" s="6">
        <f t="shared" si="0"/>
        <v>50.605778191985081</v>
      </c>
      <c r="L32" s="6">
        <f t="shared" si="1"/>
        <v>49.394221808014912</v>
      </c>
    </row>
    <row r="33" spans="1:12" ht="43.5" thickBot="1">
      <c r="A33" s="36" t="s">
        <v>87</v>
      </c>
      <c r="B33" s="38" t="s">
        <v>77</v>
      </c>
      <c r="C33" s="37" t="s">
        <v>85</v>
      </c>
      <c r="D33" s="37" t="s">
        <v>192</v>
      </c>
      <c r="E33" s="39">
        <v>43798</v>
      </c>
      <c r="F33" s="40">
        <v>192.3</v>
      </c>
      <c r="G33" s="41" t="s">
        <v>1</v>
      </c>
      <c r="H33">
        <v>271500</v>
      </c>
      <c r="I33" s="2">
        <v>265000</v>
      </c>
      <c r="K33" s="6">
        <f t="shared" si="0"/>
        <v>50.605778191985081</v>
      </c>
      <c r="L33" s="6">
        <f t="shared" si="1"/>
        <v>49.394221808014912</v>
      </c>
    </row>
    <row r="34" spans="1:12" ht="43.5" thickBot="1">
      <c r="A34" s="36" t="s">
        <v>87</v>
      </c>
      <c r="B34" s="38" t="s">
        <v>77</v>
      </c>
      <c r="C34" s="37" t="s">
        <v>85</v>
      </c>
      <c r="D34" s="37" t="s">
        <v>192</v>
      </c>
      <c r="E34" s="39">
        <v>43784</v>
      </c>
      <c r="F34" s="40">
        <v>192.3</v>
      </c>
      <c r="G34" s="41" t="s">
        <v>1</v>
      </c>
      <c r="H34">
        <v>271500</v>
      </c>
      <c r="I34" s="2">
        <v>265000</v>
      </c>
      <c r="K34" s="6">
        <f t="shared" si="0"/>
        <v>50.605778191985081</v>
      </c>
      <c r="L34" s="6">
        <f t="shared" si="1"/>
        <v>49.394221808014912</v>
      </c>
    </row>
    <row r="35" spans="1:12" ht="43.5" thickBot="1">
      <c r="A35" s="36" t="s">
        <v>87</v>
      </c>
      <c r="B35" s="38" t="s">
        <v>77</v>
      </c>
      <c r="C35" s="37" t="s">
        <v>85</v>
      </c>
      <c r="D35" s="37" t="s">
        <v>192</v>
      </c>
      <c r="E35" s="39">
        <v>43770</v>
      </c>
      <c r="F35" s="40">
        <v>192.3</v>
      </c>
      <c r="G35" s="41" t="s">
        <v>1</v>
      </c>
      <c r="H35">
        <v>271500</v>
      </c>
      <c r="I35" s="2">
        <v>265000</v>
      </c>
      <c r="K35" s="6">
        <f t="shared" si="0"/>
        <v>50.605778191985081</v>
      </c>
      <c r="L35" s="6">
        <f t="shared" si="1"/>
        <v>49.394221808014912</v>
      </c>
    </row>
    <row r="36" spans="1:12" ht="43.5" thickBot="1">
      <c r="A36" s="36" t="s">
        <v>87</v>
      </c>
      <c r="B36" s="38" t="s">
        <v>77</v>
      </c>
      <c r="C36" s="37" t="s">
        <v>85</v>
      </c>
      <c r="D36" s="37" t="s">
        <v>192</v>
      </c>
      <c r="E36" s="39">
        <v>43756</v>
      </c>
      <c r="F36" s="40">
        <v>192.3</v>
      </c>
      <c r="G36" s="41" t="s">
        <v>1</v>
      </c>
      <c r="H36">
        <v>271500</v>
      </c>
      <c r="I36" s="2">
        <v>265000</v>
      </c>
      <c r="K36" s="6">
        <f t="shared" si="0"/>
        <v>50.605778191985081</v>
      </c>
      <c r="L36" s="6">
        <f t="shared" si="1"/>
        <v>49.394221808014912</v>
      </c>
    </row>
    <row r="37" spans="1:12" ht="43.5" thickBot="1">
      <c r="A37" s="36" t="s">
        <v>87</v>
      </c>
      <c r="B37" s="38" t="s">
        <v>77</v>
      </c>
      <c r="C37" s="37" t="s">
        <v>85</v>
      </c>
      <c r="D37" s="37" t="s">
        <v>192</v>
      </c>
      <c r="E37" s="39">
        <v>43742</v>
      </c>
      <c r="F37" s="40">
        <v>192.3</v>
      </c>
      <c r="G37" s="41" t="s">
        <v>1</v>
      </c>
      <c r="H37">
        <v>271500</v>
      </c>
      <c r="I37" s="2">
        <v>265000</v>
      </c>
      <c r="K37" s="6">
        <f t="shared" si="0"/>
        <v>50.605778191985081</v>
      </c>
      <c r="L37" s="6">
        <f t="shared" si="1"/>
        <v>49.394221808014912</v>
      </c>
    </row>
    <row r="38" spans="1:12" ht="43.5" thickBot="1">
      <c r="A38" s="36" t="s">
        <v>87</v>
      </c>
      <c r="B38" s="38" t="s">
        <v>77</v>
      </c>
      <c r="C38" s="37" t="s">
        <v>85</v>
      </c>
      <c r="D38" s="37" t="s">
        <v>192</v>
      </c>
      <c r="E38" s="39">
        <v>43728</v>
      </c>
      <c r="F38" s="40">
        <v>192.3</v>
      </c>
      <c r="G38" s="41" t="s">
        <v>1</v>
      </c>
      <c r="H38">
        <v>271500</v>
      </c>
      <c r="I38" s="2">
        <v>265000</v>
      </c>
      <c r="K38" s="6">
        <f t="shared" si="0"/>
        <v>50.605778191985081</v>
      </c>
      <c r="L38" s="6">
        <f t="shared" si="1"/>
        <v>49.394221808014912</v>
      </c>
    </row>
    <row r="39" spans="1:12" ht="43.5" thickBot="1">
      <c r="A39" s="36" t="s">
        <v>87</v>
      </c>
      <c r="B39" s="38" t="s">
        <v>77</v>
      </c>
      <c r="C39" s="37" t="s">
        <v>85</v>
      </c>
      <c r="D39" s="37" t="s">
        <v>192</v>
      </c>
      <c r="E39" s="39">
        <v>43714</v>
      </c>
      <c r="F39" s="40">
        <v>192.3</v>
      </c>
      <c r="G39" s="41" t="s">
        <v>1</v>
      </c>
      <c r="H39">
        <v>271500</v>
      </c>
      <c r="I39" s="2">
        <v>265000</v>
      </c>
      <c r="K39" s="6">
        <f t="shared" si="0"/>
        <v>50.605778191985081</v>
      </c>
      <c r="L39" s="6">
        <f t="shared" si="1"/>
        <v>49.394221808014912</v>
      </c>
    </row>
    <row r="40" spans="1:12" ht="43.5" thickBot="1">
      <c r="A40" s="36" t="s">
        <v>87</v>
      </c>
      <c r="B40" s="38" t="s">
        <v>77</v>
      </c>
      <c r="C40" s="37" t="s">
        <v>85</v>
      </c>
      <c r="D40" s="37" t="s">
        <v>192</v>
      </c>
      <c r="E40" s="39">
        <v>43700</v>
      </c>
      <c r="F40" s="40">
        <v>192.3</v>
      </c>
      <c r="G40" s="41" t="s">
        <v>1</v>
      </c>
      <c r="H40">
        <v>271500</v>
      </c>
      <c r="I40" s="2">
        <v>265000</v>
      </c>
      <c r="K40" s="6">
        <f t="shared" si="0"/>
        <v>50.605778191985081</v>
      </c>
      <c r="L40" s="6">
        <f t="shared" si="1"/>
        <v>49.394221808014912</v>
      </c>
    </row>
    <row r="41" spans="1:12" ht="43.5" thickBot="1">
      <c r="A41" s="36" t="s">
        <v>87</v>
      </c>
      <c r="B41" s="38" t="s">
        <v>77</v>
      </c>
      <c r="C41" s="37" t="s">
        <v>85</v>
      </c>
      <c r="D41" s="37" t="s">
        <v>192</v>
      </c>
      <c r="E41" s="39">
        <v>43686</v>
      </c>
      <c r="F41" s="40">
        <v>192.3</v>
      </c>
      <c r="G41" s="41" t="s">
        <v>1</v>
      </c>
      <c r="H41">
        <v>271500</v>
      </c>
      <c r="I41" s="2">
        <v>265000</v>
      </c>
      <c r="K41" s="6">
        <f t="shared" si="0"/>
        <v>50.605778191985081</v>
      </c>
      <c r="L41" s="6">
        <f t="shared" si="1"/>
        <v>49.394221808014912</v>
      </c>
    </row>
    <row r="42" spans="1:12" ht="43.5" thickBot="1">
      <c r="A42" s="36" t="s">
        <v>87</v>
      </c>
      <c r="B42" s="38" t="s">
        <v>77</v>
      </c>
      <c r="C42" s="37" t="s">
        <v>85</v>
      </c>
      <c r="D42" s="37" t="s">
        <v>192</v>
      </c>
      <c r="E42" s="39">
        <v>43672</v>
      </c>
      <c r="F42" s="40">
        <v>192.3</v>
      </c>
      <c r="G42" s="41" t="s">
        <v>1</v>
      </c>
      <c r="H42">
        <v>271500</v>
      </c>
      <c r="I42" s="2">
        <v>265000</v>
      </c>
      <c r="K42" s="6">
        <f t="shared" si="0"/>
        <v>50.605778191985081</v>
      </c>
      <c r="L42" s="6">
        <f t="shared" si="1"/>
        <v>49.394221808014912</v>
      </c>
    </row>
    <row r="43" spans="1:12" ht="43.5" thickBot="1">
      <c r="A43" s="36" t="s">
        <v>87</v>
      </c>
      <c r="B43" s="38" t="s">
        <v>77</v>
      </c>
      <c r="C43" s="37" t="s">
        <v>85</v>
      </c>
      <c r="D43" s="37" t="s">
        <v>192</v>
      </c>
      <c r="E43" s="39">
        <v>43658</v>
      </c>
      <c r="F43" s="40">
        <v>192.3</v>
      </c>
      <c r="G43" s="41" t="s">
        <v>1</v>
      </c>
      <c r="H43">
        <v>271500</v>
      </c>
      <c r="I43" s="2">
        <v>265000</v>
      </c>
      <c r="K43" s="6">
        <f t="shared" si="0"/>
        <v>50.605778191985081</v>
      </c>
      <c r="L43" s="6">
        <f t="shared" si="1"/>
        <v>49.394221808014912</v>
      </c>
    </row>
    <row r="44" spans="1:12" ht="43.5" thickBot="1">
      <c r="A44" s="36" t="s">
        <v>87</v>
      </c>
      <c r="B44" s="38" t="s">
        <v>77</v>
      </c>
      <c r="C44" s="37" t="s">
        <v>85</v>
      </c>
      <c r="D44" s="37" t="s">
        <v>192</v>
      </c>
      <c r="E44" s="39">
        <v>43644</v>
      </c>
      <c r="F44" s="40">
        <v>192.3</v>
      </c>
      <c r="G44" s="41" t="s">
        <v>1</v>
      </c>
      <c r="H44">
        <v>271500</v>
      </c>
      <c r="I44" s="2">
        <v>265000</v>
      </c>
      <c r="K44" s="6">
        <f t="shared" si="0"/>
        <v>50.605778191985081</v>
      </c>
      <c r="L44" s="6">
        <f t="shared" si="1"/>
        <v>49.394221808014912</v>
      </c>
    </row>
    <row r="45" spans="1:12" ht="43.5" thickBot="1">
      <c r="A45" s="36" t="s">
        <v>87</v>
      </c>
      <c r="B45" s="38" t="s">
        <v>77</v>
      </c>
      <c r="C45" s="37" t="s">
        <v>85</v>
      </c>
      <c r="D45" s="37" t="s">
        <v>192</v>
      </c>
      <c r="E45" s="39">
        <v>43630</v>
      </c>
      <c r="F45" s="40">
        <v>192.3</v>
      </c>
      <c r="G45" s="41" t="s">
        <v>1</v>
      </c>
      <c r="H45">
        <v>271500</v>
      </c>
      <c r="I45" s="2">
        <v>265000</v>
      </c>
      <c r="K45" s="6">
        <f t="shared" si="0"/>
        <v>50.605778191985081</v>
      </c>
      <c r="L45" s="6">
        <f t="shared" si="1"/>
        <v>49.394221808014912</v>
      </c>
    </row>
    <row r="46" spans="1:12" ht="43.5" thickBot="1">
      <c r="A46" s="36" t="s">
        <v>87</v>
      </c>
      <c r="B46" s="38" t="s">
        <v>77</v>
      </c>
      <c r="C46" s="37" t="s">
        <v>85</v>
      </c>
      <c r="D46" s="37" t="s">
        <v>192</v>
      </c>
      <c r="E46" s="39">
        <v>43616</v>
      </c>
      <c r="F46" s="40">
        <v>192.3</v>
      </c>
      <c r="G46" s="41" t="s">
        <v>1</v>
      </c>
      <c r="H46">
        <v>271500</v>
      </c>
      <c r="I46" s="2">
        <v>265000</v>
      </c>
      <c r="K46" s="6">
        <f t="shared" si="0"/>
        <v>50.605778191985081</v>
      </c>
      <c r="L46" s="6">
        <f t="shared" si="1"/>
        <v>49.394221808014912</v>
      </c>
    </row>
    <row r="47" spans="1:12" ht="16.5" thickBot="1">
      <c r="A47" s="54" t="s">
        <v>87</v>
      </c>
      <c r="B47" s="56" t="s">
        <v>77</v>
      </c>
      <c r="C47" s="56" t="s">
        <v>85</v>
      </c>
      <c r="D47" s="37" t="s">
        <v>192</v>
      </c>
      <c r="E47" s="58">
        <v>43602</v>
      </c>
      <c r="F47" s="60">
        <v>192.3</v>
      </c>
      <c r="G47" s="41" t="s">
        <v>1</v>
      </c>
      <c r="H47">
        <v>271500</v>
      </c>
      <c r="I47" s="2">
        <v>265000</v>
      </c>
      <c r="K47" s="6">
        <f t="shared" si="0"/>
        <v>50.605778191985081</v>
      </c>
      <c r="L47" s="6">
        <f t="shared" si="1"/>
        <v>49.394221808014912</v>
      </c>
    </row>
    <row r="48" spans="1:12" ht="16.5" thickBot="1">
      <c r="A48" s="54" t="s">
        <v>87</v>
      </c>
      <c r="B48" s="56" t="s">
        <v>77</v>
      </c>
      <c r="C48" s="56" t="s">
        <v>85</v>
      </c>
      <c r="D48" s="37" t="s">
        <v>192</v>
      </c>
      <c r="E48" s="58">
        <v>43588</v>
      </c>
      <c r="F48" s="60">
        <v>192.3</v>
      </c>
      <c r="G48" s="41" t="s">
        <v>1</v>
      </c>
      <c r="H48">
        <v>271500</v>
      </c>
      <c r="I48" s="2">
        <v>265000</v>
      </c>
      <c r="K48" s="6">
        <f t="shared" si="0"/>
        <v>50.605778191985081</v>
      </c>
      <c r="L48" s="6">
        <f t="shared" si="1"/>
        <v>49.394221808014912</v>
      </c>
    </row>
    <row r="49" spans="1:12" ht="16.5" thickBot="1">
      <c r="A49" s="54" t="s">
        <v>87</v>
      </c>
      <c r="B49" s="56" t="s">
        <v>77</v>
      </c>
      <c r="C49" s="56" t="s">
        <v>85</v>
      </c>
      <c r="D49" s="37" t="s">
        <v>192</v>
      </c>
      <c r="E49" s="58">
        <v>43574</v>
      </c>
      <c r="F49" s="60">
        <v>192.3</v>
      </c>
      <c r="G49" s="41" t="s">
        <v>1</v>
      </c>
      <c r="H49">
        <v>271500</v>
      </c>
      <c r="I49" s="2">
        <v>265000</v>
      </c>
      <c r="K49" s="6">
        <f t="shared" si="0"/>
        <v>50.605778191985081</v>
      </c>
      <c r="L49" s="6">
        <f t="shared" si="1"/>
        <v>49.394221808014912</v>
      </c>
    </row>
    <row r="50" spans="1:12" ht="16.5" thickBot="1">
      <c r="A50" s="54" t="s">
        <v>87</v>
      </c>
      <c r="B50" s="56" t="s">
        <v>77</v>
      </c>
      <c r="C50" s="56" t="s">
        <v>85</v>
      </c>
      <c r="D50" s="37" t="s">
        <v>192</v>
      </c>
      <c r="E50" s="58">
        <v>43560</v>
      </c>
      <c r="F50" s="60">
        <v>192.3</v>
      </c>
      <c r="G50" s="41" t="s">
        <v>1</v>
      </c>
      <c r="H50">
        <v>271500</v>
      </c>
      <c r="I50" s="2">
        <v>265000</v>
      </c>
      <c r="K50" s="6">
        <f t="shared" si="0"/>
        <v>50.605778191985081</v>
      </c>
      <c r="L50" s="6">
        <f t="shared" si="1"/>
        <v>49.394221808014912</v>
      </c>
    </row>
    <row r="51" spans="1:12" ht="16.5" thickBot="1">
      <c r="A51" s="54" t="s">
        <v>87</v>
      </c>
      <c r="B51" s="56" t="s">
        <v>77</v>
      </c>
      <c r="C51" s="56" t="s">
        <v>85</v>
      </c>
      <c r="D51" s="37" t="s">
        <v>192</v>
      </c>
      <c r="E51" s="58">
        <v>43546</v>
      </c>
      <c r="F51" s="60">
        <v>192.3</v>
      </c>
      <c r="G51" s="41" t="s">
        <v>1</v>
      </c>
      <c r="H51">
        <v>271500</v>
      </c>
      <c r="I51" s="2">
        <v>265000</v>
      </c>
      <c r="K51" s="6">
        <f t="shared" si="0"/>
        <v>50.605778191985081</v>
      </c>
      <c r="L51" s="6">
        <f t="shared" si="1"/>
        <v>49.394221808014912</v>
      </c>
    </row>
    <row r="52" spans="1:12" ht="16.5" thickBot="1">
      <c r="A52" s="63" t="s">
        <v>87</v>
      </c>
      <c r="B52" s="63" t="s">
        <v>77</v>
      </c>
      <c r="C52" s="63" t="s">
        <v>85</v>
      </c>
      <c r="D52" s="37" t="s">
        <v>192</v>
      </c>
      <c r="E52" s="64">
        <v>43532</v>
      </c>
      <c r="F52" s="65">
        <v>192.3</v>
      </c>
      <c r="G52" s="41" t="s">
        <v>1</v>
      </c>
      <c r="H52">
        <v>271500</v>
      </c>
      <c r="I52" s="2">
        <v>265000</v>
      </c>
      <c r="K52" s="6">
        <f t="shared" si="0"/>
        <v>50.605778191985081</v>
      </c>
      <c r="L52" s="6">
        <f t="shared" si="1"/>
        <v>49.394221808014912</v>
      </c>
    </row>
    <row r="53" spans="1:12" ht="16.5" thickBot="1">
      <c r="A53" s="63" t="s">
        <v>87</v>
      </c>
      <c r="B53" s="63" t="s">
        <v>77</v>
      </c>
      <c r="C53" s="63" t="s">
        <v>85</v>
      </c>
      <c r="D53" s="37" t="s">
        <v>192</v>
      </c>
      <c r="E53" s="64">
        <v>43518</v>
      </c>
      <c r="F53" s="65">
        <v>192.3</v>
      </c>
      <c r="G53" s="41" t="s">
        <v>1</v>
      </c>
      <c r="H53">
        <v>271500</v>
      </c>
      <c r="I53" s="2">
        <v>265000</v>
      </c>
      <c r="K53" s="6">
        <f t="shared" si="0"/>
        <v>50.605778191985081</v>
      </c>
      <c r="L53" s="6">
        <f t="shared" si="1"/>
        <v>49.394221808014912</v>
      </c>
    </row>
    <row r="54" spans="1:12" ht="16.5" thickBot="1">
      <c r="A54" t="s">
        <v>87</v>
      </c>
      <c r="B54" t="s">
        <v>77</v>
      </c>
      <c r="C54" t="s">
        <v>85</v>
      </c>
      <c r="D54" s="37" t="s">
        <v>192</v>
      </c>
      <c r="E54" s="1">
        <v>43504</v>
      </c>
      <c r="F54" s="11">
        <v>192.3</v>
      </c>
      <c r="G54" s="41" t="s">
        <v>1</v>
      </c>
      <c r="H54">
        <v>271500</v>
      </c>
      <c r="I54" s="2">
        <v>265000</v>
      </c>
      <c r="K54" s="6">
        <f t="shared" si="0"/>
        <v>50.605778191985081</v>
      </c>
      <c r="L54" s="6">
        <f t="shared" si="1"/>
        <v>49.394221808014912</v>
      </c>
    </row>
    <row r="55" spans="1:12" ht="16.5" thickBot="1">
      <c r="A55" t="s">
        <v>87</v>
      </c>
      <c r="B55" t="s">
        <v>77</v>
      </c>
      <c r="C55" t="s">
        <v>85</v>
      </c>
      <c r="D55" s="37" t="s">
        <v>192</v>
      </c>
      <c r="E55" s="1">
        <v>43490</v>
      </c>
      <c r="F55" s="11">
        <v>192.3</v>
      </c>
      <c r="G55" s="41" t="s">
        <v>1</v>
      </c>
      <c r="H55">
        <v>271500</v>
      </c>
      <c r="I55" s="2">
        <v>265000</v>
      </c>
      <c r="K55" s="6">
        <f t="shared" si="0"/>
        <v>50.605778191985081</v>
      </c>
      <c r="L55" s="6">
        <f t="shared" si="1"/>
        <v>49.394221808014912</v>
      </c>
    </row>
    <row r="56" spans="1:12" ht="43.5" thickBot="1">
      <c r="A56" s="55" t="s">
        <v>87</v>
      </c>
      <c r="B56" s="57" t="s">
        <v>75</v>
      </c>
      <c r="C56" s="55" t="s">
        <v>85</v>
      </c>
      <c r="D56" s="37" t="s">
        <v>192</v>
      </c>
      <c r="E56" s="59">
        <v>44026</v>
      </c>
      <c r="F56" s="61">
        <v>5000</v>
      </c>
      <c r="G56" t="s">
        <v>1</v>
      </c>
      <c r="H56">
        <v>126000</v>
      </c>
      <c r="I56" s="2">
        <v>156000</v>
      </c>
      <c r="K56" s="6">
        <f>(+H56/(H56+I56))*100</f>
        <v>44.680851063829785</v>
      </c>
      <c r="L56" s="6">
        <f>(+I56/(H56+I56))*100</f>
        <v>55.319148936170215</v>
      </c>
    </row>
    <row r="57" spans="1:12" ht="16.5" thickBot="1">
      <c r="A57" t="s">
        <v>87</v>
      </c>
      <c r="B57" t="s">
        <v>75</v>
      </c>
      <c r="C57" t="s">
        <v>85</v>
      </c>
      <c r="D57" s="37" t="s">
        <v>192</v>
      </c>
      <c r="E57" s="1">
        <v>43615</v>
      </c>
      <c r="F57" s="11">
        <v>5000</v>
      </c>
      <c r="G57" t="s">
        <v>1</v>
      </c>
      <c r="H57">
        <v>81500</v>
      </c>
      <c r="I57" s="2">
        <v>78000</v>
      </c>
      <c r="K57" s="6">
        <f>(+H57/(H57+I57))*100</f>
        <v>51.097178683385579</v>
      </c>
      <c r="L57" s="6">
        <f>(+I57/(H57+I57))*100</f>
        <v>48.902821316614421</v>
      </c>
    </row>
    <row r="58" spans="1:12" ht="16.5" thickBot="1">
      <c r="A58" t="s">
        <v>191</v>
      </c>
      <c r="B58" t="s">
        <v>71</v>
      </c>
      <c r="C58" t="s">
        <v>85</v>
      </c>
      <c r="D58" s="37" t="s">
        <v>192</v>
      </c>
      <c r="E58" s="1">
        <v>43580</v>
      </c>
      <c r="F58" s="11">
        <v>1000</v>
      </c>
      <c r="G58" t="s">
        <v>1</v>
      </c>
      <c r="H58">
        <v>118500</v>
      </c>
      <c r="I58" s="2">
        <v>138500</v>
      </c>
      <c r="K58" s="6">
        <f>(+H58/(H58+I58))*100</f>
        <v>46.108949416342412</v>
      </c>
      <c r="L58" s="6">
        <f>(+I58/(H58+I58))*100</f>
        <v>53.891050583657588</v>
      </c>
    </row>
    <row r="59" spans="1:12" ht="15.75" thickBot="1">
      <c r="D59" s="37"/>
      <c r="E59" s="1"/>
      <c r="F59" s="11">
        <f>SUM(F6:F58)</f>
        <v>20615</v>
      </c>
    </row>
    <row r="60" spans="1:12" ht="15.75" thickBot="1">
      <c r="D60" s="37"/>
      <c r="E60" s="1"/>
      <c r="F60" s="11"/>
    </row>
    <row r="61" spans="1:12" ht="57.75" thickBot="1">
      <c r="A61" s="55" t="s">
        <v>189</v>
      </c>
      <c r="B61" s="57" t="s">
        <v>190</v>
      </c>
      <c r="C61" s="55" t="s">
        <v>85</v>
      </c>
      <c r="D61" s="37" t="s">
        <v>192</v>
      </c>
      <c r="E61" s="59">
        <v>43801</v>
      </c>
      <c r="F61" s="61">
        <v>500</v>
      </c>
      <c r="G61" t="s">
        <v>3</v>
      </c>
      <c r="H61">
        <v>126000</v>
      </c>
      <c r="I61" s="2">
        <v>156000</v>
      </c>
      <c r="K61" s="6">
        <f>(+H61/(H61+I61))*100</f>
        <v>44.680851063829785</v>
      </c>
      <c r="L61" s="6">
        <f>(+I61/(H61+I61))*100</f>
        <v>55.319148936170215</v>
      </c>
    </row>
    <row r="62" spans="1:12" ht="43.5" thickBot="1">
      <c r="A62" s="55" t="s">
        <v>87</v>
      </c>
      <c r="B62" s="57" t="s">
        <v>187</v>
      </c>
      <c r="C62" s="55" t="s">
        <v>85</v>
      </c>
      <c r="D62" s="37" t="s">
        <v>192</v>
      </c>
      <c r="E62" s="59">
        <v>44033</v>
      </c>
      <c r="F62" s="61">
        <v>1000</v>
      </c>
      <c r="G62" t="s">
        <v>3</v>
      </c>
      <c r="H62">
        <v>126000</v>
      </c>
      <c r="I62" s="2">
        <v>156000</v>
      </c>
      <c r="K62" s="6">
        <f>(+H62/(H62+I62))*100</f>
        <v>44.680851063829785</v>
      </c>
      <c r="L62" s="6">
        <f>(+I62/(H62+I62))*100</f>
        <v>55.319148936170215</v>
      </c>
    </row>
    <row r="63" spans="1:12" ht="57.75" thickBot="1">
      <c r="A63" s="55" t="s">
        <v>189</v>
      </c>
      <c r="B63" s="57" t="s">
        <v>132</v>
      </c>
      <c r="C63" s="55" t="s">
        <v>85</v>
      </c>
      <c r="D63" s="37" t="s">
        <v>192</v>
      </c>
      <c r="E63" s="59">
        <v>43801</v>
      </c>
      <c r="F63" s="61">
        <v>500</v>
      </c>
      <c r="G63" t="s">
        <v>3</v>
      </c>
      <c r="H63">
        <v>126000</v>
      </c>
      <c r="I63" s="2">
        <v>156000</v>
      </c>
      <c r="K63" s="6">
        <f>(+H63/(H63+I63))*100</f>
        <v>44.680851063829785</v>
      </c>
      <c r="L63" s="6">
        <f>(+I63/(H63+I63))*100</f>
        <v>55.319148936170215</v>
      </c>
    </row>
    <row r="64" spans="1:12" ht="43.5" thickBot="1">
      <c r="A64" s="55" t="s">
        <v>87</v>
      </c>
      <c r="B64" s="57" t="s">
        <v>188</v>
      </c>
      <c r="C64" s="55" t="s">
        <v>85</v>
      </c>
      <c r="D64" s="37" t="s">
        <v>192</v>
      </c>
      <c r="E64" s="59">
        <v>44033</v>
      </c>
      <c r="F64" s="61">
        <v>1000</v>
      </c>
      <c r="G64" t="s">
        <v>3</v>
      </c>
      <c r="H64">
        <v>126000</v>
      </c>
      <c r="I64" s="2">
        <v>156000</v>
      </c>
      <c r="K64" s="6">
        <f>(+H64/(H64+I64))*100</f>
        <v>44.680851063829785</v>
      </c>
      <c r="L64" s="6">
        <f>(+I64/(H64+I64))*100</f>
        <v>55.319148936170215</v>
      </c>
    </row>
    <row r="65" spans="4:6" ht="15.75" thickBot="1">
      <c r="D65" s="37"/>
      <c r="E65" s="1"/>
      <c r="F65" s="11"/>
    </row>
    <row r="66" spans="4:6" ht="15.75" thickBot="1">
      <c r="D66" s="37"/>
      <c r="E66" s="1"/>
      <c r="F66" s="11">
        <f>SUM(F61:F65)</f>
        <v>3000</v>
      </c>
    </row>
    <row r="67" spans="4:6">
      <c r="F67" s="11"/>
    </row>
  </sheetData>
  <sortState xmlns:xlrd2="http://schemas.microsoft.com/office/spreadsheetml/2017/richdata2" ref="A2:P66">
    <sortCondition ref="G2:G66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70"/>
  <sheetViews>
    <sheetView topLeftCell="A18" workbookViewId="0">
      <selection activeCell="G20" sqref="G20:L20"/>
    </sheetView>
  </sheetViews>
  <sheetFormatPr defaultRowHeight="15"/>
  <cols>
    <col min="2" max="2" width="36.5703125" customWidth="1"/>
    <col min="5" max="6" width="14.7109375" customWidth="1"/>
  </cols>
  <sheetData>
    <row r="1" spans="1:16">
      <c r="A1" s="10" t="s">
        <v>14</v>
      </c>
      <c r="B1" s="10" t="s">
        <v>15</v>
      </c>
      <c r="C1" s="10" t="s">
        <v>10</v>
      </c>
      <c r="D1" s="10" t="s">
        <v>16</v>
      </c>
      <c r="E1" s="10" t="s">
        <v>17</v>
      </c>
      <c r="F1" s="10" t="s">
        <v>18</v>
      </c>
      <c r="G1" s="10" t="s">
        <v>20</v>
      </c>
      <c r="H1" s="10" t="s">
        <v>4</v>
      </c>
      <c r="I1" s="12" t="s">
        <v>6</v>
      </c>
      <c r="J1" s="10" t="s">
        <v>5</v>
      </c>
      <c r="K1" s="10" t="s">
        <v>11</v>
      </c>
      <c r="L1" s="10" t="s">
        <v>12</v>
      </c>
      <c r="M1" s="10" t="s">
        <v>21</v>
      </c>
      <c r="N1" s="10"/>
      <c r="O1" s="10"/>
      <c r="P1" s="10"/>
    </row>
    <row r="2" spans="1:16" ht="86.25" thickBot="1">
      <c r="A2" s="36" t="s">
        <v>200</v>
      </c>
      <c r="B2" s="38" t="s">
        <v>168</v>
      </c>
      <c r="C2" s="37" t="s">
        <v>85</v>
      </c>
      <c r="D2" s="37" t="s">
        <v>88</v>
      </c>
      <c r="E2" s="39">
        <v>44113</v>
      </c>
      <c r="F2" s="40">
        <v>280</v>
      </c>
      <c r="G2" s="41" t="s">
        <v>2</v>
      </c>
      <c r="H2">
        <v>0</v>
      </c>
      <c r="I2">
        <v>100</v>
      </c>
      <c r="K2" s="6">
        <f t="shared" ref="K2:K17" si="0">(+H2/(H2+I2))*100</f>
        <v>0</v>
      </c>
      <c r="L2" s="6">
        <f t="shared" ref="L2:L17" si="1">(+I2/(H2+I2))*100</f>
        <v>100</v>
      </c>
    </row>
    <row r="3" spans="1:16" ht="86.25" thickBot="1">
      <c r="A3" s="36" t="s">
        <v>200</v>
      </c>
      <c r="B3" s="38" t="s">
        <v>168</v>
      </c>
      <c r="C3" s="37" t="s">
        <v>85</v>
      </c>
      <c r="D3" s="37" t="s">
        <v>88</v>
      </c>
      <c r="E3" s="39">
        <v>44065</v>
      </c>
      <c r="F3" s="40">
        <v>50</v>
      </c>
      <c r="G3" s="41" t="s">
        <v>2</v>
      </c>
      <c r="H3">
        <v>0</v>
      </c>
      <c r="I3">
        <v>100</v>
      </c>
      <c r="K3" s="6">
        <f t="shared" si="0"/>
        <v>0</v>
      </c>
      <c r="L3" s="6">
        <f t="shared" si="1"/>
        <v>100</v>
      </c>
    </row>
    <row r="4" spans="1:16" ht="86.25" thickBot="1">
      <c r="A4" s="36" t="s">
        <v>200</v>
      </c>
      <c r="B4" s="38" t="s">
        <v>168</v>
      </c>
      <c r="C4" s="37" t="s">
        <v>85</v>
      </c>
      <c r="D4" s="37" t="s">
        <v>88</v>
      </c>
      <c r="E4" s="39">
        <v>43858</v>
      </c>
      <c r="F4" s="40">
        <v>25</v>
      </c>
      <c r="G4" s="41" t="s">
        <v>2</v>
      </c>
      <c r="H4">
        <v>0</v>
      </c>
      <c r="I4">
        <v>100</v>
      </c>
      <c r="K4" s="6">
        <f t="shared" si="0"/>
        <v>0</v>
      </c>
      <c r="L4" s="6">
        <f t="shared" si="1"/>
        <v>100</v>
      </c>
    </row>
    <row r="5" spans="1:16" ht="86.25" thickBot="1">
      <c r="A5" s="36" t="s">
        <v>200</v>
      </c>
      <c r="B5" s="38" t="s">
        <v>208</v>
      </c>
      <c r="C5" s="37" t="s">
        <v>85</v>
      </c>
      <c r="D5" s="37" t="s">
        <v>88</v>
      </c>
      <c r="E5" s="39">
        <v>44065</v>
      </c>
      <c r="F5" s="40">
        <v>2800</v>
      </c>
      <c r="G5" s="41" t="s">
        <v>2</v>
      </c>
      <c r="H5">
        <v>0</v>
      </c>
      <c r="I5">
        <v>100</v>
      </c>
      <c r="K5" s="6">
        <f t="shared" si="0"/>
        <v>0</v>
      </c>
      <c r="L5" s="6">
        <f t="shared" si="1"/>
        <v>100</v>
      </c>
    </row>
    <row r="6" spans="1:16" ht="86.25" thickBot="1">
      <c r="A6" s="36" t="s">
        <v>200</v>
      </c>
      <c r="B6" s="38" t="s">
        <v>0</v>
      </c>
      <c r="C6" s="37" t="s">
        <v>85</v>
      </c>
      <c r="D6" s="37" t="s">
        <v>88</v>
      </c>
      <c r="E6" s="39">
        <v>44056</v>
      </c>
      <c r="F6" s="40">
        <v>2800</v>
      </c>
      <c r="G6" s="41" t="s">
        <v>2</v>
      </c>
      <c r="H6">
        <v>0</v>
      </c>
      <c r="I6">
        <v>100</v>
      </c>
      <c r="K6" s="6">
        <f t="shared" si="0"/>
        <v>0</v>
      </c>
      <c r="L6" s="6">
        <f t="shared" si="1"/>
        <v>100</v>
      </c>
    </row>
    <row r="7" spans="1:16" ht="86.25" thickBot="1">
      <c r="A7" s="36" t="s">
        <v>200</v>
      </c>
      <c r="B7" s="38" t="s">
        <v>0</v>
      </c>
      <c r="C7" s="37" t="s">
        <v>85</v>
      </c>
      <c r="D7" s="37" t="s">
        <v>88</v>
      </c>
      <c r="E7" s="39">
        <v>44056</v>
      </c>
      <c r="F7" s="40">
        <v>2800</v>
      </c>
      <c r="G7" s="41" t="s">
        <v>2</v>
      </c>
      <c r="H7">
        <v>0</v>
      </c>
      <c r="I7">
        <v>100</v>
      </c>
      <c r="K7" s="6">
        <f t="shared" si="0"/>
        <v>0</v>
      </c>
      <c r="L7" s="6">
        <f t="shared" si="1"/>
        <v>100</v>
      </c>
    </row>
    <row r="8" spans="1:16" ht="86.25" thickBot="1">
      <c r="A8" s="36" t="s">
        <v>200</v>
      </c>
      <c r="B8" s="38" t="s">
        <v>62</v>
      </c>
      <c r="C8" s="37" t="s">
        <v>85</v>
      </c>
      <c r="D8" s="37" t="s">
        <v>88</v>
      </c>
      <c r="E8" s="39">
        <v>44056</v>
      </c>
      <c r="F8" s="40">
        <v>10000</v>
      </c>
      <c r="G8" s="41" t="s">
        <v>2</v>
      </c>
      <c r="H8">
        <v>0</v>
      </c>
      <c r="I8">
        <v>100</v>
      </c>
      <c r="K8" s="6">
        <f t="shared" si="0"/>
        <v>0</v>
      </c>
      <c r="L8" s="6">
        <f t="shared" si="1"/>
        <v>100</v>
      </c>
    </row>
    <row r="9" spans="1:16" ht="86.25" thickBot="1">
      <c r="A9" s="36" t="s">
        <v>200</v>
      </c>
      <c r="B9" s="38" t="s">
        <v>61</v>
      </c>
      <c r="C9" s="37" t="s">
        <v>85</v>
      </c>
      <c r="D9" s="37" t="s">
        <v>88</v>
      </c>
      <c r="E9" s="39">
        <v>44056</v>
      </c>
      <c r="F9" s="40">
        <v>4400</v>
      </c>
      <c r="G9" s="41" t="s">
        <v>2</v>
      </c>
      <c r="H9">
        <v>0</v>
      </c>
      <c r="I9">
        <v>100</v>
      </c>
      <c r="K9" s="6">
        <f t="shared" si="0"/>
        <v>0</v>
      </c>
      <c r="L9" s="6">
        <f t="shared" si="1"/>
        <v>100</v>
      </c>
    </row>
    <row r="10" spans="1:16" ht="86.25" thickBot="1">
      <c r="A10" s="36" t="s">
        <v>200</v>
      </c>
      <c r="B10" s="38" t="s">
        <v>202</v>
      </c>
      <c r="C10" s="37" t="s">
        <v>85</v>
      </c>
      <c r="D10" s="37" t="s">
        <v>88</v>
      </c>
      <c r="E10" s="39">
        <v>44113</v>
      </c>
      <c r="F10" s="40">
        <v>2800</v>
      </c>
      <c r="G10" s="41" t="s">
        <v>2</v>
      </c>
      <c r="H10">
        <v>0</v>
      </c>
      <c r="I10">
        <v>100</v>
      </c>
      <c r="K10" s="6">
        <f t="shared" si="0"/>
        <v>0</v>
      </c>
      <c r="L10" s="6">
        <f t="shared" si="1"/>
        <v>100</v>
      </c>
    </row>
    <row r="11" spans="1:16" ht="86.25" thickBot="1">
      <c r="A11" s="36" t="s">
        <v>200</v>
      </c>
      <c r="B11" s="38" t="s">
        <v>201</v>
      </c>
      <c r="C11" s="37" t="s">
        <v>85</v>
      </c>
      <c r="D11" s="37" t="s">
        <v>88</v>
      </c>
      <c r="E11" s="39">
        <v>44131</v>
      </c>
      <c r="F11" s="40">
        <v>500</v>
      </c>
      <c r="G11" s="41" t="s">
        <v>2</v>
      </c>
      <c r="H11">
        <v>0</v>
      </c>
      <c r="I11">
        <v>100</v>
      </c>
      <c r="K11" s="6">
        <f t="shared" si="0"/>
        <v>0</v>
      </c>
      <c r="L11" s="6">
        <f t="shared" si="1"/>
        <v>100</v>
      </c>
    </row>
    <row r="12" spans="1:16" ht="86.25" thickBot="1">
      <c r="A12" s="36" t="s">
        <v>209</v>
      </c>
      <c r="B12" s="38" t="s">
        <v>134</v>
      </c>
      <c r="C12" s="37" t="s">
        <v>85</v>
      </c>
      <c r="D12" s="37" t="s">
        <v>88</v>
      </c>
      <c r="E12" s="39">
        <v>43580</v>
      </c>
      <c r="F12" s="40">
        <v>1000</v>
      </c>
      <c r="G12" s="41" t="s">
        <v>2</v>
      </c>
      <c r="H12">
        <v>0</v>
      </c>
      <c r="I12">
        <v>100</v>
      </c>
      <c r="K12" s="6">
        <f t="shared" si="0"/>
        <v>0</v>
      </c>
      <c r="L12" s="6">
        <f t="shared" si="1"/>
        <v>100</v>
      </c>
    </row>
    <row r="13" spans="1:16" ht="86.25" thickBot="1">
      <c r="A13" s="36" t="s">
        <v>200</v>
      </c>
      <c r="B13" s="38" t="s">
        <v>203</v>
      </c>
      <c r="C13" s="37" t="s">
        <v>85</v>
      </c>
      <c r="D13" s="37" t="s">
        <v>88</v>
      </c>
      <c r="E13" s="39">
        <v>44065</v>
      </c>
      <c r="F13" s="40">
        <v>2800</v>
      </c>
      <c r="G13" s="41" t="s">
        <v>2</v>
      </c>
      <c r="H13">
        <v>0</v>
      </c>
      <c r="I13">
        <v>100</v>
      </c>
      <c r="K13" s="6">
        <f t="shared" si="0"/>
        <v>0</v>
      </c>
      <c r="L13" s="6">
        <f t="shared" si="1"/>
        <v>100</v>
      </c>
    </row>
    <row r="14" spans="1:16" ht="86.25" thickBot="1">
      <c r="A14" s="36" t="s">
        <v>200</v>
      </c>
      <c r="B14" s="38" t="s">
        <v>207</v>
      </c>
      <c r="C14" s="37" t="s">
        <v>85</v>
      </c>
      <c r="D14" s="37" t="s">
        <v>88</v>
      </c>
      <c r="E14" s="39">
        <v>44065</v>
      </c>
      <c r="F14" s="40">
        <v>2800</v>
      </c>
      <c r="G14" s="41" t="s">
        <v>2</v>
      </c>
      <c r="H14">
        <v>0</v>
      </c>
      <c r="I14">
        <v>100</v>
      </c>
      <c r="K14" s="6">
        <f t="shared" si="0"/>
        <v>0</v>
      </c>
      <c r="L14" s="6">
        <f t="shared" si="1"/>
        <v>100</v>
      </c>
    </row>
    <row r="15" spans="1:16" ht="57.75" thickBot="1">
      <c r="A15" s="36" t="s">
        <v>200</v>
      </c>
      <c r="B15" s="38" t="s">
        <v>204</v>
      </c>
      <c r="C15" s="37" t="s">
        <v>85</v>
      </c>
      <c r="D15" s="37" t="s">
        <v>86</v>
      </c>
      <c r="E15" s="39">
        <v>44065</v>
      </c>
      <c r="F15" s="40">
        <v>2800</v>
      </c>
      <c r="G15" s="41" t="s">
        <v>2</v>
      </c>
      <c r="H15">
        <v>0</v>
      </c>
      <c r="I15">
        <v>100</v>
      </c>
      <c r="K15" s="6">
        <f t="shared" si="0"/>
        <v>0</v>
      </c>
      <c r="L15" s="6">
        <f t="shared" si="1"/>
        <v>100</v>
      </c>
    </row>
    <row r="16" spans="1:16" ht="57.75" thickBot="1">
      <c r="A16" s="36" t="s">
        <v>200</v>
      </c>
      <c r="B16" s="38" t="s">
        <v>204</v>
      </c>
      <c r="C16" s="37" t="s">
        <v>85</v>
      </c>
      <c r="D16" s="37" t="s">
        <v>86</v>
      </c>
      <c r="E16" s="39">
        <v>43858</v>
      </c>
      <c r="F16" s="40">
        <v>2000</v>
      </c>
      <c r="G16" s="41" t="s">
        <v>2</v>
      </c>
      <c r="H16">
        <v>0</v>
      </c>
      <c r="I16">
        <v>100</v>
      </c>
      <c r="K16" s="6">
        <f t="shared" si="0"/>
        <v>0</v>
      </c>
      <c r="L16" s="6">
        <f t="shared" si="1"/>
        <v>100</v>
      </c>
    </row>
    <row r="17" spans="1:12" ht="86.25" thickBot="1">
      <c r="A17" s="36" t="s">
        <v>200</v>
      </c>
      <c r="B17" s="38" t="s">
        <v>205</v>
      </c>
      <c r="C17" s="37" t="s">
        <v>85</v>
      </c>
      <c r="D17" s="37" t="s">
        <v>206</v>
      </c>
      <c r="E17" s="39">
        <v>44065</v>
      </c>
      <c r="F17" s="40">
        <v>2800</v>
      </c>
      <c r="G17" s="41" t="s">
        <v>2</v>
      </c>
      <c r="H17">
        <v>0</v>
      </c>
      <c r="I17">
        <v>100</v>
      </c>
      <c r="K17" s="6">
        <f t="shared" si="0"/>
        <v>0</v>
      </c>
      <c r="L17" s="6">
        <f t="shared" si="1"/>
        <v>100</v>
      </c>
    </row>
    <row r="18" spans="1:12" ht="16.5" thickBot="1">
      <c r="A18" s="36"/>
      <c r="B18" s="38"/>
      <c r="C18" s="37"/>
      <c r="D18" s="37"/>
      <c r="E18" s="39"/>
      <c r="F18" s="40">
        <f>SUM(F2:F17)</f>
        <v>40655</v>
      </c>
      <c r="G18" s="41"/>
      <c r="K18" s="6"/>
      <c r="L18" s="6"/>
    </row>
    <row r="19" spans="1:12" ht="16.5" thickBot="1">
      <c r="A19" s="36"/>
      <c r="B19" s="38"/>
      <c r="C19" s="37"/>
      <c r="D19" s="37"/>
      <c r="E19" s="39"/>
      <c r="F19" s="40"/>
      <c r="G19" s="41"/>
      <c r="K19" s="6"/>
      <c r="L19" s="6"/>
    </row>
    <row r="20" spans="1:12" ht="114.75" thickBot="1">
      <c r="A20" s="36" t="s">
        <v>200</v>
      </c>
      <c r="B20" s="38" t="s">
        <v>77</v>
      </c>
      <c r="C20" s="37" t="s">
        <v>85</v>
      </c>
      <c r="D20" s="37" t="s">
        <v>129</v>
      </c>
      <c r="E20" s="39">
        <v>44190</v>
      </c>
      <c r="F20" s="40">
        <v>192.3</v>
      </c>
      <c r="G20" s="41" t="s">
        <v>1</v>
      </c>
      <c r="H20">
        <v>271500</v>
      </c>
      <c r="I20" s="2">
        <v>265000</v>
      </c>
      <c r="K20" s="6">
        <f t="shared" ref="K20:K51" si="2">(+H20/(H20+I20))*100</f>
        <v>50.605778191985081</v>
      </c>
      <c r="L20" s="6">
        <f t="shared" ref="L20:L51" si="3">(+I20/(H20+I20))*100</f>
        <v>49.394221808014912</v>
      </c>
    </row>
    <row r="21" spans="1:12" ht="114.75" thickBot="1">
      <c r="A21" s="36" t="s">
        <v>200</v>
      </c>
      <c r="B21" s="38" t="s">
        <v>77</v>
      </c>
      <c r="C21" s="37" t="s">
        <v>85</v>
      </c>
      <c r="D21" s="37" t="s">
        <v>129</v>
      </c>
      <c r="E21" s="39">
        <v>44176</v>
      </c>
      <c r="F21" s="40">
        <v>192.3</v>
      </c>
      <c r="G21" s="41" t="s">
        <v>1</v>
      </c>
      <c r="H21">
        <v>271500</v>
      </c>
      <c r="I21" s="2">
        <v>265000</v>
      </c>
      <c r="K21" s="6">
        <f t="shared" si="2"/>
        <v>50.605778191985081</v>
      </c>
      <c r="L21" s="6">
        <f t="shared" si="3"/>
        <v>49.394221808014912</v>
      </c>
    </row>
    <row r="22" spans="1:12" ht="114.75" thickBot="1">
      <c r="A22" s="36" t="s">
        <v>200</v>
      </c>
      <c r="B22" s="38" t="s">
        <v>77</v>
      </c>
      <c r="C22" s="37" t="s">
        <v>85</v>
      </c>
      <c r="D22" s="37" t="s">
        <v>129</v>
      </c>
      <c r="E22" s="39">
        <v>44162</v>
      </c>
      <c r="F22" s="40">
        <v>192.3</v>
      </c>
      <c r="G22" s="41" t="s">
        <v>1</v>
      </c>
      <c r="H22">
        <v>271500</v>
      </c>
      <c r="I22" s="2">
        <v>265000</v>
      </c>
      <c r="K22" s="6">
        <f t="shared" si="2"/>
        <v>50.605778191985081</v>
      </c>
      <c r="L22" s="6">
        <f t="shared" si="3"/>
        <v>49.394221808014912</v>
      </c>
    </row>
    <row r="23" spans="1:12" ht="114.75" thickBot="1">
      <c r="A23" s="36" t="s">
        <v>200</v>
      </c>
      <c r="B23" s="38" t="s">
        <v>77</v>
      </c>
      <c r="C23" s="37" t="s">
        <v>85</v>
      </c>
      <c r="D23" s="37" t="s">
        <v>129</v>
      </c>
      <c r="E23" s="39">
        <v>44148</v>
      </c>
      <c r="F23" s="40">
        <v>192.3</v>
      </c>
      <c r="G23" s="41" t="s">
        <v>1</v>
      </c>
      <c r="H23">
        <v>271500</v>
      </c>
      <c r="I23" s="2">
        <v>265000</v>
      </c>
      <c r="K23" s="6">
        <f t="shared" si="2"/>
        <v>50.605778191985081</v>
      </c>
      <c r="L23" s="6">
        <f t="shared" si="3"/>
        <v>49.394221808014912</v>
      </c>
    </row>
    <row r="24" spans="1:12" ht="114.75" thickBot="1">
      <c r="A24" s="36" t="s">
        <v>200</v>
      </c>
      <c r="B24" s="38" t="s">
        <v>77</v>
      </c>
      <c r="C24" s="37" t="s">
        <v>85</v>
      </c>
      <c r="D24" s="37" t="s">
        <v>129</v>
      </c>
      <c r="E24" s="39">
        <v>44134</v>
      </c>
      <c r="F24" s="40">
        <v>192.3</v>
      </c>
      <c r="G24" s="41" t="s">
        <v>1</v>
      </c>
      <c r="H24">
        <v>271500</v>
      </c>
      <c r="I24" s="2">
        <v>265000</v>
      </c>
      <c r="K24" s="6">
        <f t="shared" si="2"/>
        <v>50.605778191985081</v>
      </c>
      <c r="L24" s="6">
        <f t="shared" si="3"/>
        <v>49.394221808014912</v>
      </c>
    </row>
    <row r="25" spans="1:12" ht="114.75" thickBot="1">
      <c r="A25" s="36" t="s">
        <v>200</v>
      </c>
      <c r="B25" s="38" t="s">
        <v>77</v>
      </c>
      <c r="C25" s="37" t="s">
        <v>85</v>
      </c>
      <c r="D25" s="37" t="s">
        <v>129</v>
      </c>
      <c r="E25" s="39">
        <v>44120</v>
      </c>
      <c r="F25" s="40">
        <v>192.3</v>
      </c>
      <c r="G25" s="41" t="s">
        <v>1</v>
      </c>
      <c r="H25">
        <v>271500</v>
      </c>
      <c r="I25" s="2">
        <v>265000</v>
      </c>
      <c r="K25" s="6">
        <f t="shared" si="2"/>
        <v>50.605778191985081</v>
      </c>
      <c r="L25" s="6">
        <f t="shared" si="3"/>
        <v>49.394221808014912</v>
      </c>
    </row>
    <row r="26" spans="1:12" ht="114.75" thickBot="1">
      <c r="A26" s="36" t="s">
        <v>200</v>
      </c>
      <c r="B26" s="38" t="s">
        <v>77</v>
      </c>
      <c r="C26" s="37" t="s">
        <v>85</v>
      </c>
      <c r="D26" s="37" t="s">
        <v>129</v>
      </c>
      <c r="E26" s="39">
        <v>44106</v>
      </c>
      <c r="F26" s="40">
        <v>192.3</v>
      </c>
      <c r="G26" s="41" t="s">
        <v>1</v>
      </c>
      <c r="H26">
        <v>271500</v>
      </c>
      <c r="I26" s="2">
        <v>265000</v>
      </c>
      <c r="K26" s="6">
        <f t="shared" si="2"/>
        <v>50.605778191985081</v>
      </c>
      <c r="L26" s="6">
        <f t="shared" si="3"/>
        <v>49.394221808014912</v>
      </c>
    </row>
    <row r="27" spans="1:12" ht="114.75" thickBot="1">
      <c r="A27" s="36" t="s">
        <v>200</v>
      </c>
      <c r="B27" s="38" t="s">
        <v>77</v>
      </c>
      <c r="C27" s="37" t="s">
        <v>85</v>
      </c>
      <c r="D27" s="37" t="s">
        <v>129</v>
      </c>
      <c r="E27" s="39">
        <v>44092</v>
      </c>
      <c r="F27" s="40">
        <v>192.3</v>
      </c>
      <c r="G27" s="41" t="s">
        <v>1</v>
      </c>
      <c r="H27">
        <v>271500</v>
      </c>
      <c r="I27" s="2">
        <v>265000</v>
      </c>
      <c r="K27" s="6">
        <f t="shared" si="2"/>
        <v>50.605778191985081</v>
      </c>
      <c r="L27" s="6">
        <f t="shared" si="3"/>
        <v>49.394221808014912</v>
      </c>
    </row>
    <row r="28" spans="1:12" ht="114.75" thickBot="1">
      <c r="A28" s="36" t="s">
        <v>200</v>
      </c>
      <c r="B28" s="38" t="s">
        <v>77</v>
      </c>
      <c r="C28" s="37" t="s">
        <v>85</v>
      </c>
      <c r="D28" s="37" t="s">
        <v>129</v>
      </c>
      <c r="E28" s="39">
        <v>44078</v>
      </c>
      <c r="F28" s="40">
        <v>192.3</v>
      </c>
      <c r="G28" s="41" t="s">
        <v>1</v>
      </c>
      <c r="H28">
        <v>271500</v>
      </c>
      <c r="I28" s="2">
        <v>265000</v>
      </c>
      <c r="K28" s="6">
        <f t="shared" si="2"/>
        <v>50.605778191985081</v>
      </c>
      <c r="L28" s="6">
        <f t="shared" si="3"/>
        <v>49.394221808014912</v>
      </c>
    </row>
    <row r="29" spans="1:12" ht="114.75" thickBot="1">
      <c r="A29" s="36" t="s">
        <v>200</v>
      </c>
      <c r="B29" s="38" t="s">
        <v>77</v>
      </c>
      <c r="C29" s="37" t="s">
        <v>85</v>
      </c>
      <c r="D29" s="37" t="s">
        <v>129</v>
      </c>
      <c r="E29" s="39">
        <v>44064</v>
      </c>
      <c r="F29" s="40">
        <v>192.3</v>
      </c>
      <c r="G29" s="41" t="s">
        <v>1</v>
      </c>
      <c r="H29">
        <v>271500</v>
      </c>
      <c r="I29" s="2">
        <v>265000</v>
      </c>
      <c r="K29" s="6">
        <f t="shared" si="2"/>
        <v>50.605778191985081</v>
      </c>
      <c r="L29" s="6">
        <f t="shared" si="3"/>
        <v>49.394221808014912</v>
      </c>
    </row>
    <row r="30" spans="1:12" ht="114.75" thickBot="1">
      <c r="A30" s="36" t="s">
        <v>200</v>
      </c>
      <c r="B30" s="38" t="s">
        <v>77</v>
      </c>
      <c r="C30" s="37" t="s">
        <v>85</v>
      </c>
      <c r="D30" s="37" t="s">
        <v>129</v>
      </c>
      <c r="E30" s="39">
        <v>44050</v>
      </c>
      <c r="F30" s="40">
        <v>192.3</v>
      </c>
      <c r="G30" s="41" t="s">
        <v>1</v>
      </c>
      <c r="H30">
        <v>271500</v>
      </c>
      <c r="I30" s="2">
        <v>265000</v>
      </c>
      <c r="K30" s="6">
        <f t="shared" si="2"/>
        <v>50.605778191985081</v>
      </c>
      <c r="L30" s="6">
        <f t="shared" si="3"/>
        <v>49.394221808014912</v>
      </c>
    </row>
    <row r="31" spans="1:12" ht="114.75" thickBot="1">
      <c r="A31" s="36" t="s">
        <v>200</v>
      </c>
      <c r="B31" s="38" t="s">
        <v>77</v>
      </c>
      <c r="C31" s="37" t="s">
        <v>85</v>
      </c>
      <c r="D31" s="37" t="s">
        <v>129</v>
      </c>
      <c r="E31" s="39">
        <v>44036</v>
      </c>
      <c r="F31" s="40">
        <v>192.3</v>
      </c>
      <c r="G31" s="41" t="s">
        <v>1</v>
      </c>
      <c r="H31">
        <v>271500</v>
      </c>
      <c r="I31" s="2">
        <v>265000</v>
      </c>
      <c r="K31" s="6">
        <f t="shared" si="2"/>
        <v>50.605778191985081</v>
      </c>
      <c r="L31" s="6">
        <f t="shared" si="3"/>
        <v>49.394221808014912</v>
      </c>
    </row>
    <row r="32" spans="1:12" ht="114.75" thickBot="1">
      <c r="A32" s="36" t="s">
        <v>200</v>
      </c>
      <c r="B32" s="38" t="s">
        <v>77</v>
      </c>
      <c r="C32" s="37" t="s">
        <v>85</v>
      </c>
      <c r="D32" s="37" t="s">
        <v>129</v>
      </c>
      <c r="E32" s="39">
        <v>44022</v>
      </c>
      <c r="F32" s="40">
        <v>192.3</v>
      </c>
      <c r="G32" s="41" t="s">
        <v>1</v>
      </c>
      <c r="H32">
        <v>271500</v>
      </c>
      <c r="I32" s="2">
        <v>265000</v>
      </c>
      <c r="K32" s="6">
        <f t="shared" si="2"/>
        <v>50.605778191985081</v>
      </c>
      <c r="L32" s="6">
        <f t="shared" si="3"/>
        <v>49.394221808014912</v>
      </c>
    </row>
    <row r="33" spans="1:12" ht="114.75" thickBot="1">
      <c r="A33" s="36" t="s">
        <v>200</v>
      </c>
      <c r="B33" s="38" t="s">
        <v>77</v>
      </c>
      <c r="C33" s="37" t="s">
        <v>85</v>
      </c>
      <c r="D33" s="37" t="s">
        <v>129</v>
      </c>
      <c r="E33" s="39">
        <v>44008</v>
      </c>
      <c r="F33" s="40">
        <v>192.3</v>
      </c>
      <c r="G33" s="41" t="s">
        <v>1</v>
      </c>
      <c r="H33">
        <v>271500</v>
      </c>
      <c r="I33" s="2">
        <v>265000</v>
      </c>
      <c r="K33" s="6">
        <f t="shared" si="2"/>
        <v>50.605778191985081</v>
      </c>
      <c r="L33" s="6">
        <f t="shared" si="3"/>
        <v>49.394221808014912</v>
      </c>
    </row>
    <row r="34" spans="1:12" ht="114.75" thickBot="1">
      <c r="A34" s="36" t="s">
        <v>200</v>
      </c>
      <c r="B34" s="38" t="s">
        <v>77</v>
      </c>
      <c r="C34" s="37" t="s">
        <v>85</v>
      </c>
      <c r="D34" s="37" t="s">
        <v>129</v>
      </c>
      <c r="E34" s="39">
        <v>43994</v>
      </c>
      <c r="F34" s="40">
        <v>192.3</v>
      </c>
      <c r="G34" s="41" t="s">
        <v>1</v>
      </c>
      <c r="H34">
        <v>271500</v>
      </c>
      <c r="I34" s="2">
        <v>265000</v>
      </c>
      <c r="K34" s="6">
        <f t="shared" si="2"/>
        <v>50.605778191985081</v>
      </c>
      <c r="L34" s="6">
        <f t="shared" si="3"/>
        <v>49.394221808014912</v>
      </c>
    </row>
    <row r="35" spans="1:12" ht="114.75" thickBot="1">
      <c r="A35" s="36" t="s">
        <v>200</v>
      </c>
      <c r="B35" s="38" t="s">
        <v>77</v>
      </c>
      <c r="C35" s="37" t="s">
        <v>85</v>
      </c>
      <c r="D35" s="37" t="s">
        <v>129</v>
      </c>
      <c r="E35" s="39">
        <v>43980</v>
      </c>
      <c r="F35" s="40">
        <v>192.3</v>
      </c>
      <c r="G35" s="41" t="s">
        <v>1</v>
      </c>
      <c r="H35">
        <v>271500</v>
      </c>
      <c r="I35" s="2">
        <v>265000</v>
      </c>
      <c r="K35" s="6">
        <f t="shared" si="2"/>
        <v>50.605778191985081</v>
      </c>
      <c r="L35" s="6">
        <f t="shared" si="3"/>
        <v>49.394221808014912</v>
      </c>
    </row>
    <row r="36" spans="1:12" ht="114.75" thickBot="1">
      <c r="A36" s="36" t="s">
        <v>200</v>
      </c>
      <c r="B36" s="38" t="s">
        <v>77</v>
      </c>
      <c r="C36" s="37" t="s">
        <v>85</v>
      </c>
      <c r="D36" s="37" t="s">
        <v>129</v>
      </c>
      <c r="E36" s="39">
        <v>43966</v>
      </c>
      <c r="F36" s="40">
        <v>192.3</v>
      </c>
      <c r="G36" s="41" t="s">
        <v>1</v>
      </c>
      <c r="H36">
        <v>271500</v>
      </c>
      <c r="I36" s="2">
        <v>265000</v>
      </c>
      <c r="K36" s="6">
        <f t="shared" si="2"/>
        <v>50.605778191985081</v>
      </c>
      <c r="L36" s="6">
        <f t="shared" si="3"/>
        <v>49.394221808014912</v>
      </c>
    </row>
    <row r="37" spans="1:12" ht="114.75" thickBot="1">
      <c r="A37" s="36" t="s">
        <v>200</v>
      </c>
      <c r="B37" s="38" t="s">
        <v>77</v>
      </c>
      <c r="C37" s="37" t="s">
        <v>85</v>
      </c>
      <c r="D37" s="37" t="s">
        <v>129</v>
      </c>
      <c r="E37" s="39">
        <v>43952</v>
      </c>
      <c r="F37" s="40">
        <v>192.3</v>
      </c>
      <c r="G37" s="41" t="s">
        <v>1</v>
      </c>
      <c r="H37">
        <v>271500</v>
      </c>
      <c r="I37" s="2">
        <v>265000</v>
      </c>
      <c r="K37" s="6">
        <f t="shared" si="2"/>
        <v>50.605778191985081</v>
      </c>
      <c r="L37" s="6">
        <f t="shared" si="3"/>
        <v>49.394221808014912</v>
      </c>
    </row>
    <row r="38" spans="1:12" ht="114.75" thickBot="1">
      <c r="A38" s="36" t="s">
        <v>200</v>
      </c>
      <c r="B38" s="38" t="s">
        <v>77</v>
      </c>
      <c r="C38" s="37" t="s">
        <v>85</v>
      </c>
      <c r="D38" s="37" t="s">
        <v>129</v>
      </c>
      <c r="E38" s="39">
        <v>43938</v>
      </c>
      <c r="F38" s="40">
        <v>192.3</v>
      </c>
      <c r="G38" s="41" t="s">
        <v>1</v>
      </c>
      <c r="H38">
        <v>271500</v>
      </c>
      <c r="I38" s="2">
        <v>265000</v>
      </c>
      <c r="K38" s="6">
        <f t="shared" si="2"/>
        <v>50.605778191985081</v>
      </c>
      <c r="L38" s="6">
        <f t="shared" si="3"/>
        <v>49.394221808014912</v>
      </c>
    </row>
    <row r="39" spans="1:12" ht="114.75" thickBot="1">
      <c r="A39" s="36" t="s">
        <v>200</v>
      </c>
      <c r="B39" s="38" t="s">
        <v>77</v>
      </c>
      <c r="C39" s="37" t="s">
        <v>85</v>
      </c>
      <c r="D39" s="37" t="s">
        <v>129</v>
      </c>
      <c r="E39" s="39">
        <v>43924</v>
      </c>
      <c r="F39" s="40">
        <v>192.3</v>
      </c>
      <c r="G39" s="41" t="s">
        <v>1</v>
      </c>
      <c r="H39">
        <v>271500</v>
      </c>
      <c r="I39" s="2">
        <v>265000</v>
      </c>
      <c r="K39" s="6">
        <f t="shared" si="2"/>
        <v>50.605778191985081</v>
      </c>
      <c r="L39" s="6">
        <f t="shared" si="3"/>
        <v>49.394221808014912</v>
      </c>
    </row>
    <row r="40" spans="1:12" ht="114.75" thickBot="1">
      <c r="A40" s="36" t="s">
        <v>200</v>
      </c>
      <c r="B40" s="38" t="s">
        <v>77</v>
      </c>
      <c r="C40" s="37" t="s">
        <v>85</v>
      </c>
      <c r="D40" s="37" t="s">
        <v>129</v>
      </c>
      <c r="E40" s="39">
        <v>43910</v>
      </c>
      <c r="F40" s="40">
        <v>192.3</v>
      </c>
      <c r="G40" s="41" t="s">
        <v>1</v>
      </c>
      <c r="H40">
        <v>271500</v>
      </c>
      <c r="I40" s="2">
        <v>265000</v>
      </c>
      <c r="K40" s="6">
        <f t="shared" si="2"/>
        <v>50.605778191985081</v>
      </c>
      <c r="L40" s="6">
        <f t="shared" si="3"/>
        <v>49.394221808014912</v>
      </c>
    </row>
    <row r="41" spans="1:12" ht="114.75" thickBot="1">
      <c r="A41" s="36" t="s">
        <v>200</v>
      </c>
      <c r="B41" s="38" t="s">
        <v>77</v>
      </c>
      <c r="C41" s="37" t="s">
        <v>85</v>
      </c>
      <c r="D41" s="37" t="s">
        <v>129</v>
      </c>
      <c r="E41" s="39">
        <v>43896</v>
      </c>
      <c r="F41" s="40">
        <v>192.3</v>
      </c>
      <c r="G41" s="41" t="s">
        <v>1</v>
      </c>
      <c r="H41">
        <v>271500</v>
      </c>
      <c r="I41" s="2">
        <v>265000</v>
      </c>
      <c r="K41" s="6">
        <f t="shared" si="2"/>
        <v>50.605778191985081</v>
      </c>
      <c r="L41" s="6">
        <f t="shared" si="3"/>
        <v>49.394221808014912</v>
      </c>
    </row>
    <row r="42" spans="1:12" ht="114.75" thickBot="1">
      <c r="A42" s="36" t="s">
        <v>200</v>
      </c>
      <c r="B42" s="38" t="s">
        <v>77</v>
      </c>
      <c r="C42" s="37" t="s">
        <v>85</v>
      </c>
      <c r="D42" s="37" t="s">
        <v>129</v>
      </c>
      <c r="E42" s="39">
        <v>43882</v>
      </c>
      <c r="F42" s="40">
        <v>192.3</v>
      </c>
      <c r="G42" s="41" t="s">
        <v>1</v>
      </c>
      <c r="H42">
        <v>271500</v>
      </c>
      <c r="I42" s="2">
        <v>265000</v>
      </c>
      <c r="K42" s="6">
        <f t="shared" si="2"/>
        <v>50.605778191985081</v>
      </c>
      <c r="L42" s="6">
        <f t="shared" si="3"/>
        <v>49.394221808014912</v>
      </c>
    </row>
    <row r="43" spans="1:12" ht="114.75" thickBot="1">
      <c r="A43" s="36" t="s">
        <v>200</v>
      </c>
      <c r="B43" s="38" t="s">
        <v>77</v>
      </c>
      <c r="C43" s="37" t="s">
        <v>85</v>
      </c>
      <c r="D43" s="37" t="s">
        <v>129</v>
      </c>
      <c r="E43" s="39">
        <v>43868</v>
      </c>
      <c r="F43" s="40">
        <v>192.3</v>
      </c>
      <c r="G43" s="41" t="s">
        <v>1</v>
      </c>
      <c r="H43">
        <v>271500</v>
      </c>
      <c r="I43" s="2">
        <v>265000</v>
      </c>
      <c r="K43" s="6">
        <f t="shared" si="2"/>
        <v>50.605778191985081</v>
      </c>
      <c r="L43" s="6">
        <f t="shared" si="3"/>
        <v>49.394221808014912</v>
      </c>
    </row>
    <row r="44" spans="1:12" ht="114.75" thickBot="1">
      <c r="A44" s="36" t="s">
        <v>200</v>
      </c>
      <c r="B44" s="38" t="s">
        <v>77</v>
      </c>
      <c r="C44" s="37" t="s">
        <v>85</v>
      </c>
      <c r="D44" s="37" t="s">
        <v>129</v>
      </c>
      <c r="E44" s="39">
        <v>43854</v>
      </c>
      <c r="F44" s="40">
        <v>192.3</v>
      </c>
      <c r="G44" s="41" t="s">
        <v>1</v>
      </c>
      <c r="H44">
        <v>271500</v>
      </c>
      <c r="I44" s="2">
        <v>265000</v>
      </c>
      <c r="K44" s="6">
        <f t="shared" si="2"/>
        <v>50.605778191985081</v>
      </c>
      <c r="L44" s="6">
        <f t="shared" si="3"/>
        <v>49.394221808014912</v>
      </c>
    </row>
    <row r="45" spans="1:12" ht="114.75" thickBot="1">
      <c r="A45" s="36" t="s">
        <v>200</v>
      </c>
      <c r="B45" s="38" t="s">
        <v>77</v>
      </c>
      <c r="C45" s="37" t="s">
        <v>85</v>
      </c>
      <c r="D45" s="37" t="s">
        <v>129</v>
      </c>
      <c r="E45" s="39">
        <v>43826</v>
      </c>
      <c r="F45" s="40">
        <v>192.3</v>
      </c>
      <c r="G45" s="41" t="s">
        <v>1</v>
      </c>
      <c r="H45">
        <v>271500</v>
      </c>
      <c r="I45" s="2">
        <v>265000</v>
      </c>
      <c r="K45" s="6">
        <f t="shared" si="2"/>
        <v>50.605778191985081</v>
      </c>
      <c r="L45" s="6">
        <f t="shared" si="3"/>
        <v>49.394221808014912</v>
      </c>
    </row>
    <row r="46" spans="1:12" ht="114.75" thickBot="1">
      <c r="A46" s="36" t="s">
        <v>200</v>
      </c>
      <c r="B46" s="38" t="s">
        <v>77</v>
      </c>
      <c r="C46" s="37" t="s">
        <v>85</v>
      </c>
      <c r="D46" s="37" t="s">
        <v>129</v>
      </c>
      <c r="E46" s="39">
        <v>43812</v>
      </c>
      <c r="F46" s="40">
        <v>192.3</v>
      </c>
      <c r="G46" s="41" t="s">
        <v>1</v>
      </c>
      <c r="H46">
        <v>271500</v>
      </c>
      <c r="I46" s="2">
        <v>265000</v>
      </c>
      <c r="K46" s="6">
        <f t="shared" si="2"/>
        <v>50.605778191985081</v>
      </c>
      <c r="L46" s="6">
        <f t="shared" si="3"/>
        <v>49.394221808014912</v>
      </c>
    </row>
    <row r="47" spans="1:12" ht="114.75" thickBot="1">
      <c r="A47" s="36" t="s">
        <v>200</v>
      </c>
      <c r="B47" s="38" t="s">
        <v>77</v>
      </c>
      <c r="C47" s="37" t="s">
        <v>85</v>
      </c>
      <c r="D47" s="37" t="s">
        <v>129</v>
      </c>
      <c r="E47" s="39">
        <v>43798</v>
      </c>
      <c r="F47" s="40">
        <v>192.3</v>
      </c>
      <c r="G47" s="41" t="s">
        <v>1</v>
      </c>
      <c r="H47">
        <v>271500</v>
      </c>
      <c r="I47" s="2">
        <v>265000</v>
      </c>
      <c r="K47" s="6">
        <f t="shared" si="2"/>
        <v>50.605778191985081</v>
      </c>
      <c r="L47" s="6">
        <f t="shared" si="3"/>
        <v>49.394221808014912</v>
      </c>
    </row>
    <row r="48" spans="1:12" ht="114.75" thickBot="1">
      <c r="A48" s="36" t="s">
        <v>200</v>
      </c>
      <c r="B48" s="38" t="s">
        <v>77</v>
      </c>
      <c r="C48" s="37" t="s">
        <v>85</v>
      </c>
      <c r="D48" s="37" t="s">
        <v>129</v>
      </c>
      <c r="E48" s="39">
        <v>43784</v>
      </c>
      <c r="F48" s="40">
        <v>192.3</v>
      </c>
      <c r="G48" s="41" t="s">
        <v>1</v>
      </c>
      <c r="H48">
        <v>271500</v>
      </c>
      <c r="I48" s="2">
        <v>265000</v>
      </c>
      <c r="K48" s="6">
        <f t="shared" si="2"/>
        <v>50.605778191985081</v>
      </c>
      <c r="L48" s="6">
        <f t="shared" si="3"/>
        <v>49.394221808014912</v>
      </c>
    </row>
    <row r="49" spans="1:12" ht="114.75" thickBot="1">
      <c r="A49" s="36" t="s">
        <v>200</v>
      </c>
      <c r="B49" s="38" t="s">
        <v>77</v>
      </c>
      <c r="C49" s="37" t="s">
        <v>85</v>
      </c>
      <c r="D49" s="37" t="s">
        <v>129</v>
      </c>
      <c r="E49" s="39">
        <v>43770</v>
      </c>
      <c r="F49" s="40">
        <v>192.3</v>
      </c>
      <c r="G49" s="41" t="s">
        <v>1</v>
      </c>
      <c r="H49">
        <v>271500</v>
      </c>
      <c r="I49" s="2">
        <v>265000</v>
      </c>
      <c r="K49" s="6">
        <f t="shared" si="2"/>
        <v>50.605778191985081</v>
      </c>
      <c r="L49" s="6">
        <f t="shared" si="3"/>
        <v>49.394221808014912</v>
      </c>
    </row>
    <row r="50" spans="1:12" ht="114.75" thickBot="1">
      <c r="A50" s="36" t="s">
        <v>200</v>
      </c>
      <c r="B50" s="38" t="s">
        <v>77</v>
      </c>
      <c r="C50" s="37" t="s">
        <v>85</v>
      </c>
      <c r="D50" s="37" t="s">
        <v>129</v>
      </c>
      <c r="E50" s="39">
        <v>43756</v>
      </c>
      <c r="F50" s="40">
        <v>192.3</v>
      </c>
      <c r="G50" s="41" t="s">
        <v>1</v>
      </c>
      <c r="H50">
        <v>271500</v>
      </c>
      <c r="I50" s="2">
        <v>265000</v>
      </c>
      <c r="K50" s="6">
        <f t="shared" si="2"/>
        <v>50.605778191985081</v>
      </c>
      <c r="L50" s="6">
        <f t="shared" si="3"/>
        <v>49.394221808014912</v>
      </c>
    </row>
    <row r="51" spans="1:12" ht="114.75" thickBot="1">
      <c r="A51" s="36" t="s">
        <v>200</v>
      </c>
      <c r="B51" s="38" t="s">
        <v>77</v>
      </c>
      <c r="C51" s="37" t="s">
        <v>85</v>
      </c>
      <c r="D51" s="37" t="s">
        <v>129</v>
      </c>
      <c r="E51" s="39">
        <v>43742</v>
      </c>
      <c r="F51" s="40">
        <v>192.3</v>
      </c>
      <c r="G51" s="41" t="s">
        <v>1</v>
      </c>
      <c r="H51">
        <v>271500</v>
      </c>
      <c r="I51" s="2">
        <v>265000</v>
      </c>
      <c r="K51" s="6">
        <f t="shared" si="2"/>
        <v>50.605778191985081</v>
      </c>
      <c r="L51" s="6">
        <f t="shared" si="3"/>
        <v>49.394221808014912</v>
      </c>
    </row>
    <row r="52" spans="1:12" ht="114.75" thickBot="1">
      <c r="A52" s="36" t="s">
        <v>200</v>
      </c>
      <c r="B52" s="38" t="s">
        <v>77</v>
      </c>
      <c r="C52" s="37" t="s">
        <v>85</v>
      </c>
      <c r="D52" s="37" t="s">
        <v>129</v>
      </c>
      <c r="E52" s="39">
        <v>43728</v>
      </c>
      <c r="F52" s="40">
        <v>192.3</v>
      </c>
      <c r="G52" s="41" t="s">
        <v>1</v>
      </c>
      <c r="H52">
        <v>271500</v>
      </c>
      <c r="I52" s="2">
        <v>265000</v>
      </c>
      <c r="K52" s="6">
        <f t="shared" ref="K52:K69" si="4">(+H52/(H52+I52))*100</f>
        <v>50.605778191985081</v>
      </c>
      <c r="L52" s="6">
        <f t="shared" ref="L52:L69" si="5">(+I52/(H52+I52))*100</f>
        <v>49.394221808014912</v>
      </c>
    </row>
    <row r="53" spans="1:12" ht="114.75" thickBot="1">
      <c r="A53" s="36" t="s">
        <v>200</v>
      </c>
      <c r="B53" s="38" t="s">
        <v>77</v>
      </c>
      <c r="C53" s="37" t="s">
        <v>85</v>
      </c>
      <c r="D53" s="37" t="s">
        <v>129</v>
      </c>
      <c r="E53" s="39">
        <v>43714</v>
      </c>
      <c r="F53" s="40">
        <v>192.3</v>
      </c>
      <c r="G53" s="41" t="s">
        <v>1</v>
      </c>
      <c r="H53">
        <v>271500</v>
      </c>
      <c r="I53" s="2">
        <v>265000</v>
      </c>
      <c r="K53" s="6">
        <f t="shared" si="4"/>
        <v>50.605778191985081</v>
      </c>
      <c r="L53" s="6">
        <f t="shared" si="5"/>
        <v>49.394221808014912</v>
      </c>
    </row>
    <row r="54" spans="1:12" ht="114.75" thickBot="1">
      <c r="A54" s="36" t="s">
        <v>200</v>
      </c>
      <c r="B54" s="38" t="s">
        <v>77</v>
      </c>
      <c r="C54" s="37" t="s">
        <v>85</v>
      </c>
      <c r="D54" s="37" t="s">
        <v>129</v>
      </c>
      <c r="E54" s="39">
        <v>43700</v>
      </c>
      <c r="F54" s="40">
        <v>192.3</v>
      </c>
      <c r="G54" s="41" t="s">
        <v>1</v>
      </c>
      <c r="H54">
        <v>271500</v>
      </c>
      <c r="I54" s="2">
        <v>265000</v>
      </c>
      <c r="K54" s="6">
        <f t="shared" si="4"/>
        <v>50.605778191985081</v>
      </c>
      <c r="L54" s="6">
        <f t="shared" si="5"/>
        <v>49.394221808014912</v>
      </c>
    </row>
    <row r="55" spans="1:12" ht="114.75" thickBot="1">
      <c r="A55" s="36" t="s">
        <v>200</v>
      </c>
      <c r="B55" s="38" t="s">
        <v>77</v>
      </c>
      <c r="C55" s="37" t="s">
        <v>85</v>
      </c>
      <c r="D55" s="37" t="s">
        <v>129</v>
      </c>
      <c r="E55" s="39">
        <v>43686</v>
      </c>
      <c r="F55" s="40">
        <v>192.3</v>
      </c>
      <c r="G55" s="41" t="s">
        <v>1</v>
      </c>
      <c r="H55">
        <v>271500</v>
      </c>
      <c r="I55" s="2">
        <v>265000</v>
      </c>
      <c r="K55" s="6">
        <f t="shared" si="4"/>
        <v>50.605778191985081</v>
      </c>
      <c r="L55" s="6">
        <f t="shared" si="5"/>
        <v>49.394221808014912</v>
      </c>
    </row>
    <row r="56" spans="1:12" ht="114.75" thickBot="1">
      <c r="A56" s="36" t="s">
        <v>200</v>
      </c>
      <c r="B56" s="38" t="s">
        <v>77</v>
      </c>
      <c r="C56" s="37" t="s">
        <v>85</v>
      </c>
      <c r="D56" s="37" t="s">
        <v>129</v>
      </c>
      <c r="E56" s="39">
        <v>43672</v>
      </c>
      <c r="F56" s="40">
        <v>192.3</v>
      </c>
      <c r="G56" s="41" t="s">
        <v>1</v>
      </c>
      <c r="H56">
        <v>271500</v>
      </c>
      <c r="I56" s="2">
        <v>265000</v>
      </c>
      <c r="K56" s="6">
        <f t="shared" si="4"/>
        <v>50.605778191985081</v>
      </c>
      <c r="L56" s="6">
        <f t="shared" si="5"/>
        <v>49.394221808014912</v>
      </c>
    </row>
    <row r="57" spans="1:12" ht="114.75" thickBot="1">
      <c r="A57" s="36" t="s">
        <v>200</v>
      </c>
      <c r="B57" s="38" t="s">
        <v>77</v>
      </c>
      <c r="C57" s="37" t="s">
        <v>85</v>
      </c>
      <c r="D57" s="37" t="s">
        <v>129</v>
      </c>
      <c r="E57" s="39">
        <v>43658</v>
      </c>
      <c r="F57" s="40">
        <v>192.3</v>
      </c>
      <c r="G57" s="41" t="s">
        <v>1</v>
      </c>
      <c r="H57">
        <v>271500</v>
      </c>
      <c r="I57" s="2">
        <v>265000</v>
      </c>
      <c r="K57" s="6">
        <f t="shared" si="4"/>
        <v>50.605778191985081</v>
      </c>
      <c r="L57" s="6">
        <f t="shared" si="5"/>
        <v>49.394221808014912</v>
      </c>
    </row>
    <row r="58" spans="1:12" ht="114.75" thickBot="1">
      <c r="A58" s="36" t="s">
        <v>200</v>
      </c>
      <c r="B58" s="38" t="s">
        <v>77</v>
      </c>
      <c r="C58" s="37" t="s">
        <v>85</v>
      </c>
      <c r="D58" s="37" t="s">
        <v>129</v>
      </c>
      <c r="E58" s="39">
        <v>43644</v>
      </c>
      <c r="F58" s="40">
        <v>192.3</v>
      </c>
      <c r="G58" s="41" t="s">
        <v>1</v>
      </c>
      <c r="H58">
        <v>271500</v>
      </c>
      <c r="I58" s="2">
        <v>265000</v>
      </c>
      <c r="K58" s="6">
        <f t="shared" si="4"/>
        <v>50.605778191985081</v>
      </c>
      <c r="L58" s="6">
        <f t="shared" si="5"/>
        <v>49.394221808014912</v>
      </c>
    </row>
    <row r="59" spans="1:12" ht="114.75" thickBot="1">
      <c r="A59" s="36" t="s">
        <v>200</v>
      </c>
      <c r="B59" s="38" t="s">
        <v>77</v>
      </c>
      <c r="C59" s="37" t="s">
        <v>85</v>
      </c>
      <c r="D59" s="37" t="s">
        <v>129</v>
      </c>
      <c r="E59" s="39">
        <v>43630</v>
      </c>
      <c r="F59" s="40">
        <v>192.3</v>
      </c>
      <c r="G59" s="41" t="s">
        <v>1</v>
      </c>
      <c r="H59">
        <v>271500</v>
      </c>
      <c r="I59" s="2">
        <v>265000</v>
      </c>
      <c r="K59" s="6">
        <f t="shared" si="4"/>
        <v>50.605778191985081</v>
      </c>
      <c r="L59" s="6">
        <f t="shared" si="5"/>
        <v>49.394221808014912</v>
      </c>
    </row>
    <row r="60" spans="1:12" ht="114.75" thickBot="1">
      <c r="A60" s="36" t="s">
        <v>200</v>
      </c>
      <c r="B60" s="38" t="s">
        <v>77</v>
      </c>
      <c r="C60" s="37" t="s">
        <v>85</v>
      </c>
      <c r="D60" s="37" t="s">
        <v>129</v>
      </c>
      <c r="E60" s="39">
        <v>43616</v>
      </c>
      <c r="F60" s="40">
        <v>192.3</v>
      </c>
      <c r="G60" s="41" t="s">
        <v>1</v>
      </c>
      <c r="H60">
        <v>271500</v>
      </c>
      <c r="I60" s="2">
        <v>265000</v>
      </c>
      <c r="K60" s="6">
        <f t="shared" si="4"/>
        <v>50.605778191985081</v>
      </c>
      <c r="L60" s="6">
        <f t="shared" si="5"/>
        <v>49.394221808014912</v>
      </c>
    </row>
    <row r="61" spans="1:12" ht="114.75" thickBot="1">
      <c r="A61" s="36" t="s">
        <v>200</v>
      </c>
      <c r="B61" s="38" t="s">
        <v>77</v>
      </c>
      <c r="C61" s="37" t="s">
        <v>85</v>
      </c>
      <c r="D61" s="37" t="s">
        <v>129</v>
      </c>
      <c r="E61" s="39">
        <v>43602</v>
      </c>
      <c r="F61" s="40">
        <v>192.3</v>
      </c>
      <c r="G61" s="41" t="s">
        <v>1</v>
      </c>
      <c r="H61">
        <v>271500</v>
      </c>
      <c r="I61" s="2">
        <v>265000</v>
      </c>
      <c r="K61" s="6">
        <f t="shared" si="4"/>
        <v>50.605778191985081</v>
      </c>
      <c r="L61" s="6">
        <f t="shared" si="5"/>
        <v>49.394221808014912</v>
      </c>
    </row>
    <row r="62" spans="1:12" ht="114.75" thickBot="1">
      <c r="A62" s="36" t="s">
        <v>200</v>
      </c>
      <c r="B62" s="38" t="s">
        <v>77</v>
      </c>
      <c r="C62" s="37" t="s">
        <v>85</v>
      </c>
      <c r="D62" s="37" t="s">
        <v>129</v>
      </c>
      <c r="E62" s="39">
        <v>43588</v>
      </c>
      <c r="F62" s="40">
        <v>192.3</v>
      </c>
      <c r="G62" s="41" t="s">
        <v>1</v>
      </c>
      <c r="H62">
        <v>271500</v>
      </c>
      <c r="I62" s="2">
        <v>265000</v>
      </c>
      <c r="K62" s="6">
        <f t="shared" si="4"/>
        <v>50.605778191985081</v>
      </c>
      <c r="L62" s="6">
        <f t="shared" si="5"/>
        <v>49.394221808014912</v>
      </c>
    </row>
    <row r="63" spans="1:12" ht="114.75" thickBot="1">
      <c r="A63" s="36" t="s">
        <v>200</v>
      </c>
      <c r="B63" s="38" t="s">
        <v>77</v>
      </c>
      <c r="C63" s="37" t="s">
        <v>85</v>
      </c>
      <c r="D63" s="37" t="s">
        <v>129</v>
      </c>
      <c r="E63" s="39">
        <v>43574</v>
      </c>
      <c r="F63" s="40">
        <v>192.3</v>
      </c>
      <c r="G63" s="41" t="s">
        <v>1</v>
      </c>
      <c r="H63">
        <v>271500</v>
      </c>
      <c r="I63" s="2">
        <v>265000</v>
      </c>
      <c r="K63" s="6">
        <f t="shared" si="4"/>
        <v>50.605778191985081</v>
      </c>
      <c r="L63" s="6">
        <f t="shared" si="5"/>
        <v>49.394221808014912</v>
      </c>
    </row>
    <row r="64" spans="1:12" ht="114.75" thickBot="1">
      <c r="A64" s="36" t="s">
        <v>200</v>
      </c>
      <c r="B64" s="38" t="s">
        <v>77</v>
      </c>
      <c r="C64" s="37" t="s">
        <v>85</v>
      </c>
      <c r="D64" s="37" t="s">
        <v>129</v>
      </c>
      <c r="E64" s="39">
        <v>43560</v>
      </c>
      <c r="F64" s="40">
        <v>192.3</v>
      </c>
      <c r="G64" s="41" t="s">
        <v>1</v>
      </c>
      <c r="H64">
        <v>271500</v>
      </c>
      <c r="I64" s="2">
        <v>265000</v>
      </c>
      <c r="K64" s="6">
        <f t="shared" si="4"/>
        <v>50.605778191985081</v>
      </c>
      <c r="L64" s="6">
        <f t="shared" si="5"/>
        <v>49.394221808014912</v>
      </c>
    </row>
    <row r="65" spans="1:12" ht="114.75" thickBot="1">
      <c r="A65" s="36" t="s">
        <v>200</v>
      </c>
      <c r="B65" s="38" t="s">
        <v>77</v>
      </c>
      <c r="C65" s="37" t="s">
        <v>85</v>
      </c>
      <c r="D65" s="37" t="s">
        <v>129</v>
      </c>
      <c r="E65" s="39">
        <v>43546</v>
      </c>
      <c r="F65" s="40">
        <v>192.3</v>
      </c>
      <c r="G65" s="41" t="s">
        <v>1</v>
      </c>
      <c r="H65">
        <v>271500</v>
      </c>
      <c r="I65" s="2">
        <v>265000</v>
      </c>
      <c r="K65" s="6">
        <f t="shared" si="4"/>
        <v>50.605778191985081</v>
      </c>
      <c r="L65" s="6">
        <f t="shared" si="5"/>
        <v>49.394221808014912</v>
      </c>
    </row>
    <row r="66" spans="1:12" ht="114.75" thickBot="1">
      <c r="A66" s="36" t="s">
        <v>200</v>
      </c>
      <c r="B66" s="38" t="s">
        <v>77</v>
      </c>
      <c r="C66" s="37" t="s">
        <v>85</v>
      </c>
      <c r="D66" s="37" t="s">
        <v>129</v>
      </c>
      <c r="E66" s="39">
        <v>43532</v>
      </c>
      <c r="F66" s="40">
        <v>192.3</v>
      </c>
      <c r="G66" s="41" t="s">
        <v>1</v>
      </c>
      <c r="H66">
        <v>271500</v>
      </c>
      <c r="I66" s="2">
        <v>265000</v>
      </c>
      <c r="K66" s="6">
        <f t="shared" si="4"/>
        <v>50.605778191985081</v>
      </c>
      <c r="L66" s="6">
        <f t="shared" si="5"/>
        <v>49.394221808014912</v>
      </c>
    </row>
    <row r="67" spans="1:12" ht="114.75" thickBot="1">
      <c r="A67" s="36" t="s">
        <v>200</v>
      </c>
      <c r="B67" s="38" t="s">
        <v>77</v>
      </c>
      <c r="C67" s="37" t="s">
        <v>85</v>
      </c>
      <c r="D67" s="37" t="s">
        <v>129</v>
      </c>
      <c r="E67" s="39">
        <v>43518</v>
      </c>
      <c r="F67" s="40">
        <v>192.3</v>
      </c>
      <c r="G67" s="41" t="s">
        <v>1</v>
      </c>
      <c r="H67">
        <v>271500</v>
      </c>
      <c r="I67" s="2">
        <v>265000</v>
      </c>
      <c r="K67" s="6">
        <f t="shared" si="4"/>
        <v>50.605778191985081</v>
      </c>
      <c r="L67" s="6">
        <f t="shared" si="5"/>
        <v>49.394221808014912</v>
      </c>
    </row>
    <row r="68" spans="1:12" ht="114.75" thickBot="1">
      <c r="A68" s="36" t="s">
        <v>200</v>
      </c>
      <c r="B68" s="38" t="s">
        <v>77</v>
      </c>
      <c r="C68" s="37" t="s">
        <v>85</v>
      </c>
      <c r="D68" s="37" t="s">
        <v>129</v>
      </c>
      <c r="E68" s="39">
        <v>43504</v>
      </c>
      <c r="F68" s="40">
        <v>192.3</v>
      </c>
      <c r="G68" s="41" t="s">
        <v>1</v>
      </c>
      <c r="H68">
        <v>271500</v>
      </c>
      <c r="I68" s="2">
        <v>265000</v>
      </c>
      <c r="K68" s="6">
        <f t="shared" si="4"/>
        <v>50.605778191985081</v>
      </c>
      <c r="L68" s="6">
        <f t="shared" si="5"/>
        <v>49.394221808014912</v>
      </c>
    </row>
    <row r="69" spans="1:12" ht="114.75" thickBot="1">
      <c r="A69" s="36" t="s">
        <v>200</v>
      </c>
      <c r="B69" s="38" t="s">
        <v>77</v>
      </c>
      <c r="C69" s="37" t="s">
        <v>85</v>
      </c>
      <c r="D69" s="37" t="s">
        <v>129</v>
      </c>
      <c r="E69" s="39">
        <v>43490</v>
      </c>
      <c r="F69" s="40">
        <v>192.3</v>
      </c>
      <c r="G69" s="41" t="s">
        <v>1</v>
      </c>
      <c r="H69">
        <v>271500</v>
      </c>
      <c r="I69" s="2">
        <v>265000</v>
      </c>
      <c r="K69" s="6">
        <f t="shared" si="4"/>
        <v>50.605778191985081</v>
      </c>
      <c r="L69" s="6">
        <f t="shared" si="5"/>
        <v>49.394221808014912</v>
      </c>
    </row>
    <row r="70" spans="1:12">
      <c r="F70" s="11">
        <f>SUM(F20:F69)</f>
        <v>9615</v>
      </c>
    </row>
  </sheetData>
  <sortState xmlns:xlrd2="http://schemas.microsoft.com/office/spreadsheetml/2017/richdata2" ref="A2:L69">
    <sortCondition ref="G2:G69"/>
  </sortState>
  <hyperlinks>
    <hyperlink ref="B20" r:id="rId1" tooltip="AMERISOURCEBERGEN CORPORATION POLITICAL ACTION COMMITTEE (ABC PAC)" display="https://www.fec.gov/data/committee/C00400929/" xr:uid="{5078D342-0046-4F48-8671-09ADE689E211}"/>
    <hyperlink ref="B21" r:id="rId2" tooltip="AMERISOURCEBERGEN CORPORATION POLITICAL ACTION COMMITTEE (ABC PAC)" display="https://www.fec.gov/data/committee/C00400929/" xr:uid="{38FDBA65-F461-4A1D-85A9-C0AF86E11AB9}"/>
    <hyperlink ref="B22" r:id="rId3" tooltip="AMERISOURCEBERGEN CORPORATION POLITICAL ACTION COMMITTEE (ABC PAC)" display="https://www.fec.gov/data/committee/C00400929/" xr:uid="{B0938FC5-119C-4EB6-8028-003B5B64BAF5}"/>
    <hyperlink ref="B23" r:id="rId4" tooltip="AMERISOURCEBERGEN CORPORATION POLITICAL ACTION COMMITTEE (ABC PAC)" display="https://www.fec.gov/data/committee/C00400929/" xr:uid="{EFD0C7E8-C9CE-40B6-B6F7-015BE373BC15}"/>
    <hyperlink ref="B24" r:id="rId5" tooltip="AMERISOURCEBERGEN CORPORATION POLITICAL ACTION COMMITTEE (ABC PAC)" display="https://www.fec.gov/data/committee/C00400929/" xr:uid="{8CEC2325-DAE7-466F-B743-4E9CABB297F6}"/>
    <hyperlink ref="B11" r:id="rId6" tooltip="EVERYDAY PEOPLE" display="https://www.fec.gov/data/committee/C00720029/" xr:uid="{C0275277-D1E8-4FC1-B291-BDEB83B19FC9}"/>
    <hyperlink ref="B25" r:id="rId7" tooltip="AMERISOURCEBERGEN CORPORATION POLITICAL ACTION COMMITTEE (ABC PAC)" display="https://www.fec.gov/data/committee/C00400929/" xr:uid="{A6F01D51-43F6-4362-9463-E967A5AF3BFC}"/>
    <hyperlink ref="B2" r:id="rId8" tooltip="ACTBLUE" display="https://www.fec.gov/data/committee/C00401224/" xr:uid="{796B573E-0A57-453F-86A8-C6333044FA26}"/>
    <hyperlink ref="B10" r:id="rId9" tooltip="DSCC" display="https://www.fec.gov/data/committee/C00042366/" xr:uid="{1E815A28-223B-4A6E-85D0-7041F653D0BA}"/>
    <hyperlink ref="B26" r:id="rId10" tooltip="AMERISOURCEBERGEN CORPORATION POLITICAL ACTION COMMITTEE (ABC PAC)" display="https://www.fec.gov/data/committee/C00400929/" xr:uid="{E44505D0-BFE4-4282-AAF1-D9ED281230D0}"/>
    <hyperlink ref="B27" r:id="rId11" tooltip="AMERISOURCEBERGEN CORPORATION POLITICAL ACTION COMMITTEE (ABC PAC)" display="https://www.fec.gov/data/committee/C00400929/" xr:uid="{696A09F7-9480-4092-B4E7-5C5843148567}"/>
    <hyperlink ref="B28" r:id="rId12" tooltip="AMERISOURCEBERGEN CORPORATION POLITICAL ACTION COMMITTEE (ABC PAC)" display="https://www.fec.gov/data/committee/C00400929/" xr:uid="{C350548B-70B7-4C9A-A987-DD7D4720E0FC}"/>
    <hyperlink ref="B13" r:id="rId13" tooltip="KATHLEEN WILLIAMS FOR MONTANA" display="https://www.fec.gov/data/committee/C00701748/" xr:uid="{58270258-3D10-4EE4-B871-C1F226C6FBAC}"/>
    <hyperlink ref="B15" r:id="rId14" tooltip="SCANLON FOR CONGRESS" display="https://www.fec.gov/data/committee/C00669358/" xr:uid="{407D3764-5F54-4AE6-BFCC-0B2E6BCF73AD}"/>
    <hyperlink ref="B17" r:id="rId15" tooltip="SUSAN WILD FOR CONGRESS" display="https://www.fec.gov/data/committee/C00658567/" xr:uid="{BAE49A39-7B69-40BC-AE62-D43A6AA9F635}"/>
    <hyperlink ref="B14" r:id="rId16" tooltip="MONTANANS FOR BULLOCK" display="https://www.fec.gov/data/committee/C00741611/" xr:uid="{260580E6-0094-4025-A4A9-B325C6C144D4}"/>
    <hyperlink ref="B5" r:id="rId17" tooltip="ANDY KIM FOR CONGRESS" display="https://www.fec.gov/data/committee/C00648220/" xr:uid="{5F5D0D0B-D7DC-45FD-9B8E-B71C336004EC}"/>
    <hyperlink ref="B3" r:id="rId18" tooltip="ACTBLUE" display="https://www.fec.gov/data/committee/C00401224/" xr:uid="{4B584EA2-1475-48A1-A138-302BE579084D}"/>
    <hyperlink ref="B29" r:id="rId19" tooltip="AMERISOURCEBERGEN CORPORATION POLITICAL ACTION COMMITTEE (ABC PAC)" display="https://www.fec.gov/data/committee/C00400929/" xr:uid="{933D2EEC-C8C5-4E1F-A5B0-2D9A77FC3ADB}"/>
    <hyperlink ref="B6" r:id="rId20" tooltip="BIDEN FOR PRESIDENT" display="https://www.fec.gov/data/committee/C00703975/" xr:uid="{29FCAECF-6F45-4E5E-BA8D-EBB3AB516D4D}"/>
    <hyperlink ref="B7" r:id="rId21" tooltip="BIDEN FOR PRESIDENT" display="https://www.fec.gov/data/committee/C00703975/" xr:uid="{42E22568-F014-4786-B290-632FE6303491}"/>
    <hyperlink ref="B9" r:id="rId22" tooltip="DNC SERVICES CORP / DEMOCRATIC NATIONAL COMMITTEE" display="https://www.fec.gov/data/committee/C00010603/" xr:uid="{88BE82F5-88F2-4802-B083-652E80D3C6B9}"/>
    <hyperlink ref="B8" r:id="rId23" tooltip="BIDEN VICTORY FUND" display="https://www.fec.gov/data/committee/C00744946/" xr:uid="{B5B08857-3423-482B-8824-10D273286793}"/>
    <hyperlink ref="B30" r:id="rId24" tooltip="AMERISOURCEBERGEN CORPORATION POLITICAL ACTION COMMITTEE (ABC PAC)" display="https://www.fec.gov/data/committee/C00400929/" xr:uid="{1DEF4E06-E006-4FC8-B9BA-738ABB528F82}"/>
    <hyperlink ref="B31" r:id="rId25" tooltip="AMERISOURCEBERGEN CORPORATION POLITICAL ACTION COMMITTEE (ABC PAC)" display="https://www.fec.gov/data/committee/C00400929/" xr:uid="{8916A49B-47E7-41BC-845E-3F0F205BC449}"/>
    <hyperlink ref="B32" r:id="rId26" tooltip="AMERISOURCEBERGEN CORPORATION POLITICAL ACTION COMMITTEE (ABC PAC)" display="https://www.fec.gov/data/committee/C00400929/" xr:uid="{02F658F6-0708-4555-886D-32D22503A3D7}"/>
    <hyperlink ref="B33" r:id="rId27" tooltip="AMERISOURCEBERGEN CORPORATION POLITICAL ACTION COMMITTEE (ABC PAC)" display="https://www.fec.gov/data/committee/C00400929/" xr:uid="{86070715-E8CA-4960-96FB-2F4ED0632EBA}"/>
    <hyperlink ref="B34" r:id="rId28" tooltip="AMERISOURCEBERGEN CORPORATION POLITICAL ACTION COMMITTEE (ABC PAC)" display="https://www.fec.gov/data/committee/C00400929/" xr:uid="{C3693118-6E87-4D8A-991F-E15E066864C7}"/>
    <hyperlink ref="B35" r:id="rId29" tooltip="AMERISOURCEBERGEN CORPORATION POLITICAL ACTION COMMITTEE (ABC PAC)" display="https://www.fec.gov/data/committee/C00400929/" xr:uid="{488841A3-1E5C-4173-A257-E1B9826A9C31}"/>
    <hyperlink ref="B36" r:id="rId30" tooltip="AMERISOURCEBERGEN CORPORATION POLITICAL ACTION COMMITTEE (ABC PAC)" display="https://www.fec.gov/data/committee/C00400929/" xr:uid="{62B92A40-19EE-4F77-93BF-6179502282AB}"/>
    <hyperlink ref="B37" r:id="rId31" tooltip="AMERISOURCEBERGEN CORPORATION POLITICAL ACTION COMMITTEE (ABC PAC)" display="https://www.fec.gov/data/committee/C00400929/" xr:uid="{EF077662-4116-4CA1-90C6-3C1D997EFBF9}"/>
    <hyperlink ref="B38" r:id="rId32" tooltip="AMERISOURCEBERGEN CORPORATION POLITICAL ACTION COMMITTEE (ABC PAC)" display="https://www.fec.gov/data/committee/C00400929/" xr:uid="{B81FB180-E1DD-4572-A28C-79195BDA0973}"/>
    <hyperlink ref="B39" r:id="rId33" tooltip="AMERISOURCEBERGEN CORPORATION POLITICAL ACTION COMMITTEE (ABC PAC)" display="https://www.fec.gov/data/committee/C00400929/" xr:uid="{A0CA2F7C-AA14-4D59-93D6-DDD67A8BAD33}"/>
    <hyperlink ref="B40" r:id="rId34" tooltip="AMERISOURCEBERGEN CORPORATION POLITICAL ACTION COMMITTEE (ABC PAC)" display="https://www.fec.gov/data/committee/C00400929/" xr:uid="{60651181-444A-4DEB-9096-EB61C14F2483}"/>
    <hyperlink ref="B41" r:id="rId35" tooltip="AMERISOURCEBERGEN CORPORATION POLITICAL ACTION COMMITTEE (ABC PAC)" display="https://www.fec.gov/data/committee/C00400929/" xr:uid="{1B875E74-97D2-4FFB-BB05-D23378F0D56F}"/>
    <hyperlink ref="B42" r:id="rId36" tooltip="AMERISOURCEBERGEN CORPORATION POLITICAL ACTION COMMITTEE (ABC PAC)" display="https://www.fec.gov/data/committee/C00400929/" xr:uid="{A9459970-F34C-4311-91BB-E218B169B957}"/>
    <hyperlink ref="B43" r:id="rId37" tooltip="AMERISOURCEBERGEN CORPORATION POLITICAL ACTION COMMITTEE (ABC PAC)" display="https://www.fec.gov/data/committee/C00400929/" xr:uid="{65CCB0B1-CEFF-477C-8A02-984E78448A47}"/>
    <hyperlink ref="B16" r:id="rId38" tooltip="SCANLON FOR CONGRESS" display="https://www.fec.gov/data/committee/C00669358/" xr:uid="{85DBB372-9FC3-43DD-A5AC-A921D1B384AF}"/>
    <hyperlink ref="B4" r:id="rId39" tooltip="ACTBLUE" display="https://www.fec.gov/data/committee/C00401224/" xr:uid="{8E3F172C-71B4-45EC-8465-57EF6EAA3A8E}"/>
    <hyperlink ref="B44" r:id="rId40" tooltip="AMERISOURCEBERGEN CORPORATION POLITICAL ACTION COMMITTEE (ABC PAC)" display="https://www.fec.gov/data/committee/C00400929/" xr:uid="{8ACD9C94-7B2D-4A6B-89EB-14FD7EB4A53B}"/>
    <hyperlink ref="B45" r:id="rId41" tooltip="AMERISOURCEBERGEN CORPORATION POLITICAL ACTION COMMITTEE (ABC PAC)" display="https://www.fec.gov/data/committee/C00400929/" xr:uid="{48CC7CDB-FF14-4986-A85D-936295374DE0}"/>
    <hyperlink ref="B46" r:id="rId42" tooltip="AMERISOURCEBERGEN CORPORATION POLITICAL ACTION COMMITTEE (ABC PAC)" display="https://www.fec.gov/data/committee/C00400929/" xr:uid="{363887C2-6E61-4014-98F0-8B5A7EFDFF47}"/>
    <hyperlink ref="B47" r:id="rId43" tooltip="AMERISOURCEBERGEN CORPORATION POLITICAL ACTION COMMITTEE (ABC PAC)" display="https://www.fec.gov/data/committee/C00400929/" xr:uid="{704914BA-01CA-49BC-8603-6A5063168238}"/>
    <hyperlink ref="B48" r:id="rId44" tooltip="AMERISOURCEBERGEN CORPORATION POLITICAL ACTION COMMITTEE (ABC PAC)" display="https://www.fec.gov/data/committee/C00400929/" xr:uid="{F781FA68-AC33-488B-8465-F3EB44FE1CEE}"/>
    <hyperlink ref="B49" r:id="rId45" tooltip="AMERISOURCEBERGEN CORPORATION POLITICAL ACTION COMMITTEE (ABC PAC)" display="https://www.fec.gov/data/committee/C00400929/" xr:uid="{E353FE05-DCB4-4535-8C4E-32AC375C7DD0}"/>
    <hyperlink ref="B50" r:id="rId46" tooltip="AMERISOURCEBERGEN CORPORATION POLITICAL ACTION COMMITTEE (ABC PAC)" display="https://www.fec.gov/data/committee/C00400929/" xr:uid="{E8E999BE-D3E0-4E01-BB2C-12B69DC8748F}"/>
    <hyperlink ref="B51" r:id="rId47" tooltip="AMERISOURCEBERGEN CORPORATION POLITICAL ACTION COMMITTEE (ABC PAC)" display="https://www.fec.gov/data/committee/C00400929/" xr:uid="{7211B745-6BFC-4523-9974-8943436BB9E1}"/>
    <hyperlink ref="B52" r:id="rId48" tooltip="AMERISOURCEBERGEN CORPORATION POLITICAL ACTION COMMITTEE (ABC PAC)" display="https://www.fec.gov/data/committee/C00400929/" xr:uid="{F5A239F4-C499-43D1-88C3-2EA8FD057BB8}"/>
    <hyperlink ref="B53" r:id="rId49" tooltip="AMERISOURCEBERGEN CORPORATION POLITICAL ACTION COMMITTEE (ABC PAC)" display="https://www.fec.gov/data/committee/C00400929/" xr:uid="{5C986F0F-AD99-4A32-A425-A7EFC277A61F}"/>
    <hyperlink ref="B54" r:id="rId50" tooltip="AMERISOURCEBERGEN CORPORATION POLITICAL ACTION COMMITTEE (ABC PAC)" display="https://www.fec.gov/data/committee/C00400929/" xr:uid="{1788234A-7552-4971-8FB0-4C1660FE807F}"/>
    <hyperlink ref="B55" r:id="rId51" tooltip="AMERISOURCEBERGEN CORPORATION POLITICAL ACTION COMMITTEE (ABC PAC)" display="https://www.fec.gov/data/committee/C00400929/" xr:uid="{EB7D1340-3B19-40FC-BED0-1D9C9F541062}"/>
    <hyperlink ref="B56" r:id="rId52" tooltip="AMERISOURCEBERGEN CORPORATION POLITICAL ACTION COMMITTEE (ABC PAC)" display="https://www.fec.gov/data/committee/C00400929/" xr:uid="{7CC96622-B30B-4397-9D12-2DAF023BAF82}"/>
    <hyperlink ref="B57" r:id="rId53" tooltip="AMERISOURCEBERGEN CORPORATION POLITICAL ACTION COMMITTEE (ABC PAC)" display="https://www.fec.gov/data/committee/C00400929/" xr:uid="{C1EA2257-B547-4B8A-98C2-F09C87A94E79}"/>
    <hyperlink ref="B58" r:id="rId54" tooltip="AMERISOURCEBERGEN CORPORATION POLITICAL ACTION COMMITTEE (ABC PAC)" display="https://www.fec.gov/data/committee/C00400929/" xr:uid="{E6B79979-7D85-4759-9126-26F523C95BD7}"/>
    <hyperlink ref="B59" r:id="rId55" tooltip="AMERISOURCEBERGEN CORPORATION POLITICAL ACTION COMMITTEE (ABC PAC)" display="https://www.fec.gov/data/committee/C00400929/" xr:uid="{EDA837B4-E645-417D-BAD0-CFD113888599}"/>
    <hyperlink ref="B60" r:id="rId56" tooltip="AMERISOURCEBERGEN CORPORATION POLITICAL ACTION COMMITTEE (ABC PAC)" display="https://www.fec.gov/data/committee/C00400929/" xr:uid="{486B9B00-3299-4796-BE0B-5F3BFC854C47}"/>
    <hyperlink ref="B61" r:id="rId57" tooltip="AMERISOURCEBERGEN CORPORATION POLITICAL ACTION COMMITTEE (ABC PAC)" display="https://www.fec.gov/data/committee/C00400929/" xr:uid="{BD1FC63D-F719-4022-86A1-2BB2F1BF2836}"/>
    <hyperlink ref="B62" r:id="rId58" tooltip="AMERISOURCEBERGEN CORPORATION POLITICAL ACTION COMMITTEE (ABC PAC)" display="https://www.fec.gov/data/committee/C00400929/" xr:uid="{4A50D29A-841E-4DC1-BF56-EF5885D98404}"/>
    <hyperlink ref="B12" r:id="rId59" tooltip="HOYER FOR CONGRESS" display="https://www.fec.gov/data/committee/C00140715/" xr:uid="{DF50C6E4-5276-4448-BA39-A383BBF4B573}"/>
    <hyperlink ref="B63" r:id="rId60" tooltip="AMERISOURCEBERGEN CORPORATION POLITICAL ACTION COMMITTEE (ABC PAC)" display="https://www.fec.gov/data/committee/C00400929/" xr:uid="{7653B994-10CE-42A4-A8CC-1D5455DA47AC}"/>
    <hyperlink ref="B64" r:id="rId61" tooltip="AMERISOURCEBERGEN CORPORATION POLITICAL ACTION COMMITTEE (ABC PAC)" display="https://www.fec.gov/data/committee/C00400929/" xr:uid="{F3E1AAB5-F7B1-4B66-866C-7B6171074CE9}"/>
    <hyperlink ref="B65" r:id="rId62" tooltip="AMERISOURCEBERGEN CORPORATION POLITICAL ACTION COMMITTEE (ABC PAC)" display="https://www.fec.gov/data/committee/C00400929/" xr:uid="{C04FC011-21C6-44B5-853C-68CF7C2C3BF4}"/>
    <hyperlink ref="B66" r:id="rId63" tooltip="AMERISOURCEBERGEN CORPORATION POLITICAL ACTION COMMITTEE (ABC PAC)" display="https://www.fec.gov/data/committee/C00400929/" xr:uid="{CDD739C1-0691-4970-97F9-D2BCD2063722}"/>
    <hyperlink ref="B67" r:id="rId64" tooltip="AMERISOURCEBERGEN CORPORATION POLITICAL ACTION COMMITTEE (ABC PAC)" display="https://www.fec.gov/data/committee/C00400929/" xr:uid="{428DEC36-0601-47DD-A855-B11D23C505FC}"/>
    <hyperlink ref="B68" r:id="rId65" tooltip="AMERISOURCEBERGEN CORPORATION POLITICAL ACTION COMMITTEE (ABC PAC)" display="https://www.fec.gov/data/committee/C00400929/" xr:uid="{CE921A16-A6AC-447D-926D-87192D36EC9F}"/>
    <hyperlink ref="B69" r:id="rId66" tooltip="AMERISOURCEBERGEN CORPORATION POLITICAL ACTION COMMITTEE (ABC PAC)" display="https://www.fec.gov/data/committee/C00400929/" xr:uid="{73B8BA60-AB52-4FC0-A9BB-F686C57F2ED6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60"/>
  <sheetViews>
    <sheetView topLeftCell="A55" workbookViewId="0">
      <selection activeCell="A57" sqref="A57"/>
    </sheetView>
  </sheetViews>
  <sheetFormatPr defaultRowHeight="15"/>
  <cols>
    <col min="2" max="2" width="36.5703125" customWidth="1"/>
    <col min="6" max="6" width="17.42578125" customWidth="1"/>
    <col min="11" max="11" width="10.85546875" customWidth="1"/>
  </cols>
  <sheetData>
    <row r="1" spans="1:16">
      <c r="A1" s="10" t="s">
        <v>14</v>
      </c>
      <c r="B1" s="10" t="s">
        <v>15</v>
      </c>
      <c r="C1" s="10" t="s">
        <v>10</v>
      </c>
      <c r="D1" s="10" t="s">
        <v>16</v>
      </c>
      <c r="E1" s="10" t="s">
        <v>17</v>
      </c>
      <c r="F1" s="10" t="s">
        <v>18</v>
      </c>
      <c r="G1" s="10" t="s">
        <v>20</v>
      </c>
      <c r="H1" s="10" t="s">
        <v>4</v>
      </c>
      <c r="I1" s="12" t="s">
        <v>6</v>
      </c>
      <c r="J1" s="10" t="s">
        <v>5</v>
      </c>
      <c r="K1" s="10" t="s">
        <v>11</v>
      </c>
      <c r="L1" s="10" t="s">
        <v>12</v>
      </c>
      <c r="M1" s="10" t="s">
        <v>21</v>
      </c>
      <c r="N1" s="10"/>
      <c r="O1" s="10"/>
      <c r="P1" s="10"/>
    </row>
    <row r="2" spans="1:16" ht="57.75" thickBot="1">
      <c r="A2" s="36" t="s">
        <v>198</v>
      </c>
      <c r="B2" s="38" t="s">
        <v>190</v>
      </c>
      <c r="C2" s="37" t="s">
        <v>85</v>
      </c>
      <c r="D2" s="37" t="s">
        <v>86</v>
      </c>
      <c r="E2" s="39">
        <v>43790</v>
      </c>
      <c r="F2" s="40">
        <v>1000</v>
      </c>
      <c r="G2" s="45" t="s">
        <v>3</v>
      </c>
      <c r="H2">
        <v>100</v>
      </c>
      <c r="I2" s="2">
        <v>0</v>
      </c>
      <c r="K2" s="14">
        <f>(+H2/(H2+I2))*100</f>
        <v>100</v>
      </c>
      <c r="L2" s="14">
        <f>(+I2/(H2+I2))*100</f>
        <v>0</v>
      </c>
    </row>
    <row r="3" spans="1:16" ht="57.75" thickBot="1">
      <c r="A3" s="36" t="s">
        <v>198</v>
      </c>
      <c r="B3" s="38" t="s">
        <v>132</v>
      </c>
      <c r="C3" s="37" t="s">
        <v>85</v>
      </c>
      <c r="D3" s="37" t="s">
        <v>86</v>
      </c>
      <c r="E3" s="39">
        <v>43790</v>
      </c>
      <c r="F3" s="40">
        <v>1000</v>
      </c>
      <c r="G3" s="45" t="s">
        <v>3</v>
      </c>
      <c r="H3">
        <v>100</v>
      </c>
      <c r="I3" s="2">
        <v>0</v>
      </c>
      <c r="K3" s="14">
        <f>(+H3/(H3+I3))*100</f>
        <v>100</v>
      </c>
      <c r="L3" s="14">
        <f>(+I3/(H3+I3))*100</f>
        <v>0</v>
      </c>
    </row>
    <row r="4" spans="1:16" ht="16.5" thickBot="1">
      <c r="A4" s="36"/>
      <c r="B4" s="38"/>
      <c r="C4" s="37"/>
      <c r="D4" s="37"/>
      <c r="E4" s="39"/>
      <c r="F4" s="40">
        <f>SUM(F2:F3)</f>
        <v>2000</v>
      </c>
      <c r="G4" s="45"/>
      <c r="I4" s="2"/>
      <c r="K4" s="14"/>
      <c r="L4" s="14"/>
    </row>
    <row r="5" spans="1:16" ht="16.5" thickBot="1">
      <c r="A5" s="36"/>
      <c r="B5" s="38"/>
      <c r="C5" s="37"/>
      <c r="D5" s="37"/>
      <c r="E5" s="39"/>
      <c r="F5" s="40"/>
      <c r="G5" s="45"/>
      <c r="I5" s="2"/>
      <c r="K5" s="14"/>
      <c r="L5" s="14"/>
    </row>
    <row r="6" spans="1:16" ht="114.75" thickBot="1">
      <c r="A6" s="36" t="s">
        <v>197</v>
      </c>
      <c r="B6" s="38" t="s">
        <v>77</v>
      </c>
      <c r="C6" s="37" t="s">
        <v>85</v>
      </c>
      <c r="D6" s="37" t="s">
        <v>129</v>
      </c>
      <c r="E6" s="39">
        <v>44190</v>
      </c>
      <c r="F6" s="40">
        <v>192.3</v>
      </c>
      <c r="G6" t="s">
        <v>1</v>
      </c>
      <c r="H6">
        <v>126000</v>
      </c>
      <c r="I6" s="2">
        <v>156000</v>
      </c>
      <c r="K6" s="14">
        <f t="shared" ref="K6:K37" si="0">(+H6/(H6+I6))*100</f>
        <v>44.680851063829785</v>
      </c>
      <c r="L6" s="14">
        <f t="shared" ref="L6:L37" si="1">(+I6/(H6+I6))*100</f>
        <v>55.319148936170215</v>
      </c>
    </row>
    <row r="7" spans="1:16" ht="114.75" thickBot="1">
      <c r="A7" s="36" t="s">
        <v>197</v>
      </c>
      <c r="B7" s="38" t="s">
        <v>77</v>
      </c>
      <c r="C7" s="37" t="s">
        <v>85</v>
      </c>
      <c r="D7" s="37" t="s">
        <v>129</v>
      </c>
      <c r="E7" s="39">
        <v>44176</v>
      </c>
      <c r="F7" s="40">
        <v>192.3</v>
      </c>
      <c r="G7" t="s">
        <v>1</v>
      </c>
      <c r="H7">
        <v>126000</v>
      </c>
      <c r="I7" s="2">
        <v>156000</v>
      </c>
      <c r="K7" s="14">
        <f t="shared" si="0"/>
        <v>44.680851063829785</v>
      </c>
      <c r="L7" s="14">
        <f t="shared" si="1"/>
        <v>55.319148936170215</v>
      </c>
    </row>
    <row r="8" spans="1:16" ht="114.75" thickBot="1">
      <c r="A8" s="36" t="s">
        <v>197</v>
      </c>
      <c r="B8" s="38" t="s">
        <v>77</v>
      </c>
      <c r="C8" s="37" t="s">
        <v>85</v>
      </c>
      <c r="D8" s="37" t="s">
        <v>129</v>
      </c>
      <c r="E8" s="39">
        <v>44162</v>
      </c>
      <c r="F8" s="40">
        <v>192.3</v>
      </c>
      <c r="G8" t="s">
        <v>1</v>
      </c>
      <c r="H8">
        <v>126000</v>
      </c>
      <c r="I8" s="2">
        <v>156000</v>
      </c>
      <c r="K8" s="14">
        <f t="shared" si="0"/>
        <v>44.680851063829785</v>
      </c>
      <c r="L8" s="14">
        <f t="shared" si="1"/>
        <v>55.319148936170215</v>
      </c>
    </row>
    <row r="9" spans="1:16" ht="114.75" thickBot="1">
      <c r="A9" s="36" t="s">
        <v>197</v>
      </c>
      <c r="B9" s="38" t="s">
        <v>77</v>
      </c>
      <c r="C9" s="37" t="s">
        <v>85</v>
      </c>
      <c r="D9" s="37" t="s">
        <v>129</v>
      </c>
      <c r="E9" s="39">
        <v>44148</v>
      </c>
      <c r="F9" s="40">
        <v>192.3</v>
      </c>
      <c r="G9" t="s">
        <v>1</v>
      </c>
      <c r="H9">
        <v>126000</v>
      </c>
      <c r="I9" s="2">
        <v>156000</v>
      </c>
      <c r="K9" s="14">
        <f t="shared" si="0"/>
        <v>44.680851063829785</v>
      </c>
      <c r="L9" s="14">
        <f t="shared" si="1"/>
        <v>55.319148936170215</v>
      </c>
    </row>
    <row r="10" spans="1:16" ht="114.75" thickBot="1">
      <c r="A10" s="36" t="s">
        <v>197</v>
      </c>
      <c r="B10" s="38" t="s">
        <v>77</v>
      </c>
      <c r="C10" s="37" t="s">
        <v>85</v>
      </c>
      <c r="D10" s="37" t="s">
        <v>129</v>
      </c>
      <c r="E10" s="39">
        <v>44134</v>
      </c>
      <c r="F10" s="40">
        <v>192.3</v>
      </c>
      <c r="G10" t="s">
        <v>1</v>
      </c>
      <c r="H10">
        <v>126000</v>
      </c>
      <c r="I10" s="2">
        <v>156000</v>
      </c>
      <c r="K10" s="14">
        <f t="shared" si="0"/>
        <v>44.680851063829785</v>
      </c>
      <c r="L10" s="14">
        <f t="shared" si="1"/>
        <v>55.319148936170215</v>
      </c>
    </row>
    <row r="11" spans="1:16" ht="114.75" thickBot="1">
      <c r="A11" s="36" t="s">
        <v>197</v>
      </c>
      <c r="B11" s="38" t="s">
        <v>77</v>
      </c>
      <c r="C11" s="37" t="s">
        <v>85</v>
      </c>
      <c r="D11" s="37" t="s">
        <v>129</v>
      </c>
      <c r="E11" s="39">
        <v>44120</v>
      </c>
      <c r="F11" s="40">
        <v>192.3</v>
      </c>
      <c r="G11" t="s">
        <v>1</v>
      </c>
      <c r="H11">
        <v>126000</v>
      </c>
      <c r="I11" s="2">
        <v>156000</v>
      </c>
      <c r="K11" s="14">
        <f t="shared" si="0"/>
        <v>44.680851063829785</v>
      </c>
      <c r="L11" s="14">
        <f t="shared" si="1"/>
        <v>55.319148936170215</v>
      </c>
    </row>
    <row r="12" spans="1:16" ht="114.75" thickBot="1">
      <c r="A12" s="36" t="s">
        <v>197</v>
      </c>
      <c r="B12" s="38" t="s">
        <v>77</v>
      </c>
      <c r="C12" s="37" t="s">
        <v>85</v>
      </c>
      <c r="D12" s="37" t="s">
        <v>129</v>
      </c>
      <c r="E12" s="39">
        <v>44106</v>
      </c>
      <c r="F12" s="40">
        <v>192.3</v>
      </c>
      <c r="G12" t="s">
        <v>1</v>
      </c>
      <c r="H12">
        <v>126000</v>
      </c>
      <c r="I12" s="2">
        <v>156000</v>
      </c>
      <c r="K12" s="14">
        <f t="shared" si="0"/>
        <v>44.680851063829785</v>
      </c>
      <c r="L12" s="14">
        <f t="shared" si="1"/>
        <v>55.319148936170215</v>
      </c>
    </row>
    <row r="13" spans="1:16" ht="114.75" thickBot="1">
      <c r="A13" s="36" t="s">
        <v>197</v>
      </c>
      <c r="B13" s="38" t="s">
        <v>77</v>
      </c>
      <c r="C13" s="37" t="s">
        <v>85</v>
      </c>
      <c r="D13" s="37" t="s">
        <v>129</v>
      </c>
      <c r="E13" s="39">
        <v>44092</v>
      </c>
      <c r="F13" s="40">
        <v>192.3</v>
      </c>
      <c r="G13" t="s">
        <v>1</v>
      </c>
      <c r="H13">
        <v>126000</v>
      </c>
      <c r="I13" s="2">
        <v>156000</v>
      </c>
      <c r="K13" s="14">
        <f t="shared" si="0"/>
        <v>44.680851063829785</v>
      </c>
      <c r="L13" s="14">
        <f t="shared" si="1"/>
        <v>55.319148936170215</v>
      </c>
    </row>
    <row r="14" spans="1:16" ht="114.75" thickBot="1">
      <c r="A14" s="36" t="s">
        <v>197</v>
      </c>
      <c r="B14" s="38" t="s">
        <v>77</v>
      </c>
      <c r="C14" s="37" t="s">
        <v>85</v>
      </c>
      <c r="D14" s="37" t="s">
        <v>129</v>
      </c>
      <c r="E14" s="39">
        <v>44078</v>
      </c>
      <c r="F14" s="40">
        <v>192.3</v>
      </c>
      <c r="G14" t="s">
        <v>1</v>
      </c>
      <c r="H14">
        <v>126000</v>
      </c>
      <c r="I14" s="2">
        <v>156000</v>
      </c>
      <c r="K14" s="14">
        <f t="shared" si="0"/>
        <v>44.680851063829785</v>
      </c>
      <c r="L14" s="14">
        <f t="shared" si="1"/>
        <v>55.319148936170215</v>
      </c>
    </row>
    <row r="15" spans="1:16" ht="114.75" thickBot="1">
      <c r="A15" s="36" t="s">
        <v>197</v>
      </c>
      <c r="B15" s="38" t="s">
        <v>77</v>
      </c>
      <c r="C15" s="37" t="s">
        <v>85</v>
      </c>
      <c r="D15" s="37" t="s">
        <v>129</v>
      </c>
      <c r="E15" s="39">
        <v>44064</v>
      </c>
      <c r="F15" s="40">
        <v>192.3</v>
      </c>
      <c r="G15" t="s">
        <v>1</v>
      </c>
      <c r="H15">
        <v>126000</v>
      </c>
      <c r="I15" s="2">
        <v>156000</v>
      </c>
      <c r="K15" s="14">
        <f t="shared" si="0"/>
        <v>44.680851063829785</v>
      </c>
      <c r="L15" s="14">
        <f t="shared" si="1"/>
        <v>55.319148936170215</v>
      </c>
    </row>
    <row r="16" spans="1:16" ht="114.75" thickBot="1">
      <c r="A16" s="36" t="s">
        <v>197</v>
      </c>
      <c r="B16" s="38" t="s">
        <v>77</v>
      </c>
      <c r="C16" s="37" t="s">
        <v>85</v>
      </c>
      <c r="D16" s="37" t="s">
        <v>129</v>
      </c>
      <c r="E16" s="39">
        <v>44050</v>
      </c>
      <c r="F16" s="40">
        <v>192.3</v>
      </c>
      <c r="G16" t="s">
        <v>1</v>
      </c>
      <c r="H16">
        <v>126000</v>
      </c>
      <c r="I16" s="2">
        <v>156000</v>
      </c>
      <c r="K16" s="14">
        <f t="shared" si="0"/>
        <v>44.680851063829785</v>
      </c>
      <c r="L16" s="14">
        <f t="shared" si="1"/>
        <v>55.319148936170215</v>
      </c>
    </row>
    <row r="17" spans="1:12" ht="114.75" thickBot="1">
      <c r="A17" s="36" t="s">
        <v>197</v>
      </c>
      <c r="B17" s="38" t="s">
        <v>77</v>
      </c>
      <c r="C17" s="37" t="s">
        <v>85</v>
      </c>
      <c r="D17" s="37" t="s">
        <v>129</v>
      </c>
      <c r="E17" s="39">
        <v>44036</v>
      </c>
      <c r="F17" s="40">
        <v>192.3</v>
      </c>
      <c r="G17" t="s">
        <v>1</v>
      </c>
      <c r="H17">
        <v>126000</v>
      </c>
      <c r="I17" s="2">
        <v>156000</v>
      </c>
      <c r="K17" s="14">
        <f t="shared" si="0"/>
        <v>44.680851063829785</v>
      </c>
      <c r="L17" s="14">
        <f t="shared" si="1"/>
        <v>55.319148936170215</v>
      </c>
    </row>
    <row r="18" spans="1:12" ht="114.75" thickBot="1">
      <c r="A18" s="36" t="s">
        <v>197</v>
      </c>
      <c r="B18" s="38" t="s">
        <v>77</v>
      </c>
      <c r="C18" s="37" t="s">
        <v>85</v>
      </c>
      <c r="D18" s="37" t="s">
        <v>129</v>
      </c>
      <c r="E18" s="39">
        <v>44022</v>
      </c>
      <c r="F18" s="40">
        <v>192.3</v>
      </c>
      <c r="G18" t="s">
        <v>1</v>
      </c>
      <c r="H18">
        <v>126000</v>
      </c>
      <c r="I18" s="2">
        <v>156000</v>
      </c>
      <c r="K18" s="14">
        <f t="shared" si="0"/>
        <v>44.680851063829785</v>
      </c>
      <c r="L18" s="14">
        <f t="shared" si="1"/>
        <v>55.319148936170215</v>
      </c>
    </row>
    <row r="19" spans="1:12" ht="114.75" thickBot="1">
      <c r="A19" s="36" t="s">
        <v>197</v>
      </c>
      <c r="B19" s="38" t="s">
        <v>77</v>
      </c>
      <c r="C19" s="37" t="s">
        <v>85</v>
      </c>
      <c r="D19" s="37" t="s">
        <v>129</v>
      </c>
      <c r="E19" s="39">
        <v>44008</v>
      </c>
      <c r="F19" s="40">
        <v>192.3</v>
      </c>
      <c r="G19" t="s">
        <v>1</v>
      </c>
      <c r="H19">
        <v>126000</v>
      </c>
      <c r="I19" s="2">
        <v>156000</v>
      </c>
      <c r="K19" s="14">
        <f t="shared" si="0"/>
        <v>44.680851063829785</v>
      </c>
      <c r="L19" s="14">
        <f t="shared" si="1"/>
        <v>55.319148936170215</v>
      </c>
    </row>
    <row r="20" spans="1:12" ht="114.75" thickBot="1">
      <c r="A20" s="36" t="s">
        <v>197</v>
      </c>
      <c r="B20" s="38" t="s">
        <v>77</v>
      </c>
      <c r="C20" s="37" t="s">
        <v>85</v>
      </c>
      <c r="D20" s="37" t="s">
        <v>129</v>
      </c>
      <c r="E20" s="39">
        <v>43994</v>
      </c>
      <c r="F20" s="40">
        <v>192.3</v>
      </c>
      <c r="G20" t="s">
        <v>1</v>
      </c>
      <c r="H20">
        <v>126000</v>
      </c>
      <c r="I20" s="2">
        <v>156000</v>
      </c>
      <c r="K20" s="14">
        <f t="shared" si="0"/>
        <v>44.680851063829785</v>
      </c>
      <c r="L20" s="14">
        <f t="shared" si="1"/>
        <v>55.319148936170215</v>
      </c>
    </row>
    <row r="21" spans="1:12" ht="114.75" thickBot="1">
      <c r="A21" s="36" t="s">
        <v>197</v>
      </c>
      <c r="B21" s="38" t="s">
        <v>77</v>
      </c>
      <c r="C21" s="37" t="s">
        <v>85</v>
      </c>
      <c r="D21" s="37" t="s">
        <v>129</v>
      </c>
      <c r="E21" s="39">
        <v>43980</v>
      </c>
      <c r="F21" s="40">
        <v>192.3</v>
      </c>
      <c r="G21" t="s">
        <v>1</v>
      </c>
      <c r="H21">
        <v>126000</v>
      </c>
      <c r="I21" s="2">
        <v>156000</v>
      </c>
      <c r="K21" s="14">
        <f t="shared" si="0"/>
        <v>44.680851063829785</v>
      </c>
      <c r="L21" s="14">
        <f t="shared" si="1"/>
        <v>55.319148936170215</v>
      </c>
    </row>
    <row r="22" spans="1:12" ht="114.75" thickBot="1">
      <c r="A22" s="36" t="s">
        <v>197</v>
      </c>
      <c r="B22" s="38" t="s">
        <v>77</v>
      </c>
      <c r="C22" s="37" t="s">
        <v>85</v>
      </c>
      <c r="D22" s="37" t="s">
        <v>129</v>
      </c>
      <c r="E22" s="39">
        <v>43966</v>
      </c>
      <c r="F22" s="40">
        <v>192.3</v>
      </c>
      <c r="G22" t="s">
        <v>1</v>
      </c>
      <c r="H22">
        <v>126000</v>
      </c>
      <c r="I22" s="2">
        <v>156000</v>
      </c>
      <c r="K22" s="14">
        <f t="shared" si="0"/>
        <v>44.680851063829785</v>
      </c>
      <c r="L22" s="14">
        <f t="shared" si="1"/>
        <v>55.319148936170215</v>
      </c>
    </row>
    <row r="23" spans="1:12" ht="114.75" thickBot="1">
      <c r="A23" s="36" t="s">
        <v>197</v>
      </c>
      <c r="B23" s="38" t="s">
        <v>77</v>
      </c>
      <c r="C23" s="37" t="s">
        <v>85</v>
      </c>
      <c r="D23" s="37" t="s">
        <v>129</v>
      </c>
      <c r="E23" s="39">
        <v>43952</v>
      </c>
      <c r="F23" s="40">
        <v>192.3</v>
      </c>
      <c r="G23" t="s">
        <v>1</v>
      </c>
      <c r="H23">
        <v>126000</v>
      </c>
      <c r="I23" s="2">
        <v>156000</v>
      </c>
      <c r="K23" s="14">
        <f t="shared" si="0"/>
        <v>44.680851063829785</v>
      </c>
      <c r="L23" s="14">
        <f t="shared" si="1"/>
        <v>55.319148936170215</v>
      </c>
    </row>
    <row r="24" spans="1:12" ht="114.75" thickBot="1">
      <c r="A24" s="36" t="s">
        <v>197</v>
      </c>
      <c r="B24" s="38" t="s">
        <v>77</v>
      </c>
      <c r="C24" s="37" t="s">
        <v>85</v>
      </c>
      <c r="D24" s="37" t="s">
        <v>129</v>
      </c>
      <c r="E24" s="39">
        <v>43938</v>
      </c>
      <c r="F24" s="40">
        <v>192.3</v>
      </c>
      <c r="G24" t="s">
        <v>1</v>
      </c>
      <c r="H24">
        <v>126000</v>
      </c>
      <c r="I24" s="2">
        <v>156000</v>
      </c>
      <c r="K24" s="14">
        <f t="shared" si="0"/>
        <v>44.680851063829785</v>
      </c>
      <c r="L24" s="14">
        <f t="shared" si="1"/>
        <v>55.319148936170215</v>
      </c>
    </row>
    <row r="25" spans="1:12" ht="114.75" thickBot="1">
      <c r="A25" s="36" t="s">
        <v>197</v>
      </c>
      <c r="B25" s="38" t="s">
        <v>77</v>
      </c>
      <c r="C25" s="37" t="s">
        <v>85</v>
      </c>
      <c r="D25" s="37" t="s">
        <v>129</v>
      </c>
      <c r="E25" s="39">
        <v>43924</v>
      </c>
      <c r="F25" s="40">
        <v>192.3</v>
      </c>
      <c r="G25" t="s">
        <v>1</v>
      </c>
      <c r="H25">
        <v>126000</v>
      </c>
      <c r="I25" s="2">
        <v>156000</v>
      </c>
      <c r="K25" s="14">
        <f t="shared" si="0"/>
        <v>44.680851063829785</v>
      </c>
      <c r="L25" s="14">
        <f t="shared" si="1"/>
        <v>55.319148936170215</v>
      </c>
    </row>
    <row r="26" spans="1:12" ht="114.75" thickBot="1">
      <c r="A26" s="36" t="s">
        <v>197</v>
      </c>
      <c r="B26" s="38" t="s">
        <v>77</v>
      </c>
      <c r="C26" s="37" t="s">
        <v>85</v>
      </c>
      <c r="D26" s="37" t="s">
        <v>129</v>
      </c>
      <c r="E26" s="39">
        <v>43910</v>
      </c>
      <c r="F26" s="40">
        <v>192.3</v>
      </c>
      <c r="G26" t="s">
        <v>1</v>
      </c>
      <c r="H26">
        <v>126000</v>
      </c>
      <c r="I26" s="2">
        <v>156000</v>
      </c>
      <c r="K26" s="14">
        <f t="shared" si="0"/>
        <v>44.680851063829785</v>
      </c>
      <c r="L26" s="14">
        <f t="shared" si="1"/>
        <v>55.319148936170215</v>
      </c>
    </row>
    <row r="27" spans="1:12" ht="114.75" thickBot="1">
      <c r="A27" s="36" t="s">
        <v>197</v>
      </c>
      <c r="B27" s="38" t="s">
        <v>77</v>
      </c>
      <c r="C27" s="37" t="s">
        <v>85</v>
      </c>
      <c r="D27" s="37" t="s">
        <v>129</v>
      </c>
      <c r="E27" s="39">
        <v>43896</v>
      </c>
      <c r="F27" s="40">
        <v>192.3</v>
      </c>
      <c r="G27" t="s">
        <v>1</v>
      </c>
      <c r="H27">
        <v>126000</v>
      </c>
      <c r="I27" s="2">
        <v>156000</v>
      </c>
      <c r="K27" s="14">
        <f t="shared" si="0"/>
        <v>44.680851063829785</v>
      </c>
      <c r="L27" s="14">
        <f t="shared" si="1"/>
        <v>55.319148936170215</v>
      </c>
    </row>
    <row r="28" spans="1:12" ht="114.75" thickBot="1">
      <c r="A28" s="36" t="s">
        <v>197</v>
      </c>
      <c r="B28" s="38" t="s">
        <v>77</v>
      </c>
      <c r="C28" s="37" t="s">
        <v>85</v>
      </c>
      <c r="D28" s="37" t="s">
        <v>129</v>
      </c>
      <c r="E28" s="39">
        <v>43882</v>
      </c>
      <c r="F28" s="40">
        <v>192.3</v>
      </c>
      <c r="G28" t="s">
        <v>1</v>
      </c>
      <c r="H28">
        <v>126000</v>
      </c>
      <c r="I28" s="2">
        <v>156000</v>
      </c>
      <c r="K28" s="14">
        <f t="shared" si="0"/>
        <v>44.680851063829785</v>
      </c>
      <c r="L28" s="14">
        <f t="shared" si="1"/>
        <v>55.319148936170215</v>
      </c>
    </row>
    <row r="29" spans="1:12" ht="114.75" thickBot="1">
      <c r="A29" s="36" t="s">
        <v>197</v>
      </c>
      <c r="B29" s="38" t="s">
        <v>77</v>
      </c>
      <c r="C29" s="37" t="s">
        <v>85</v>
      </c>
      <c r="D29" s="37" t="s">
        <v>129</v>
      </c>
      <c r="E29" s="39">
        <v>43868</v>
      </c>
      <c r="F29" s="40">
        <v>192.3</v>
      </c>
      <c r="G29" t="s">
        <v>1</v>
      </c>
      <c r="H29">
        <v>126000</v>
      </c>
      <c r="I29" s="2">
        <v>156000</v>
      </c>
      <c r="K29" s="14">
        <f t="shared" si="0"/>
        <v>44.680851063829785</v>
      </c>
      <c r="L29" s="14">
        <f t="shared" si="1"/>
        <v>55.319148936170215</v>
      </c>
    </row>
    <row r="30" spans="1:12" ht="114.75" thickBot="1">
      <c r="A30" s="36" t="s">
        <v>197</v>
      </c>
      <c r="B30" s="38" t="s">
        <v>77</v>
      </c>
      <c r="C30" s="37" t="s">
        <v>85</v>
      </c>
      <c r="D30" s="37" t="s">
        <v>129</v>
      </c>
      <c r="E30" s="39">
        <v>43854</v>
      </c>
      <c r="F30" s="40">
        <v>192.3</v>
      </c>
      <c r="G30" t="s">
        <v>1</v>
      </c>
      <c r="H30">
        <v>126000</v>
      </c>
      <c r="I30" s="2">
        <v>156000</v>
      </c>
      <c r="K30" s="14">
        <f t="shared" si="0"/>
        <v>44.680851063829785</v>
      </c>
      <c r="L30" s="14">
        <f t="shared" si="1"/>
        <v>55.319148936170215</v>
      </c>
    </row>
    <row r="31" spans="1:12" ht="114.75" thickBot="1">
      <c r="A31" s="36" t="s">
        <v>197</v>
      </c>
      <c r="B31" s="38" t="s">
        <v>77</v>
      </c>
      <c r="C31" s="37" t="s">
        <v>85</v>
      </c>
      <c r="D31" s="37" t="s">
        <v>129</v>
      </c>
      <c r="E31" s="39">
        <v>43826</v>
      </c>
      <c r="F31" s="40">
        <v>192.3</v>
      </c>
      <c r="G31" t="s">
        <v>1</v>
      </c>
      <c r="H31">
        <v>126000</v>
      </c>
      <c r="I31" s="2">
        <v>156000</v>
      </c>
      <c r="K31" s="14">
        <f t="shared" si="0"/>
        <v>44.680851063829785</v>
      </c>
      <c r="L31" s="14">
        <f t="shared" si="1"/>
        <v>55.319148936170215</v>
      </c>
    </row>
    <row r="32" spans="1:12" ht="114.75" thickBot="1">
      <c r="A32" s="36" t="s">
        <v>197</v>
      </c>
      <c r="B32" s="38" t="s">
        <v>77</v>
      </c>
      <c r="C32" s="37" t="s">
        <v>85</v>
      </c>
      <c r="D32" s="37" t="s">
        <v>129</v>
      </c>
      <c r="E32" s="39">
        <v>43812</v>
      </c>
      <c r="F32" s="40">
        <v>192.3</v>
      </c>
      <c r="G32" t="s">
        <v>1</v>
      </c>
      <c r="H32">
        <v>126000</v>
      </c>
      <c r="I32" s="2">
        <v>156000</v>
      </c>
      <c r="K32" s="14">
        <f t="shared" si="0"/>
        <v>44.680851063829785</v>
      </c>
      <c r="L32" s="14">
        <f t="shared" si="1"/>
        <v>55.319148936170215</v>
      </c>
    </row>
    <row r="33" spans="1:12" ht="114.75" thickBot="1">
      <c r="A33" s="36" t="s">
        <v>197</v>
      </c>
      <c r="B33" s="38" t="s">
        <v>77</v>
      </c>
      <c r="C33" s="37" t="s">
        <v>85</v>
      </c>
      <c r="D33" s="37" t="s">
        <v>129</v>
      </c>
      <c r="E33" s="39">
        <v>43798</v>
      </c>
      <c r="F33" s="40">
        <v>192.3</v>
      </c>
      <c r="G33" t="s">
        <v>1</v>
      </c>
      <c r="H33">
        <v>126000</v>
      </c>
      <c r="I33" s="2">
        <v>156000</v>
      </c>
      <c r="K33" s="14">
        <f t="shared" si="0"/>
        <v>44.680851063829785</v>
      </c>
      <c r="L33" s="14">
        <f t="shared" si="1"/>
        <v>55.319148936170215</v>
      </c>
    </row>
    <row r="34" spans="1:12" ht="114.75" thickBot="1">
      <c r="A34" s="36" t="s">
        <v>197</v>
      </c>
      <c r="B34" s="38" t="s">
        <v>77</v>
      </c>
      <c r="C34" s="37" t="s">
        <v>85</v>
      </c>
      <c r="D34" s="37" t="s">
        <v>129</v>
      </c>
      <c r="E34" s="39">
        <v>43784</v>
      </c>
      <c r="F34" s="40">
        <v>192.3</v>
      </c>
      <c r="G34" t="s">
        <v>1</v>
      </c>
      <c r="H34">
        <v>126000</v>
      </c>
      <c r="I34" s="2">
        <v>156000</v>
      </c>
      <c r="K34" s="14">
        <f t="shared" si="0"/>
        <v>44.680851063829785</v>
      </c>
      <c r="L34" s="14">
        <f t="shared" si="1"/>
        <v>55.319148936170215</v>
      </c>
    </row>
    <row r="35" spans="1:12" ht="114.75" thickBot="1">
      <c r="A35" s="36" t="s">
        <v>197</v>
      </c>
      <c r="B35" s="38" t="s">
        <v>77</v>
      </c>
      <c r="C35" s="37" t="s">
        <v>85</v>
      </c>
      <c r="D35" s="37" t="s">
        <v>129</v>
      </c>
      <c r="E35" s="39">
        <v>43770</v>
      </c>
      <c r="F35" s="40">
        <v>192.3</v>
      </c>
      <c r="G35" t="s">
        <v>1</v>
      </c>
      <c r="H35">
        <v>126000</v>
      </c>
      <c r="I35" s="2">
        <v>156000</v>
      </c>
      <c r="K35" s="14">
        <f t="shared" si="0"/>
        <v>44.680851063829785</v>
      </c>
      <c r="L35" s="14">
        <f t="shared" si="1"/>
        <v>55.319148936170215</v>
      </c>
    </row>
    <row r="36" spans="1:12" ht="114.75" thickBot="1">
      <c r="A36" s="36" t="s">
        <v>197</v>
      </c>
      <c r="B36" s="38" t="s">
        <v>77</v>
      </c>
      <c r="C36" s="37" t="s">
        <v>85</v>
      </c>
      <c r="D36" s="37" t="s">
        <v>129</v>
      </c>
      <c r="E36" s="39">
        <v>43756</v>
      </c>
      <c r="F36" s="40">
        <v>192.3</v>
      </c>
      <c r="G36" t="s">
        <v>1</v>
      </c>
      <c r="H36">
        <v>126000</v>
      </c>
      <c r="I36" s="2">
        <v>156000</v>
      </c>
      <c r="K36" s="14">
        <f t="shared" si="0"/>
        <v>44.680851063829785</v>
      </c>
      <c r="L36" s="14">
        <f t="shared" si="1"/>
        <v>55.319148936170215</v>
      </c>
    </row>
    <row r="37" spans="1:12" ht="114.75" thickBot="1">
      <c r="A37" s="36" t="s">
        <v>197</v>
      </c>
      <c r="B37" s="38" t="s">
        <v>77</v>
      </c>
      <c r="C37" s="37" t="s">
        <v>85</v>
      </c>
      <c r="D37" s="37" t="s">
        <v>129</v>
      </c>
      <c r="E37" s="39">
        <v>43742</v>
      </c>
      <c r="F37" s="40">
        <v>192.3</v>
      </c>
      <c r="G37" t="s">
        <v>1</v>
      </c>
      <c r="H37">
        <v>126000</v>
      </c>
      <c r="I37" s="2">
        <v>156000</v>
      </c>
      <c r="K37" s="14">
        <f t="shared" si="0"/>
        <v>44.680851063829785</v>
      </c>
      <c r="L37" s="14">
        <f t="shared" si="1"/>
        <v>55.319148936170215</v>
      </c>
    </row>
    <row r="38" spans="1:12" ht="114.75" thickBot="1">
      <c r="A38" s="36" t="s">
        <v>197</v>
      </c>
      <c r="B38" s="38" t="s">
        <v>77</v>
      </c>
      <c r="C38" s="37" t="s">
        <v>85</v>
      </c>
      <c r="D38" s="37" t="s">
        <v>129</v>
      </c>
      <c r="E38" s="39">
        <v>43728</v>
      </c>
      <c r="F38" s="40">
        <v>192.3</v>
      </c>
      <c r="G38" t="s">
        <v>1</v>
      </c>
      <c r="H38">
        <v>126000</v>
      </c>
      <c r="I38" s="2">
        <v>156000</v>
      </c>
      <c r="K38" s="14">
        <f t="shared" ref="K38:K55" si="2">(+H38/(H38+I38))*100</f>
        <v>44.680851063829785</v>
      </c>
      <c r="L38" s="14">
        <f t="shared" ref="L38:L55" si="3">(+I38/(H38+I38))*100</f>
        <v>55.319148936170215</v>
      </c>
    </row>
    <row r="39" spans="1:12" ht="114.75" thickBot="1">
      <c r="A39" s="36" t="s">
        <v>197</v>
      </c>
      <c r="B39" s="38" t="s">
        <v>77</v>
      </c>
      <c r="C39" s="37" t="s">
        <v>85</v>
      </c>
      <c r="D39" s="37" t="s">
        <v>129</v>
      </c>
      <c r="E39" s="39">
        <v>43714</v>
      </c>
      <c r="F39" s="40">
        <v>192.3</v>
      </c>
      <c r="G39" t="s">
        <v>1</v>
      </c>
      <c r="H39">
        <v>126000</v>
      </c>
      <c r="I39" s="2">
        <v>156000</v>
      </c>
      <c r="K39" s="14">
        <f t="shared" si="2"/>
        <v>44.680851063829785</v>
      </c>
      <c r="L39" s="14">
        <f t="shared" si="3"/>
        <v>55.319148936170215</v>
      </c>
    </row>
    <row r="40" spans="1:12" ht="114.75" thickBot="1">
      <c r="A40" s="36" t="s">
        <v>197</v>
      </c>
      <c r="B40" s="38" t="s">
        <v>77</v>
      </c>
      <c r="C40" s="37" t="s">
        <v>85</v>
      </c>
      <c r="D40" s="37" t="s">
        <v>129</v>
      </c>
      <c r="E40" s="39">
        <v>43700</v>
      </c>
      <c r="F40" s="40">
        <v>192.3</v>
      </c>
      <c r="G40" t="s">
        <v>1</v>
      </c>
      <c r="H40">
        <v>126000</v>
      </c>
      <c r="I40" s="2">
        <v>156000</v>
      </c>
      <c r="K40" s="14">
        <f t="shared" si="2"/>
        <v>44.680851063829785</v>
      </c>
      <c r="L40" s="14">
        <f t="shared" si="3"/>
        <v>55.319148936170215</v>
      </c>
    </row>
    <row r="41" spans="1:12" ht="114.75" thickBot="1">
      <c r="A41" s="36" t="s">
        <v>197</v>
      </c>
      <c r="B41" s="38" t="s">
        <v>77</v>
      </c>
      <c r="C41" s="37" t="s">
        <v>85</v>
      </c>
      <c r="D41" s="37" t="s">
        <v>129</v>
      </c>
      <c r="E41" s="39">
        <v>43686</v>
      </c>
      <c r="F41" s="40">
        <v>192.3</v>
      </c>
      <c r="G41" t="s">
        <v>1</v>
      </c>
      <c r="H41">
        <v>126000</v>
      </c>
      <c r="I41" s="2">
        <v>156000</v>
      </c>
      <c r="K41" s="14">
        <f t="shared" si="2"/>
        <v>44.680851063829785</v>
      </c>
      <c r="L41" s="14">
        <f t="shared" si="3"/>
        <v>55.319148936170215</v>
      </c>
    </row>
    <row r="42" spans="1:12" ht="114.75" thickBot="1">
      <c r="A42" s="36" t="s">
        <v>197</v>
      </c>
      <c r="B42" s="38" t="s">
        <v>77</v>
      </c>
      <c r="C42" s="37" t="s">
        <v>85</v>
      </c>
      <c r="D42" s="37" t="s">
        <v>129</v>
      </c>
      <c r="E42" s="39">
        <v>43672</v>
      </c>
      <c r="F42" s="40">
        <v>192.3</v>
      </c>
      <c r="G42" t="s">
        <v>1</v>
      </c>
      <c r="H42">
        <v>126000</v>
      </c>
      <c r="I42" s="2">
        <v>156000</v>
      </c>
      <c r="K42" s="14">
        <f t="shared" si="2"/>
        <v>44.680851063829785</v>
      </c>
      <c r="L42" s="14">
        <f t="shared" si="3"/>
        <v>55.319148936170215</v>
      </c>
    </row>
    <row r="43" spans="1:12" ht="114.75" thickBot="1">
      <c r="A43" s="36" t="s">
        <v>197</v>
      </c>
      <c r="B43" s="38" t="s">
        <v>77</v>
      </c>
      <c r="C43" s="37" t="s">
        <v>85</v>
      </c>
      <c r="D43" s="37" t="s">
        <v>129</v>
      </c>
      <c r="E43" s="39">
        <v>43658</v>
      </c>
      <c r="F43" s="40">
        <v>192.3</v>
      </c>
      <c r="G43" t="s">
        <v>1</v>
      </c>
      <c r="H43">
        <v>126000</v>
      </c>
      <c r="I43" s="2">
        <v>156000</v>
      </c>
      <c r="K43" s="14">
        <f t="shared" si="2"/>
        <v>44.680851063829785</v>
      </c>
      <c r="L43" s="14">
        <f t="shared" si="3"/>
        <v>55.319148936170215</v>
      </c>
    </row>
    <row r="44" spans="1:12" ht="114.75" thickBot="1">
      <c r="A44" s="36" t="s">
        <v>197</v>
      </c>
      <c r="B44" s="38" t="s">
        <v>77</v>
      </c>
      <c r="C44" s="37" t="s">
        <v>85</v>
      </c>
      <c r="D44" s="37" t="s">
        <v>129</v>
      </c>
      <c r="E44" s="39">
        <v>43644</v>
      </c>
      <c r="F44" s="40">
        <v>192.3</v>
      </c>
      <c r="G44" t="s">
        <v>1</v>
      </c>
      <c r="H44">
        <v>126000</v>
      </c>
      <c r="I44" s="2">
        <v>156000</v>
      </c>
      <c r="K44" s="14">
        <f t="shared" si="2"/>
        <v>44.680851063829785</v>
      </c>
      <c r="L44" s="14">
        <f t="shared" si="3"/>
        <v>55.319148936170215</v>
      </c>
    </row>
    <row r="45" spans="1:12" ht="114.75" thickBot="1">
      <c r="A45" s="36" t="s">
        <v>197</v>
      </c>
      <c r="B45" s="38" t="s">
        <v>77</v>
      </c>
      <c r="C45" s="37" t="s">
        <v>85</v>
      </c>
      <c r="D45" s="37" t="s">
        <v>129</v>
      </c>
      <c r="E45" s="39">
        <v>43630</v>
      </c>
      <c r="F45" s="40">
        <v>192.3</v>
      </c>
      <c r="G45" t="s">
        <v>1</v>
      </c>
      <c r="H45">
        <v>126000</v>
      </c>
      <c r="I45" s="2">
        <v>156000</v>
      </c>
      <c r="K45" s="14">
        <f t="shared" si="2"/>
        <v>44.680851063829785</v>
      </c>
      <c r="L45" s="14">
        <f t="shared" si="3"/>
        <v>55.319148936170215</v>
      </c>
    </row>
    <row r="46" spans="1:12" ht="114.75" thickBot="1">
      <c r="A46" s="36" t="s">
        <v>197</v>
      </c>
      <c r="B46" s="38" t="s">
        <v>77</v>
      </c>
      <c r="C46" s="37" t="s">
        <v>85</v>
      </c>
      <c r="D46" s="37" t="s">
        <v>129</v>
      </c>
      <c r="E46" s="39">
        <v>43616</v>
      </c>
      <c r="F46" s="40">
        <v>192.3</v>
      </c>
      <c r="G46" t="s">
        <v>1</v>
      </c>
      <c r="H46">
        <v>126000</v>
      </c>
      <c r="I46" s="2">
        <v>156000</v>
      </c>
      <c r="K46" s="14">
        <f t="shared" si="2"/>
        <v>44.680851063829785</v>
      </c>
      <c r="L46" s="14">
        <f t="shared" si="3"/>
        <v>55.319148936170215</v>
      </c>
    </row>
    <row r="47" spans="1:12" ht="114.75" thickBot="1">
      <c r="A47" s="36" t="s">
        <v>197</v>
      </c>
      <c r="B47" s="38" t="s">
        <v>77</v>
      </c>
      <c r="C47" s="37" t="s">
        <v>85</v>
      </c>
      <c r="D47" s="37" t="s">
        <v>129</v>
      </c>
      <c r="E47" s="39">
        <v>43602</v>
      </c>
      <c r="F47" s="40">
        <v>192.3</v>
      </c>
      <c r="G47" t="s">
        <v>1</v>
      </c>
      <c r="H47">
        <v>126000</v>
      </c>
      <c r="I47" s="2">
        <v>156000</v>
      </c>
      <c r="K47" s="14">
        <f t="shared" si="2"/>
        <v>44.680851063829785</v>
      </c>
      <c r="L47" s="14">
        <f t="shared" si="3"/>
        <v>55.319148936170215</v>
      </c>
    </row>
    <row r="48" spans="1:12" ht="114.75" thickBot="1">
      <c r="A48" s="36" t="s">
        <v>197</v>
      </c>
      <c r="B48" s="38" t="s">
        <v>77</v>
      </c>
      <c r="C48" s="37" t="s">
        <v>85</v>
      </c>
      <c r="D48" s="37" t="s">
        <v>129</v>
      </c>
      <c r="E48" s="39">
        <v>43588</v>
      </c>
      <c r="F48" s="40">
        <v>192.3</v>
      </c>
      <c r="G48" t="s">
        <v>1</v>
      </c>
      <c r="H48">
        <v>126000</v>
      </c>
      <c r="I48" s="2">
        <v>156000</v>
      </c>
      <c r="K48" s="14">
        <f t="shared" si="2"/>
        <v>44.680851063829785</v>
      </c>
      <c r="L48" s="14">
        <f t="shared" si="3"/>
        <v>55.319148936170215</v>
      </c>
    </row>
    <row r="49" spans="1:12" ht="114.75" thickBot="1">
      <c r="A49" s="36" t="s">
        <v>197</v>
      </c>
      <c r="B49" s="38" t="s">
        <v>77</v>
      </c>
      <c r="C49" s="37" t="s">
        <v>85</v>
      </c>
      <c r="D49" s="37" t="s">
        <v>129</v>
      </c>
      <c r="E49" s="39">
        <v>43574</v>
      </c>
      <c r="F49" s="40">
        <v>1346.1</v>
      </c>
      <c r="G49" t="s">
        <v>1</v>
      </c>
      <c r="H49">
        <v>126000</v>
      </c>
      <c r="I49" s="2">
        <v>156000</v>
      </c>
      <c r="K49" s="14">
        <f t="shared" si="2"/>
        <v>44.680851063829785</v>
      </c>
      <c r="L49" s="14">
        <f t="shared" si="3"/>
        <v>55.319148936170215</v>
      </c>
    </row>
    <row r="50" spans="1:12" ht="114.75" thickBot="1">
      <c r="A50" s="36" t="s">
        <v>197</v>
      </c>
      <c r="B50" s="38" t="s">
        <v>77</v>
      </c>
      <c r="C50" s="37" t="s">
        <v>85</v>
      </c>
      <c r="D50" s="37" t="s">
        <v>129</v>
      </c>
      <c r="E50" s="39">
        <v>43546</v>
      </c>
      <c r="F50" s="40">
        <v>192.3</v>
      </c>
      <c r="G50" t="s">
        <v>1</v>
      </c>
      <c r="H50">
        <v>126000</v>
      </c>
      <c r="I50" s="2">
        <v>156000</v>
      </c>
      <c r="K50" s="14">
        <f t="shared" si="2"/>
        <v>44.680851063829785</v>
      </c>
      <c r="L50" s="14">
        <f t="shared" si="3"/>
        <v>55.319148936170215</v>
      </c>
    </row>
    <row r="51" spans="1:12" ht="114.75" thickBot="1">
      <c r="A51" s="36" t="s">
        <v>197</v>
      </c>
      <c r="B51" s="38" t="s">
        <v>77</v>
      </c>
      <c r="C51" s="37" t="s">
        <v>85</v>
      </c>
      <c r="D51" s="37" t="s">
        <v>129</v>
      </c>
      <c r="E51" s="39">
        <v>43588</v>
      </c>
      <c r="F51" s="40">
        <v>192.3</v>
      </c>
      <c r="G51" t="s">
        <v>1</v>
      </c>
      <c r="H51">
        <v>126000</v>
      </c>
      <c r="I51" s="2">
        <v>156000</v>
      </c>
      <c r="K51" s="14">
        <f t="shared" si="2"/>
        <v>44.680851063829785</v>
      </c>
      <c r="L51" s="14">
        <f t="shared" si="3"/>
        <v>55.319148936170215</v>
      </c>
    </row>
    <row r="52" spans="1:12" ht="114.75" thickBot="1">
      <c r="A52" s="36" t="s">
        <v>197</v>
      </c>
      <c r="B52" s="38" t="s">
        <v>77</v>
      </c>
      <c r="C52" s="37" t="s">
        <v>85</v>
      </c>
      <c r="D52" s="37" t="s">
        <v>129</v>
      </c>
      <c r="E52" s="39">
        <v>43574</v>
      </c>
      <c r="F52" s="40">
        <v>1346.1</v>
      </c>
      <c r="G52" t="s">
        <v>1</v>
      </c>
      <c r="H52">
        <v>126000</v>
      </c>
      <c r="I52" s="2">
        <v>156000</v>
      </c>
      <c r="K52" s="14">
        <f t="shared" si="2"/>
        <v>44.680851063829785</v>
      </c>
      <c r="L52" s="14">
        <f t="shared" si="3"/>
        <v>55.319148936170215</v>
      </c>
    </row>
    <row r="53" spans="1:12" ht="114.75" thickBot="1">
      <c r="A53" s="36" t="s">
        <v>197</v>
      </c>
      <c r="B53" s="38" t="s">
        <v>77</v>
      </c>
      <c r="C53" s="37" t="s">
        <v>85</v>
      </c>
      <c r="D53" s="37" t="s">
        <v>129</v>
      </c>
      <c r="E53" s="39">
        <v>43546</v>
      </c>
      <c r="F53" s="40">
        <v>192.3</v>
      </c>
      <c r="G53" t="s">
        <v>1</v>
      </c>
      <c r="H53">
        <v>126000</v>
      </c>
      <c r="I53" s="2">
        <v>156000</v>
      </c>
      <c r="K53" s="14">
        <f t="shared" si="2"/>
        <v>44.680851063829785</v>
      </c>
      <c r="L53" s="14">
        <f t="shared" si="3"/>
        <v>55.319148936170215</v>
      </c>
    </row>
    <row r="54" spans="1:12" ht="114.75" thickBot="1">
      <c r="A54" s="36" t="s">
        <v>197</v>
      </c>
      <c r="B54" s="38" t="s">
        <v>77</v>
      </c>
      <c r="C54" s="37" t="s">
        <v>85</v>
      </c>
      <c r="D54" s="37" t="s">
        <v>129</v>
      </c>
      <c r="E54" s="39">
        <v>43532</v>
      </c>
      <c r="F54" s="40">
        <v>192.3</v>
      </c>
      <c r="G54" s="56" t="s">
        <v>1</v>
      </c>
      <c r="H54">
        <v>126000</v>
      </c>
      <c r="I54" s="2">
        <v>156000</v>
      </c>
      <c r="K54" s="14">
        <f t="shared" si="2"/>
        <v>44.680851063829785</v>
      </c>
      <c r="L54" s="14">
        <f t="shared" si="3"/>
        <v>55.319148936170215</v>
      </c>
    </row>
    <row r="55" spans="1:12" ht="114.75" thickBot="1">
      <c r="A55" s="36" t="s">
        <v>197</v>
      </c>
      <c r="B55" s="38" t="s">
        <v>77</v>
      </c>
      <c r="C55" s="37" t="s">
        <v>85</v>
      </c>
      <c r="D55" s="37" t="s">
        <v>129</v>
      </c>
      <c r="E55" s="39">
        <v>43532</v>
      </c>
      <c r="F55" s="40">
        <v>192.3</v>
      </c>
      <c r="G55" s="56" t="s">
        <v>1</v>
      </c>
      <c r="H55">
        <v>126000</v>
      </c>
      <c r="I55" s="2">
        <v>156000</v>
      </c>
      <c r="K55" s="14">
        <f t="shared" si="2"/>
        <v>44.680851063829785</v>
      </c>
      <c r="L55" s="14">
        <f t="shared" si="3"/>
        <v>55.319148936170215</v>
      </c>
    </row>
    <row r="56" spans="1:12" ht="16.5" thickBot="1">
      <c r="A56" s="36"/>
      <c r="B56" s="38"/>
      <c r="C56" s="37"/>
      <c r="D56" s="37"/>
      <c r="E56" s="39"/>
      <c r="F56" s="40">
        <f>SUM(F6:F55)</f>
        <v>11922.600000000002</v>
      </c>
      <c r="G56" s="56"/>
      <c r="I56" s="2"/>
      <c r="K56" s="14"/>
      <c r="L56" s="14"/>
    </row>
    <row r="57" spans="1:12" ht="16.5" thickBot="1">
      <c r="A57" s="36"/>
      <c r="B57" s="38"/>
      <c r="C57" s="37"/>
      <c r="D57" s="37"/>
      <c r="E57" s="39"/>
      <c r="F57" s="40"/>
      <c r="G57" s="56"/>
      <c r="I57" s="2"/>
      <c r="K57" s="14"/>
      <c r="L57" s="14"/>
    </row>
    <row r="58" spans="1:12" ht="86.25" thickBot="1">
      <c r="A58" s="36" t="s">
        <v>198</v>
      </c>
      <c r="B58" s="38" t="s">
        <v>134</v>
      </c>
      <c r="C58" s="37" t="s">
        <v>85</v>
      </c>
      <c r="D58" s="37" t="s">
        <v>88</v>
      </c>
      <c r="E58" s="39">
        <v>43573</v>
      </c>
      <c r="F58" s="40">
        <v>1000</v>
      </c>
      <c r="G58" s="41" t="s">
        <v>2</v>
      </c>
      <c r="H58">
        <v>0</v>
      </c>
      <c r="I58" s="2">
        <v>100</v>
      </c>
      <c r="K58" s="14">
        <f>(+H58/(H58+I58))*100</f>
        <v>0</v>
      </c>
      <c r="L58" s="14">
        <f>(+I58/(H58+I58))*100</f>
        <v>100</v>
      </c>
    </row>
    <row r="59" spans="1:12" ht="86.25" thickBot="1">
      <c r="A59" s="36" t="s">
        <v>198</v>
      </c>
      <c r="B59" s="38" t="s">
        <v>134</v>
      </c>
      <c r="C59" s="37" t="s">
        <v>85</v>
      </c>
      <c r="D59" s="37" t="s">
        <v>88</v>
      </c>
      <c r="E59" s="39">
        <v>43573</v>
      </c>
      <c r="F59" s="40">
        <v>1000</v>
      </c>
      <c r="G59" s="41" t="s">
        <v>2</v>
      </c>
      <c r="H59">
        <v>0</v>
      </c>
      <c r="I59" s="2">
        <v>100</v>
      </c>
      <c r="K59" s="14">
        <f>(+H59/(H59+I59))*100</f>
        <v>0</v>
      </c>
      <c r="L59" s="14">
        <f>(+I59/(H59+I59))*100</f>
        <v>100</v>
      </c>
    </row>
    <row r="60" spans="1:12" ht="57.75" thickBot="1">
      <c r="A60" s="36" t="s">
        <v>198</v>
      </c>
      <c r="B60" s="38" t="s">
        <v>199</v>
      </c>
      <c r="C60" s="37" t="s">
        <v>85</v>
      </c>
      <c r="D60" s="37" t="s">
        <v>86</v>
      </c>
      <c r="E60" s="39">
        <v>43693</v>
      </c>
      <c r="F60" s="40">
        <v>1000</v>
      </c>
      <c r="G60" s="41" t="s">
        <v>2</v>
      </c>
      <c r="H60">
        <v>0</v>
      </c>
      <c r="I60" s="2">
        <v>100</v>
      </c>
      <c r="K60" s="14">
        <f>(+H60/(H60+I60))*100</f>
        <v>0</v>
      </c>
      <c r="L60" s="14">
        <f>(+I60/(H60+I60))*100</f>
        <v>100</v>
      </c>
    </row>
  </sheetData>
  <sortState xmlns:xlrd2="http://schemas.microsoft.com/office/spreadsheetml/2017/richdata2" ref="A2:P60">
    <sortCondition descending="1" ref="G2:G60"/>
  </sortState>
  <hyperlinks>
    <hyperlink ref="B51" r:id="rId1" tooltip="AMERISOURCEBERGEN CORPORATION POLITICAL ACTION COMMITTEE (ABC PAC)" display="https://www.fec.gov/data/committee/C00400929/" xr:uid="{B99DFD7B-541E-4B7F-9C7E-7F59604C31E7}"/>
    <hyperlink ref="B52" r:id="rId2" tooltip="AMERISOURCEBERGEN CORPORATION POLITICAL ACTION COMMITTEE (ABC PAC)" display="https://www.fec.gov/data/committee/C00400929/" xr:uid="{79B8A166-C53A-4F8A-87B6-35EFDAA502A3}"/>
    <hyperlink ref="B59" r:id="rId3" tooltip="HOYER FOR CONGRESS" display="https://www.fec.gov/data/committee/C00140715/" xr:uid="{47B269B1-0604-4C5A-8147-8051E424E765}"/>
    <hyperlink ref="B53" r:id="rId4" tooltip="AMERISOURCEBERGEN CORPORATION POLITICAL ACTION COMMITTEE (ABC PAC)" display="https://www.fec.gov/data/committee/C00400929/" xr:uid="{F0F3E8D6-42CF-4B42-8A80-DA5BC88776FE}"/>
    <hyperlink ref="B55" r:id="rId5" tooltip="AMERISOURCEBERGEN CORPORATION POLITICAL ACTION COMMITTEE (ABC PAC)" display="https://www.fec.gov/data/committee/C00400929/" xr:uid="{D992D583-91AE-4A83-B4DB-F86AD6E75921}"/>
    <hyperlink ref="B6" r:id="rId6" tooltip="AMERISOURCEBERGEN CORPORATION POLITICAL ACTION COMMITTEE (ABC PAC)" display="https://www.fec.gov/data/committee/C00400929/" xr:uid="{53708D94-E522-491B-A601-AED6A5C7E03A}"/>
    <hyperlink ref="B7" r:id="rId7" tooltip="AMERISOURCEBERGEN CORPORATION POLITICAL ACTION COMMITTEE (ABC PAC)" display="https://www.fec.gov/data/committee/C00400929/" xr:uid="{55F988CB-AA84-43F3-9586-AE1FAE9AC96F}"/>
    <hyperlink ref="B8" r:id="rId8" tooltip="AMERISOURCEBERGEN CORPORATION POLITICAL ACTION COMMITTEE (ABC PAC)" display="https://www.fec.gov/data/committee/C00400929/" xr:uid="{1C1E914F-2505-4407-B70C-2C6479DF7F49}"/>
    <hyperlink ref="B9" r:id="rId9" tooltip="AMERISOURCEBERGEN CORPORATION POLITICAL ACTION COMMITTEE (ABC PAC)" display="https://www.fec.gov/data/committee/C00400929/" xr:uid="{28895930-2F01-4F48-BCDF-5DAFC41ADC00}"/>
    <hyperlink ref="B10" r:id="rId10" tooltip="AMERISOURCEBERGEN CORPORATION POLITICAL ACTION COMMITTEE (ABC PAC)" display="https://www.fec.gov/data/committee/C00400929/" xr:uid="{EBFF6C77-A84B-494F-845C-3FDE8153348C}"/>
    <hyperlink ref="B11" r:id="rId11" tooltip="AMERISOURCEBERGEN CORPORATION POLITICAL ACTION COMMITTEE (ABC PAC)" display="https://www.fec.gov/data/committee/C00400929/" xr:uid="{24F52CD6-5914-4711-B907-B04663AAEEC2}"/>
    <hyperlink ref="B12" r:id="rId12" tooltip="AMERISOURCEBERGEN CORPORATION POLITICAL ACTION COMMITTEE (ABC PAC)" display="https://www.fec.gov/data/committee/C00400929/" xr:uid="{B343389E-0A63-47F1-982F-922A68EF0AEA}"/>
    <hyperlink ref="B13" r:id="rId13" tooltip="AMERISOURCEBERGEN CORPORATION POLITICAL ACTION COMMITTEE (ABC PAC)" display="https://www.fec.gov/data/committee/C00400929/" xr:uid="{3B361B29-9E1F-4DEA-89DF-F2778FC637FD}"/>
    <hyperlink ref="B14" r:id="rId14" tooltip="AMERISOURCEBERGEN CORPORATION POLITICAL ACTION COMMITTEE (ABC PAC)" display="https://www.fec.gov/data/committee/C00400929/" xr:uid="{10EEDAB1-EA2E-445C-8E3C-F7C7864149B6}"/>
    <hyperlink ref="B15" r:id="rId15" tooltip="AMERISOURCEBERGEN CORPORATION POLITICAL ACTION COMMITTEE (ABC PAC)" display="https://www.fec.gov/data/committee/C00400929/" xr:uid="{277FAFE3-7CB3-4365-977D-C6A32B8F073A}"/>
    <hyperlink ref="B16" r:id="rId16" tooltip="AMERISOURCEBERGEN CORPORATION POLITICAL ACTION COMMITTEE (ABC PAC)" display="https://www.fec.gov/data/committee/C00400929/" xr:uid="{AE19B1F6-B6AC-450B-BD3C-18631E0649B5}"/>
    <hyperlink ref="B17" r:id="rId17" tooltip="AMERISOURCEBERGEN CORPORATION POLITICAL ACTION COMMITTEE (ABC PAC)" display="https://www.fec.gov/data/committee/C00400929/" xr:uid="{F9109552-1F76-4039-AE96-5EC6BCE48AE8}"/>
    <hyperlink ref="B18" r:id="rId18" tooltip="AMERISOURCEBERGEN CORPORATION POLITICAL ACTION COMMITTEE (ABC PAC)" display="https://www.fec.gov/data/committee/C00400929/" xr:uid="{4C0E33B2-D592-40B3-A836-05A775BEFAF9}"/>
    <hyperlink ref="B19" r:id="rId19" tooltip="AMERISOURCEBERGEN CORPORATION POLITICAL ACTION COMMITTEE (ABC PAC)" display="https://www.fec.gov/data/committee/C00400929/" xr:uid="{10B700D7-FEE9-412B-BDA3-ACAA73307826}"/>
    <hyperlink ref="B20" r:id="rId20" tooltip="AMERISOURCEBERGEN CORPORATION POLITICAL ACTION COMMITTEE (ABC PAC)" display="https://www.fec.gov/data/committee/C00400929/" xr:uid="{5A4701F7-D144-4D15-9A4A-B743E300AB01}"/>
    <hyperlink ref="B21" r:id="rId21" tooltip="AMERISOURCEBERGEN CORPORATION POLITICAL ACTION COMMITTEE (ABC PAC)" display="https://www.fec.gov/data/committee/C00400929/" xr:uid="{C477CEA8-21BF-4481-A43B-2A82813618D0}"/>
    <hyperlink ref="B22" r:id="rId22" tooltip="AMERISOURCEBERGEN CORPORATION POLITICAL ACTION COMMITTEE (ABC PAC)" display="https://www.fec.gov/data/committee/C00400929/" xr:uid="{B2E90C48-D5FA-4D03-A35E-9D1D8C67ED46}"/>
    <hyperlink ref="B23" r:id="rId23" tooltip="AMERISOURCEBERGEN CORPORATION POLITICAL ACTION COMMITTEE (ABC PAC)" display="https://www.fec.gov/data/committee/C00400929/" xr:uid="{90F48F17-87A3-4AAC-B736-16215BAFCC29}"/>
    <hyperlink ref="B24" r:id="rId24" tooltip="AMERISOURCEBERGEN CORPORATION POLITICAL ACTION COMMITTEE (ABC PAC)" display="https://www.fec.gov/data/committee/C00400929/" xr:uid="{90ACF50A-3F5A-4E01-82A8-D1CFBD7E58C5}"/>
    <hyperlink ref="B25" r:id="rId25" tooltip="AMERISOURCEBERGEN CORPORATION POLITICAL ACTION COMMITTEE (ABC PAC)" display="https://www.fec.gov/data/committee/C00400929/" xr:uid="{C1B7FCF2-652C-4A23-B5A3-4C9E8D3E1001}"/>
    <hyperlink ref="B26" r:id="rId26" tooltip="AMERISOURCEBERGEN CORPORATION POLITICAL ACTION COMMITTEE (ABC PAC)" display="https://www.fec.gov/data/committee/C00400929/" xr:uid="{3BDF67CB-1841-4CEE-9AAA-AE1700E5CE2F}"/>
    <hyperlink ref="B27" r:id="rId27" tooltip="AMERISOURCEBERGEN CORPORATION POLITICAL ACTION COMMITTEE (ABC PAC)" display="https://www.fec.gov/data/committee/C00400929/" xr:uid="{7E138AF6-6CAD-43A2-993E-62275D53E510}"/>
    <hyperlink ref="B28" r:id="rId28" tooltip="AMERISOURCEBERGEN CORPORATION POLITICAL ACTION COMMITTEE (ABC PAC)" display="https://www.fec.gov/data/committee/C00400929/" xr:uid="{F2A8EB1C-6BD8-498E-B333-7B1D0539789A}"/>
    <hyperlink ref="B29" r:id="rId29" tooltip="AMERISOURCEBERGEN CORPORATION POLITICAL ACTION COMMITTEE (ABC PAC)" display="https://www.fec.gov/data/committee/C00400929/" xr:uid="{94FCB698-26EB-44BA-8349-89EB20B3C0A7}"/>
    <hyperlink ref="B30" r:id="rId30" tooltip="AMERISOURCEBERGEN CORPORATION POLITICAL ACTION COMMITTEE (ABC PAC)" display="https://www.fec.gov/data/committee/C00400929/" xr:uid="{79FA6CCC-7772-496B-A287-DF995FE99358}"/>
    <hyperlink ref="B31" r:id="rId31" tooltip="AMERISOURCEBERGEN CORPORATION POLITICAL ACTION COMMITTEE (ABC PAC)" display="https://www.fec.gov/data/committee/C00400929/" xr:uid="{F3C8A3E1-31DE-413A-8D48-68690F09CF67}"/>
    <hyperlink ref="B32" r:id="rId32" tooltip="AMERISOURCEBERGEN CORPORATION POLITICAL ACTION COMMITTEE (ABC PAC)" display="https://www.fec.gov/data/committee/C00400929/" xr:uid="{DE165D41-B4F2-4534-B766-8CE83F9B06DE}"/>
    <hyperlink ref="B33" r:id="rId33" tooltip="AMERISOURCEBERGEN CORPORATION POLITICAL ACTION COMMITTEE (ABC PAC)" display="https://www.fec.gov/data/committee/C00400929/" xr:uid="{F88B5579-4BFF-4126-AB88-FD6C6CBF0E0D}"/>
    <hyperlink ref="B3" r:id="rId34" tooltip="RUBIO VICTORY COMMITTEE" display="https://www.fec.gov/data/committee/C00494617/" xr:uid="{62D840DB-9D9C-408B-982D-3399F02DA564}"/>
    <hyperlink ref="B2" r:id="rId35" tooltip="MARCO RUBIO FOR SENATE" display="https://www.fec.gov/data/committee/C00620518/" xr:uid="{7946B43D-31B7-4750-B262-B347A0BB6F55}"/>
    <hyperlink ref="B34" r:id="rId36" tooltip="AMERISOURCEBERGEN CORPORATION POLITICAL ACTION COMMITTEE (ABC PAC)" display="https://www.fec.gov/data/committee/C00400929/" xr:uid="{211EF9C8-04E1-4474-8C3A-C13E0379998E}"/>
    <hyperlink ref="B35" r:id="rId37" tooltip="AMERISOURCEBERGEN CORPORATION POLITICAL ACTION COMMITTEE (ABC PAC)" display="https://www.fec.gov/data/committee/C00400929/" xr:uid="{5C9A05F3-E4A7-486A-88DC-9AC5F7D14D61}"/>
    <hyperlink ref="B36" r:id="rId38" tooltip="AMERISOURCEBERGEN CORPORATION POLITICAL ACTION COMMITTEE (ABC PAC)" display="https://www.fec.gov/data/committee/C00400929/" xr:uid="{BAB396AD-7FDD-4079-B441-04D3EDEFE09B}"/>
    <hyperlink ref="B37" r:id="rId39" tooltip="AMERISOURCEBERGEN CORPORATION POLITICAL ACTION COMMITTEE (ABC PAC)" display="https://www.fec.gov/data/committee/C00400929/" xr:uid="{E43E8AA0-B037-4118-9DA9-EA92D1BDE6BF}"/>
    <hyperlink ref="B38" r:id="rId40" tooltip="AMERISOURCEBERGEN CORPORATION POLITICAL ACTION COMMITTEE (ABC PAC)" display="https://www.fec.gov/data/committee/C00400929/" xr:uid="{D4A250A5-73BB-4CE6-8373-E64B0705D1EC}"/>
    <hyperlink ref="B39" r:id="rId41" tooltip="AMERISOURCEBERGEN CORPORATION POLITICAL ACTION COMMITTEE (ABC PAC)" display="https://www.fec.gov/data/committee/C00400929/" xr:uid="{C2417607-8E2F-43B6-9B49-BFB89103B5D7}"/>
    <hyperlink ref="B40" r:id="rId42" tooltip="AMERISOURCEBERGEN CORPORATION POLITICAL ACTION COMMITTEE (ABC PAC)" display="https://www.fec.gov/data/committee/C00400929/" xr:uid="{AAC38DD5-89D1-4349-95BB-DA89CD6DAD21}"/>
    <hyperlink ref="B60" r:id="rId43" tooltip="WYDEN FOR SENATE" display="https://www.fec.gov/data/committee/C00308676/" xr:uid="{BA872C92-0091-4EE2-8E8F-0479A1353A11}"/>
    <hyperlink ref="B41" r:id="rId44" tooltip="AMERISOURCEBERGEN CORPORATION POLITICAL ACTION COMMITTEE (ABC PAC)" display="https://www.fec.gov/data/committee/C00400929/" xr:uid="{45C4A524-164F-462F-9FA0-B269C71355EC}"/>
    <hyperlink ref="B42" r:id="rId45" tooltip="AMERISOURCEBERGEN CORPORATION POLITICAL ACTION COMMITTEE (ABC PAC)" display="https://www.fec.gov/data/committee/C00400929/" xr:uid="{94E89022-B413-4147-AF42-1AA3DA883A50}"/>
    <hyperlink ref="B43" r:id="rId46" tooltip="AMERISOURCEBERGEN CORPORATION POLITICAL ACTION COMMITTEE (ABC PAC)" display="https://www.fec.gov/data/committee/C00400929/" xr:uid="{DC46D1AE-D7FB-4EF9-AC71-A403BDABE033}"/>
    <hyperlink ref="B44" r:id="rId47" tooltip="AMERISOURCEBERGEN CORPORATION POLITICAL ACTION COMMITTEE (ABC PAC)" display="https://www.fec.gov/data/committee/C00400929/" xr:uid="{324BA453-E5B2-46EC-A426-B341B9129A91}"/>
    <hyperlink ref="B45" r:id="rId48" tooltip="AMERISOURCEBERGEN CORPORATION POLITICAL ACTION COMMITTEE (ABC PAC)" display="https://www.fec.gov/data/committee/C00400929/" xr:uid="{80094FF2-E122-44BF-8001-A4B5D6C78924}"/>
    <hyperlink ref="B46" r:id="rId49" tooltip="AMERISOURCEBERGEN CORPORATION POLITICAL ACTION COMMITTEE (ABC PAC)" display="https://www.fec.gov/data/committee/C00400929/" xr:uid="{5DB94205-72EB-4F27-9C57-89779580EFF5}"/>
    <hyperlink ref="B47" r:id="rId50" tooltip="AMERISOURCEBERGEN CORPORATION POLITICAL ACTION COMMITTEE (ABC PAC)" display="https://www.fec.gov/data/committee/C00400929/" xr:uid="{91776D7F-F903-4523-BF25-E48A11919DF5}"/>
    <hyperlink ref="B48" r:id="rId51" tooltip="AMERISOURCEBERGEN CORPORATION POLITICAL ACTION COMMITTEE (ABC PAC)" display="https://www.fec.gov/data/committee/C00400929/" xr:uid="{0AAD5771-04AF-46C2-8C4F-F481E6C7C136}"/>
    <hyperlink ref="B49" r:id="rId52" tooltip="AMERISOURCEBERGEN CORPORATION POLITICAL ACTION COMMITTEE (ABC PAC)" display="https://www.fec.gov/data/committee/C00400929/" xr:uid="{EF91EFCB-4472-45C3-9617-23FD22E617F8}"/>
    <hyperlink ref="B58" r:id="rId53" tooltip="HOYER FOR CONGRESS" display="https://www.fec.gov/data/committee/C00140715/" xr:uid="{7D8D4366-6748-48E3-8264-57EFD84D9422}"/>
    <hyperlink ref="B50" r:id="rId54" tooltip="AMERISOURCEBERGEN CORPORATION POLITICAL ACTION COMMITTEE (ABC PAC)" display="https://www.fec.gov/data/committee/C00400929/" xr:uid="{59CE245B-66C6-448A-9AFD-54281706CDE7}"/>
    <hyperlink ref="B54" r:id="rId55" tooltip="AMERISOURCEBERGEN CORPORATION POLITICAL ACTION COMMITTEE (ABC PAC)" display="https://www.fec.gov/data/committee/C00400929/" xr:uid="{9326C924-AABA-4E7D-8051-7A58C4C0D2B4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0DB1-4D6C-4F1B-9C43-2EFDE1DDC9A0}">
  <dimension ref="A1:P46"/>
  <sheetViews>
    <sheetView workbookViewId="0">
      <selection activeCell="G2" sqref="G2:L2"/>
    </sheetView>
  </sheetViews>
  <sheetFormatPr defaultRowHeight="15"/>
  <cols>
    <col min="6" max="6" width="15.140625" customWidth="1"/>
  </cols>
  <sheetData>
    <row r="1" spans="1:16">
      <c r="A1" s="10" t="s">
        <v>14</v>
      </c>
      <c r="B1" s="10" t="s">
        <v>15</v>
      </c>
      <c r="C1" s="10" t="s">
        <v>10</v>
      </c>
      <c r="D1" s="10" t="s">
        <v>16</v>
      </c>
      <c r="E1" s="10" t="s">
        <v>17</v>
      </c>
      <c r="F1" s="10" t="s">
        <v>18</v>
      </c>
      <c r="G1" s="10" t="s">
        <v>20</v>
      </c>
      <c r="H1" s="10" t="s">
        <v>4</v>
      </c>
      <c r="I1" s="12" t="s">
        <v>6</v>
      </c>
      <c r="J1" s="10" t="s">
        <v>5</v>
      </c>
      <c r="K1" s="10" t="s">
        <v>11</v>
      </c>
      <c r="L1" s="10" t="s">
        <v>12</v>
      </c>
      <c r="M1" s="10" t="s">
        <v>21</v>
      </c>
      <c r="N1" s="10"/>
      <c r="O1" s="10"/>
      <c r="P1" s="10"/>
    </row>
    <row r="2" spans="1:16" ht="16.5" thickBot="1">
      <c r="A2" t="s">
        <v>215</v>
      </c>
      <c r="B2" t="s">
        <v>77</v>
      </c>
      <c r="C2" t="s">
        <v>85</v>
      </c>
      <c r="D2" t="s">
        <v>129</v>
      </c>
      <c r="E2" s="1">
        <v>44190</v>
      </c>
      <c r="F2" s="11">
        <v>192.3</v>
      </c>
      <c r="G2" s="41" t="s">
        <v>1</v>
      </c>
      <c r="H2">
        <v>271500</v>
      </c>
      <c r="I2" s="2">
        <v>265000</v>
      </c>
      <c r="K2" s="6">
        <f t="shared" ref="K2:K45" si="0">(+H2/(H2+I2))*100</f>
        <v>50.605778191985081</v>
      </c>
      <c r="L2" s="6">
        <f t="shared" ref="L2:L45" si="1">(+I2/(H2+I2))*100</f>
        <v>49.394221808014912</v>
      </c>
    </row>
    <row r="3" spans="1:16" ht="16.5" thickBot="1">
      <c r="A3" t="s">
        <v>215</v>
      </c>
      <c r="B3" t="s">
        <v>77</v>
      </c>
      <c r="C3" t="s">
        <v>85</v>
      </c>
      <c r="D3" t="s">
        <v>129</v>
      </c>
      <c r="E3" s="1">
        <v>44176</v>
      </c>
      <c r="F3" s="11">
        <v>192.3</v>
      </c>
      <c r="G3" s="41" t="s">
        <v>1</v>
      </c>
      <c r="H3">
        <v>271500</v>
      </c>
      <c r="I3" s="2">
        <v>265000</v>
      </c>
      <c r="K3" s="6">
        <f t="shared" si="0"/>
        <v>50.605778191985081</v>
      </c>
      <c r="L3" s="6">
        <f t="shared" si="1"/>
        <v>49.394221808014912</v>
      </c>
    </row>
    <row r="4" spans="1:16" ht="16.5" thickBot="1">
      <c r="A4" t="s">
        <v>215</v>
      </c>
      <c r="B4" t="s">
        <v>77</v>
      </c>
      <c r="C4" t="s">
        <v>85</v>
      </c>
      <c r="D4" t="s">
        <v>129</v>
      </c>
      <c r="E4" s="1">
        <v>44162</v>
      </c>
      <c r="F4" s="11">
        <v>192.3</v>
      </c>
      <c r="G4" s="41" t="s">
        <v>1</v>
      </c>
      <c r="H4">
        <v>271500</v>
      </c>
      <c r="I4" s="2">
        <v>265000</v>
      </c>
      <c r="K4" s="6">
        <f t="shared" si="0"/>
        <v>50.605778191985081</v>
      </c>
      <c r="L4" s="6">
        <f t="shared" si="1"/>
        <v>49.394221808014912</v>
      </c>
    </row>
    <row r="5" spans="1:16" ht="16.5" thickBot="1">
      <c r="A5" t="s">
        <v>215</v>
      </c>
      <c r="B5" t="s">
        <v>77</v>
      </c>
      <c r="C5" t="s">
        <v>85</v>
      </c>
      <c r="D5" t="s">
        <v>129</v>
      </c>
      <c r="E5" s="1">
        <v>44148</v>
      </c>
      <c r="F5" s="11">
        <v>192.3</v>
      </c>
      <c r="G5" s="41" t="s">
        <v>1</v>
      </c>
      <c r="H5">
        <v>271500</v>
      </c>
      <c r="I5" s="2">
        <v>265000</v>
      </c>
      <c r="K5" s="6">
        <f t="shared" si="0"/>
        <v>50.605778191985081</v>
      </c>
      <c r="L5" s="6">
        <f t="shared" si="1"/>
        <v>49.394221808014912</v>
      </c>
    </row>
    <row r="6" spans="1:16" ht="16.5" thickBot="1">
      <c r="A6" t="s">
        <v>215</v>
      </c>
      <c r="B6" t="s">
        <v>77</v>
      </c>
      <c r="C6" t="s">
        <v>85</v>
      </c>
      <c r="D6" t="s">
        <v>129</v>
      </c>
      <c r="E6" s="1">
        <v>44134</v>
      </c>
      <c r="F6" s="11">
        <v>192.3</v>
      </c>
      <c r="G6" s="41" t="s">
        <v>1</v>
      </c>
      <c r="H6">
        <v>271500</v>
      </c>
      <c r="I6" s="2">
        <v>265000</v>
      </c>
      <c r="K6" s="6">
        <f t="shared" si="0"/>
        <v>50.605778191985081</v>
      </c>
      <c r="L6" s="6">
        <f t="shared" si="1"/>
        <v>49.394221808014912</v>
      </c>
    </row>
    <row r="7" spans="1:16" ht="16.5" thickBot="1">
      <c r="A7" t="s">
        <v>215</v>
      </c>
      <c r="B7" t="s">
        <v>77</v>
      </c>
      <c r="C7" t="s">
        <v>85</v>
      </c>
      <c r="D7" t="s">
        <v>129</v>
      </c>
      <c r="E7" s="1">
        <v>44120</v>
      </c>
      <c r="F7" s="11">
        <v>192.3</v>
      </c>
      <c r="G7" s="41" t="s">
        <v>1</v>
      </c>
      <c r="H7">
        <v>271500</v>
      </c>
      <c r="I7" s="2">
        <v>265000</v>
      </c>
      <c r="K7" s="6">
        <f t="shared" si="0"/>
        <v>50.605778191985081</v>
      </c>
      <c r="L7" s="6">
        <f t="shared" si="1"/>
        <v>49.394221808014912</v>
      </c>
    </row>
    <row r="8" spans="1:16" ht="16.5" thickBot="1">
      <c r="A8" t="s">
        <v>215</v>
      </c>
      <c r="B8" t="s">
        <v>77</v>
      </c>
      <c r="C8" t="s">
        <v>85</v>
      </c>
      <c r="D8" t="s">
        <v>129</v>
      </c>
      <c r="E8" s="1">
        <v>44106</v>
      </c>
      <c r="F8" s="11">
        <v>192.3</v>
      </c>
      <c r="G8" s="41" t="s">
        <v>1</v>
      </c>
      <c r="H8">
        <v>271500</v>
      </c>
      <c r="I8" s="2">
        <v>265000</v>
      </c>
      <c r="K8" s="6">
        <f t="shared" si="0"/>
        <v>50.605778191985081</v>
      </c>
      <c r="L8" s="6">
        <f t="shared" si="1"/>
        <v>49.394221808014912</v>
      </c>
    </row>
    <row r="9" spans="1:16" ht="16.5" thickBot="1">
      <c r="A9" t="s">
        <v>215</v>
      </c>
      <c r="B9" t="s">
        <v>77</v>
      </c>
      <c r="C9" t="s">
        <v>85</v>
      </c>
      <c r="D9" t="s">
        <v>129</v>
      </c>
      <c r="E9" s="1">
        <v>44092</v>
      </c>
      <c r="F9" s="11">
        <v>192.3</v>
      </c>
      <c r="G9" s="41" t="s">
        <v>1</v>
      </c>
      <c r="H9">
        <v>271500</v>
      </c>
      <c r="I9" s="2">
        <v>265000</v>
      </c>
      <c r="K9" s="6">
        <f t="shared" si="0"/>
        <v>50.605778191985081</v>
      </c>
      <c r="L9" s="6">
        <f t="shared" si="1"/>
        <v>49.394221808014912</v>
      </c>
    </row>
    <row r="10" spans="1:16" ht="16.5" thickBot="1">
      <c r="A10" t="s">
        <v>215</v>
      </c>
      <c r="B10" t="s">
        <v>77</v>
      </c>
      <c r="C10" t="s">
        <v>85</v>
      </c>
      <c r="D10" t="s">
        <v>129</v>
      </c>
      <c r="E10" s="1">
        <v>44078</v>
      </c>
      <c r="F10" s="11">
        <v>192.3</v>
      </c>
      <c r="G10" s="41" t="s">
        <v>1</v>
      </c>
      <c r="H10">
        <v>271500</v>
      </c>
      <c r="I10" s="2">
        <v>265000</v>
      </c>
      <c r="K10" s="6">
        <f t="shared" si="0"/>
        <v>50.605778191985081</v>
      </c>
      <c r="L10" s="6">
        <f t="shared" si="1"/>
        <v>49.394221808014912</v>
      </c>
    </row>
    <row r="11" spans="1:16" ht="16.5" thickBot="1">
      <c r="A11" t="s">
        <v>215</v>
      </c>
      <c r="B11" t="s">
        <v>77</v>
      </c>
      <c r="C11" t="s">
        <v>85</v>
      </c>
      <c r="D11" t="s">
        <v>129</v>
      </c>
      <c r="E11" s="1">
        <v>44064</v>
      </c>
      <c r="F11" s="11">
        <v>192.3</v>
      </c>
      <c r="G11" s="41" t="s">
        <v>1</v>
      </c>
      <c r="H11">
        <v>271500</v>
      </c>
      <c r="I11" s="2">
        <v>265000</v>
      </c>
      <c r="K11" s="6">
        <f t="shared" si="0"/>
        <v>50.605778191985081</v>
      </c>
      <c r="L11" s="6">
        <f t="shared" si="1"/>
        <v>49.394221808014912</v>
      </c>
    </row>
    <row r="12" spans="1:16" ht="16.5" thickBot="1">
      <c r="A12" t="s">
        <v>215</v>
      </c>
      <c r="B12" t="s">
        <v>77</v>
      </c>
      <c r="C12" t="s">
        <v>85</v>
      </c>
      <c r="D12" t="s">
        <v>129</v>
      </c>
      <c r="E12" s="1">
        <v>44050</v>
      </c>
      <c r="F12" s="11">
        <v>192.3</v>
      </c>
      <c r="G12" s="41" t="s">
        <v>1</v>
      </c>
      <c r="H12">
        <v>271500</v>
      </c>
      <c r="I12" s="2">
        <v>265000</v>
      </c>
      <c r="K12" s="6">
        <f t="shared" si="0"/>
        <v>50.605778191985081</v>
      </c>
      <c r="L12" s="6">
        <f t="shared" si="1"/>
        <v>49.394221808014912</v>
      </c>
    </row>
    <row r="13" spans="1:16" ht="16.5" thickBot="1">
      <c r="A13" t="s">
        <v>215</v>
      </c>
      <c r="B13" t="s">
        <v>77</v>
      </c>
      <c r="C13" t="s">
        <v>85</v>
      </c>
      <c r="D13" t="s">
        <v>129</v>
      </c>
      <c r="E13" s="1">
        <v>44036</v>
      </c>
      <c r="F13" s="11">
        <v>192.3</v>
      </c>
      <c r="G13" s="41" t="s">
        <v>1</v>
      </c>
      <c r="H13">
        <v>271500</v>
      </c>
      <c r="I13" s="2">
        <v>265000</v>
      </c>
      <c r="K13" s="6">
        <f t="shared" si="0"/>
        <v>50.605778191985081</v>
      </c>
      <c r="L13" s="6">
        <f t="shared" si="1"/>
        <v>49.394221808014912</v>
      </c>
    </row>
    <row r="14" spans="1:16" ht="16.5" thickBot="1">
      <c r="A14" t="s">
        <v>215</v>
      </c>
      <c r="B14" t="s">
        <v>77</v>
      </c>
      <c r="C14" t="s">
        <v>85</v>
      </c>
      <c r="D14" t="s">
        <v>129</v>
      </c>
      <c r="E14" s="1">
        <v>44022</v>
      </c>
      <c r="F14" s="11">
        <v>192.3</v>
      </c>
      <c r="G14" s="41" t="s">
        <v>1</v>
      </c>
      <c r="H14">
        <v>271500</v>
      </c>
      <c r="I14" s="2">
        <v>265000</v>
      </c>
      <c r="K14" s="6">
        <f t="shared" si="0"/>
        <v>50.605778191985081</v>
      </c>
      <c r="L14" s="6">
        <f t="shared" si="1"/>
        <v>49.394221808014912</v>
      </c>
    </row>
    <row r="15" spans="1:16" ht="16.5" thickBot="1">
      <c r="A15" t="s">
        <v>215</v>
      </c>
      <c r="B15" t="s">
        <v>77</v>
      </c>
      <c r="C15" t="s">
        <v>85</v>
      </c>
      <c r="D15" t="s">
        <v>129</v>
      </c>
      <c r="E15" s="1">
        <v>44008</v>
      </c>
      <c r="F15" s="11">
        <v>192.3</v>
      </c>
      <c r="G15" s="41" t="s">
        <v>1</v>
      </c>
      <c r="H15">
        <v>271500</v>
      </c>
      <c r="I15" s="2">
        <v>265000</v>
      </c>
      <c r="K15" s="6">
        <f t="shared" si="0"/>
        <v>50.605778191985081</v>
      </c>
      <c r="L15" s="6">
        <f t="shared" si="1"/>
        <v>49.394221808014912</v>
      </c>
    </row>
    <row r="16" spans="1:16" ht="16.5" thickBot="1">
      <c r="A16" t="s">
        <v>215</v>
      </c>
      <c r="B16" t="s">
        <v>77</v>
      </c>
      <c r="C16" t="s">
        <v>85</v>
      </c>
      <c r="D16" t="s">
        <v>129</v>
      </c>
      <c r="E16" s="1">
        <v>43994</v>
      </c>
      <c r="F16" s="11">
        <v>192.3</v>
      </c>
      <c r="G16" s="41" t="s">
        <v>1</v>
      </c>
      <c r="H16">
        <v>271500</v>
      </c>
      <c r="I16" s="2">
        <v>265000</v>
      </c>
      <c r="K16" s="6">
        <f t="shared" si="0"/>
        <v>50.605778191985081</v>
      </c>
      <c r="L16" s="6">
        <f t="shared" si="1"/>
        <v>49.394221808014912</v>
      </c>
    </row>
    <row r="17" spans="1:12" ht="16.5" thickBot="1">
      <c r="A17" t="s">
        <v>215</v>
      </c>
      <c r="B17" t="s">
        <v>77</v>
      </c>
      <c r="C17" t="s">
        <v>85</v>
      </c>
      <c r="D17" t="s">
        <v>129</v>
      </c>
      <c r="E17" s="1">
        <v>43980</v>
      </c>
      <c r="F17" s="11">
        <v>192.3</v>
      </c>
      <c r="G17" s="41" t="s">
        <v>1</v>
      </c>
      <c r="H17">
        <v>271500</v>
      </c>
      <c r="I17" s="2">
        <v>265000</v>
      </c>
      <c r="K17" s="6">
        <f t="shared" si="0"/>
        <v>50.605778191985081</v>
      </c>
      <c r="L17" s="6">
        <f t="shared" si="1"/>
        <v>49.394221808014912</v>
      </c>
    </row>
    <row r="18" spans="1:12" ht="16.5" thickBot="1">
      <c r="A18" t="s">
        <v>215</v>
      </c>
      <c r="B18" t="s">
        <v>77</v>
      </c>
      <c r="C18" t="s">
        <v>85</v>
      </c>
      <c r="D18" t="s">
        <v>129</v>
      </c>
      <c r="E18" s="1">
        <v>43966</v>
      </c>
      <c r="F18" s="11">
        <v>192.3</v>
      </c>
      <c r="G18" s="41" t="s">
        <v>1</v>
      </c>
      <c r="H18">
        <v>271500</v>
      </c>
      <c r="I18" s="2">
        <v>265000</v>
      </c>
      <c r="K18" s="6">
        <f t="shared" si="0"/>
        <v>50.605778191985081</v>
      </c>
      <c r="L18" s="6">
        <f t="shared" si="1"/>
        <v>49.394221808014912</v>
      </c>
    </row>
    <row r="19" spans="1:12" ht="16.5" thickBot="1">
      <c r="A19" t="s">
        <v>215</v>
      </c>
      <c r="B19" t="s">
        <v>77</v>
      </c>
      <c r="C19" t="s">
        <v>85</v>
      </c>
      <c r="D19" t="s">
        <v>129</v>
      </c>
      <c r="E19" s="1">
        <v>43952</v>
      </c>
      <c r="F19" s="11">
        <v>192.3</v>
      </c>
      <c r="G19" s="41" t="s">
        <v>1</v>
      </c>
      <c r="H19">
        <v>271500</v>
      </c>
      <c r="I19" s="2">
        <v>265000</v>
      </c>
      <c r="K19" s="6">
        <f t="shared" si="0"/>
        <v>50.605778191985081</v>
      </c>
      <c r="L19" s="6">
        <f t="shared" si="1"/>
        <v>49.394221808014912</v>
      </c>
    </row>
    <row r="20" spans="1:12" ht="16.5" thickBot="1">
      <c r="A20" t="s">
        <v>215</v>
      </c>
      <c r="B20" t="s">
        <v>77</v>
      </c>
      <c r="C20" t="s">
        <v>85</v>
      </c>
      <c r="D20" t="s">
        <v>129</v>
      </c>
      <c r="E20" s="1">
        <v>43938</v>
      </c>
      <c r="F20" s="11">
        <v>192.3</v>
      </c>
      <c r="G20" s="41" t="s">
        <v>1</v>
      </c>
      <c r="H20">
        <v>271500</v>
      </c>
      <c r="I20" s="2">
        <v>265000</v>
      </c>
      <c r="K20" s="6">
        <f t="shared" si="0"/>
        <v>50.605778191985081</v>
      </c>
      <c r="L20" s="6">
        <f t="shared" si="1"/>
        <v>49.394221808014912</v>
      </c>
    </row>
    <row r="21" spans="1:12" ht="16.5" thickBot="1">
      <c r="A21" t="s">
        <v>215</v>
      </c>
      <c r="B21" t="s">
        <v>77</v>
      </c>
      <c r="C21" t="s">
        <v>85</v>
      </c>
      <c r="D21" t="s">
        <v>129</v>
      </c>
      <c r="E21" s="1">
        <v>43924</v>
      </c>
      <c r="F21" s="11">
        <v>192.3</v>
      </c>
      <c r="G21" s="41" t="s">
        <v>1</v>
      </c>
      <c r="H21">
        <v>271500</v>
      </c>
      <c r="I21" s="2">
        <v>265000</v>
      </c>
      <c r="K21" s="6">
        <f t="shared" si="0"/>
        <v>50.605778191985081</v>
      </c>
      <c r="L21" s="6">
        <f t="shared" si="1"/>
        <v>49.394221808014912</v>
      </c>
    </row>
    <row r="22" spans="1:12" ht="16.5" thickBot="1">
      <c r="A22" t="s">
        <v>215</v>
      </c>
      <c r="B22" t="s">
        <v>77</v>
      </c>
      <c r="C22" t="s">
        <v>85</v>
      </c>
      <c r="D22" t="s">
        <v>129</v>
      </c>
      <c r="E22" s="1">
        <v>43910</v>
      </c>
      <c r="F22" s="11">
        <v>192.3</v>
      </c>
      <c r="G22" s="41" t="s">
        <v>1</v>
      </c>
      <c r="H22">
        <v>271500</v>
      </c>
      <c r="I22" s="2">
        <v>265000</v>
      </c>
      <c r="K22" s="6">
        <f t="shared" si="0"/>
        <v>50.605778191985081</v>
      </c>
      <c r="L22" s="6">
        <f t="shared" si="1"/>
        <v>49.394221808014912</v>
      </c>
    </row>
    <row r="23" spans="1:12" ht="16.5" thickBot="1">
      <c r="A23" t="s">
        <v>215</v>
      </c>
      <c r="B23" t="s">
        <v>77</v>
      </c>
      <c r="C23" t="s">
        <v>85</v>
      </c>
      <c r="D23" t="s">
        <v>129</v>
      </c>
      <c r="E23" s="1">
        <v>43896</v>
      </c>
      <c r="F23" s="11">
        <v>192.3</v>
      </c>
      <c r="G23" s="41" t="s">
        <v>1</v>
      </c>
      <c r="H23">
        <v>271500</v>
      </c>
      <c r="I23" s="2">
        <v>265000</v>
      </c>
      <c r="K23" s="6">
        <f t="shared" si="0"/>
        <v>50.605778191985081</v>
      </c>
      <c r="L23" s="6">
        <f t="shared" si="1"/>
        <v>49.394221808014912</v>
      </c>
    </row>
    <row r="24" spans="1:12" ht="16.5" thickBot="1">
      <c r="A24" t="s">
        <v>215</v>
      </c>
      <c r="B24" t="s">
        <v>77</v>
      </c>
      <c r="C24" t="s">
        <v>85</v>
      </c>
      <c r="D24" t="s">
        <v>129</v>
      </c>
      <c r="E24" s="1">
        <v>43882</v>
      </c>
      <c r="F24" s="11">
        <v>192.3</v>
      </c>
      <c r="G24" s="41" t="s">
        <v>1</v>
      </c>
      <c r="H24">
        <v>271500</v>
      </c>
      <c r="I24" s="2">
        <v>265000</v>
      </c>
      <c r="K24" s="6">
        <f t="shared" si="0"/>
        <v>50.605778191985081</v>
      </c>
      <c r="L24" s="6">
        <f t="shared" si="1"/>
        <v>49.394221808014912</v>
      </c>
    </row>
    <row r="25" spans="1:12" ht="16.5" thickBot="1">
      <c r="A25" t="s">
        <v>215</v>
      </c>
      <c r="B25" t="s">
        <v>77</v>
      </c>
      <c r="C25" t="s">
        <v>85</v>
      </c>
      <c r="D25" t="s">
        <v>129</v>
      </c>
      <c r="E25" s="1">
        <v>43868</v>
      </c>
      <c r="F25" s="11">
        <v>192.3</v>
      </c>
      <c r="G25" s="41" t="s">
        <v>1</v>
      </c>
      <c r="H25">
        <v>271500</v>
      </c>
      <c r="I25" s="2">
        <v>265000</v>
      </c>
      <c r="K25" s="6">
        <f t="shared" si="0"/>
        <v>50.605778191985081</v>
      </c>
      <c r="L25" s="6">
        <f t="shared" si="1"/>
        <v>49.394221808014912</v>
      </c>
    </row>
    <row r="26" spans="1:12" ht="16.5" thickBot="1">
      <c r="A26" t="s">
        <v>215</v>
      </c>
      <c r="B26" t="s">
        <v>77</v>
      </c>
      <c r="C26" t="s">
        <v>85</v>
      </c>
      <c r="D26" t="s">
        <v>129</v>
      </c>
      <c r="E26" s="1">
        <v>43854</v>
      </c>
      <c r="F26" s="11">
        <v>192.3</v>
      </c>
      <c r="G26" s="41" t="s">
        <v>1</v>
      </c>
      <c r="H26">
        <v>271500</v>
      </c>
      <c r="I26" s="2">
        <v>265000</v>
      </c>
      <c r="K26" s="6">
        <f t="shared" si="0"/>
        <v>50.605778191985081</v>
      </c>
      <c r="L26" s="6">
        <f t="shared" si="1"/>
        <v>49.394221808014912</v>
      </c>
    </row>
    <row r="27" spans="1:12" ht="16.5" thickBot="1">
      <c r="A27" t="s">
        <v>215</v>
      </c>
      <c r="B27" t="s">
        <v>77</v>
      </c>
      <c r="C27" t="s">
        <v>85</v>
      </c>
      <c r="D27" t="s">
        <v>129</v>
      </c>
      <c r="E27" s="1">
        <v>43826</v>
      </c>
      <c r="F27" s="11">
        <v>192.3</v>
      </c>
      <c r="G27" s="41" t="s">
        <v>1</v>
      </c>
      <c r="H27">
        <v>271500</v>
      </c>
      <c r="I27" s="2">
        <v>265000</v>
      </c>
      <c r="K27" s="6">
        <f t="shared" si="0"/>
        <v>50.605778191985081</v>
      </c>
      <c r="L27" s="6">
        <f t="shared" si="1"/>
        <v>49.394221808014912</v>
      </c>
    </row>
    <row r="28" spans="1:12" ht="16.5" thickBot="1">
      <c r="A28" t="s">
        <v>215</v>
      </c>
      <c r="B28" t="s">
        <v>77</v>
      </c>
      <c r="C28" t="s">
        <v>85</v>
      </c>
      <c r="D28" t="s">
        <v>129</v>
      </c>
      <c r="E28" s="1">
        <v>43812</v>
      </c>
      <c r="F28" s="11">
        <v>192.3</v>
      </c>
      <c r="G28" s="41" t="s">
        <v>1</v>
      </c>
      <c r="H28">
        <v>271500</v>
      </c>
      <c r="I28" s="2">
        <v>265000</v>
      </c>
      <c r="K28" s="6">
        <f t="shared" si="0"/>
        <v>50.605778191985081</v>
      </c>
      <c r="L28" s="6">
        <f t="shared" si="1"/>
        <v>49.394221808014912</v>
      </c>
    </row>
    <row r="29" spans="1:12" ht="16.5" thickBot="1">
      <c r="A29" t="s">
        <v>215</v>
      </c>
      <c r="B29" t="s">
        <v>77</v>
      </c>
      <c r="C29" t="s">
        <v>85</v>
      </c>
      <c r="D29" t="s">
        <v>129</v>
      </c>
      <c r="E29" s="1">
        <v>43798</v>
      </c>
      <c r="F29" s="11">
        <v>192.3</v>
      </c>
      <c r="G29" s="41" t="s">
        <v>1</v>
      </c>
      <c r="H29">
        <v>271500</v>
      </c>
      <c r="I29" s="2">
        <v>265000</v>
      </c>
      <c r="K29" s="6">
        <f t="shared" si="0"/>
        <v>50.605778191985081</v>
      </c>
      <c r="L29" s="6">
        <f t="shared" si="1"/>
        <v>49.394221808014912</v>
      </c>
    </row>
    <row r="30" spans="1:12" ht="16.5" thickBot="1">
      <c r="A30" t="s">
        <v>215</v>
      </c>
      <c r="B30" t="s">
        <v>77</v>
      </c>
      <c r="C30" t="s">
        <v>85</v>
      </c>
      <c r="D30" t="s">
        <v>129</v>
      </c>
      <c r="E30" s="1">
        <v>43784</v>
      </c>
      <c r="F30" s="11">
        <v>192.3</v>
      </c>
      <c r="G30" s="41" t="s">
        <v>1</v>
      </c>
      <c r="H30">
        <v>271500</v>
      </c>
      <c r="I30" s="2">
        <v>265000</v>
      </c>
      <c r="K30" s="6">
        <f t="shared" si="0"/>
        <v>50.605778191985081</v>
      </c>
      <c r="L30" s="6">
        <f t="shared" si="1"/>
        <v>49.394221808014912</v>
      </c>
    </row>
    <row r="31" spans="1:12" ht="16.5" thickBot="1">
      <c r="A31" t="s">
        <v>215</v>
      </c>
      <c r="B31" t="s">
        <v>77</v>
      </c>
      <c r="C31" t="s">
        <v>85</v>
      </c>
      <c r="D31" t="s">
        <v>129</v>
      </c>
      <c r="E31" s="1">
        <v>43770</v>
      </c>
      <c r="F31" s="11">
        <v>192.3</v>
      </c>
      <c r="G31" s="41" t="s">
        <v>1</v>
      </c>
      <c r="H31">
        <v>271500</v>
      </c>
      <c r="I31" s="2">
        <v>265000</v>
      </c>
      <c r="K31" s="6">
        <f t="shared" si="0"/>
        <v>50.605778191985081</v>
      </c>
      <c r="L31" s="6">
        <f t="shared" si="1"/>
        <v>49.394221808014912</v>
      </c>
    </row>
    <row r="32" spans="1:12" ht="16.5" thickBot="1">
      <c r="A32" t="s">
        <v>215</v>
      </c>
      <c r="B32" t="s">
        <v>77</v>
      </c>
      <c r="C32" t="s">
        <v>85</v>
      </c>
      <c r="D32" t="s">
        <v>129</v>
      </c>
      <c r="E32" s="1">
        <v>43756</v>
      </c>
      <c r="F32" s="11">
        <v>192.3</v>
      </c>
      <c r="G32" s="41" t="s">
        <v>1</v>
      </c>
      <c r="H32">
        <v>271500</v>
      </c>
      <c r="I32" s="2">
        <v>265000</v>
      </c>
      <c r="K32" s="6">
        <f t="shared" si="0"/>
        <v>50.605778191985081</v>
      </c>
      <c r="L32" s="6">
        <f t="shared" si="1"/>
        <v>49.394221808014912</v>
      </c>
    </row>
    <row r="33" spans="1:12" ht="16.5" thickBot="1">
      <c r="A33" t="s">
        <v>215</v>
      </c>
      <c r="B33" t="s">
        <v>77</v>
      </c>
      <c r="C33" t="s">
        <v>85</v>
      </c>
      <c r="D33" t="s">
        <v>129</v>
      </c>
      <c r="E33" s="1">
        <v>43742</v>
      </c>
      <c r="F33" s="11">
        <v>192.3</v>
      </c>
      <c r="G33" s="41" t="s">
        <v>1</v>
      </c>
      <c r="H33">
        <v>271500</v>
      </c>
      <c r="I33" s="2">
        <v>265000</v>
      </c>
      <c r="K33" s="6">
        <f t="shared" si="0"/>
        <v>50.605778191985081</v>
      </c>
      <c r="L33" s="6">
        <f t="shared" si="1"/>
        <v>49.394221808014912</v>
      </c>
    </row>
    <row r="34" spans="1:12" ht="16.5" thickBot="1">
      <c r="A34" t="s">
        <v>215</v>
      </c>
      <c r="B34" t="s">
        <v>77</v>
      </c>
      <c r="C34" t="s">
        <v>85</v>
      </c>
      <c r="D34" t="s">
        <v>129</v>
      </c>
      <c r="E34" s="1">
        <v>43728</v>
      </c>
      <c r="F34" s="11">
        <v>192.3</v>
      </c>
      <c r="G34" s="41" t="s">
        <v>1</v>
      </c>
      <c r="H34">
        <v>271500</v>
      </c>
      <c r="I34" s="2">
        <v>265000</v>
      </c>
      <c r="K34" s="6">
        <f t="shared" si="0"/>
        <v>50.605778191985081</v>
      </c>
      <c r="L34" s="6">
        <f t="shared" si="1"/>
        <v>49.394221808014912</v>
      </c>
    </row>
    <row r="35" spans="1:12" ht="16.5" thickBot="1">
      <c r="A35" t="s">
        <v>215</v>
      </c>
      <c r="B35" t="s">
        <v>77</v>
      </c>
      <c r="C35" t="s">
        <v>85</v>
      </c>
      <c r="D35" t="s">
        <v>129</v>
      </c>
      <c r="E35" s="1">
        <v>43714</v>
      </c>
      <c r="F35" s="11">
        <v>192.3</v>
      </c>
      <c r="G35" s="41" t="s">
        <v>1</v>
      </c>
      <c r="H35">
        <v>271500</v>
      </c>
      <c r="I35" s="2">
        <v>265000</v>
      </c>
      <c r="K35" s="6">
        <f t="shared" si="0"/>
        <v>50.605778191985081</v>
      </c>
      <c r="L35" s="6">
        <f t="shared" si="1"/>
        <v>49.394221808014912</v>
      </c>
    </row>
    <row r="36" spans="1:12" ht="16.5" thickBot="1">
      <c r="A36" t="s">
        <v>215</v>
      </c>
      <c r="B36" t="s">
        <v>77</v>
      </c>
      <c r="C36" t="s">
        <v>85</v>
      </c>
      <c r="D36" t="s">
        <v>129</v>
      </c>
      <c r="E36" s="1">
        <v>43700</v>
      </c>
      <c r="F36" s="11">
        <v>192.3</v>
      </c>
      <c r="G36" s="41" t="s">
        <v>1</v>
      </c>
      <c r="H36">
        <v>271500</v>
      </c>
      <c r="I36" s="2">
        <v>265000</v>
      </c>
      <c r="K36" s="6">
        <f t="shared" si="0"/>
        <v>50.605778191985081</v>
      </c>
      <c r="L36" s="6">
        <f t="shared" si="1"/>
        <v>49.394221808014912</v>
      </c>
    </row>
    <row r="37" spans="1:12" ht="16.5" thickBot="1">
      <c r="A37" t="s">
        <v>215</v>
      </c>
      <c r="B37" t="s">
        <v>77</v>
      </c>
      <c r="C37" t="s">
        <v>85</v>
      </c>
      <c r="D37" t="s">
        <v>129</v>
      </c>
      <c r="E37" s="1">
        <v>43686</v>
      </c>
      <c r="F37" s="11">
        <v>192.3</v>
      </c>
      <c r="G37" s="41" t="s">
        <v>1</v>
      </c>
      <c r="H37">
        <v>271500</v>
      </c>
      <c r="I37" s="2">
        <v>265000</v>
      </c>
      <c r="K37" s="6">
        <f t="shared" si="0"/>
        <v>50.605778191985081</v>
      </c>
      <c r="L37" s="6">
        <f t="shared" si="1"/>
        <v>49.394221808014912</v>
      </c>
    </row>
    <row r="38" spans="1:12" ht="16.5" thickBot="1">
      <c r="A38" t="s">
        <v>215</v>
      </c>
      <c r="B38" t="s">
        <v>77</v>
      </c>
      <c r="C38" t="s">
        <v>85</v>
      </c>
      <c r="D38" t="s">
        <v>129</v>
      </c>
      <c r="E38" s="1">
        <v>43672</v>
      </c>
      <c r="F38" s="11">
        <v>192.3</v>
      </c>
      <c r="G38" s="41" t="s">
        <v>1</v>
      </c>
      <c r="H38">
        <v>271500</v>
      </c>
      <c r="I38" s="2">
        <v>265000</v>
      </c>
      <c r="K38" s="6">
        <f t="shared" si="0"/>
        <v>50.605778191985081</v>
      </c>
      <c r="L38" s="6">
        <f t="shared" si="1"/>
        <v>49.394221808014912</v>
      </c>
    </row>
    <row r="39" spans="1:12" ht="16.5" thickBot="1">
      <c r="A39" t="s">
        <v>215</v>
      </c>
      <c r="B39" t="s">
        <v>77</v>
      </c>
      <c r="C39" t="s">
        <v>85</v>
      </c>
      <c r="D39" t="s">
        <v>129</v>
      </c>
      <c r="E39" s="1">
        <v>43658</v>
      </c>
      <c r="F39" s="11">
        <v>192.3</v>
      </c>
      <c r="G39" s="41" t="s">
        <v>1</v>
      </c>
      <c r="H39">
        <v>271500</v>
      </c>
      <c r="I39" s="2">
        <v>265000</v>
      </c>
      <c r="K39" s="6">
        <f t="shared" si="0"/>
        <v>50.605778191985081</v>
      </c>
      <c r="L39" s="6">
        <f t="shared" si="1"/>
        <v>49.394221808014912</v>
      </c>
    </row>
    <row r="40" spans="1:12" ht="16.5" thickBot="1">
      <c r="A40" t="s">
        <v>215</v>
      </c>
      <c r="B40" t="s">
        <v>77</v>
      </c>
      <c r="C40" t="s">
        <v>85</v>
      </c>
      <c r="D40" t="s">
        <v>129</v>
      </c>
      <c r="E40" s="1">
        <v>43644</v>
      </c>
      <c r="F40" s="11">
        <v>192.3</v>
      </c>
      <c r="G40" s="41" t="s">
        <v>1</v>
      </c>
      <c r="H40">
        <v>271500</v>
      </c>
      <c r="I40" s="2">
        <v>265000</v>
      </c>
      <c r="K40" s="6">
        <f t="shared" si="0"/>
        <v>50.605778191985081</v>
      </c>
      <c r="L40" s="6">
        <f t="shared" si="1"/>
        <v>49.394221808014912</v>
      </c>
    </row>
    <row r="41" spans="1:12" ht="16.5" thickBot="1">
      <c r="A41" t="s">
        <v>215</v>
      </c>
      <c r="B41" t="s">
        <v>77</v>
      </c>
      <c r="C41" t="s">
        <v>85</v>
      </c>
      <c r="D41" t="s">
        <v>129</v>
      </c>
      <c r="E41" s="1">
        <v>43630</v>
      </c>
      <c r="F41" s="11">
        <v>192.3</v>
      </c>
      <c r="G41" s="41" t="s">
        <v>1</v>
      </c>
      <c r="H41">
        <v>271500</v>
      </c>
      <c r="I41" s="2">
        <v>265000</v>
      </c>
      <c r="K41" s="6">
        <f t="shared" si="0"/>
        <v>50.605778191985081</v>
      </c>
      <c r="L41" s="6">
        <f t="shared" si="1"/>
        <v>49.394221808014912</v>
      </c>
    </row>
    <row r="42" spans="1:12" ht="16.5" thickBot="1">
      <c r="A42" t="s">
        <v>215</v>
      </c>
      <c r="B42" t="s">
        <v>77</v>
      </c>
      <c r="C42" t="s">
        <v>85</v>
      </c>
      <c r="D42" t="s">
        <v>129</v>
      </c>
      <c r="E42" s="1">
        <v>43616</v>
      </c>
      <c r="F42" s="11">
        <v>192.3</v>
      </c>
      <c r="G42" s="41" t="s">
        <v>1</v>
      </c>
      <c r="H42">
        <v>271500</v>
      </c>
      <c r="I42" s="2">
        <v>265000</v>
      </c>
      <c r="K42" s="6">
        <f t="shared" si="0"/>
        <v>50.605778191985081</v>
      </c>
      <c r="L42" s="6">
        <f t="shared" si="1"/>
        <v>49.394221808014912</v>
      </c>
    </row>
    <row r="43" spans="1:12" ht="16.5" thickBot="1">
      <c r="A43" t="s">
        <v>215</v>
      </c>
      <c r="B43" t="s">
        <v>77</v>
      </c>
      <c r="C43" t="s">
        <v>85</v>
      </c>
      <c r="D43" t="s">
        <v>129</v>
      </c>
      <c r="E43" s="1">
        <v>43602</v>
      </c>
      <c r="F43" s="11">
        <v>192.3</v>
      </c>
      <c r="G43" s="41" t="s">
        <v>1</v>
      </c>
      <c r="H43">
        <v>271500</v>
      </c>
      <c r="I43" s="2">
        <v>265000</v>
      </c>
      <c r="K43" s="6">
        <f t="shared" si="0"/>
        <v>50.605778191985081</v>
      </c>
      <c r="L43" s="6">
        <f t="shared" si="1"/>
        <v>49.394221808014912</v>
      </c>
    </row>
    <row r="44" spans="1:12" ht="16.5" thickBot="1">
      <c r="A44" t="s">
        <v>215</v>
      </c>
      <c r="B44" t="s">
        <v>77</v>
      </c>
      <c r="C44" t="s">
        <v>85</v>
      </c>
      <c r="D44" t="s">
        <v>129</v>
      </c>
      <c r="E44" s="1">
        <v>43588</v>
      </c>
      <c r="F44" s="11">
        <v>192.3</v>
      </c>
      <c r="G44" s="41" t="s">
        <v>1</v>
      </c>
      <c r="H44">
        <v>271500</v>
      </c>
      <c r="I44" s="2">
        <v>265000</v>
      </c>
      <c r="K44" s="6">
        <f t="shared" si="0"/>
        <v>50.605778191985081</v>
      </c>
      <c r="L44" s="6">
        <f t="shared" si="1"/>
        <v>49.394221808014912</v>
      </c>
    </row>
    <row r="45" spans="1:12" ht="16.5" thickBot="1">
      <c r="A45" t="s">
        <v>215</v>
      </c>
      <c r="B45" t="s">
        <v>77</v>
      </c>
      <c r="C45" t="s">
        <v>85</v>
      </c>
      <c r="D45" t="s">
        <v>129</v>
      </c>
      <c r="E45" s="1">
        <v>43574</v>
      </c>
      <c r="F45" s="11">
        <v>192.3</v>
      </c>
      <c r="G45" s="41" t="s">
        <v>1</v>
      </c>
      <c r="H45">
        <v>271500</v>
      </c>
      <c r="I45" s="2">
        <v>265000</v>
      </c>
      <c r="K45" s="6">
        <f t="shared" si="0"/>
        <v>50.605778191985081</v>
      </c>
      <c r="L45" s="6">
        <f t="shared" si="1"/>
        <v>49.394221808014912</v>
      </c>
    </row>
    <row r="46" spans="1:12">
      <c r="F46" s="11">
        <f>SUM(F2:F45)</f>
        <v>8461.2000000000044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C9952-355D-4CE1-B9E4-F32301183B04}">
  <dimension ref="A1:P28"/>
  <sheetViews>
    <sheetView topLeftCell="A9" workbookViewId="0">
      <selection activeCell="F2" sqref="F2:F28"/>
    </sheetView>
  </sheetViews>
  <sheetFormatPr defaultRowHeight="15"/>
  <cols>
    <col min="6" max="6" width="14.28515625" customWidth="1"/>
  </cols>
  <sheetData>
    <row r="1" spans="1:16">
      <c r="A1" s="10" t="s">
        <v>14</v>
      </c>
      <c r="B1" s="10" t="s">
        <v>15</v>
      </c>
      <c r="C1" s="10" t="s">
        <v>10</v>
      </c>
      <c r="D1" s="10" t="s">
        <v>16</v>
      </c>
      <c r="E1" s="10" t="s">
        <v>17</v>
      </c>
      <c r="F1" s="10" t="s">
        <v>18</v>
      </c>
      <c r="G1" s="10" t="s">
        <v>20</v>
      </c>
      <c r="H1" s="10" t="s">
        <v>4</v>
      </c>
      <c r="I1" s="12" t="s">
        <v>6</v>
      </c>
      <c r="J1" s="10" t="s">
        <v>5</v>
      </c>
      <c r="K1" s="10" t="s">
        <v>11</v>
      </c>
      <c r="L1" s="10" t="s">
        <v>12</v>
      </c>
      <c r="M1" s="10" t="s">
        <v>21</v>
      </c>
      <c r="N1" s="10"/>
      <c r="O1" s="10"/>
      <c r="P1" s="10"/>
    </row>
    <row r="2" spans="1:16" ht="16.5" thickBot="1">
      <c r="A2" t="s">
        <v>228</v>
      </c>
      <c r="B2" t="s">
        <v>77</v>
      </c>
      <c r="C2" t="s">
        <v>229</v>
      </c>
      <c r="D2" t="s">
        <v>129</v>
      </c>
      <c r="E2" s="1">
        <v>44190</v>
      </c>
      <c r="F2" s="11">
        <v>192.3</v>
      </c>
      <c r="G2" s="41" t="s">
        <v>1</v>
      </c>
      <c r="H2">
        <v>271500</v>
      </c>
      <c r="I2" s="2">
        <v>265000</v>
      </c>
      <c r="K2" s="6">
        <f t="shared" ref="K2" si="0">(+H2/(H2+I2))*100</f>
        <v>50.605778191985081</v>
      </c>
      <c r="L2" s="6">
        <f t="shared" ref="L2" si="1">(+I2/(H2+I2))*100</f>
        <v>49.394221808014912</v>
      </c>
    </row>
    <row r="3" spans="1:16" ht="16.5" thickBot="1">
      <c r="A3" t="s">
        <v>228</v>
      </c>
      <c r="B3" t="s">
        <v>77</v>
      </c>
      <c r="C3" t="s">
        <v>229</v>
      </c>
      <c r="D3" t="s">
        <v>129</v>
      </c>
      <c r="E3" s="1">
        <v>44176</v>
      </c>
      <c r="F3" s="11">
        <v>192.3</v>
      </c>
      <c r="G3" s="41" t="s">
        <v>1</v>
      </c>
      <c r="H3">
        <v>271500</v>
      </c>
      <c r="I3" s="2">
        <v>265000</v>
      </c>
      <c r="K3" s="6">
        <f t="shared" ref="K3:K27" si="2">(+H3/(H3+I3))*100</f>
        <v>50.605778191985081</v>
      </c>
      <c r="L3" s="6">
        <f t="shared" ref="L3:L27" si="3">(+I3/(H3+I3))*100</f>
        <v>49.394221808014912</v>
      </c>
    </row>
    <row r="4" spans="1:16" ht="16.5" thickBot="1">
      <c r="A4" t="s">
        <v>228</v>
      </c>
      <c r="B4" t="s">
        <v>77</v>
      </c>
      <c r="C4" t="s">
        <v>229</v>
      </c>
      <c r="D4" t="s">
        <v>129</v>
      </c>
      <c r="E4" s="1">
        <v>44162</v>
      </c>
      <c r="F4" s="11">
        <v>192.3</v>
      </c>
      <c r="G4" s="41" t="s">
        <v>1</v>
      </c>
      <c r="H4">
        <v>271500</v>
      </c>
      <c r="I4" s="2">
        <v>265000</v>
      </c>
      <c r="K4" s="6">
        <f t="shared" si="2"/>
        <v>50.605778191985081</v>
      </c>
      <c r="L4" s="6">
        <f t="shared" si="3"/>
        <v>49.394221808014912</v>
      </c>
    </row>
    <row r="5" spans="1:16" ht="16.5" thickBot="1">
      <c r="A5" t="s">
        <v>228</v>
      </c>
      <c r="B5" t="s">
        <v>77</v>
      </c>
      <c r="C5" t="s">
        <v>229</v>
      </c>
      <c r="D5" t="s">
        <v>129</v>
      </c>
      <c r="E5" s="1">
        <v>44148</v>
      </c>
      <c r="F5" s="11">
        <v>192.3</v>
      </c>
      <c r="G5" s="41" t="s">
        <v>1</v>
      </c>
      <c r="H5">
        <v>271500</v>
      </c>
      <c r="I5" s="2">
        <v>265000</v>
      </c>
      <c r="K5" s="6">
        <f t="shared" si="2"/>
        <v>50.605778191985081</v>
      </c>
      <c r="L5" s="6">
        <f t="shared" si="3"/>
        <v>49.394221808014912</v>
      </c>
    </row>
    <row r="6" spans="1:16" ht="16.5" thickBot="1">
      <c r="A6" t="s">
        <v>228</v>
      </c>
      <c r="B6" t="s">
        <v>77</v>
      </c>
      <c r="C6" t="s">
        <v>229</v>
      </c>
      <c r="D6" t="s">
        <v>129</v>
      </c>
      <c r="E6" s="1">
        <v>44134</v>
      </c>
      <c r="F6" s="11">
        <v>192.3</v>
      </c>
      <c r="G6" s="41" t="s">
        <v>1</v>
      </c>
      <c r="H6">
        <v>271500</v>
      </c>
      <c r="I6" s="2">
        <v>265000</v>
      </c>
      <c r="K6" s="6">
        <f t="shared" si="2"/>
        <v>50.605778191985081</v>
      </c>
      <c r="L6" s="6">
        <f t="shared" si="3"/>
        <v>49.394221808014912</v>
      </c>
    </row>
    <row r="7" spans="1:16" ht="16.5" thickBot="1">
      <c r="A7" t="s">
        <v>228</v>
      </c>
      <c r="B7" t="s">
        <v>77</v>
      </c>
      <c r="C7" t="s">
        <v>229</v>
      </c>
      <c r="D7" t="s">
        <v>129</v>
      </c>
      <c r="E7" s="1">
        <v>44120</v>
      </c>
      <c r="F7" s="11">
        <v>192.3</v>
      </c>
      <c r="G7" s="41" t="s">
        <v>1</v>
      </c>
      <c r="H7">
        <v>271500</v>
      </c>
      <c r="I7" s="2">
        <v>265000</v>
      </c>
      <c r="K7" s="6">
        <f t="shared" si="2"/>
        <v>50.605778191985081</v>
      </c>
      <c r="L7" s="6">
        <f t="shared" si="3"/>
        <v>49.394221808014912</v>
      </c>
    </row>
    <row r="8" spans="1:16" ht="16.5" thickBot="1">
      <c r="A8" t="s">
        <v>228</v>
      </c>
      <c r="B8" t="s">
        <v>77</v>
      </c>
      <c r="C8" t="s">
        <v>229</v>
      </c>
      <c r="D8" t="s">
        <v>129</v>
      </c>
      <c r="E8" s="1">
        <v>44106</v>
      </c>
      <c r="F8" s="11">
        <v>192.3</v>
      </c>
      <c r="G8" s="41" t="s">
        <v>1</v>
      </c>
      <c r="H8">
        <v>271500</v>
      </c>
      <c r="I8" s="2">
        <v>265000</v>
      </c>
      <c r="K8" s="6">
        <f t="shared" si="2"/>
        <v>50.605778191985081</v>
      </c>
      <c r="L8" s="6">
        <f t="shared" si="3"/>
        <v>49.394221808014912</v>
      </c>
    </row>
    <row r="9" spans="1:16" ht="16.5" thickBot="1">
      <c r="A9" t="s">
        <v>228</v>
      </c>
      <c r="B9" t="s">
        <v>77</v>
      </c>
      <c r="C9" t="s">
        <v>229</v>
      </c>
      <c r="D9" t="s">
        <v>129</v>
      </c>
      <c r="E9" s="1">
        <v>44092</v>
      </c>
      <c r="F9" s="11">
        <v>192.3</v>
      </c>
      <c r="G9" s="41" t="s">
        <v>1</v>
      </c>
      <c r="H9">
        <v>271500</v>
      </c>
      <c r="I9" s="2">
        <v>265000</v>
      </c>
      <c r="K9" s="6">
        <f t="shared" si="2"/>
        <v>50.605778191985081</v>
      </c>
      <c r="L9" s="6">
        <f t="shared" si="3"/>
        <v>49.394221808014912</v>
      </c>
    </row>
    <row r="10" spans="1:16" ht="16.5" thickBot="1">
      <c r="A10" t="s">
        <v>228</v>
      </c>
      <c r="B10" t="s">
        <v>77</v>
      </c>
      <c r="C10" t="s">
        <v>229</v>
      </c>
      <c r="D10" t="s">
        <v>129</v>
      </c>
      <c r="E10" s="1">
        <v>44078</v>
      </c>
      <c r="F10" s="11">
        <v>192.3</v>
      </c>
      <c r="G10" s="41" t="s">
        <v>1</v>
      </c>
      <c r="H10">
        <v>271500</v>
      </c>
      <c r="I10" s="2">
        <v>265000</v>
      </c>
      <c r="K10" s="6">
        <f t="shared" si="2"/>
        <v>50.605778191985081</v>
      </c>
      <c r="L10" s="6">
        <f t="shared" si="3"/>
        <v>49.394221808014912</v>
      </c>
    </row>
    <row r="11" spans="1:16" ht="16.5" thickBot="1">
      <c r="A11" t="s">
        <v>228</v>
      </c>
      <c r="B11" t="s">
        <v>77</v>
      </c>
      <c r="C11" t="s">
        <v>229</v>
      </c>
      <c r="D11" t="s">
        <v>129</v>
      </c>
      <c r="E11" s="1">
        <v>44064</v>
      </c>
      <c r="F11" s="11">
        <v>192.3</v>
      </c>
      <c r="G11" s="41" t="s">
        <v>1</v>
      </c>
      <c r="H11">
        <v>271500</v>
      </c>
      <c r="I11" s="2">
        <v>265000</v>
      </c>
      <c r="K11" s="6">
        <f t="shared" si="2"/>
        <v>50.605778191985081</v>
      </c>
      <c r="L11" s="6">
        <f t="shared" si="3"/>
        <v>49.394221808014912</v>
      </c>
    </row>
    <row r="12" spans="1:16" ht="16.5" thickBot="1">
      <c r="A12" t="s">
        <v>228</v>
      </c>
      <c r="B12" t="s">
        <v>77</v>
      </c>
      <c r="C12" t="s">
        <v>229</v>
      </c>
      <c r="D12" t="s">
        <v>129</v>
      </c>
      <c r="E12" s="1">
        <v>44050</v>
      </c>
      <c r="F12" s="11">
        <v>192.3</v>
      </c>
      <c r="G12" s="41" t="s">
        <v>1</v>
      </c>
      <c r="H12">
        <v>271500</v>
      </c>
      <c r="I12" s="2">
        <v>265000</v>
      </c>
      <c r="K12" s="6">
        <f t="shared" si="2"/>
        <v>50.605778191985081</v>
      </c>
      <c r="L12" s="6">
        <f t="shared" si="3"/>
        <v>49.394221808014912</v>
      </c>
    </row>
    <row r="13" spans="1:16" ht="16.5" thickBot="1">
      <c r="A13" t="s">
        <v>228</v>
      </c>
      <c r="B13" t="s">
        <v>77</v>
      </c>
      <c r="C13" t="s">
        <v>229</v>
      </c>
      <c r="D13" t="s">
        <v>129</v>
      </c>
      <c r="E13" s="1">
        <v>44036</v>
      </c>
      <c r="F13" s="11">
        <v>192.3</v>
      </c>
      <c r="G13" s="41" t="s">
        <v>1</v>
      </c>
      <c r="H13">
        <v>271500</v>
      </c>
      <c r="I13" s="2">
        <v>265000</v>
      </c>
      <c r="K13" s="6">
        <f t="shared" si="2"/>
        <v>50.605778191985081</v>
      </c>
      <c r="L13" s="6">
        <f t="shared" si="3"/>
        <v>49.394221808014912</v>
      </c>
    </row>
    <row r="14" spans="1:16" ht="16.5" thickBot="1">
      <c r="A14" t="s">
        <v>228</v>
      </c>
      <c r="B14" t="s">
        <v>77</v>
      </c>
      <c r="C14" t="s">
        <v>229</v>
      </c>
      <c r="D14" t="s">
        <v>129</v>
      </c>
      <c r="E14" s="1">
        <v>44022</v>
      </c>
      <c r="F14" s="11">
        <v>192.3</v>
      </c>
      <c r="G14" s="41" t="s">
        <v>1</v>
      </c>
      <c r="H14">
        <v>271500</v>
      </c>
      <c r="I14" s="2">
        <v>265000</v>
      </c>
      <c r="K14" s="6">
        <f t="shared" si="2"/>
        <v>50.605778191985081</v>
      </c>
      <c r="L14" s="6">
        <f t="shared" si="3"/>
        <v>49.394221808014912</v>
      </c>
    </row>
    <row r="15" spans="1:16" ht="16.5" thickBot="1">
      <c r="A15" t="s">
        <v>228</v>
      </c>
      <c r="B15" t="s">
        <v>77</v>
      </c>
      <c r="C15" t="s">
        <v>229</v>
      </c>
      <c r="D15" t="s">
        <v>129</v>
      </c>
      <c r="E15" s="1">
        <v>44008</v>
      </c>
      <c r="F15" s="11">
        <v>192.3</v>
      </c>
      <c r="G15" s="41" t="s">
        <v>1</v>
      </c>
      <c r="H15">
        <v>271500</v>
      </c>
      <c r="I15" s="2">
        <v>265000</v>
      </c>
      <c r="K15" s="6">
        <f t="shared" si="2"/>
        <v>50.605778191985081</v>
      </c>
      <c r="L15" s="6">
        <f t="shared" si="3"/>
        <v>49.394221808014912</v>
      </c>
    </row>
    <row r="16" spans="1:16" ht="16.5" thickBot="1">
      <c r="A16" t="s">
        <v>228</v>
      </c>
      <c r="B16" t="s">
        <v>77</v>
      </c>
      <c r="C16" t="s">
        <v>229</v>
      </c>
      <c r="D16" t="s">
        <v>129</v>
      </c>
      <c r="E16" s="1">
        <v>43994</v>
      </c>
      <c r="F16" s="11">
        <v>192.3</v>
      </c>
      <c r="G16" s="41" t="s">
        <v>1</v>
      </c>
      <c r="H16">
        <v>271500</v>
      </c>
      <c r="I16" s="2">
        <v>265000</v>
      </c>
      <c r="K16" s="6">
        <f t="shared" si="2"/>
        <v>50.605778191985081</v>
      </c>
      <c r="L16" s="6">
        <f t="shared" si="3"/>
        <v>49.394221808014912</v>
      </c>
    </row>
    <row r="17" spans="1:12" ht="16.5" thickBot="1">
      <c r="A17" t="s">
        <v>228</v>
      </c>
      <c r="B17" t="s">
        <v>77</v>
      </c>
      <c r="C17" t="s">
        <v>229</v>
      </c>
      <c r="D17" t="s">
        <v>129</v>
      </c>
      <c r="E17" s="1">
        <v>43980</v>
      </c>
      <c r="F17" s="11">
        <v>192.3</v>
      </c>
      <c r="G17" s="41" t="s">
        <v>1</v>
      </c>
      <c r="H17">
        <v>271500</v>
      </c>
      <c r="I17" s="2">
        <v>265000</v>
      </c>
      <c r="K17" s="6">
        <f t="shared" si="2"/>
        <v>50.605778191985081</v>
      </c>
      <c r="L17" s="6">
        <f t="shared" si="3"/>
        <v>49.394221808014912</v>
      </c>
    </row>
    <row r="18" spans="1:12" ht="16.5" thickBot="1">
      <c r="A18" t="s">
        <v>228</v>
      </c>
      <c r="B18" t="s">
        <v>77</v>
      </c>
      <c r="C18" t="s">
        <v>229</v>
      </c>
      <c r="D18" t="s">
        <v>129</v>
      </c>
      <c r="E18" s="1">
        <v>43966</v>
      </c>
      <c r="F18" s="11">
        <v>192.3</v>
      </c>
      <c r="G18" s="41" t="s">
        <v>1</v>
      </c>
      <c r="H18">
        <v>271500</v>
      </c>
      <c r="I18" s="2">
        <v>265000</v>
      </c>
      <c r="K18" s="6">
        <f t="shared" si="2"/>
        <v>50.605778191985081</v>
      </c>
      <c r="L18" s="6">
        <f t="shared" si="3"/>
        <v>49.394221808014912</v>
      </c>
    </row>
    <row r="19" spans="1:12" ht="16.5" thickBot="1">
      <c r="A19" t="s">
        <v>228</v>
      </c>
      <c r="B19" t="s">
        <v>77</v>
      </c>
      <c r="C19" t="s">
        <v>229</v>
      </c>
      <c r="D19" t="s">
        <v>129</v>
      </c>
      <c r="E19" s="1">
        <v>43952</v>
      </c>
      <c r="F19" s="11">
        <v>192.3</v>
      </c>
      <c r="G19" s="41" t="s">
        <v>1</v>
      </c>
      <c r="H19">
        <v>271500</v>
      </c>
      <c r="I19" s="2">
        <v>265000</v>
      </c>
      <c r="K19" s="6">
        <f t="shared" si="2"/>
        <v>50.605778191985081</v>
      </c>
      <c r="L19" s="6">
        <f t="shared" si="3"/>
        <v>49.394221808014912</v>
      </c>
    </row>
    <row r="20" spans="1:12" ht="16.5" thickBot="1">
      <c r="A20" t="s">
        <v>228</v>
      </c>
      <c r="B20" t="s">
        <v>77</v>
      </c>
      <c r="C20" t="s">
        <v>229</v>
      </c>
      <c r="D20" t="s">
        <v>129</v>
      </c>
      <c r="E20" s="1">
        <v>43938</v>
      </c>
      <c r="F20" s="11">
        <v>192.3</v>
      </c>
      <c r="G20" s="41" t="s">
        <v>1</v>
      </c>
      <c r="H20">
        <v>271500</v>
      </c>
      <c r="I20" s="2">
        <v>265000</v>
      </c>
      <c r="K20" s="6">
        <f t="shared" si="2"/>
        <v>50.605778191985081</v>
      </c>
      <c r="L20" s="6">
        <f t="shared" si="3"/>
        <v>49.394221808014912</v>
      </c>
    </row>
    <row r="21" spans="1:12" ht="16.5" thickBot="1">
      <c r="A21" t="s">
        <v>228</v>
      </c>
      <c r="B21" t="s">
        <v>77</v>
      </c>
      <c r="C21" t="s">
        <v>229</v>
      </c>
      <c r="D21" t="s">
        <v>129</v>
      </c>
      <c r="E21" s="1">
        <v>43924</v>
      </c>
      <c r="F21" s="11">
        <v>192.3</v>
      </c>
      <c r="G21" s="41" t="s">
        <v>1</v>
      </c>
      <c r="H21">
        <v>271500</v>
      </c>
      <c r="I21" s="2">
        <v>265000</v>
      </c>
      <c r="K21" s="6">
        <f t="shared" si="2"/>
        <v>50.605778191985081</v>
      </c>
      <c r="L21" s="6">
        <f t="shared" si="3"/>
        <v>49.394221808014912</v>
      </c>
    </row>
    <row r="22" spans="1:12" ht="16.5" thickBot="1">
      <c r="A22" t="s">
        <v>228</v>
      </c>
      <c r="B22" t="s">
        <v>77</v>
      </c>
      <c r="C22" t="s">
        <v>229</v>
      </c>
      <c r="D22" t="s">
        <v>129</v>
      </c>
      <c r="E22" s="1">
        <v>43910</v>
      </c>
      <c r="F22" s="11">
        <v>192.3</v>
      </c>
      <c r="G22" s="41" t="s">
        <v>1</v>
      </c>
      <c r="H22">
        <v>271500</v>
      </c>
      <c r="I22" s="2">
        <v>265000</v>
      </c>
      <c r="K22" s="6">
        <f t="shared" si="2"/>
        <v>50.605778191985081</v>
      </c>
      <c r="L22" s="6">
        <f t="shared" si="3"/>
        <v>49.394221808014912</v>
      </c>
    </row>
    <row r="23" spans="1:12" ht="16.5" thickBot="1">
      <c r="A23" t="s">
        <v>228</v>
      </c>
      <c r="B23" t="s">
        <v>77</v>
      </c>
      <c r="C23" t="s">
        <v>229</v>
      </c>
      <c r="D23" t="s">
        <v>129</v>
      </c>
      <c r="E23" s="1">
        <v>43896</v>
      </c>
      <c r="F23" s="11">
        <v>192.3</v>
      </c>
      <c r="G23" s="41" t="s">
        <v>1</v>
      </c>
      <c r="H23">
        <v>271500</v>
      </c>
      <c r="I23" s="2">
        <v>265000</v>
      </c>
      <c r="K23" s="6">
        <f t="shared" si="2"/>
        <v>50.605778191985081</v>
      </c>
      <c r="L23" s="6">
        <f t="shared" si="3"/>
        <v>49.394221808014912</v>
      </c>
    </row>
    <row r="24" spans="1:12" ht="16.5" thickBot="1">
      <c r="A24" t="s">
        <v>228</v>
      </c>
      <c r="B24" t="s">
        <v>77</v>
      </c>
      <c r="C24" t="s">
        <v>229</v>
      </c>
      <c r="D24" t="s">
        <v>129</v>
      </c>
      <c r="E24" s="1">
        <v>43882</v>
      </c>
      <c r="F24" s="11">
        <v>192.3</v>
      </c>
      <c r="G24" s="41" t="s">
        <v>1</v>
      </c>
      <c r="H24">
        <v>271500</v>
      </c>
      <c r="I24" s="2">
        <v>265000</v>
      </c>
      <c r="K24" s="6">
        <f t="shared" si="2"/>
        <v>50.605778191985081</v>
      </c>
      <c r="L24" s="6">
        <f t="shared" si="3"/>
        <v>49.394221808014912</v>
      </c>
    </row>
    <row r="25" spans="1:12" ht="16.5" thickBot="1">
      <c r="A25" t="s">
        <v>228</v>
      </c>
      <c r="B25" t="s">
        <v>77</v>
      </c>
      <c r="C25" t="s">
        <v>229</v>
      </c>
      <c r="D25" t="s">
        <v>129</v>
      </c>
      <c r="E25" s="1">
        <v>43868</v>
      </c>
      <c r="F25" s="11">
        <v>192.3</v>
      </c>
      <c r="G25" s="41" t="s">
        <v>1</v>
      </c>
      <c r="H25">
        <v>271500</v>
      </c>
      <c r="I25" s="2">
        <v>265000</v>
      </c>
      <c r="K25" s="6">
        <f t="shared" si="2"/>
        <v>50.605778191985081</v>
      </c>
      <c r="L25" s="6">
        <f t="shared" si="3"/>
        <v>49.394221808014912</v>
      </c>
    </row>
    <row r="26" spans="1:12" ht="16.5" thickBot="1">
      <c r="A26" t="s">
        <v>228</v>
      </c>
      <c r="B26" t="s">
        <v>77</v>
      </c>
      <c r="C26" t="s">
        <v>229</v>
      </c>
      <c r="D26" t="s">
        <v>129</v>
      </c>
      <c r="E26" s="1">
        <v>43854</v>
      </c>
      <c r="F26" s="11">
        <v>192.3</v>
      </c>
      <c r="G26" s="41" t="s">
        <v>1</v>
      </c>
      <c r="H26">
        <v>271500</v>
      </c>
      <c r="I26" s="2">
        <v>265000</v>
      </c>
      <c r="K26" s="6">
        <f t="shared" si="2"/>
        <v>50.605778191985081</v>
      </c>
      <c r="L26" s="6">
        <f t="shared" si="3"/>
        <v>49.394221808014912</v>
      </c>
    </row>
    <row r="27" spans="1:12" ht="16.5" thickBot="1">
      <c r="A27" t="s">
        <v>228</v>
      </c>
      <c r="B27" t="s">
        <v>77</v>
      </c>
      <c r="C27" t="s">
        <v>229</v>
      </c>
      <c r="D27" t="s">
        <v>129</v>
      </c>
      <c r="E27" s="1">
        <v>43826</v>
      </c>
      <c r="F27" s="11">
        <v>192.3</v>
      </c>
      <c r="G27" s="41" t="s">
        <v>1</v>
      </c>
      <c r="H27">
        <v>271500</v>
      </c>
      <c r="I27" s="2">
        <v>265000</v>
      </c>
      <c r="K27" s="6">
        <f t="shared" si="2"/>
        <v>50.605778191985081</v>
      </c>
      <c r="L27" s="6">
        <f t="shared" si="3"/>
        <v>49.394221808014912</v>
      </c>
    </row>
    <row r="28" spans="1:12">
      <c r="F28" s="11">
        <f>SUM(F2:F27)</f>
        <v>4999.800000000002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55"/>
  <sheetViews>
    <sheetView topLeftCell="C52" workbookViewId="0">
      <selection activeCell="O54" sqref="O54"/>
    </sheetView>
  </sheetViews>
  <sheetFormatPr defaultRowHeight="15"/>
  <cols>
    <col min="2" max="2" width="45" customWidth="1"/>
    <col min="5" max="5" width="13" customWidth="1"/>
    <col min="6" max="6" width="14.7109375" customWidth="1"/>
    <col min="7" max="7" width="14" customWidth="1"/>
    <col min="8" max="8" width="10.28515625" customWidth="1"/>
  </cols>
  <sheetData>
    <row r="1" spans="1:16">
      <c r="A1" s="10" t="s">
        <v>14</v>
      </c>
      <c r="B1" s="10" t="s">
        <v>15</v>
      </c>
      <c r="C1" s="10" t="s">
        <v>10</v>
      </c>
      <c r="D1" s="10" t="s">
        <v>16</v>
      </c>
      <c r="E1" s="10" t="s">
        <v>17</v>
      </c>
      <c r="F1" s="10" t="s">
        <v>18</v>
      </c>
      <c r="G1" s="10" t="s">
        <v>20</v>
      </c>
      <c r="H1" s="10" t="s">
        <v>4</v>
      </c>
      <c r="I1" s="12" t="s">
        <v>6</v>
      </c>
      <c r="J1" s="10" t="s">
        <v>5</v>
      </c>
      <c r="K1" s="10" t="s">
        <v>11</v>
      </c>
      <c r="L1" s="10" t="s">
        <v>12</v>
      </c>
      <c r="M1" s="10" t="s">
        <v>21</v>
      </c>
      <c r="N1" s="10"/>
      <c r="O1" s="10"/>
      <c r="P1" s="10"/>
    </row>
    <row r="2" spans="1:16" ht="150.75" thickBot="1">
      <c r="A2" s="36"/>
      <c r="B2" s="38"/>
      <c r="C2" s="36" t="s">
        <v>224</v>
      </c>
      <c r="D2" s="38" t="s">
        <v>77</v>
      </c>
      <c r="E2" s="37" t="s">
        <v>85</v>
      </c>
      <c r="F2" s="37" t="s">
        <v>129</v>
      </c>
      <c r="G2" s="39">
        <v>44190</v>
      </c>
      <c r="H2" s="40">
        <v>115.38</v>
      </c>
      <c r="I2" s="41" t="s">
        <v>1</v>
      </c>
      <c r="J2">
        <v>271500</v>
      </c>
      <c r="K2" s="2">
        <v>265000</v>
      </c>
      <c r="M2" s="6">
        <f t="shared" ref="M2:M54" si="0">(+J2/(J2+K2))*100</f>
        <v>50.605778191985081</v>
      </c>
      <c r="N2" s="6">
        <f t="shared" ref="N2:N54" si="1">(+K2/(J2+K2))*100</f>
        <v>49.394221808014912</v>
      </c>
    </row>
    <row r="3" spans="1:16" ht="150.75" thickBot="1">
      <c r="A3" s="36"/>
      <c r="B3" s="38"/>
      <c r="C3" s="36" t="s">
        <v>224</v>
      </c>
      <c r="D3" s="38" t="s">
        <v>77</v>
      </c>
      <c r="E3" s="37" t="s">
        <v>85</v>
      </c>
      <c r="F3" s="37" t="s">
        <v>129</v>
      </c>
      <c r="G3" s="39">
        <v>44176</v>
      </c>
      <c r="H3" s="40">
        <v>115.38</v>
      </c>
      <c r="I3" s="41" t="s">
        <v>1</v>
      </c>
      <c r="J3">
        <v>271500</v>
      </c>
      <c r="K3" s="2">
        <v>265000</v>
      </c>
      <c r="M3" s="6">
        <f t="shared" si="0"/>
        <v>50.605778191985081</v>
      </c>
      <c r="N3" s="6">
        <f t="shared" si="1"/>
        <v>49.394221808014912</v>
      </c>
    </row>
    <row r="4" spans="1:16" ht="150.75" thickBot="1">
      <c r="A4" s="36"/>
      <c r="B4" s="38"/>
      <c r="C4" s="36" t="s">
        <v>224</v>
      </c>
      <c r="D4" s="38" t="s">
        <v>77</v>
      </c>
      <c r="E4" s="37" t="s">
        <v>85</v>
      </c>
      <c r="F4" s="37" t="s">
        <v>129</v>
      </c>
      <c r="G4" s="39">
        <v>44162</v>
      </c>
      <c r="H4" s="40">
        <v>115.38</v>
      </c>
      <c r="I4" s="41" t="s">
        <v>1</v>
      </c>
      <c r="J4">
        <v>271500</v>
      </c>
      <c r="K4" s="2">
        <v>265000</v>
      </c>
      <c r="M4" s="6">
        <f t="shared" si="0"/>
        <v>50.605778191985081</v>
      </c>
      <c r="N4" s="6">
        <f t="shared" si="1"/>
        <v>49.394221808014912</v>
      </c>
    </row>
    <row r="5" spans="1:16" ht="150.75" thickBot="1">
      <c r="A5" s="36"/>
      <c r="B5" s="38"/>
      <c r="C5" s="36" t="s">
        <v>224</v>
      </c>
      <c r="D5" s="38" t="s">
        <v>77</v>
      </c>
      <c r="E5" s="37" t="s">
        <v>85</v>
      </c>
      <c r="F5" s="37" t="s">
        <v>129</v>
      </c>
      <c r="G5" s="39">
        <v>44148</v>
      </c>
      <c r="H5" s="40">
        <v>115.38</v>
      </c>
      <c r="I5" s="41" t="s">
        <v>1</v>
      </c>
      <c r="J5">
        <v>271500</v>
      </c>
      <c r="K5" s="2">
        <v>265000</v>
      </c>
      <c r="M5" s="6">
        <f t="shared" si="0"/>
        <v>50.605778191985081</v>
      </c>
      <c r="N5" s="6">
        <f t="shared" si="1"/>
        <v>49.394221808014912</v>
      </c>
    </row>
    <row r="6" spans="1:16" ht="150.75" thickBot="1">
      <c r="A6" s="36"/>
      <c r="B6" s="38"/>
      <c r="C6" s="36" t="s">
        <v>224</v>
      </c>
      <c r="D6" s="38" t="s">
        <v>77</v>
      </c>
      <c r="E6" s="37" t="s">
        <v>85</v>
      </c>
      <c r="F6" s="37" t="s">
        <v>129</v>
      </c>
      <c r="G6" s="39">
        <v>44134</v>
      </c>
      <c r="H6" s="40">
        <v>115.38</v>
      </c>
      <c r="I6" s="41" t="s">
        <v>1</v>
      </c>
      <c r="J6">
        <v>271500</v>
      </c>
      <c r="K6" s="2">
        <v>265000</v>
      </c>
      <c r="M6" s="6">
        <f t="shared" si="0"/>
        <v>50.605778191985081</v>
      </c>
      <c r="N6" s="6">
        <f t="shared" si="1"/>
        <v>49.394221808014912</v>
      </c>
    </row>
    <row r="7" spans="1:16" ht="150.75" thickBot="1">
      <c r="A7" s="36"/>
      <c r="B7" s="38"/>
      <c r="C7" s="36" t="s">
        <v>224</v>
      </c>
      <c r="D7" s="38" t="s">
        <v>77</v>
      </c>
      <c r="E7" s="37" t="s">
        <v>85</v>
      </c>
      <c r="F7" s="37" t="s">
        <v>129</v>
      </c>
      <c r="G7" s="39">
        <v>44120</v>
      </c>
      <c r="H7" s="40">
        <v>115.38</v>
      </c>
      <c r="I7" s="41" t="s">
        <v>1</v>
      </c>
      <c r="J7">
        <v>271500</v>
      </c>
      <c r="K7" s="2">
        <v>265000</v>
      </c>
      <c r="M7" s="6">
        <f t="shared" si="0"/>
        <v>50.605778191985081</v>
      </c>
      <c r="N7" s="6">
        <f t="shared" si="1"/>
        <v>49.394221808014912</v>
      </c>
    </row>
    <row r="8" spans="1:16" ht="150.75" thickBot="1">
      <c r="A8" s="36"/>
      <c r="B8" s="38"/>
      <c r="C8" s="36" t="s">
        <v>224</v>
      </c>
      <c r="D8" s="38" t="s">
        <v>77</v>
      </c>
      <c r="E8" s="37" t="s">
        <v>85</v>
      </c>
      <c r="F8" s="37" t="s">
        <v>129</v>
      </c>
      <c r="G8" s="39">
        <v>44106</v>
      </c>
      <c r="H8" s="40">
        <v>115.38</v>
      </c>
      <c r="I8" s="41" t="s">
        <v>1</v>
      </c>
      <c r="J8">
        <v>271500</v>
      </c>
      <c r="K8" s="2">
        <v>265000</v>
      </c>
      <c r="M8" s="6">
        <f t="shared" si="0"/>
        <v>50.605778191985081</v>
      </c>
      <c r="N8" s="6">
        <f t="shared" si="1"/>
        <v>49.394221808014912</v>
      </c>
    </row>
    <row r="9" spans="1:16" ht="150.75" thickBot="1">
      <c r="A9" s="36"/>
      <c r="B9" s="38"/>
      <c r="C9" s="36" t="s">
        <v>224</v>
      </c>
      <c r="D9" s="38" t="s">
        <v>77</v>
      </c>
      <c r="E9" s="37" t="s">
        <v>85</v>
      </c>
      <c r="F9" s="37" t="s">
        <v>129</v>
      </c>
      <c r="G9" s="39">
        <v>44092</v>
      </c>
      <c r="H9" s="40">
        <v>115.38</v>
      </c>
      <c r="I9" s="41" t="s">
        <v>1</v>
      </c>
      <c r="J9">
        <v>271500</v>
      </c>
      <c r="K9" s="2">
        <v>265000</v>
      </c>
      <c r="M9" s="6">
        <f t="shared" si="0"/>
        <v>50.605778191985081</v>
      </c>
      <c r="N9" s="6">
        <f t="shared" si="1"/>
        <v>49.394221808014912</v>
      </c>
    </row>
    <row r="10" spans="1:16" ht="150.75" thickBot="1">
      <c r="A10" s="36"/>
      <c r="B10" s="38"/>
      <c r="C10" s="36" t="s">
        <v>224</v>
      </c>
      <c r="D10" s="38" t="s">
        <v>77</v>
      </c>
      <c r="E10" s="37" t="s">
        <v>85</v>
      </c>
      <c r="F10" s="37" t="s">
        <v>129</v>
      </c>
      <c r="G10" s="39">
        <v>44078</v>
      </c>
      <c r="H10" s="40">
        <v>115.38</v>
      </c>
      <c r="I10" s="41" t="s">
        <v>1</v>
      </c>
      <c r="J10">
        <v>271500</v>
      </c>
      <c r="K10" s="2">
        <v>265000</v>
      </c>
      <c r="M10" s="6">
        <f t="shared" si="0"/>
        <v>50.605778191985081</v>
      </c>
      <c r="N10" s="6">
        <f t="shared" si="1"/>
        <v>49.394221808014912</v>
      </c>
    </row>
    <row r="11" spans="1:16" ht="30.75" thickBot="1">
      <c r="A11" s="36"/>
      <c r="B11" s="38"/>
      <c r="C11" s="36" t="s">
        <v>224</v>
      </c>
      <c r="D11" s="38" t="s">
        <v>225</v>
      </c>
      <c r="E11" s="37" t="s">
        <v>85</v>
      </c>
      <c r="F11" s="37" t="s">
        <v>86</v>
      </c>
      <c r="G11" s="39">
        <v>44077</v>
      </c>
      <c r="H11" s="40">
        <v>1000</v>
      </c>
      <c r="I11" s="41" t="s">
        <v>1</v>
      </c>
      <c r="J11">
        <v>271500</v>
      </c>
      <c r="K11" s="2">
        <v>265000</v>
      </c>
      <c r="M11" s="6">
        <f t="shared" si="0"/>
        <v>50.605778191985081</v>
      </c>
      <c r="N11" s="6">
        <f t="shared" si="1"/>
        <v>49.394221808014912</v>
      </c>
    </row>
    <row r="12" spans="1:16" ht="150.75" thickBot="1">
      <c r="A12" s="36"/>
      <c r="B12" s="38"/>
      <c r="C12" s="36" t="s">
        <v>224</v>
      </c>
      <c r="D12" s="38" t="s">
        <v>77</v>
      </c>
      <c r="E12" s="37" t="s">
        <v>85</v>
      </c>
      <c r="F12" s="37" t="s">
        <v>129</v>
      </c>
      <c r="G12" s="39">
        <v>44064</v>
      </c>
      <c r="H12" s="40">
        <v>115.38</v>
      </c>
      <c r="I12" s="41" t="s">
        <v>1</v>
      </c>
      <c r="J12">
        <v>271500</v>
      </c>
      <c r="K12" s="2">
        <v>265000</v>
      </c>
      <c r="M12" s="6">
        <f t="shared" si="0"/>
        <v>50.605778191985081</v>
      </c>
      <c r="N12" s="6">
        <f t="shared" si="1"/>
        <v>49.394221808014912</v>
      </c>
    </row>
    <row r="13" spans="1:16" ht="150.75" thickBot="1">
      <c r="A13" s="36"/>
      <c r="B13" s="38"/>
      <c r="C13" s="36" t="s">
        <v>224</v>
      </c>
      <c r="D13" s="38" t="s">
        <v>77</v>
      </c>
      <c r="E13" s="37" t="s">
        <v>85</v>
      </c>
      <c r="F13" s="37" t="s">
        <v>129</v>
      </c>
      <c r="G13" s="39">
        <v>44050</v>
      </c>
      <c r="H13" s="40">
        <v>115.38</v>
      </c>
      <c r="I13" s="41" t="s">
        <v>1</v>
      </c>
      <c r="J13">
        <v>271500</v>
      </c>
      <c r="K13" s="2">
        <v>265000</v>
      </c>
      <c r="M13" s="6">
        <f t="shared" si="0"/>
        <v>50.605778191985081</v>
      </c>
      <c r="N13" s="6">
        <f t="shared" si="1"/>
        <v>49.394221808014912</v>
      </c>
    </row>
    <row r="14" spans="1:16" ht="150.75" thickBot="1">
      <c r="A14" s="36"/>
      <c r="B14" s="38"/>
      <c r="C14" s="36" t="s">
        <v>224</v>
      </c>
      <c r="D14" s="38" t="s">
        <v>77</v>
      </c>
      <c r="E14" s="37" t="s">
        <v>85</v>
      </c>
      <c r="F14" s="37" t="s">
        <v>129</v>
      </c>
      <c r="G14" s="39">
        <v>44036</v>
      </c>
      <c r="H14" s="40">
        <v>115.38</v>
      </c>
      <c r="I14" s="41" t="s">
        <v>1</v>
      </c>
      <c r="J14">
        <v>271500</v>
      </c>
      <c r="K14" s="2">
        <v>265000</v>
      </c>
      <c r="M14" s="6">
        <f t="shared" si="0"/>
        <v>50.605778191985081</v>
      </c>
      <c r="N14" s="6">
        <f t="shared" si="1"/>
        <v>49.394221808014912</v>
      </c>
    </row>
    <row r="15" spans="1:16" ht="150.75" thickBot="1">
      <c r="A15" s="36"/>
      <c r="B15" s="38"/>
      <c r="C15" s="36" t="s">
        <v>224</v>
      </c>
      <c r="D15" s="38" t="s">
        <v>77</v>
      </c>
      <c r="E15" s="37" t="s">
        <v>85</v>
      </c>
      <c r="F15" s="37" t="s">
        <v>129</v>
      </c>
      <c r="G15" s="39">
        <v>44022</v>
      </c>
      <c r="H15" s="40">
        <v>115.38</v>
      </c>
      <c r="I15" s="41" t="s">
        <v>1</v>
      </c>
      <c r="J15">
        <v>271500</v>
      </c>
      <c r="K15" s="2">
        <v>265000</v>
      </c>
      <c r="M15" s="6">
        <f t="shared" si="0"/>
        <v>50.605778191985081</v>
      </c>
      <c r="N15" s="6">
        <f t="shared" si="1"/>
        <v>49.394221808014912</v>
      </c>
    </row>
    <row r="16" spans="1:16" ht="150.75" thickBot="1">
      <c r="A16" s="36"/>
      <c r="B16" s="38"/>
      <c r="C16" s="36" t="s">
        <v>224</v>
      </c>
      <c r="D16" s="38" t="s">
        <v>77</v>
      </c>
      <c r="E16" s="37" t="s">
        <v>85</v>
      </c>
      <c r="F16" s="37" t="s">
        <v>129</v>
      </c>
      <c r="G16" s="39">
        <v>44008</v>
      </c>
      <c r="H16" s="40">
        <v>115.38</v>
      </c>
      <c r="I16" s="41" t="s">
        <v>1</v>
      </c>
      <c r="J16">
        <v>271500</v>
      </c>
      <c r="K16" s="2">
        <v>265000</v>
      </c>
      <c r="M16" s="6">
        <f t="shared" si="0"/>
        <v>50.605778191985081</v>
      </c>
      <c r="N16" s="6">
        <f t="shared" si="1"/>
        <v>49.394221808014912</v>
      </c>
    </row>
    <row r="17" spans="1:14" ht="150.75" thickBot="1">
      <c r="A17" s="36"/>
      <c r="B17" s="38"/>
      <c r="C17" s="36" t="s">
        <v>224</v>
      </c>
      <c r="D17" s="38" t="s">
        <v>77</v>
      </c>
      <c r="E17" s="37" t="s">
        <v>85</v>
      </c>
      <c r="F17" s="37" t="s">
        <v>129</v>
      </c>
      <c r="G17" s="39">
        <v>43994</v>
      </c>
      <c r="H17" s="40">
        <v>115.38</v>
      </c>
      <c r="I17" s="41" t="s">
        <v>1</v>
      </c>
      <c r="J17">
        <v>271500</v>
      </c>
      <c r="K17" s="2">
        <v>265000</v>
      </c>
      <c r="M17" s="6">
        <f t="shared" si="0"/>
        <v>50.605778191985081</v>
      </c>
      <c r="N17" s="6">
        <f t="shared" si="1"/>
        <v>49.394221808014912</v>
      </c>
    </row>
    <row r="18" spans="1:14" ht="150.75" thickBot="1">
      <c r="A18" s="36"/>
      <c r="B18" s="38"/>
      <c r="C18" s="36" t="s">
        <v>224</v>
      </c>
      <c r="D18" s="38" t="s">
        <v>77</v>
      </c>
      <c r="E18" s="37" t="s">
        <v>85</v>
      </c>
      <c r="F18" s="37" t="s">
        <v>129</v>
      </c>
      <c r="G18" s="39">
        <v>43980</v>
      </c>
      <c r="H18" s="40">
        <v>115.38</v>
      </c>
      <c r="I18" s="41" t="s">
        <v>1</v>
      </c>
      <c r="J18">
        <v>271500</v>
      </c>
      <c r="K18" s="2">
        <v>265000</v>
      </c>
      <c r="M18" s="6">
        <f t="shared" si="0"/>
        <v>50.605778191985081</v>
      </c>
      <c r="N18" s="6">
        <f t="shared" si="1"/>
        <v>49.394221808014912</v>
      </c>
    </row>
    <row r="19" spans="1:14" ht="150.75" thickBot="1">
      <c r="A19" s="36"/>
      <c r="B19" s="38"/>
      <c r="C19" s="36" t="s">
        <v>224</v>
      </c>
      <c r="D19" s="38" t="s">
        <v>77</v>
      </c>
      <c r="E19" s="37" t="s">
        <v>85</v>
      </c>
      <c r="F19" s="37" t="s">
        <v>129</v>
      </c>
      <c r="G19" s="39">
        <v>43966</v>
      </c>
      <c r="H19" s="40">
        <v>115.38</v>
      </c>
      <c r="I19" s="41" t="s">
        <v>1</v>
      </c>
      <c r="J19">
        <v>271500</v>
      </c>
      <c r="K19" s="2">
        <v>265000</v>
      </c>
      <c r="M19" s="6">
        <f t="shared" si="0"/>
        <v>50.605778191985081</v>
      </c>
      <c r="N19" s="6">
        <f t="shared" si="1"/>
        <v>49.394221808014912</v>
      </c>
    </row>
    <row r="20" spans="1:14" ht="150.75" thickBot="1">
      <c r="A20" s="36"/>
      <c r="B20" s="38"/>
      <c r="C20" s="36" t="s">
        <v>224</v>
      </c>
      <c r="D20" s="38" t="s">
        <v>77</v>
      </c>
      <c r="E20" s="37" t="s">
        <v>85</v>
      </c>
      <c r="F20" s="37" t="s">
        <v>129</v>
      </c>
      <c r="G20" s="39">
        <v>43952</v>
      </c>
      <c r="H20" s="40">
        <v>115.38</v>
      </c>
      <c r="I20" s="41" t="s">
        <v>1</v>
      </c>
      <c r="J20">
        <v>271500</v>
      </c>
      <c r="K20" s="2">
        <v>265000</v>
      </c>
      <c r="M20" s="6">
        <f t="shared" si="0"/>
        <v>50.605778191985081</v>
      </c>
      <c r="N20" s="6">
        <f t="shared" si="1"/>
        <v>49.394221808014912</v>
      </c>
    </row>
    <row r="21" spans="1:14" ht="150.75" thickBot="1">
      <c r="A21" s="36"/>
      <c r="B21" s="38"/>
      <c r="C21" s="36" t="s">
        <v>224</v>
      </c>
      <c r="D21" s="38" t="s">
        <v>77</v>
      </c>
      <c r="E21" s="37" t="s">
        <v>85</v>
      </c>
      <c r="F21" s="37" t="s">
        <v>129</v>
      </c>
      <c r="G21" s="39">
        <v>43938</v>
      </c>
      <c r="H21" s="40">
        <v>115.38</v>
      </c>
      <c r="I21" s="41" t="s">
        <v>1</v>
      </c>
      <c r="J21">
        <v>271500</v>
      </c>
      <c r="K21" s="2">
        <v>265000</v>
      </c>
      <c r="M21" s="6">
        <f t="shared" si="0"/>
        <v>50.605778191985081</v>
      </c>
      <c r="N21" s="6">
        <f t="shared" si="1"/>
        <v>49.394221808014912</v>
      </c>
    </row>
    <row r="22" spans="1:14" ht="150.75" thickBot="1">
      <c r="A22" s="36"/>
      <c r="B22" s="38"/>
      <c r="C22" s="36" t="s">
        <v>224</v>
      </c>
      <c r="D22" s="38" t="s">
        <v>77</v>
      </c>
      <c r="E22" s="37" t="s">
        <v>85</v>
      </c>
      <c r="F22" s="37" t="s">
        <v>129</v>
      </c>
      <c r="G22" s="39">
        <v>43924</v>
      </c>
      <c r="H22" s="40">
        <v>115.38</v>
      </c>
      <c r="I22" s="41" t="s">
        <v>1</v>
      </c>
      <c r="J22">
        <v>271500</v>
      </c>
      <c r="K22" s="2">
        <v>265000</v>
      </c>
      <c r="M22" s="6">
        <f t="shared" si="0"/>
        <v>50.605778191985081</v>
      </c>
      <c r="N22" s="6">
        <f t="shared" si="1"/>
        <v>49.394221808014912</v>
      </c>
    </row>
    <row r="23" spans="1:14" ht="150.75" thickBot="1">
      <c r="A23" s="36"/>
      <c r="B23" s="38"/>
      <c r="C23" s="36" t="s">
        <v>224</v>
      </c>
      <c r="D23" s="38" t="s">
        <v>77</v>
      </c>
      <c r="E23" s="37" t="s">
        <v>85</v>
      </c>
      <c r="F23" s="37" t="s">
        <v>129</v>
      </c>
      <c r="G23" s="39">
        <v>43910</v>
      </c>
      <c r="H23" s="40">
        <v>115.38</v>
      </c>
      <c r="I23" s="41" t="s">
        <v>1</v>
      </c>
      <c r="J23">
        <v>271500</v>
      </c>
      <c r="K23" s="2">
        <v>265000</v>
      </c>
      <c r="M23" s="6">
        <f t="shared" si="0"/>
        <v>50.605778191985081</v>
      </c>
      <c r="N23" s="6">
        <f t="shared" si="1"/>
        <v>49.394221808014912</v>
      </c>
    </row>
    <row r="24" spans="1:14" ht="150.75" thickBot="1">
      <c r="A24" s="36"/>
      <c r="B24" s="38"/>
      <c r="C24" s="36" t="s">
        <v>224</v>
      </c>
      <c r="D24" s="38" t="s">
        <v>77</v>
      </c>
      <c r="E24" s="37" t="s">
        <v>85</v>
      </c>
      <c r="F24" s="37" t="s">
        <v>129</v>
      </c>
      <c r="G24" s="39">
        <v>43896</v>
      </c>
      <c r="H24" s="40">
        <v>115.38</v>
      </c>
      <c r="I24" s="41" t="s">
        <v>1</v>
      </c>
      <c r="J24">
        <v>271500</v>
      </c>
      <c r="K24" s="2">
        <v>265000</v>
      </c>
      <c r="M24" s="6">
        <f t="shared" si="0"/>
        <v>50.605778191985081</v>
      </c>
      <c r="N24" s="6">
        <f t="shared" si="1"/>
        <v>49.394221808014912</v>
      </c>
    </row>
    <row r="25" spans="1:14" ht="150.75" thickBot="1">
      <c r="A25" s="36"/>
      <c r="B25" s="38"/>
      <c r="C25" s="36" t="s">
        <v>224</v>
      </c>
      <c r="D25" s="38" t="s">
        <v>77</v>
      </c>
      <c r="E25" s="37" t="s">
        <v>85</v>
      </c>
      <c r="F25" s="37" t="s">
        <v>129</v>
      </c>
      <c r="G25" s="39">
        <v>43882</v>
      </c>
      <c r="H25" s="40">
        <v>115.38</v>
      </c>
      <c r="I25" s="41" t="s">
        <v>1</v>
      </c>
      <c r="J25">
        <v>271500</v>
      </c>
      <c r="K25" s="2">
        <v>265000</v>
      </c>
      <c r="M25" s="6">
        <f t="shared" si="0"/>
        <v>50.605778191985081</v>
      </c>
      <c r="N25" s="6">
        <f t="shared" si="1"/>
        <v>49.394221808014912</v>
      </c>
    </row>
    <row r="26" spans="1:14" ht="150.75" thickBot="1">
      <c r="A26" s="36"/>
      <c r="B26" s="38"/>
      <c r="C26" s="36" t="s">
        <v>224</v>
      </c>
      <c r="D26" s="38" t="s">
        <v>77</v>
      </c>
      <c r="E26" s="37" t="s">
        <v>85</v>
      </c>
      <c r="F26" s="37" t="s">
        <v>129</v>
      </c>
      <c r="G26" s="39">
        <v>43868</v>
      </c>
      <c r="H26" s="40">
        <v>115.38</v>
      </c>
      <c r="I26" s="41" t="s">
        <v>1</v>
      </c>
      <c r="J26">
        <v>271500</v>
      </c>
      <c r="K26" s="2">
        <v>265000</v>
      </c>
      <c r="M26" s="6">
        <f t="shared" si="0"/>
        <v>50.605778191985081</v>
      </c>
      <c r="N26" s="6">
        <f t="shared" si="1"/>
        <v>49.394221808014912</v>
      </c>
    </row>
    <row r="27" spans="1:14" ht="150.75" thickBot="1">
      <c r="A27" s="36"/>
      <c r="B27" s="38"/>
      <c r="C27" s="36" t="s">
        <v>224</v>
      </c>
      <c r="D27" s="38" t="s">
        <v>77</v>
      </c>
      <c r="E27" s="37" t="s">
        <v>85</v>
      </c>
      <c r="F27" s="37" t="s">
        <v>129</v>
      </c>
      <c r="G27" s="39">
        <v>43854</v>
      </c>
      <c r="H27" s="40">
        <v>115.38</v>
      </c>
      <c r="I27" s="41" t="s">
        <v>1</v>
      </c>
      <c r="J27">
        <v>271500</v>
      </c>
      <c r="K27" s="2">
        <v>265000</v>
      </c>
      <c r="M27" s="6">
        <f t="shared" si="0"/>
        <v>50.605778191985081</v>
      </c>
      <c r="N27" s="6">
        <f t="shared" si="1"/>
        <v>49.394221808014912</v>
      </c>
    </row>
    <row r="28" spans="1:14" ht="30.75" thickBot="1">
      <c r="A28" s="36"/>
      <c r="B28" s="38"/>
      <c r="C28" s="36" t="s">
        <v>224</v>
      </c>
      <c r="D28" s="38" t="s">
        <v>226</v>
      </c>
      <c r="E28" s="37" t="s">
        <v>85</v>
      </c>
      <c r="F28" s="37" t="s">
        <v>227</v>
      </c>
      <c r="G28" s="39">
        <v>43836</v>
      </c>
      <c r="H28" s="40">
        <v>1000</v>
      </c>
      <c r="I28" s="41" t="s">
        <v>1</v>
      </c>
      <c r="J28">
        <v>271500</v>
      </c>
      <c r="K28" s="2">
        <v>265000</v>
      </c>
      <c r="M28" s="6">
        <f t="shared" si="0"/>
        <v>50.605778191985081</v>
      </c>
      <c r="N28" s="6">
        <f t="shared" si="1"/>
        <v>49.394221808014912</v>
      </c>
    </row>
    <row r="29" spans="1:14" ht="150.75" thickBot="1">
      <c r="A29" s="36"/>
      <c r="B29" s="38"/>
      <c r="C29" s="36" t="s">
        <v>224</v>
      </c>
      <c r="D29" s="38" t="s">
        <v>77</v>
      </c>
      <c r="E29" s="37" t="s">
        <v>85</v>
      </c>
      <c r="F29" s="37" t="s">
        <v>129</v>
      </c>
      <c r="G29" s="39">
        <v>43826</v>
      </c>
      <c r="H29" s="40">
        <v>115.38</v>
      </c>
      <c r="I29" s="41" t="s">
        <v>1</v>
      </c>
      <c r="J29">
        <v>271500</v>
      </c>
      <c r="K29" s="2">
        <v>265000</v>
      </c>
      <c r="M29" s="6">
        <f t="shared" si="0"/>
        <v>50.605778191985081</v>
      </c>
      <c r="N29" s="6">
        <f t="shared" si="1"/>
        <v>49.394221808014912</v>
      </c>
    </row>
    <row r="30" spans="1:14" ht="150.75" thickBot="1">
      <c r="A30" s="36"/>
      <c r="B30" s="38"/>
      <c r="C30" s="36" t="s">
        <v>224</v>
      </c>
      <c r="D30" s="38" t="s">
        <v>77</v>
      </c>
      <c r="E30" s="37" t="s">
        <v>85</v>
      </c>
      <c r="F30" s="37" t="s">
        <v>129</v>
      </c>
      <c r="G30" s="39">
        <v>43812</v>
      </c>
      <c r="H30" s="40">
        <v>115.38</v>
      </c>
      <c r="I30" s="41" t="s">
        <v>1</v>
      </c>
      <c r="J30">
        <v>271500</v>
      </c>
      <c r="K30" s="2">
        <v>265000</v>
      </c>
      <c r="M30" s="6">
        <f t="shared" si="0"/>
        <v>50.605778191985081</v>
      </c>
      <c r="N30" s="6">
        <f t="shared" si="1"/>
        <v>49.394221808014912</v>
      </c>
    </row>
    <row r="31" spans="1:14" ht="150.75" thickBot="1">
      <c r="A31" s="36"/>
      <c r="B31" s="38"/>
      <c r="C31" s="36" t="s">
        <v>224</v>
      </c>
      <c r="D31" s="38" t="s">
        <v>77</v>
      </c>
      <c r="E31" s="37" t="s">
        <v>85</v>
      </c>
      <c r="F31" s="37" t="s">
        <v>129</v>
      </c>
      <c r="G31" s="39">
        <v>43798</v>
      </c>
      <c r="H31" s="40">
        <v>115.38</v>
      </c>
      <c r="I31" s="41" t="s">
        <v>1</v>
      </c>
      <c r="J31">
        <v>271500</v>
      </c>
      <c r="K31" s="2">
        <v>265000</v>
      </c>
      <c r="M31" s="6">
        <f t="shared" si="0"/>
        <v>50.605778191985081</v>
      </c>
      <c r="N31" s="6">
        <f t="shared" si="1"/>
        <v>49.394221808014912</v>
      </c>
    </row>
    <row r="32" spans="1:14" ht="150.75" thickBot="1">
      <c r="A32" s="36"/>
      <c r="B32" s="38"/>
      <c r="C32" s="36" t="s">
        <v>224</v>
      </c>
      <c r="D32" s="38" t="s">
        <v>77</v>
      </c>
      <c r="E32" s="37" t="s">
        <v>85</v>
      </c>
      <c r="F32" s="37" t="s">
        <v>129</v>
      </c>
      <c r="G32" s="39">
        <v>43784</v>
      </c>
      <c r="H32" s="40">
        <v>115.38</v>
      </c>
      <c r="I32" s="41" t="s">
        <v>1</v>
      </c>
      <c r="J32">
        <v>271500</v>
      </c>
      <c r="K32" s="2">
        <v>265000</v>
      </c>
      <c r="M32" s="6">
        <f t="shared" si="0"/>
        <v>50.605778191985081</v>
      </c>
      <c r="N32" s="6">
        <f t="shared" si="1"/>
        <v>49.394221808014912</v>
      </c>
    </row>
    <row r="33" spans="1:14" ht="150.75" thickBot="1">
      <c r="A33" s="36"/>
      <c r="B33" s="38"/>
      <c r="C33" s="36" t="s">
        <v>224</v>
      </c>
      <c r="D33" s="38" t="s">
        <v>77</v>
      </c>
      <c r="E33" s="37" t="s">
        <v>85</v>
      </c>
      <c r="F33" s="37" t="s">
        <v>129</v>
      </c>
      <c r="G33" s="39">
        <v>43770</v>
      </c>
      <c r="H33" s="40">
        <v>115.38</v>
      </c>
      <c r="I33" s="41" t="s">
        <v>1</v>
      </c>
      <c r="J33">
        <v>271500</v>
      </c>
      <c r="K33" s="2">
        <v>265000</v>
      </c>
      <c r="M33" s="6">
        <f t="shared" si="0"/>
        <v>50.605778191985081</v>
      </c>
      <c r="N33" s="6">
        <f t="shared" si="1"/>
        <v>49.394221808014912</v>
      </c>
    </row>
    <row r="34" spans="1:14" ht="150.75" thickBot="1">
      <c r="A34" s="36"/>
      <c r="B34" s="38"/>
      <c r="C34" s="36" t="s">
        <v>224</v>
      </c>
      <c r="D34" s="38" t="s">
        <v>77</v>
      </c>
      <c r="E34" s="37" t="s">
        <v>85</v>
      </c>
      <c r="F34" s="37" t="s">
        <v>129</v>
      </c>
      <c r="G34" s="39">
        <v>43756</v>
      </c>
      <c r="H34" s="40">
        <v>115.38</v>
      </c>
      <c r="I34" s="41" t="s">
        <v>1</v>
      </c>
      <c r="J34">
        <v>271500</v>
      </c>
      <c r="K34" s="2">
        <v>265000</v>
      </c>
      <c r="M34" s="6">
        <f t="shared" si="0"/>
        <v>50.605778191985081</v>
      </c>
      <c r="N34" s="6">
        <f t="shared" si="1"/>
        <v>49.394221808014912</v>
      </c>
    </row>
    <row r="35" spans="1:14" ht="150.75" thickBot="1">
      <c r="A35" s="36"/>
      <c r="B35" s="38"/>
      <c r="C35" s="36" t="s">
        <v>224</v>
      </c>
      <c r="D35" s="38" t="s">
        <v>77</v>
      </c>
      <c r="E35" s="37" t="s">
        <v>85</v>
      </c>
      <c r="F35" s="37" t="s">
        <v>129</v>
      </c>
      <c r="G35" s="39">
        <v>43742</v>
      </c>
      <c r="H35" s="40">
        <v>115.38</v>
      </c>
      <c r="I35" s="41" t="s">
        <v>1</v>
      </c>
      <c r="J35">
        <v>271500</v>
      </c>
      <c r="K35" s="2">
        <v>265000</v>
      </c>
      <c r="M35" s="6">
        <f t="shared" si="0"/>
        <v>50.605778191985081</v>
      </c>
      <c r="N35" s="6">
        <f t="shared" si="1"/>
        <v>49.394221808014912</v>
      </c>
    </row>
    <row r="36" spans="1:14" ht="150.75" thickBot="1">
      <c r="A36" s="36"/>
      <c r="B36" s="38"/>
      <c r="C36" s="36" t="s">
        <v>224</v>
      </c>
      <c r="D36" s="38" t="s">
        <v>77</v>
      </c>
      <c r="E36" s="37" t="s">
        <v>85</v>
      </c>
      <c r="F36" s="37" t="s">
        <v>129</v>
      </c>
      <c r="G36" s="39">
        <v>43728</v>
      </c>
      <c r="H36" s="40">
        <v>115.38</v>
      </c>
      <c r="I36" s="41" t="s">
        <v>1</v>
      </c>
      <c r="J36">
        <v>271500</v>
      </c>
      <c r="K36" s="2">
        <v>265000</v>
      </c>
      <c r="M36" s="6">
        <f t="shared" si="0"/>
        <v>50.605778191985081</v>
      </c>
      <c r="N36" s="6">
        <f t="shared" si="1"/>
        <v>49.394221808014912</v>
      </c>
    </row>
    <row r="37" spans="1:14" ht="150.75" thickBot="1">
      <c r="A37" s="36"/>
      <c r="B37" s="38"/>
      <c r="C37" s="36" t="s">
        <v>224</v>
      </c>
      <c r="D37" s="38" t="s">
        <v>77</v>
      </c>
      <c r="E37" s="37" t="s">
        <v>85</v>
      </c>
      <c r="F37" s="37" t="s">
        <v>129</v>
      </c>
      <c r="G37" s="39">
        <v>43714</v>
      </c>
      <c r="H37" s="40">
        <v>115.38</v>
      </c>
      <c r="I37" s="41" t="s">
        <v>1</v>
      </c>
      <c r="J37">
        <v>271500</v>
      </c>
      <c r="K37" s="2">
        <v>265000</v>
      </c>
      <c r="M37" s="6">
        <f t="shared" si="0"/>
        <v>50.605778191985081</v>
      </c>
      <c r="N37" s="6">
        <f t="shared" si="1"/>
        <v>49.394221808014912</v>
      </c>
    </row>
    <row r="38" spans="1:14" ht="150.75" thickBot="1">
      <c r="A38" s="36"/>
      <c r="B38" s="38"/>
      <c r="C38" s="36" t="s">
        <v>224</v>
      </c>
      <c r="D38" s="38" t="s">
        <v>77</v>
      </c>
      <c r="E38" s="37" t="s">
        <v>85</v>
      </c>
      <c r="F38" s="37" t="s">
        <v>129</v>
      </c>
      <c r="G38" s="39">
        <v>43700</v>
      </c>
      <c r="H38" s="40">
        <v>115.38</v>
      </c>
      <c r="I38" s="41" t="s">
        <v>1</v>
      </c>
      <c r="J38">
        <v>271500</v>
      </c>
      <c r="K38" s="2">
        <v>265000</v>
      </c>
      <c r="M38" s="6">
        <f t="shared" si="0"/>
        <v>50.605778191985081</v>
      </c>
      <c r="N38" s="6">
        <f t="shared" si="1"/>
        <v>49.394221808014912</v>
      </c>
    </row>
    <row r="39" spans="1:14" ht="150.75" thickBot="1">
      <c r="A39" s="36"/>
      <c r="B39" s="38"/>
      <c r="C39" s="36" t="s">
        <v>224</v>
      </c>
      <c r="D39" s="38" t="s">
        <v>77</v>
      </c>
      <c r="E39" s="37" t="s">
        <v>85</v>
      </c>
      <c r="F39" s="37" t="s">
        <v>129</v>
      </c>
      <c r="G39" s="39">
        <v>43686</v>
      </c>
      <c r="H39" s="40">
        <v>115.38</v>
      </c>
      <c r="I39" s="41" t="s">
        <v>1</v>
      </c>
      <c r="J39">
        <v>271500</v>
      </c>
      <c r="K39" s="2">
        <v>265000</v>
      </c>
      <c r="M39" s="6">
        <f t="shared" si="0"/>
        <v>50.605778191985081</v>
      </c>
      <c r="N39" s="6">
        <f t="shared" si="1"/>
        <v>49.394221808014912</v>
      </c>
    </row>
    <row r="40" spans="1:14" ht="150.75" thickBot="1">
      <c r="A40" s="36"/>
      <c r="B40" s="38"/>
      <c r="C40" s="36" t="s">
        <v>224</v>
      </c>
      <c r="D40" s="38" t="s">
        <v>77</v>
      </c>
      <c r="E40" s="37" t="s">
        <v>85</v>
      </c>
      <c r="F40" s="37" t="s">
        <v>129</v>
      </c>
      <c r="G40" s="39">
        <v>43672</v>
      </c>
      <c r="H40" s="40">
        <v>115.38</v>
      </c>
      <c r="I40" s="41" t="s">
        <v>1</v>
      </c>
      <c r="J40">
        <v>271500</v>
      </c>
      <c r="K40" s="2">
        <v>265000</v>
      </c>
      <c r="M40" s="6">
        <f t="shared" si="0"/>
        <v>50.605778191985081</v>
      </c>
      <c r="N40" s="6">
        <f t="shared" si="1"/>
        <v>49.394221808014912</v>
      </c>
    </row>
    <row r="41" spans="1:14" ht="150.75" thickBot="1">
      <c r="A41" s="36"/>
      <c r="B41" s="38"/>
      <c r="C41" s="36" t="s">
        <v>224</v>
      </c>
      <c r="D41" s="38" t="s">
        <v>77</v>
      </c>
      <c r="E41" s="37" t="s">
        <v>85</v>
      </c>
      <c r="F41" s="37" t="s">
        <v>129</v>
      </c>
      <c r="G41" s="39">
        <v>43658</v>
      </c>
      <c r="H41" s="40">
        <v>115.38</v>
      </c>
      <c r="I41" s="41" t="s">
        <v>1</v>
      </c>
      <c r="J41">
        <v>271500</v>
      </c>
      <c r="K41" s="2">
        <v>265000</v>
      </c>
      <c r="M41" s="6">
        <f t="shared" si="0"/>
        <v>50.605778191985081</v>
      </c>
      <c r="N41" s="6">
        <f t="shared" si="1"/>
        <v>49.394221808014912</v>
      </c>
    </row>
    <row r="42" spans="1:14" ht="150.75" thickBot="1">
      <c r="A42" s="36"/>
      <c r="B42" s="38"/>
      <c r="C42" s="36" t="s">
        <v>224</v>
      </c>
      <c r="D42" s="38" t="s">
        <v>77</v>
      </c>
      <c r="E42" s="37" t="s">
        <v>85</v>
      </c>
      <c r="F42" s="37" t="s">
        <v>129</v>
      </c>
      <c r="G42" s="39">
        <v>43644</v>
      </c>
      <c r="H42" s="40">
        <v>115.38</v>
      </c>
      <c r="I42" s="41" t="s">
        <v>1</v>
      </c>
      <c r="J42">
        <v>271500</v>
      </c>
      <c r="K42" s="2">
        <v>265000</v>
      </c>
      <c r="M42" s="6">
        <f t="shared" si="0"/>
        <v>50.605778191985081</v>
      </c>
      <c r="N42" s="6">
        <f t="shared" si="1"/>
        <v>49.394221808014912</v>
      </c>
    </row>
    <row r="43" spans="1:14" ht="150.75" thickBot="1">
      <c r="A43" s="36"/>
      <c r="B43" s="38"/>
      <c r="C43" s="36" t="s">
        <v>224</v>
      </c>
      <c r="D43" s="38" t="s">
        <v>77</v>
      </c>
      <c r="E43" s="37" t="s">
        <v>85</v>
      </c>
      <c r="F43" s="37" t="s">
        <v>129</v>
      </c>
      <c r="G43" s="39">
        <v>43630</v>
      </c>
      <c r="H43" s="40">
        <v>115.38</v>
      </c>
      <c r="I43" s="41" t="s">
        <v>1</v>
      </c>
      <c r="J43">
        <v>271500</v>
      </c>
      <c r="K43" s="2">
        <v>265000</v>
      </c>
      <c r="M43" s="6">
        <f t="shared" si="0"/>
        <v>50.605778191985081</v>
      </c>
      <c r="N43" s="6">
        <f t="shared" si="1"/>
        <v>49.394221808014912</v>
      </c>
    </row>
    <row r="44" spans="1:14" ht="150.75" thickBot="1">
      <c r="A44" s="36"/>
      <c r="B44" s="38"/>
      <c r="C44" s="36" t="s">
        <v>224</v>
      </c>
      <c r="D44" s="38" t="s">
        <v>77</v>
      </c>
      <c r="E44" s="37" t="s">
        <v>85</v>
      </c>
      <c r="F44" s="37" t="s">
        <v>129</v>
      </c>
      <c r="G44" s="39">
        <v>43616</v>
      </c>
      <c r="H44" s="40">
        <v>115.38</v>
      </c>
      <c r="I44" s="41" t="s">
        <v>1</v>
      </c>
      <c r="J44">
        <v>271500</v>
      </c>
      <c r="K44" s="2">
        <v>265000</v>
      </c>
      <c r="M44" s="6">
        <f t="shared" si="0"/>
        <v>50.605778191985081</v>
      </c>
      <c r="N44" s="6">
        <f t="shared" si="1"/>
        <v>49.394221808014912</v>
      </c>
    </row>
    <row r="45" spans="1:14" ht="150.75" thickBot="1">
      <c r="A45" s="36"/>
      <c r="B45" s="38"/>
      <c r="C45" s="36" t="s">
        <v>224</v>
      </c>
      <c r="D45" s="38" t="s">
        <v>77</v>
      </c>
      <c r="E45" s="37" t="s">
        <v>85</v>
      </c>
      <c r="F45" s="37" t="s">
        <v>129</v>
      </c>
      <c r="G45" s="39">
        <v>43602</v>
      </c>
      <c r="H45" s="40">
        <v>115.38</v>
      </c>
      <c r="I45" s="41" t="s">
        <v>1</v>
      </c>
      <c r="J45">
        <v>271500</v>
      </c>
      <c r="K45" s="2">
        <v>265000</v>
      </c>
      <c r="M45" s="6">
        <f t="shared" si="0"/>
        <v>50.605778191985081</v>
      </c>
      <c r="N45" s="6">
        <f t="shared" si="1"/>
        <v>49.394221808014912</v>
      </c>
    </row>
    <row r="46" spans="1:14" ht="150.75" thickBot="1">
      <c r="A46" s="36"/>
      <c r="B46" s="38"/>
      <c r="C46" s="36" t="s">
        <v>224</v>
      </c>
      <c r="D46" s="38" t="s">
        <v>77</v>
      </c>
      <c r="E46" s="37" t="s">
        <v>85</v>
      </c>
      <c r="F46" s="37" t="s">
        <v>129</v>
      </c>
      <c r="G46" s="39">
        <v>43588</v>
      </c>
      <c r="H46" s="40">
        <v>115.38</v>
      </c>
      <c r="I46" s="41" t="s">
        <v>1</v>
      </c>
      <c r="J46">
        <v>271500</v>
      </c>
      <c r="K46" s="2">
        <v>265000</v>
      </c>
      <c r="M46" s="6">
        <f t="shared" si="0"/>
        <v>50.605778191985081</v>
      </c>
      <c r="N46" s="6">
        <f t="shared" si="1"/>
        <v>49.394221808014912</v>
      </c>
    </row>
    <row r="47" spans="1:14" ht="180.75" thickBot="1">
      <c r="A47" s="36"/>
      <c r="B47" s="38"/>
      <c r="C47" s="36" t="s">
        <v>224</v>
      </c>
      <c r="D47" s="38" t="s">
        <v>71</v>
      </c>
      <c r="E47" s="37" t="s">
        <v>85</v>
      </c>
      <c r="F47" s="37" t="s">
        <v>88</v>
      </c>
      <c r="G47" s="39">
        <v>43586</v>
      </c>
      <c r="H47" s="40">
        <v>450</v>
      </c>
      <c r="I47" s="41" t="s">
        <v>1</v>
      </c>
      <c r="J47">
        <v>271500</v>
      </c>
      <c r="K47" s="2">
        <v>265000</v>
      </c>
      <c r="M47" s="6">
        <f t="shared" si="0"/>
        <v>50.605778191985081</v>
      </c>
      <c r="N47" s="6">
        <f t="shared" si="1"/>
        <v>49.394221808014912</v>
      </c>
    </row>
    <row r="48" spans="1:14" ht="150.75" thickBot="1">
      <c r="A48" s="36"/>
      <c r="B48" s="38"/>
      <c r="C48" s="36" t="s">
        <v>224</v>
      </c>
      <c r="D48" s="38" t="s">
        <v>77</v>
      </c>
      <c r="E48" s="37" t="s">
        <v>85</v>
      </c>
      <c r="F48" s="37" t="s">
        <v>129</v>
      </c>
      <c r="G48" s="39">
        <v>43574</v>
      </c>
      <c r="H48" s="40">
        <v>115.38</v>
      </c>
      <c r="I48" s="41" t="s">
        <v>1</v>
      </c>
      <c r="J48">
        <v>271500</v>
      </c>
      <c r="K48" s="2">
        <v>265000</v>
      </c>
      <c r="M48" s="6">
        <f t="shared" si="0"/>
        <v>50.605778191985081</v>
      </c>
      <c r="N48" s="6">
        <f t="shared" si="1"/>
        <v>49.394221808014912</v>
      </c>
    </row>
    <row r="49" spans="1:14" ht="150.75" thickBot="1">
      <c r="A49" s="36"/>
      <c r="B49" s="38"/>
      <c r="C49" s="36" t="s">
        <v>224</v>
      </c>
      <c r="D49" s="38" t="s">
        <v>77</v>
      </c>
      <c r="E49" s="37" t="s">
        <v>85</v>
      </c>
      <c r="F49" s="37" t="s">
        <v>129</v>
      </c>
      <c r="G49" s="39">
        <v>43560</v>
      </c>
      <c r="H49" s="40">
        <v>115.38</v>
      </c>
      <c r="I49" s="41" t="s">
        <v>1</v>
      </c>
      <c r="J49">
        <v>271500</v>
      </c>
      <c r="K49" s="2">
        <v>265000</v>
      </c>
      <c r="M49" s="6">
        <f t="shared" si="0"/>
        <v>50.605778191985081</v>
      </c>
      <c r="N49" s="6">
        <f t="shared" si="1"/>
        <v>49.394221808014912</v>
      </c>
    </row>
    <row r="50" spans="1:14" ht="150.75" thickBot="1">
      <c r="A50" s="36"/>
      <c r="B50" s="38"/>
      <c r="C50" s="36" t="s">
        <v>224</v>
      </c>
      <c r="D50" s="38" t="s">
        <v>77</v>
      </c>
      <c r="E50" s="37" t="s">
        <v>85</v>
      </c>
      <c r="F50" s="37" t="s">
        <v>129</v>
      </c>
      <c r="G50" s="39">
        <v>43546</v>
      </c>
      <c r="H50" s="40">
        <v>115.38</v>
      </c>
      <c r="I50" s="41" t="s">
        <v>1</v>
      </c>
      <c r="J50">
        <v>271500</v>
      </c>
      <c r="K50" s="2">
        <v>265000</v>
      </c>
      <c r="M50" s="6">
        <f t="shared" si="0"/>
        <v>50.605778191985081</v>
      </c>
      <c r="N50" s="6">
        <f t="shared" si="1"/>
        <v>49.394221808014912</v>
      </c>
    </row>
    <row r="51" spans="1:14" ht="150.75" thickBot="1">
      <c r="A51" s="36"/>
      <c r="B51" s="38"/>
      <c r="C51" s="36" t="s">
        <v>224</v>
      </c>
      <c r="D51" s="38" t="s">
        <v>77</v>
      </c>
      <c r="E51" s="37" t="s">
        <v>85</v>
      </c>
      <c r="F51" s="37" t="s">
        <v>129</v>
      </c>
      <c r="G51" s="39">
        <v>43532</v>
      </c>
      <c r="H51" s="40">
        <v>115.38</v>
      </c>
      <c r="I51" s="41" t="s">
        <v>1</v>
      </c>
      <c r="J51">
        <v>271500</v>
      </c>
      <c r="K51" s="2">
        <v>265000</v>
      </c>
      <c r="M51" s="6">
        <f t="shared" si="0"/>
        <v>50.605778191985081</v>
      </c>
      <c r="N51" s="6">
        <f t="shared" si="1"/>
        <v>49.394221808014912</v>
      </c>
    </row>
    <row r="52" spans="1:14" ht="150.75" thickBot="1">
      <c r="C52" s="36" t="s">
        <v>224</v>
      </c>
      <c r="D52" s="38" t="s">
        <v>77</v>
      </c>
      <c r="E52" s="37" t="s">
        <v>85</v>
      </c>
      <c r="F52" s="37" t="s">
        <v>129</v>
      </c>
      <c r="G52" s="39">
        <v>43518</v>
      </c>
      <c r="H52" s="40">
        <v>115.38</v>
      </c>
      <c r="I52" s="41" t="s">
        <v>1</v>
      </c>
      <c r="J52">
        <v>271500</v>
      </c>
      <c r="K52" s="2">
        <v>265000</v>
      </c>
      <c r="M52" s="6">
        <f t="shared" si="0"/>
        <v>50.605778191985081</v>
      </c>
      <c r="N52" s="6">
        <f t="shared" si="1"/>
        <v>49.394221808014912</v>
      </c>
    </row>
    <row r="53" spans="1:14" ht="150.75" thickBot="1">
      <c r="C53" s="36" t="s">
        <v>224</v>
      </c>
      <c r="D53" s="38" t="s">
        <v>77</v>
      </c>
      <c r="E53" s="37" t="s">
        <v>85</v>
      </c>
      <c r="F53" s="37" t="s">
        <v>129</v>
      </c>
      <c r="G53" s="39">
        <v>43504</v>
      </c>
      <c r="H53" s="40">
        <v>115.38</v>
      </c>
      <c r="I53" s="41" t="s">
        <v>1</v>
      </c>
      <c r="J53">
        <v>271500</v>
      </c>
      <c r="K53" s="2">
        <v>265000</v>
      </c>
      <c r="M53" s="6">
        <f t="shared" si="0"/>
        <v>50.605778191985081</v>
      </c>
      <c r="N53" s="6">
        <f t="shared" si="1"/>
        <v>49.394221808014912</v>
      </c>
    </row>
    <row r="54" spans="1:14" ht="150.75" thickBot="1">
      <c r="A54" s="36"/>
      <c r="B54" s="38"/>
      <c r="C54" s="36" t="s">
        <v>224</v>
      </c>
      <c r="D54" s="38" t="s">
        <v>77</v>
      </c>
      <c r="E54" s="37" t="s">
        <v>85</v>
      </c>
      <c r="F54" s="37" t="s">
        <v>129</v>
      </c>
      <c r="G54" s="39">
        <v>43490</v>
      </c>
      <c r="H54" s="40">
        <v>115.38</v>
      </c>
      <c r="I54" s="41" t="s">
        <v>1</v>
      </c>
      <c r="J54">
        <v>271500</v>
      </c>
      <c r="K54" s="2">
        <v>265000</v>
      </c>
      <c r="M54" s="6">
        <f t="shared" si="0"/>
        <v>50.605778191985081</v>
      </c>
      <c r="N54" s="6">
        <f t="shared" si="1"/>
        <v>49.394221808014912</v>
      </c>
    </row>
    <row r="55" spans="1:14">
      <c r="H55" s="11">
        <f>SUM(H2:H54)</f>
        <v>8219.0000000000036</v>
      </c>
    </row>
  </sheetData>
  <hyperlinks>
    <hyperlink ref="D2" r:id="rId1" tooltip="AMERISOURCEBERGEN CORPORATION POLITICAL ACTION COMMITTEE (ABC PAC)" display="https://www.fec.gov/data/committee/C00400929/" xr:uid="{6855DE4E-E580-481F-95A4-A520FD039495}"/>
    <hyperlink ref="D3" r:id="rId2" tooltip="AMERISOURCEBERGEN CORPORATION POLITICAL ACTION COMMITTEE (ABC PAC)" display="https://www.fec.gov/data/committee/C00400929/" xr:uid="{7C1D87C1-754E-40AC-9D50-E12919AF5933}"/>
    <hyperlink ref="D4" r:id="rId3" tooltip="AMERISOURCEBERGEN CORPORATION POLITICAL ACTION COMMITTEE (ABC PAC)" display="https://www.fec.gov/data/committee/C00400929/" xr:uid="{52842963-E74B-4C6A-8476-55FBDDEC73F2}"/>
    <hyperlink ref="D5" r:id="rId4" tooltip="AMERISOURCEBERGEN CORPORATION POLITICAL ACTION COMMITTEE (ABC PAC)" display="https://www.fec.gov/data/committee/C00400929/" xr:uid="{1B71C7BD-270D-41C2-A20F-EB6DA71CA297}"/>
    <hyperlink ref="D6" r:id="rId5" tooltip="AMERISOURCEBERGEN CORPORATION POLITICAL ACTION COMMITTEE (ABC PAC)" display="https://www.fec.gov/data/committee/C00400929/" xr:uid="{F9E97A8D-C64D-4EBD-A044-1BB9ADCD51AF}"/>
    <hyperlink ref="D7" r:id="rId6" tooltip="AMERISOURCEBERGEN CORPORATION POLITICAL ACTION COMMITTEE (ABC PAC)" display="https://www.fec.gov/data/committee/C00400929/" xr:uid="{A840DBC7-9BE5-4BF4-BD8A-8F58C9088BF8}"/>
    <hyperlink ref="D8" r:id="rId7" tooltip="AMERISOURCEBERGEN CORPORATION POLITICAL ACTION COMMITTEE (ABC PAC)" display="https://www.fec.gov/data/committee/C00400929/" xr:uid="{EDE034AE-EDAE-4412-A1D1-397BE967C506}"/>
    <hyperlink ref="D9" r:id="rId8" tooltip="AMERISOURCEBERGEN CORPORATION POLITICAL ACTION COMMITTEE (ABC PAC)" display="https://www.fec.gov/data/committee/C00400929/" xr:uid="{65756663-5E2B-4622-A36C-E7C33F750A95}"/>
    <hyperlink ref="D10" r:id="rId9" tooltip="AMERISOURCEBERGEN CORPORATION POLITICAL ACTION COMMITTEE (ABC PAC)" display="https://www.fec.gov/data/committee/C00400929/" xr:uid="{EF6DE26C-88E3-4CD4-ADFD-A1E585E625E5}"/>
    <hyperlink ref="D11" r:id="rId10" tooltip="MAD 4 PA PAC" display="https://www.fec.gov/data/committee/C00670844/" xr:uid="{8EA304A4-C819-415A-B0D7-EFF6BB671E43}"/>
    <hyperlink ref="D12" r:id="rId11" tooltip="AMERISOURCEBERGEN CORPORATION POLITICAL ACTION COMMITTEE (ABC PAC)" display="https://www.fec.gov/data/committee/C00400929/" xr:uid="{F7706C10-F9FC-4B4B-8F4A-7222C08FFFC0}"/>
    <hyperlink ref="D13" r:id="rId12" tooltip="AMERISOURCEBERGEN CORPORATION POLITICAL ACTION COMMITTEE (ABC PAC)" display="https://www.fec.gov/data/committee/C00400929/" xr:uid="{19E58991-DB43-4A97-BF7F-5105F3BB7AC1}"/>
    <hyperlink ref="D14" r:id="rId13" tooltip="AMERISOURCEBERGEN CORPORATION POLITICAL ACTION COMMITTEE (ABC PAC)" display="https://www.fec.gov/data/committee/C00400929/" xr:uid="{AB4D8D2C-5B36-4A9C-A41E-17003B24B2B3}"/>
    <hyperlink ref="D15" r:id="rId14" tooltip="AMERISOURCEBERGEN CORPORATION POLITICAL ACTION COMMITTEE (ABC PAC)" display="https://www.fec.gov/data/committee/C00400929/" xr:uid="{E1AE767C-1BE7-4D39-B614-A09D799E706F}"/>
    <hyperlink ref="D16" r:id="rId15" tooltip="AMERISOURCEBERGEN CORPORATION POLITICAL ACTION COMMITTEE (ABC PAC)" display="https://www.fec.gov/data/committee/C00400929/" xr:uid="{BEB9BE92-DB78-4481-9375-D32AF3A29311}"/>
    <hyperlink ref="D17" r:id="rId16" tooltip="AMERISOURCEBERGEN CORPORATION POLITICAL ACTION COMMITTEE (ABC PAC)" display="https://www.fec.gov/data/committee/C00400929/" xr:uid="{F4E2A93C-9D44-4A26-BA28-BC59D8917A3B}"/>
    <hyperlink ref="D18" r:id="rId17" tooltip="AMERISOURCEBERGEN CORPORATION POLITICAL ACTION COMMITTEE (ABC PAC)" display="https://www.fec.gov/data/committee/C00400929/" xr:uid="{CE0B6B9E-B1B8-4F5E-8E8F-22769985DF07}"/>
    <hyperlink ref="D19" r:id="rId18" tooltip="AMERISOURCEBERGEN CORPORATION POLITICAL ACTION COMMITTEE (ABC PAC)" display="https://www.fec.gov/data/committee/C00400929/" xr:uid="{BE66F6C8-8C92-4059-8CEC-80C696285108}"/>
    <hyperlink ref="D20" r:id="rId19" tooltip="AMERISOURCEBERGEN CORPORATION POLITICAL ACTION COMMITTEE (ABC PAC)" display="https://www.fec.gov/data/committee/C00400929/" xr:uid="{16F70282-10D8-4A8E-A1E0-C45DB48A64F1}"/>
    <hyperlink ref="D21" r:id="rId20" tooltip="AMERISOURCEBERGEN CORPORATION POLITICAL ACTION COMMITTEE (ABC PAC)" display="https://www.fec.gov/data/committee/C00400929/" xr:uid="{101666E5-D8BA-4987-AC91-10AD483FA268}"/>
    <hyperlink ref="D22" r:id="rId21" tooltip="AMERISOURCEBERGEN CORPORATION POLITICAL ACTION COMMITTEE (ABC PAC)" display="https://www.fec.gov/data/committee/C00400929/" xr:uid="{DF582898-E78A-4292-9A0A-CA12FE38EA68}"/>
    <hyperlink ref="D23" r:id="rId22" tooltip="AMERISOURCEBERGEN CORPORATION POLITICAL ACTION COMMITTEE (ABC PAC)" display="https://www.fec.gov/data/committee/C00400929/" xr:uid="{78157D41-604F-4694-8BEE-8950C5C1731B}"/>
    <hyperlink ref="D24" r:id="rId23" tooltip="AMERISOURCEBERGEN CORPORATION POLITICAL ACTION COMMITTEE (ABC PAC)" display="https://www.fec.gov/data/committee/C00400929/" xr:uid="{57E4F2E7-A3C3-46E0-8694-D925DDAAB49C}"/>
    <hyperlink ref="D25" r:id="rId24" tooltip="AMERISOURCEBERGEN CORPORATION POLITICAL ACTION COMMITTEE (ABC PAC)" display="https://www.fec.gov/data/committee/C00400929/" xr:uid="{1FD11949-7D46-46CD-819D-F2B3FD3FA4DC}"/>
    <hyperlink ref="D26" r:id="rId25" tooltip="AMERISOURCEBERGEN CORPORATION POLITICAL ACTION COMMITTEE (ABC PAC)" display="https://www.fec.gov/data/committee/C00400929/" xr:uid="{EB02C0AE-815C-4002-A205-1F46D4778025}"/>
    <hyperlink ref="D27" r:id="rId26" tooltip="AMERISOURCEBERGEN CORPORATION POLITICAL ACTION COMMITTEE (ABC PAC)" display="https://www.fec.gov/data/committee/C00400929/" xr:uid="{D2BF812D-49CE-4D74-84EF-DA5CDB12DBCE}"/>
    <hyperlink ref="D28" r:id="rId27" tooltip="AMY FOR AMERICA" display="https://www.fec.gov/data/committee/C00696419/" xr:uid="{9AF63A8D-FB79-45A7-8C33-99EED6015DED}"/>
    <hyperlink ref="D29" r:id="rId28" tooltip="AMERISOURCEBERGEN CORPORATION POLITICAL ACTION COMMITTEE (ABC PAC)" display="https://www.fec.gov/data/committee/C00400929/" xr:uid="{D6EBA8CC-30B6-45CA-9EA1-D1E4CDC0FD98}"/>
    <hyperlink ref="D30" r:id="rId29" tooltip="AMERISOURCEBERGEN CORPORATION POLITICAL ACTION COMMITTEE (ABC PAC)" display="https://www.fec.gov/data/committee/C00400929/" xr:uid="{C3A5AA41-0614-4DE2-971E-CC00415F645E}"/>
    <hyperlink ref="D31" r:id="rId30" tooltip="AMERISOURCEBERGEN CORPORATION POLITICAL ACTION COMMITTEE (ABC PAC)" display="https://www.fec.gov/data/committee/C00400929/" xr:uid="{B6F89C9F-9024-46C3-A51A-CD7C859561AE}"/>
    <hyperlink ref="D32" r:id="rId31" tooltip="AMERISOURCEBERGEN CORPORATION POLITICAL ACTION COMMITTEE (ABC PAC)" display="https://www.fec.gov/data/committee/C00400929/" xr:uid="{6E926910-EE9B-4458-B650-96DDA2C77FFE}"/>
    <hyperlink ref="D33" r:id="rId32" tooltip="AMERISOURCEBERGEN CORPORATION POLITICAL ACTION COMMITTEE (ABC PAC)" display="https://www.fec.gov/data/committee/C00400929/" xr:uid="{35C065F4-6C44-4BB3-A4AD-358465286FC2}"/>
    <hyperlink ref="D34" r:id="rId33" tooltip="AMERISOURCEBERGEN CORPORATION POLITICAL ACTION COMMITTEE (ABC PAC)" display="https://www.fec.gov/data/committee/C00400929/" xr:uid="{4B5BBACD-A569-4895-8C74-EC8D024EB19A}"/>
    <hyperlink ref="D35" r:id="rId34" tooltip="AMERISOURCEBERGEN CORPORATION POLITICAL ACTION COMMITTEE (ABC PAC)" display="https://www.fec.gov/data/committee/C00400929/" xr:uid="{077C78F3-71FE-4989-BA61-5473A4EE00FE}"/>
    <hyperlink ref="D36" r:id="rId35" tooltip="AMERISOURCEBERGEN CORPORATION POLITICAL ACTION COMMITTEE (ABC PAC)" display="https://www.fec.gov/data/committee/C00400929/" xr:uid="{922DB1C2-6BE3-42EC-828C-8B5BD1333F23}"/>
    <hyperlink ref="D37" r:id="rId36" tooltip="AMERISOURCEBERGEN CORPORATION POLITICAL ACTION COMMITTEE (ABC PAC)" display="https://www.fec.gov/data/committee/C00400929/" xr:uid="{59D97184-4EC0-4FEF-811F-7F2131BB0078}"/>
    <hyperlink ref="D38" r:id="rId37" tooltip="AMERISOURCEBERGEN CORPORATION POLITICAL ACTION COMMITTEE (ABC PAC)" display="https://www.fec.gov/data/committee/C00400929/" xr:uid="{1623FBD2-A1AF-4080-9605-60B188CCA5B0}"/>
    <hyperlink ref="D39" r:id="rId38" tooltip="AMERISOURCEBERGEN CORPORATION POLITICAL ACTION COMMITTEE (ABC PAC)" display="https://www.fec.gov/data/committee/C00400929/" xr:uid="{31AE5421-E600-45A3-8217-4C0B3541B9AA}"/>
    <hyperlink ref="D40" r:id="rId39" tooltip="AMERISOURCEBERGEN CORPORATION POLITICAL ACTION COMMITTEE (ABC PAC)" display="https://www.fec.gov/data/committee/C00400929/" xr:uid="{CD9ACC85-551C-4B67-9206-8EE7EA2E025C}"/>
    <hyperlink ref="D41" r:id="rId40" tooltip="AMERISOURCEBERGEN CORPORATION POLITICAL ACTION COMMITTEE (ABC PAC)" display="https://www.fec.gov/data/committee/C00400929/" xr:uid="{9239AE21-858C-4DFA-B816-E380E63C5FD0}"/>
    <hyperlink ref="D42" r:id="rId41" tooltip="AMERISOURCEBERGEN CORPORATION POLITICAL ACTION COMMITTEE (ABC PAC)" display="https://www.fec.gov/data/committee/C00400929/" xr:uid="{ECDE9C3B-8EB7-4140-B2DD-EC4E5821544D}"/>
    <hyperlink ref="D43" r:id="rId42" tooltip="AMERISOURCEBERGEN CORPORATION POLITICAL ACTION COMMITTEE (ABC PAC)" display="https://www.fec.gov/data/committee/C00400929/" xr:uid="{C385028E-378C-411C-851D-1CF3ED025DB9}"/>
    <hyperlink ref="D44" r:id="rId43" tooltip="AMERISOURCEBERGEN CORPORATION POLITICAL ACTION COMMITTEE (ABC PAC)" display="https://www.fec.gov/data/committee/C00400929/" xr:uid="{E0F72BE9-B3FC-48B3-9C0D-678E4FD2494C}"/>
    <hyperlink ref="D45" r:id="rId44" tooltip="AMERISOURCEBERGEN CORPORATION POLITICAL ACTION COMMITTEE (ABC PAC)" display="https://www.fec.gov/data/committee/C00400929/" xr:uid="{E89EE7C1-BFD0-4F16-8B7D-2D74632FA5C5}"/>
    <hyperlink ref="D46" r:id="rId45" tooltip="AMERISOURCEBERGEN CORPORATION POLITICAL ACTION COMMITTEE (ABC PAC)" display="https://www.fec.gov/data/committee/C00400929/" xr:uid="{21664CDB-A7BE-4888-B2CC-B029491FB201}"/>
    <hyperlink ref="D47" r:id="rId46" tooltip="NATIONAL ASSOCIATION OF CHAIN DRUG STORES, INC. POLITICAL ACTION COMMITTEE" display="https://www.fec.gov/data/committee/C00022368/" xr:uid="{AC81451F-4D36-4A52-92F1-7156F0C211FF}"/>
    <hyperlink ref="D48" r:id="rId47" tooltip="AMERISOURCEBERGEN CORPORATION POLITICAL ACTION COMMITTEE (ABC PAC)" display="https://www.fec.gov/data/committee/C00400929/" xr:uid="{77A417B2-7D30-4834-A0F1-2DB0BBBEBEB3}"/>
    <hyperlink ref="D49" r:id="rId48" tooltip="AMERISOURCEBERGEN CORPORATION POLITICAL ACTION COMMITTEE (ABC PAC)" display="https://www.fec.gov/data/committee/C00400929/" xr:uid="{B86760DF-04D0-497C-BBE9-A932E2D9E688}"/>
    <hyperlink ref="D50" r:id="rId49" tooltip="AMERISOURCEBERGEN CORPORATION POLITICAL ACTION COMMITTEE (ABC PAC)" display="https://www.fec.gov/data/committee/C00400929/" xr:uid="{92DB9EFE-A89F-4115-A184-D4FC34F70A93}"/>
    <hyperlink ref="D51" r:id="rId50" tooltip="AMERISOURCEBERGEN CORPORATION POLITICAL ACTION COMMITTEE (ABC PAC)" display="https://www.fec.gov/data/committee/C00400929/" xr:uid="{0EB256BA-B48D-44EE-B2DB-3DE159103094}"/>
    <hyperlink ref="D52" r:id="rId51" tooltip="AMERISOURCEBERGEN CORPORATION POLITICAL ACTION COMMITTEE (ABC PAC)" display="https://www.fec.gov/data/committee/C00400929/" xr:uid="{9AA4F1AD-FA21-4DE0-8C05-1957F1925419}"/>
    <hyperlink ref="D53" r:id="rId52" tooltip="AMERISOURCEBERGEN CORPORATION POLITICAL ACTION COMMITTEE (ABC PAC)" display="https://www.fec.gov/data/committee/C00400929/" xr:uid="{494CE36B-8062-4F80-AFFB-C98C15A9E93F}"/>
    <hyperlink ref="D54" r:id="rId53" tooltip="AMERISOURCEBERGEN CORPORATION POLITICAL ACTION COMMITTEE (ABC PAC)" display="https://www.fec.gov/data/committee/C00400929/" xr:uid="{FA5816F6-E547-4C98-BFC5-4B2B29E3B373}"/>
  </hyperlinks>
  <pageMargins left="0.7" right="0.7" top="0.75" bottom="0.75" header="0.3" footer="0.3"/>
  <pageSetup orientation="portrait" r:id="rId54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0967C-BA65-4AF9-A081-061221C1866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E471-B7E0-46F0-8CC2-DD05EBBA05F4}">
  <dimension ref="A1:C22"/>
  <sheetViews>
    <sheetView topLeftCell="A10" workbookViewId="0">
      <selection activeCell="B23" sqref="B23"/>
    </sheetView>
  </sheetViews>
  <sheetFormatPr defaultRowHeight="15"/>
  <cols>
    <col min="1" max="1" width="29.28515625" customWidth="1"/>
    <col min="2" max="2" width="56.28515625" customWidth="1"/>
  </cols>
  <sheetData>
    <row r="1" spans="1:3" ht="15.75" thickBot="1">
      <c r="A1" t="s">
        <v>70</v>
      </c>
      <c r="B1" t="s">
        <v>71</v>
      </c>
      <c r="C1" s="37" t="s">
        <v>1</v>
      </c>
    </row>
    <row r="2" spans="1:3">
      <c r="A2" t="s">
        <v>72</v>
      </c>
      <c r="B2" t="s">
        <v>73</v>
      </c>
      <c r="C2" t="s">
        <v>2</v>
      </c>
    </row>
    <row r="3" spans="1:3">
      <c r="A3" t="s">
        <v>74</v>
      </c>
      <c r="B3" t="s">
        <v>75</v>
      </c>
      <c r="C3" t="s">
        <v>1</v>
      </c>
    </row>
    <row r="4" spans="1:3">
      <c r="A4" t="s">
        <v>76</v>
      </c>
      <c r="B4" t="s">
        <v>77</v>
      </c>
      <c r="C4" t="s">
        <v>1</v>
      </c>
    </row>
    <row r="5" spans="1:3">
      <c r="A5" t="s">
        <v>78</v>
      </c>
      <c r="B5" t="s">
        <v>79</v>
      </c>
      <c r="C5" t="s">
        <v>2</v>
      </c>
    </row>
    <row r="6" spans="1:3">
      <c r="A6" t="s">
        <v>80</v>
      </c>
      <c r="B6" t="s">
        <v>81</v>
      </c>
      <c r="C6" t="s">
        <v>2</v>
      </c>
    </row>
    <row r="7" spans="1:3">
      <c r="A7" t="s">
        <v>82</v>
      </c>
      <c r="B7" t="s">
        <v>83</v>
      </c>
      <c r="C7" t="s">
        <v>2</v>
      </c>
    </row>
    <row r="8" spans="1:3" ht="15.75" thickBot="1">
      <c r="A8" s="49" t="s">
        <v>147</v>
      </c>
      <c r="B8" s="38" t="s">
        <v>142</v>
      </c>
      <c r="C8" t="s">
        <v>2</v>
      </c>
    </row>
    <row r="9" spans="1:3" ht="15.75" thickBot="1">
      <c r="A9" s="47" t="s">
        <v>148</v>
      </c>
      <c r="B9" s="38" t="s">
        <v>145</v>
      </c>
      <c r="C9" t="s">
        <v>2</v>
      </c>
    </row>
    <row r="10" spans="1:3">
      <c r="A10" s="47" t="s">
        <v>153</v>
      </c>
      <c r="B10" t="s">
        <v>154</v>
      </c>
      <c r="C10" t="s">
        <v>3</v>
      </c>
    </row>
    <row r="11" spans="1:3" ht="15.75" thickBot="1">
      <c r="A11" s="47" t="s">
        <v>176</v>
      </c>
      <c r="B11" s="38" t="s">
        <v>173</v>
      </c>
      <c r="C11" t="s">
        <v>2</v>
      </c>
    </row>
    <row r="12" spans="1:3">
      <c r="A12" s="47" t="s">
        <v>193</v>
      </c>
      <c r="B12" s="57" t="s">
        <v>186</v>
      </c>
      <c r="C12" t="s">
        <v>2</v>
      </c>
    </row>
    <row r="13" spans="1:3">
      <c r="A13" s="62" t="s">
        <v>80</v>
      </c>
      <c r="B13" s="57" t="s">
        <v>81</v>
      </c>
      <c r="C13" t="s">
        <v>2</v>
      </c>
    </row>
    <row r="14" spans="1:3">
      <c r="A14" s="47" t="s">
        <v>194</v>
      </c>
      <c r="B14" s="57" t="s">
        <v>132</v>
      </c>
      <c r="C14" t="s">
        <v>3</v>
      </c>
    </row>
    <row r="15" spans="1:3">
      <c r="A15" s="47" t="s">
        <v>195</v>
      </c>
      <c r="B15" s="57" t="s">
        <v>196</v>
      </c>
      <c r="C15" t="s">
        <v>3</v>
      </c>
    </row>
    <row r="16" spans="1:3">
      <c r="A16" s="47" t="s">
        <v>74</v>
      </c>
      <c r="B16" t="s">
        <v>75</v>
      </c>
      <c r="C16" t="s">
        <v>1</v>
      </c>
    </row>
    <row r="17" spans="1:3">
      <c r="A17" s="42" t="s">
        <v>70</v>
      </c>
      <c r="B17" t="s">
        <v>71</v>
      </c>
      <c r="C17" t="s">
        <v>1</v>
      </c>
    </row>
    <row r="18" spans="1:3" ht="15.75" thickBot="1">
      <c r="A18" s="47" t="s">
        <v>210</v>
      </c>
      <c r="B18" s="38" t="s">
        <v>201</v>
      </c>
      <c r="C18" t="s">
        <v>2</v>
      </c>
    </row>
    <row r="19" spans="1:3" ht="15.75" thickBot="1">
      <c r="A19" s="62" t="s">
        <v>211</v>
      </c>
      <c r="B19" s="38" t="s">
        <v>134</v>
      </c>
      <c r="C19" t="s">
        <v>2</v>
      </c>
    </row>
    <row r="20" spans="1:3" ht="15.75" thickBot="1">
      <c r="A20" t="s">
        <v>212</v>
      </c>
      <c r="B20" s="38" t="s">
        <v>203</v>
      </c>
      <c r="C20" t="s">
        <v>2</v>
      </c>
    </row>
    <row r="21" spans="1:3" ht="15.75" thickBot="1">
      <c r="A21" t="s">
        <v>213</v>
      </c>
      <c r="B21" s="38" t="s">
        <v>204</v>
      </c>
      <c r="C21" t="s">
        <v>2</v>
      </c>
    </row>
    <row r="22" spans="1:3" ht="15.75" thickBot="1">
      <c r="A22" t="s">
        <v>214</v>
      </c>
      <c r="B22" s="38" t="s">
        <v>205</v>
      </c>
      <c r="C22" t="s">
        <v>2</v>
      </c>
    </row>
  </sheetData>
  <hyperlinks>
    <hyperlink ref="B11" r:id="rId1" tooltip="FRIENDS OF ADEM 2020" display="https://www.fec.gov/data/committee/C00713404/" xr:uid="{DDB4061B-F47C-404D-BEB4-15CEF5FE7753}"/>
    <hyperlink ref="B18" r:id="rId2" tooltip="EVERYDAY PEOPLE" display="https://www.fec.gov/data/committee/C00720029/" xr:uid="{05EC8E8A-5757-4B13-B15A-C8F87EF574DC}"/>
    <hyperlink ref="B20" r:id="rId3" tooltip="KATHLEEN WILLIAMS FOR MONTANA" display="https://www.fec.gov/data/committee/C00701748/" xr:uid="{277732DE-B814-4E34-8CAC-8E2FF881469A}"/>
    <hyperlink ref="B22" r:id="rId4" tooltip="SUSAN WILD FOR CONGRESS" display="https://www.fec.gov/data/committee/C00658567/" xr:uid="{F6C1F657-3AB3-4447-9F26-FB0CE23BE65A}"/>
    <hyperlink ref="B21" r:id="rId5" tooltip="SCANLON FOR CONGRESS" display="https://www.fec.gov/data/committee/C00669358/" xr:uid="{D19CF362-88F9-42EA-A17F-062C51BB498D}"/>
    <hyperlink ref="B19" r:id="rId6" tooltip="HOYER FOR CONGRESS" display="https://www.fec.gov/data/committee/C00140715/" xr:uid="{7F87BCD4-C620-47EB-958E-8F161982BF56}"/>
  </hyperlinks>
  <pageMargins left="0.7" right="0.7" top="0.75" bottom="0.75" header="0.3" footer="0.3"/>
  <pageSetup orientation="portrait" horizontalDpi="1200" verticalDpi="120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Board &amp; Executives</vt:lpstr>
      <vt:lpstr>Company PAC</vt:lpstr>
      <vt:lpstr>Steven H Collis</vt:lpstr>
      <vt:lpstr>Jane E Henney</vt:lpstr>
      <vt:lpstr>Ornella Barra</vt:lpstr>
      <vt:lpstr>D Mark Durcan</vt:lpstr>
      <vt:lpstr>Richard W Gochnauer</vt:lpstr>
      <vt:lpstr>Lon R Greenberg</vt:lpstr>
      <vt:lpstr>Kathleen W Hyle</vt:lpstr>
      <vt:lpstr>Michael J Long</vt:lpstr>
      <vt:lpstr>Henry W McGee</vt:lpstr>
      <vt:lpstr>Dennis M Nally</vt:lpstr>
      <vt:lpstr>Robert P Mauch</vt:lpstr>
      <vt:lpstr>John G Chou</vt:lpstr>
      <vt:lpstr>James F Cleary</vt:lpstr>
      <vt:lpstr>Silvana Battaglia</vt:lpstr>
      <vt:lpstr>Leslie Donato</vt:lpstr>
      <vt:lpstr>Gina K Clark</vt:lpstr>
      <vt:lpstr>Sheet4</vt:lpstr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punya</dc:creator>
  <cp:lastModifiedBy>19144</cp:lastModifiedBy>
  <dcterms:created xsi:type="dcterms:W3CDTF">2021-06-27T17:25:36Z</dcterms:created>
  <dcterms:modified xsi:type="dcterms:W3CDTF">2021-07-23T13:52:30Z</dcterms:modified>
</cp:coreProperties>
</file>