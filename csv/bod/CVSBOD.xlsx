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C:\Users\19144\Documents\Mitchell project\"/>
    </mc:Choice>
  </mc:AlternateContent>
  <xr:revisionPtr revIDLastSave="0" documentId="8_{2B81B3BA-CC17-46A1-85C6-5EA7C3C034D7}" xr6:coauthVersionLast="47" xr6:coauthVersionMax="47" xr10:uidLastSave="{00000000-0000-0000-0000-000000000000}"/>
  <bookViews>
    <workbookView xWindow="-120" yWindow="-120" windowWidth="20730" windowHeight="11160" xr2:uid="{00000000-000D-0000-FFFF-FFFF00000000}"/>
  </bookViews>
  <sheets>
    <sheet name="Board &amp; Executives" sheetId="4" r:id="rId1"/>
    <sheet name="CVS Rank and File" sheetId="23" r:id="rId2"/>
    <sheet name="Company PAC" sheetId="2" r:id="rId3"/>
    <sheet name="Fernando Aquirre" sheetId="1" r:id="rId4"/>
    <sheet name="C David Brown" sheetId="3" r:id="rId5"/>
    <sheet name="Alecia A DeCoudreaux" sheetId="5" r:id="rId6"/>
    <sheet name="Nancy-Ann M DeParle" sheetId="6" r:id="rId7"/>
    <sheet name="David W Dorman" sheetId="7" r:id="rId8"/>
    <sheet name="Roger N Farah" sheetId="8" r:id="rId9"/>
    <sheet name="Anne N Finucane" sheetId="9" r:id="rId10"/>
    <sheet name="Edward J Ludwig" sheetId="10" r:id="rId11"/>
    <sheet name="Karen S Lynch" sheetId="11" r:id="rId12"/>
    <sheet name="Jean-Pierre Millon" sheetId="12" r:id="rId13"/>
    <sheet name="Mary L Schapiro" sheetId="13" r:id="rId14"/>
    <sheet name="William C Weldon" sheetId="14" r:id="rId15"/>
    <sheet name="Tony L White" sheetId="15" r:id="rId16"/>
    <sheet name="Larry J Merlo" sheetId="16" r:id="rId17"/>
    <sheet name="Eva C Boratto" sheetId="17" r:id="rId18"/>
    <sheet name="Alan M Lotvin" sheetId="18" r:id="rId19"/>
    <sheet name="Jonathon C Roberts " sheetId="19" r:id="rId20"/>
    <sheet name="exported company data" sheetId="24" r:id="rId21"/>
    <sheet name="Sheet2" sheetId="25" r:id="rId22"/>
    <sheet name="notes" sheetId="22" r:id="rId23"/>
  </sheets>
  <calcPr calcId="191029"/>
</workbook>
</file>

<file path=xl/calcChain.xml><?xml version="1.0" encoding="utf-8"?>
<calcChain xmlns="http://schemas.openxmlformats.org/spreadsheetml/2006/main">
  <c r="N19" i="4" l="1"/>
  <c r="M19" i="4"/>
  <c r="L19" i="4"/>
  <c r="F49" i="19"/>
  <c r="F54" i="19"/>
  <c r="F114" i="18"/>
  <c r="K116" i="18"/>
  <c r="L116" i="18"/>
  <c r="L113" i="18"/>
  <c r="K113" i="18"/>
  <c r="L112" i="18"/>
  <c r="K112" i="18"/>
  <c r="L111" i="18"/>
  <c r="K111" i="18"/>
  <c r="L110" i="18"/>
  <c r="K110" i="18"/>
  <c r="L109" i="18"/>
  <c r="K109" i="18"/>
  <c r="L108" i="18"/>
  <c r="K108" i="18"/>
  <c r="L107" i="18"/>
  <c r="K107" i="18"/>
  <c r="L106" i="18"/>
  <c r="K106" i="18"/>
  <c r="L105" i="18"/>
  <c r="K105" i="18"/>
  <c r="L104" i="18"/>
  <c r="K104" i="18"/>
  <c r="L103" i="18"/>
  <c r="K103" i="18"/>
  <c r="L102" i="18"/>
  <c r="K102" i="18"/>
  <c r="L101" i="18"/>
  <c r="K101" i="18"/>
  <c r="L100" i="18"/>
  <c r="K100" i="18"/>
  <c r="L99" i="18"/>
  <c r="K99" i="18"/>
  <c r="L98" i="18"/>
  <c r="K98" i="18"/>
  <c r="L97" i="18"/>
  <c r="K97" i="18"/>
  <c r="L96" i="18"/>
  <c r="K96" i="18"/>
  <c r="L95" i="18"/>
  <c r="K95" i="18"/>
  <c r="L94" i="18"/>
  <c r="K94" i="18"/>
  <c r="L93" i="18"/>
  <c r="K93" i="18"/>
  <c r="L92" i="18"/>
  <c r="K92" i="18"/>
  <c r="L91" i="18"/>
  <c r="K91" i="18"/>
  <c r="L90" i="18"/>
  <c r="K90" i="18"/>
  <c r="L89" i="18"/>
  <c r="K89" i="18"/>
  <c r="L88" i="18"/>
  <c r="K88" i="18"/>
  <c r="L87" i="18"/>
  <c r="K87" i="18"/>
  <c r="L86" i="18"/>
  <c r="K86" i="18"/>
  <c r="L85" i="18"/>
  <c r="K85" i="18"/>
  <c r="L84" i="18"/>
  <c r="K84" i="18"/>
  <c r="L83" i="18"/>
  <c r="K83" i="18"/>
  <c r="L82" i="18"/>
  <c r="K82" i="18"/>
  <c r="L81" i="18"/>
  <c r="K81" i="18"/>
  <c r="L80" i="18"/>
  <c r="K80" i="18"/>
  <c r="L79" i="18"/>
  <c r="K79" i="18"/>
  <c r="L78" i="18"/>
  <c r="K78" i="18"/>
  <c r="L77" i="18"/>
  <c r="K77" i="18"/>
  <c r="L76" i="18"/>
  <c r="K76" i="18"/>
  <c r="L75" i="18"/>
  <c r="K75" i="18"/>
  <c r="L74" i="18"/>
  <c r="K74" i="18"/>
  <c r="L73" i="18"/>
  <c r="K73" i="18"/>
  <c r="L72" i="18"/>
  <c r="K72" i="18"/>
  <c r="L71" i="18"/>
  <c r="K71" i="18"/>
  <c r="L70" i="18"/>
  <c r="K70" i="18"/>
  <c r="L69" i="18"/>
  <c r="K69" i="18"/>
  <c r="L68" i="18"/>
  <c r="K68" i="18"/>
  <c r="L67" i="18"/>
  <c r="K67" i="18"/>
  <c r="L66" i="18"/>
  <c r="K66" i="18"/>
  <c r="L65" i="18"/>
  <c r="K65" i="18"/>
  <c r="L64" i="18"/>
  <c r="K64" i="18"/>
  <c r="L63" i="18"/>
  <c r="K63" i="18"/>
  <c r="L62" i="18"/>
  <c r="K62" i="18"/>
  <c r="L61" i="18"/>
  <c r="K61" i="18"/>
  <c r="L60" i="18"/>
  <c r="K60" i="18"/>
  <c r="L59" i="18"/>
  <c r="K59" i="18"/>
  <c r="L58" i="18"/>
  <c r="K58" i="18"/>
  <c r="L57" i="18"/>
  <c r="K57" i="18"/>
  <c r="L56" i="18"/>
  <c r="K56" i="18"/>
  <c r="L55" i="18"/>
  <c r="K55" i="18"/>
  <c r="L54" i="18"/>
  <c r="K54" i="18"/>
  <c r="L53" i="18"/>
  <c r="K53" i="18"/>
  <c r="L52" i="18"/>
  <c r="K52" i="18"/>
  <c r="L51" i="18"/>
  <c r="K51" i="18"/>
  <c r="L50" i="18"/>
  <c r="K50" i="18"/>
  <c r="L49" i="18"/>
  <c r="K49" i="18"/>
  <c r="L48" i="18"/>
  <c r="K48" i="18"/>
  <c r="L47" i="18"/>
  <c r="K47" i="18"/>
  <c r="L46" i="18"/>
  <c r="K46" i="18"/>
  <c r="L45" i="18"/>
  <c r="K45" i="18"/>
  <c r="L44" i="18"/>
  <c r="K44" i="18"/>
  <c r="L43" i="18"/>
  <c r="K43" i="18"/>
  <c r="L42" i="18"/>
  <c r="K42" i="18"/>
  <c r="L41" i="18"/>
  <c r="K41" i="18"/>
  <c r="L28" i="18"/>
  <c r="K28" i="18"/>
  <c r="L27" i="18"/>
  <c r="K27" i="18"/>
  <c r="L26" i="18"/>
  <c r="K26" i="18"/>
  <c r="L25" i="18"/>
  <c r="K25" i="18"/>
  <c r="L24" i="18"/>
  <c r="K24" i="18"/>
  <c r="L23" i="18"/>
  <c r="K23" i="18"/>
  <c r="L22" i="18"/>
  <c r="K22" i="18"/>
  <c r="L21" i="18"/>
  <c r="K21" i="18"/>
  <c r="L20" i="18"/>
  <c r="K20" i="18"/>
  <c r="L19" i="18"/>
  <c r="K19" i="18"/>
  <c r="L18" i="18"/>
  <c r="K18" i="18"/>
  <c r="L17" i="18"/>
  <c r="K17" i="18"/>
  <c r="L16" i="18"/>
  <c r="K16" i="18"/>
  <c r="L15" i="18"/>
  <c r="K15" i="18"/>
  <c r="L14" i="18"/>
  <c r="K14" i="18"/>
  <c r="L13" i="18"/>
  <c r="K13" i="18"/>
  <c r="L12" i="18"/>
  <c r="K12" i="18"/>
  <c r="L11" i="18"/>
  <c r="K11" i="18"/>
  <c r="L10" i="18"/>
  <c r="K10" i="18"/>
  <c r="L9" i="18"/>
  <c r="K9" i="18"/>
  <c r="L8" i="18"/>
  <c r="K8" i="18"/>
  <c r="L7" i="18"/>
  <c r="K7" i="18"/>
  <c r="L6" i="18"/>
  <c r="K6" i="18"/>
  <c r="L5" i="18"/>
  <c r="K5" i="18"/>
  <c r="L4" i="18"/>
  <c r="K4" i="18"/>
  <c r="F50" i="17"/>
  <c r="F56" i="17"/>
  <c r="L49" i="17"/>
  <c r="K49" i="17"/>
  <c r="L48" i="17"/>
  <c r="K48" i="17"/>
  <c r="L47" i="17"/>
  <c r="K47" i="17"/>
  <c r="L46" i="17"/>
  <c r="K46" i="17"/>
  <c r="L45" i="17"/>
  <c r="K45" i="17"/>
  <c r="L44" i="17"/>
  <c r="K44" i="17"/>
  <c r="L43" i="17"/>
  <c r="K43" i="17"/>
  <c r="L42" i="17"/>
  <c r="K42" i="17"/>
  <c r="L41" i="17"/>
  <c r="K41" i="17"/>
  <c r="L40" i="17"/>
  <c r="K40" i="17"/>
  <c r="L39" i="17"/>
  <c r="K39" i="17"/>
  <c r="L38" i="17"/>
  <c r="K38" i="17"/>
  <c r="L37" i="17"/>
  <c r="K37" i="17"/>
  <c r="L36" i="17"/>
  <c r="K36" i="17"/>
  <c r="L35" i="17"/>
  <c r="K35" i="17"/>
  <c r="L34" i="17"/>
  <c r="K34" i="17"/>
  <c r="L33" i="17"/>
  <c r="K33" i="17"/>
  <c r="L32" i="17"/>
  <c r="K32" i="17"/>
  <c r="L31" i="17"/>
  <c r="K31" i="17"/>
  <c r="L30" i="17"/>
  <c r="K30" i="17"/>
  <c r="L29" i="17"/>
  <c r="K29" i="17"/>
  <c r="L28" i="17"/>
  <c r="K28" i="17"/>
  <c r="L27" i="17"/>
  <c r="K27" i="17"/>
  <c r="L26" i="17"/>
  <c r="K26" i="17"/>
  <c r="L25" i="17"/>
  <c r="K25" i="17"/>
  <c r="L24" i="17"/>
  <c r="K24" i="17"/>
  <c r="L23" i="17"/>
  <c r="K23" i="17"/>
  <c r="L22" i="17"/>
  <c r="K22" i="17"/>
  <c r="L21" i="17"/>
  <c r="K21" i="17"/>
  <c r="L20" i="17"/>
  <c r="K20" i="17"/>
  <c r="L19" i="17"/>
  <c r="K19" i="17"/>
  <c r="L18" i="17"/>
  <c r="K18" i="17"/>
  <c r="L17" i="17"/>
  <c r="K17" i="17"/>
  <c r="L16" i="17"/>
  <c r="K16" i="17"/>
  <c r="L15" i="17"/>
  <c r="K15" i="17"/>
  <c r="L14" i="17"/>
  <c r="K14" i="17"/>
  <c r="L13" i="17"/>
  <c r="K13" i="17"/>
  <c r="L12" i="17"/>
  <c r="K12" i="17"/>
  <c r="L11" i="17"/>
  <c r="K11" i="17"/>
  <c r="L10" i="17"/>
  <c r="K10" i="17"/>
  <c r="L9" i="17"/>
  <c r="K9" i="17"/>
  <c r="L8" i="17"/>
  <c r="K8" i="17"/>
  <c r="L55" i="17"/>
  <c r="K55" i="17"/>
  <c r="L54" i="17"/>
  <c r="K54" i="17"/>
  <c r="L53" i="17"/>
  <c r="K53" i="17"/>
  <c r="L7" i="17"/>
  <c r="K7" i="17"/>
  <c r="L6" i="17"/>
  <c r="K6" i="17"/>
  <c r="L5" i="17"/>
  <c r="K5" i="17"/>
  <c r="L4" i="17"/>
  <c r="K4" i="17"/>
  <c r="F52" i="16"/>
  <c r="L54" i="16"/>
  <c r="K54" i="16"/>
  <c r="K7" i="16"/>
  <c r="L7" i="16"/>
  <c r="L2" i="16"/>
  <c r="K2" i="16"/>
  <c r="F4" i="15"/>
  <c r="F4" i="14"/>
  <c r="F15" i="13"/>
  <c r="F4" i="12"/>
  <c r="F24" i="11"/>
  <c r="F52" i="9"/>
  <c r="L51" i="9"/>
  <c r="K51" i="9"/>
  <c r="L50" i="9"/>
  <c r="K50" i="9"/>
  <c r="L49" i="9"/>
  <c r="K49" i="9"/>
  <c r="L48" i="9"/>
  <c r="K48" i="9"/>
  <c r="L47" i="9"/>
  <c r="K47" i="9"/>
  <c r="L46" i="9"/>
  <c r="K46" i="9"/>
  <c r="L45" i="9"/>
  <c r="K45" i="9"/>
  <c r="L44" i="9"/>
  <c r="K44" i="9"/>
  <c r="L43" i="9"/>
  <c r="K43" i="9"/>
  <c r="L42" i="9"/>
  <c r="K42" i="9"/>
  <c r="L41" i="9"/>
  <c r="K41" i="9"/>
  <c r="L40" i="9"/>
  <c r="K40" i="9"/>
  <c r="L39" i="9"/>
  <c r="K39" i="9"/>
  <c r="L38" i="9"/>
  <c r="K38" i="9"/>
  <c r="L37" i="9"/>
  <c r="K37" i="9"/>
  <c r="L36" i="9"/>
  <c r="K36" i="9"/>
  <c r="L35" i="9"/>
  <c r="K35" i="9"/>
  <c r="L34" i="9"/>
  <c r="K34" i="9"/>
  <c r="L33" i="9"/>
  <c r="K33" i="9"/>
  <c r="L32" i="9"/>
  <c r="K32" i="9"/>
  <c r="L31" i="9"/>
  <c r="K31" i="9"/>
  <c r="L30" i="9"/>
  <c r="K30" i="9"/>
  <c r="L29" i="9"/>
  <c r="K29" i="9"/>
  <c r="L28" i="9"/>
  <c r="K28" i="9"/>
  <c r="L27" i="9"/>
  <c r="K27" i="9"/>
  <c r="L26" i="9"/>
  <c r="K26" i="9"/>
  <c r="L25" i="9"/>
  <c r="K25" i="9"/>
  <c r="L24" i="9"/>
  <c r="K24" i="9"/>
  <c r="L23" i="9"/>
  <c r="K23" i="9"/>
  <c r="L22" i="9"/>
  <c r="K22" i="9"/>
  <c r="L21" i="9"/>
  <c r="K21" i="9"/>
  <c r="L20" i="9"/>
  <c r="K20" i="9"/>
  <c r="L19" i="9"/>
  <c r="K19" i="9"/>
  <c r="L18" i="9"/>
  <c r="K18" i="9"/>
  <c r="L17" i="9"/>
  <c r="K17" i="9"/>
  <c r="L16" i="9"/>
  <c r="K16" i="9"/>
  <c r="L15" i="9"/>
  <c r="K15" i="9"/>
  <c r="L14" i="9"/>
  <c r="K14" i="9"/>
  <c r="L13" i="9"/>
  <c r="K13" i="9"/>
  <c r="L12" i="9"/>
  <c r="K12" i="9"/>
  <c r="L11" i="9"/>
  <c r="K11" i="9"/>
  <c r="L10" i="9"/>
  <c r="K10" i="9"/>
  <c r="L9" i="9"/>
  <c r="K9" i="9"/>
  <c r="L8" i="9"/>
  <c r="K8" i="9"/>
  <c r="L7" i="9"/>
  <c r="K7" i="9"/>
  <c r="L6" i="9"/>
  <c r="K6" i="9"/>
  <c r="F11" i="7" l="1"/>
  <c r="F4" i="1"/>
  <c r="F4" i="3"/>
  <c r="F4" i="5"/>
  <c r="F4" i="6"/>
  <c r="L3" i="6"/>
  <c r="K3" i="6"/>
  <c r="L2" i="6"/>
  <c r="K2" i="6"/>
  <c r="L3" i="3"/>
  <c r="K3" i="3"/>
  <c r="L2" i="3"/>
  <c r="K2" i="3"/>
  <c r="H72" i="23"/>
  <c r="Q70" i="23"/>
  <c r="H60" i="23"/>
  <c r="H56" i="23"/>
  <c r="H48" i="23"/>
  <c r="Q46" i="23"/>
  <c r="H42" i="23"/>
  <c r="H36" i="23"/>
  <c r="Q33" i="23"/>
  <c r="H33" i="23"/>
  <c r="H24" i="23"/>
  <c r="H17" i="23"/>
  <c r="H12" i="23"/>
  <c r="H9" i="23"/>
  <c r="L40" i="18"/>
  <c r="K40" i="18"/>
  <c r="L39" i="18"/>
  <c r="K39" i="18"/>
  <c r="L38" i="18"/>
  <c r="K38" i="18"/>
  <c r="L37" i="18"/>
  <c r="K37" i="18"/>
  <c r="L36" i="18"/>
  <c r="K36" i="18"/>
  <c r="L35" i="18"/>
  <c r="K35" i="18"/>
  <c r="L3" i="18"/>
  <c r="K3" i="18"/>
  <c r="L34" i="18"/>
  <c r="K34" i="18"/>
  <c r="L33" i="18"/>
  <c r="K33" i="18"/>
  <c r="L2" i="18"/>
  <c r="K2" i="18"/>
  <c r="L32" i="18"/>
  <c r="K32" i="18"/>
  <c r="L31" i="18"/>
  <c r="K31" i="18"/>
  <c r="L30" i="18"/>
  <c r="K30" i="18"/>
  <c r="L29" i="18"/>
  <c r="K29" i="18"/>
  <c r="L3" i="17"/>
  <c r="K3" i="17"/>
  <c r="L2" i="17"/>
  <c r="K2" i="17"/>
  <c r="L6" i="16"/>
  <c r="K6" i="16"/>
  <c r="L5" i="16"/>
  <c r="K5" i="16"/>
  <c r="L4" i="16"/>
  <c r="K4" i="16"/>
  <c r="L3" i="16"/>
  <c r="K3" i="16"/>
  <c r="L3" i="15"/>
  <c r="K3" i="15"/>
  <c r="L2" i="15"/>
  <c r="K2" i="15"/>
  <c r="L3" i="14"/>
  <c r="K3" i="14"/>
  <c r="L2" i="14"/>
  <c r="K2" i="14"/>
  <c r="L9" i="13"/>
  <c r="K9" i="13"/>
  <c r="L8" i="13"/>
  <c r="K8" i="13"/>
  <c r="L7" i="13"/>
  <c r="K7" i="13"/>
  <c r="L6" i="13"/>
  <c r="K6" i="13"/>
  <c r="L5" i="13"/>
  <c r="K5" i="13"/>
  <c r="L4" i="13"/>
  <c r="K4" i="13"/>
  <c r="L3" i="13"/>
  <c r="K3" i="13"/>
  <c r="L2" i="13"/>
  <c r="K2" i="13"/>
  <c r="L3" i="12"/>
  <c r="K3" i="12"/>
  <c r="L2" i="12"/>
  <c r="K2" i="12"/>
  <c r="L23" i="11" l="1"/>
  <c r="K23" i="11"/>
  <c r="L22" i="11"/>
  <c r="K22" i="11"/>
  <c r="L21" i="11"/>
  <c r="K21" i="11"/>
  <c r="L20" i="11"/>
  <c r="K20" i="11"/>
  <c r="L19" i="11"/>
  <c r="K19" i="11"/>
  <c r="L18" i="11"/>
  <c r="K18" i="11"/>
  <c r="L17" i="11"/>
  <c r="K17" i="11"/>
  <c r="L16" i="11"/>
  <c r="K16" i="11"/>
  <c r="L15" i="11"/>
  <c r="K15" i="11"/>
  <c r="L14" i="11"/>
  <c r="K14" i="11"/>
  <c r="L13" i="11"/>
  <c r="K13" i="11"/>
  <c r="L12" i="11"/>
  <c r="K12" i="11"/>
  <c r="L11" i="11"/>
  <c r="K11" i="11"/>
  <c r="L10" i="11"/>
  <c r="K10" i="11"/>
  <c r="L9" i="11"/>
  <c r="K9" i="11"/>
  <c r="L8" i="11"/>
  <c r="K8" i="11"/>
  <c r="L7" i="11"/>
  <c r="K7" i="11"/>
  <c r="L6" i="11"/>
  <c r="K6" i="11"/>
  <c r="L5" i="11"/>
  <c r="K5" i="11"/>
  <c r="L4" i="11"/>
  <c r="K4" i="11"/>
  <c r="L3" i="11"/>
  <c r="K3" i="11"/>
  <c r="L2" i="11"/>
  <c r="K2" i="11"/>
  <c r="L3" i="10" l="1"/>
  <c r="K3" i="10"/>
  <c r="L2" i="10"/>
  <c r="K2" i="10"/>
  <c r="L5" i="9"/>
  <c r="K5" i="9"/>
  <c r="L4" i="9"/>
  <c r="K4" i="9"/>
  <c r="L3" i="9"/>
  <c r="K3" i="9"/>
  <c r="L2" i="9"/>
  <c r="K2" i="9"/>
  <c r="L3" i="8"/>
  <c r="K3" i="8"/>
  <c r="L2" i="8"/>
  <c r="K2" i="8"/>
  <c r="L4" i="7"/>
  <c r="K4" i="7"/>
  <c r="L3" i="7"/>
  <c r="K3" i="7"/>
  <c r="L2" i="7"/>
  <c r="K2" i="7"/>
  <c r="L3" i="5"/>
  <c r="K3" i="5"/>
  <c r="L2" i="5"/>
  <c r="K2" i="5"/>
  <c r="L3" i="1" l="1"/>
  <c r="K3" i="1"/>
  <c r="L2" i="1"/>
  <c r="K2" i="1"/>
  <c r="I3" i="2"/>
  <c r="H3" i="2"/>
</calcChain>
</file>

<file path=xl/sharedStrings.xml><?xml version="1.0" encoding="utf-8"?>
<sst xmlns="http://schemas.openxmlformats.org/spreadsheetml/2006/main" count="4811" uniqueCount="871">
  <si>
    <t>BIDEN FOR PRESIDENT</t>
  </si>
  <si>
    <t>N</t>
  </si>
  <si>
    <t>D</t>
  </si>
  <si>
    <t>R</t>
  </si>
  <si>
    <t>Republican</t>
  </si>
  <si>
    <t>Independent</t>
  </si>
  <si>
    <t>Democratic</t>
  </si>
  <si>
    <t>Age</t>
  </si>
  <si>
    <t>Political Affiliation</t>
  </si>
  <si>
    <t>From Open Secrets.com</t>
  </si>
  <si>
    <t>Walmart</t>
  </si>
  <si>
    <t>State</t>
  </si>
  <si>
    <t>Gregory B. Penner</t>
  </si>
  <si>
    <t>%Republican</t>
  </si>
  <si>
    <t>%Democrat</t>
  </si>
  <si>
    <t>Company PAC Name</t>
  </si>
  <si>
    <t>Contributor name</t>
  </si>
  <si>
    <t>Recipient</t>
  </si>
  <si>
    <t>Employer</t>
  </si>
  <si>
    <t>Receipt date</t>
  </si>
  <si>
    <t>Amount</t>
  </si>
  <si>
    <t>CONDE, CESAR</t>
  </si>
  <si>
    <t>ACTBLUE</t>
  </si>
  <si>
    <t>AR</t>
  </si>
  <si>
    <t>Calculated Political Affiliation</t>
  </si>
  <si>
    <t>Criteria 41 - 59% N &gt;59% Party Affiliation</t>
  </si>
  <si>
    <t>CO</t>
  </si>
  <si>
    <t>NJ</t>
  </si>
  <si>
    <t>RETIRED</t>
  </si>
  <si>
    <t>CA</t>
  </si>
  <si>
    <t>MN</t>
  </si>
  <si>
    <t>Notes</t>
  </si>
  <si>
    <t>Greg Penner is currently the Chairman of Walmart, and he is only the third person to do so. The others were Penner’s father-in-law Rob Walton and Walmart’s founder Sam Walton. He has worked with Walmart in a variety of capacities for two decades. However, he did not join the board of directors until 2008. Since then, he served on the committee for global compensation and the executive committee. He then became chairman in 2015. Penner is the founder and general partner of the investment management firm Madrone Capital. Prior to working at Madrone Capital and Walmart, Penner was a financial analyst at Goldman Sachs &amp; Co., and he has served on the board of directors at several large companies. He has a bachelor’s degree in international economics and an MBA. Penner is married to Carrie Walton Penner, the daughter of Rob Walton, and the couple has four children together. The family lives in Atherton, California.</t>
  </si>
  <si>
    <t>Cesar Conde is the newest addition to Walmart’s board of directors as he only joined in 2019. He is the Chairman of NBCUniversal Telemundo Enterprises and NBCUniversal International Group. He first joined NBC International Group in 2013 when he held the position of Executive Vice President. This meant he had the responsibility of overseeing NBCU International and NBCU Digital Enterprises. He became Chairman in 2015, and he is now responsible for the operations and international expansions of the company outside North America. At Telemundo Enterprises, he is responsible for the media properties that serve Hispanic people. Before he joined NBCUniversal, he served Univision Networks for 10 years in a variety of senior executive position, including President of the company. Cesar Conde also previously worked at StarMedia Network and as White House Fellow for Secretary of State. Currently, Conde is a trustee of both the Paley Center for Music and for Aspen Institute. He is also a Young Global Leader for the World Economic Forum, a Full Member at the Council on Foreign Relations, and he serves on the Board of Directors of PepsiCo. Conde has been married to Pamela Silva Conde, a Univision news anchor, since 2009.</t>
  </si>
  <si>
    <t>Sarah Friar is the Chief Executive Officer of the San Francisco-based company Nextdoor and is the co-launcher of Ladies Who Launch. In her past professional history, she has been the Chief Financial Officer of Square, the Senior Vice President of Finance and Strategy at Salesforce, the Managing Director at Goldman Sachs, and a business analyst for McKinsey &amp; Company. Sarah Friar joined Walmart’s Board of Directors in early 2018. She is also on the Board of Directors of Slack. In the past, she has been on the Board of Directors of New Relic, Inc. Friar has a Meng from the University of Oxford and an MBA from Stanford University Graduate School of Business.</t>
  </si>
  <si>
    <t>HOUSE CD6</t>
  </si>
  <si>
    <t>JAIME HARRISON FOR US SENATE</t>
  </si>
  <si>
    <t>Cesar Conde Political Contributions in 2014</t>
  </si>
  <si>
    <t>Name &amp; Location</t>
  </si>
  <si>
    <t>Employer/Occupation</t>
  </si>
  <si>
    <t>Dollar</t>
  </si>
  <si>
    <t>Date</t>
  </si>
  <si>
    <t>Primary/</t>
  </si>
  <si>
    <t>General</t>
  </si>
  <si>
    <t>Contibuted To</t>
  </si>
  <si>
    <t>NEW YORK, NY</t>
  </si>
  <si>
    <t>Nbcuniversal/Executive Vice President</t>
  </si>
  <si>
    <t>P</t>
  </si>
  <si>
    <t>COMCAST CORPORATION &amp; NBCUNIVERSAL POLITICAL ACTION COMMITTEE - FEDERAL</t>
  </si>
  <si>
    <t>LOS ANGELES, CA</t>
  </si>
  <si>
    <t>Univision Communications Inc/President, Univision Networks</t>
  </si>
  <si>
    <t>UNIVISION COMMUNICATIONS INC. POLITICAL ACTION COMMITTEE</t>
  </si>
  <si>
    <t>HIALEAH, FL</t>
  </si>
  <si>
    <t>Corporate Staff/Chairman Int#L And Telemundo Enterpris</t>
  </si>
  <si>
    <t>Conde, Cesar</t>
  </si>
  <si>
    <t>Univision Communications Inc/Presid</t>
  </si>
  <si>
    <t>Univision Communications Inc./Presi</t>
  </si>
  <si>
    <t>Business Positions</t>
  </si>
  <si>
    <t>The Chubb Corporation Global provider of insurance products covering property and casualty, accident and health, reinsurance, and life insurance</t>
  </si>
  <si>
    <t>• Board Member (Sep '13→?) [+1]</t>
  </si>
  <si>
    <t>Walmart Inc. Retail merchandising</t>
  </si>
  <si>
    <t>• Board Member (Jul '12→?) [+1]</t>
  </si>
  <si>
    <t>JPMorgan Chase &amp; Co. A multinational banking corporation | World's largest public company</t>
  </si>
  <si>
    <t>• Board Member (May '12→?) [+1]</t>
  </si>
  <si>
    <t>UnitedHealth Group, Inc. Major health insurer, with headquarters in Minnetonka MN</t>
  </si>
  <si>
    <t>• Board Member</t>
  </si>
  <si>
    <t>Alcoa Inc. Aluminum producer</t>
  </si>
  <si>
    <t>KPMG LLP One of the "Big Four" US accounting firms</t>
  </si>
  <si>
    <t>• CEO</t>
  </si>
  <si>
    <t>Wal-Mart Stores (uk) Limited</t>
  </si>
  <si>
    <t>• Director (Board of Directors) (?→'15)</t>
  </si>
  <si>
    <t>Government Positions</t>
  </si>
  <si>
    <t>Financial Accounting Standards Board Creates accounting principles within the US in the public's interest.</t>
  </si>
  <si>
    <t>• trustee (past)</t>
  </si>
  <si>
    <t>Other Positions</t>
  </si>
  <si>
    <t>YMCA of Greater New York</t>
  </si>
  <si>
    <t>Memberships</t>
  </si>
  <si>
    <t>World Economic Forum - International Business Council</t>
  </si>
  <si>
    <t>• Member</t>
  </si>
  <si>
    <t>Business Roundtable Conservative-leaning pro-business policy group of leading chief executives</t>
  </si>
  <si>
    <t>Donation/Grant Recipients</t>
  </si>
  <si>
    <t>KPMG Partners &amp; Principals &amp; Employees Political Action Committee</t>
  </si>
  <si>
    <t>• 16 contributions · 27,731 USD ('96→'11)</t>
  </si>
  <si>
    <t>Chris Dodd President &amp; CEO of MPAA; former Democratic US Senator from CT</t>
  </si>
  <si>
    <t>• 3 contributions · 3,000 USD ('06→Dec 13 '06)</t>
  </si>
  <si>
    <t>Chuck Schumer US Senator and Representative from New York</t>
  </si>
  <si>
    <t>• 3 contributions · 3,000 USD ('00→'10)</t>
  </si>
  <si>
    <t>Rudy Giuliani Trump adviser; former mayor of New York City</t>
  </si>
  <si>
    <t>• 1 contribution · 2,300 USD ('07)</t>
  </si>
  <si>
    <t>Michael Ciresi V Democratic attorney from Minnesota, veteran contender in Dem statewide races</t>
  </si>
  <si>
    <t>Richard Shelby US Senator and Representative from Alabama</t>
  </si>
  <si>
    <t>• 1 contribution · 1,000 USD ('03)</t>
  </si>
  <si>
    <t>Max Baucus former US Senator and Representative from Montana</t>
  </si>
  <si>
    <t>• 1 contribution · 1,000 USD ('06)</t>
  </si>
  <si>
    <t>Joined the Board: 2018</t>
  </si>
  <si>
    <t>Committees: Audit; Strategic Planning and Finance (Chair)</t>
  </si>
  <si>
    <t>Sarah Friar is chief executive officer of Nextdoor, the app where you plug into the neighborhoods that matter to you. Neighbors turn to Nextdoor daily to receive trusted information, give and get help, and build real-world connections with those nearby—neighbors, local businesses, and public agencies.</t>
  </si>
  <si>
    <t>Prior to Nextdoor, Sarah served as chief financial officer at Square. Under Sarah’s leadership, the company launched its initial public offering in 2015 and added $30 billion in market capitalization.</t>
  </si>
  <si>
    <t>Before her tenure at Square, Sarah served as senior vice president of finance &amp; strategy at Salesforce. Sarah also held executive roles at Goldman Sachs, as well as leadership positions at McKinsey in both London and South Africa. Also on the board of Slack, Sarah is a Fellow of the inaugural class of the Finance Leaders Fellowship Program, a member of the Aspen Global Leadership Network and co-founder of Ladies Who Launch, a network that mentors and inspires women entrepreneurs and business owners.</t>
  </si>
  <si>
    <t>Sarah grew up in Northern Ireland and earned her MEng in Metallurgy, Economics, and Management from the University of Oxford and her MBA from the Stanford University Graduate School of Business, where she graduated as an Arjay Miller scholar.</t>
  </si>
  <si>
    <t>Tom is a partner at Global Infrastructure Partners, a global infrastructure investment firm. He previously served as senior advisor at Warburg Pincus LLC, a private equity firm focused on growth investing. He was the chairman of American Airlines Group, Inc., from 2013 to 2014. He was chairman, president and chief executive officer of American Airlines, Inc., and AMR Corporation from 2011 to 2013, after being named president of American in 2010. During that time, he led American through a successful restructuring and turnaround that culminated in the merger with US Airways, creating the world’s largest airline.</t>
  </si>
  <si>
    <t>Previously, he served as executive vice president and chief financial officer of AMR and American from 2006 to 2010, and vice chairman and chief financial officer of AT&amp;T Corporation from 2002 to 2006. Prior to joining AT&amp;T, he was senior vice president and chief financial officer of AMR from 2000 to 2002 and served in numerous management positions with AMR since 1985. He joined American Airlines from international accounting partnership firm Peat Marwick &amp; Company, which is now known as KPMG.</t>
  </si>
  <si>
    <t>He earned a master’s degree in business administration from the Cox School of Business at Southern Methodist University and a bachelor’s degree in accounting from Baylor University, where he graduated magna cum laude. He has served as a director of Qualcomm Incorporated since 2008 and became a director of General Electric Company in April 2018. He also serves on the executive board of the Cox School of Business at SMU.</t>
  </si>
  <si>
    <r>
      <t>Joined the Board</t>
    </r>
    <r>
      <rPr>
        <sz val="11"/>
        <color rgb="FF000000"/>
        <rFont val="BogleWeb"/>
      </rPr>
      <t>: 2014</t>
    </r>
  </si>
  <si>
    <r>
      <t>Committee</t>
    </r>
    <r>
      <rPr>
        <sz val="11"/>
        <color rgb="FF000000"/>
        <rFont val="BogleWeb"/>
      </rPr>
      <t>: Audit; Nominating and Governance (Chair); Strategic Planning and Finance; Executive</t>
    </r>
  </si>
  <si>
    <t>WALMART INC. PAC FOR RESPONSIBLE GOVERNMENT</t>
  </si>
  <si>
    <t>WALMART INC</t>
  </si>
  <si>
    <t>TX</t>
  </si>
  <si>
    <t>DONALD J. TRUMP FOR PRESIDENT, INC.</t>
  </si>
  <si>
    <t>NRCC</t>
  </si>
  <si>
    <t>SENATE GEORGIA BATTLEGROUND FUND</t>
  </si>
  <si>
    <t>WALMART</t>
  </si>
  <si>
    <t>PERDUE FOR SENATE</t>
  </si>
  <si>
    <t>COTTON FOR SENATE, INC.</t>
  </si>
  <si>
    <t>Company</t>
  </si>
  <si>
    <t>Board</t>
  </si>
  <si>
    <t>Exec</t>
  </si>
  <si>
    <t>Fname</t>
  </si>
  <si>
    <t>MI</t>
  </si>
  <si>
    <t>Lname</t>
  </si>
  <si>
    <t>Gender</t>
  </si>
  <si>
    <t>DOB</t>
  </si>
  <si>
    <t xml:space="preserve">Dem  </t>
  </si>
  <si>
    <t xml:space="preserve">Rep </t>
  </si>
  <si>
    <t>Neutral</t>
  </si>
  <si>
    <t>Reg</t>
  </si>
  <si>
    <t>Address</t>
  </si>
  <si>
    <t>B</t>
  </si>
  <si>
    <t>M</t>
  </si>
  <si>
    <t>Y</t>
  </si>
  <si>
    <t>J</t>
  </si>
  <si>
    <t>F</t>
  </si>
  <si>
    <t>A</t>
  </si>
  <si>
    <t>S</t>
  </si>
  <si>
    <t>L</t>
  </si>
  <si>
    <r>
      <t>I was thinking that it might be useful to take a sample of the rank-and-file donors in addition to the PACs.  These can be found by entering a contribution amount at the bottom of the entry column on the left of the FEC page (</t>
    </r>
    <r>
      <rPr>
        <u/>
        <sz val="12"/>
        <color rgb="FF196AD4"/>
        <rFont val="Calibri"/>
        <family val="2"/>
        <scheme val="minor"/>
      </rPr>
      <t>www.fec.gov/   </t>
    </r>
    <r>
      <rPr>
        <sz val="12"/>
        <color rgb="FF000000"/>
        <rFont val="Calibri"/>
        <family val="2"/>
        <scheme val="minor"/>
      </rPr>
      <t>individual contributions).  The way to do it is to sample 10 randomly from donors of $0 to $50, $50 to $100, $100 to $250, $250 to $1000, 1000 to 5,000, and 5,000 and above.  Also, if there are many above 5,000 take the top 10 donors.  That would result in a sample of 60 randomly chosen donor employees.  It will be useful to see how the employees who donate compare to the management and the PAC.  The way to choose randomly is to go to a random number generator such as </t>
    </r>
    <r>
      <rPr>
        <u/>
        <sz val="12"/>
        <color rgb="FF196AD4"/>
        <rFont val="Calibri"/>
        <family val="2"/>
        <scheme val="minor"/>
      </rPr>
      <t>https://www.random.org/</t>
    </r>
    <r>
      <rPr>
        <sz val="12"/>
        <color rgb="FF000000"/>
        <rFont val="Calibri"/>
        <family val="2"/>
        <scheme val="minor"/>
      </rPr>
      <t> and generate a number between one and 100, the largest number on a page that the FEC site allows. When it give you a number, go through the pages for each stratum (0 to 50, etc.) until you get to 10 individuals. Then repeat for 50 to 100, etc.  For instance, if the random number generator gives you 13, pick the 13th one from the first page, the second page, and so on up to the tenth page. Then, repeat the process for the $50 to $100 donors, etc.</t>
    </r>
  </si>
  <si>
    <t>Steps</t>
  </si>
  <si>
    <t>Download FEC data and stratify</t>
  </si>
  <si>
    <t>e.g. 0-50,50-100,100-250,250-1000,1000-5000,5000 and above</t>
  </si>
  <si>
    <t>Filter for each stratum from the universe of data</t>
  </si>
  <si>
    <t xml:space="preserve">Random Generated Numbers for each stratum </t>
  </si>
  <si>
    <t>Use 10 from each stratum by copying raw data into the Random tab</t>
  </si>
  <si>
    <t>Analyze</t>
  </si>
  <si>
    <t>0-50</t>
  </si>
  <si>
    <t>GEORGESON GLEASON, ALEXIS</t>
  </si>
  <si>
    <t>NE</t>
  </si>
  <si>
    <t>MEHTA, JAY</t>
  </si>
  <si>
    <t>KS</t>
  </si>
  <si>
    <t>STACY, BRITTANY</t>
  </si>
  <si>
    <t>KY</t>
  </si>
  <si>
    <t>KNUTSEN, ZACK</t>
  </si>
  <si>
    <t>WI</t>
  </si>
  <si>
    <t>JEFFERSON, BENEDICT</t>
  </si>
  <si>
    <t>OK</t>
  </si>
  <si>
    <t>DRAMDAHL, DAVID</t>
  </si>
  <si>
    <t>WARNOCK FOR GEORGIA</t>
  </si>
  <si>
    <t>JOHNSTON, ARTHUR</t>
  </si>
  <si>
    <t>MCMULLINS, JEFFREY</t>
  </si>
  <si>
    <t>AL</t>
  </si>
  <si>
    <t>WILLIAMS, JEFFREY C</t>
  </si>
  <si>
    <t>STOMSKI, LORRAINE</t>
  </si>
  <si>
    <t>CLARK, MICHAEL</t>
  </si>
  <si>
    <t>WINRED</t>
  </si>
  <si>
    <t>ME</t>
  </si>
  <si>
    <t>HUSTER, FRANK</t>
  </si>
  <si>
    <t>WA</t>
  </si>
  <si>
    <t>FITCH, TROY</t>
  </si>
  <si>
    <t>NC</t>
  </si>
  <si>
    <t>MCCULLOUGH, MEGAN</t>
  </si>
  <si>
    <t>BERNIE 2020</t>
  </si>
  <si>
    <t>IN</t>
  </si>
  <si>
    <t>50-100</t>
  </si>
  <si>
    <t>WACHSSTOCK, SUZANNE</t>
  </si>
  <si>
    <t>GOROFF FOR CONGRESS</t>
  </si>
  <si>
    <t>MD</t>
  </si>
  <si>
    <t>FITZ-GERALD, MATTHEW</t>
  </si>
  <si>
    <t>SPANBERGER FOR CONGRESS</t>
  </si>
  <si>
    <t>DC</t>
  </si>
  <si>
    <t>MAHONEY, JAMES</t>
  </si>
  <si>
    <t>AGNEW, GAYATRI</t>
  </si>
  <si>
    <t>KRISTINE REEVES FOR CONGRESS</t>
  </si>
  <si>
    <t>LAVOIE, LAUREN</t>
  </si>
  <si>
    <t>PETERS FOR MICHIGAN</t>
  </si>
  <si>
    <t>BESANCENEY, BRIAN</t>
  </si>
  <si>
    <t>THE LINCOLN PROJECT</t>
  </si>
  <si>
    <t>CORLEY, JEFFREY</t>
  </si>
  <si>
    <t>TN</t>
  </si>
  <si>
    <t>MALLEY, SETH</t>
  </si>
  <si>
    <t>MCKINNEY, FLORENCE</t>
  </si>
  <si>
    <t>BARTON, ELIZABETH</t>
  </si>
  <si>
    <t>NY</t>
  </si>
  <si>
    <t>SEARS, STELLA</t>
  </si>
  <si>
    <t>LORE, MARC</t>
  </si>
  <si>
    <t>WIN THE ERA PAC</t>
  </si>
  <si>
    <t>KUBISIAK, RYAN</t>
  </si>
  <si>
    <t>ROSENFIELD, DANIEL</t>
  </si>
  <si>
    <t>ALVIS, JOHN</t>
  </si>
  <si>
    <t>NM</t>
  </si>
  <si>
    <t>DUNN, ANDREW</t>
  </si>
  <si>
    <t>THE MARKEY COMMITTEE</t>
  </si>
  <si>
    <t>PHILLIPSJ, JOSEPH</t>
  </si>
  <si>
    <t>PA</t>
  </si>
  <si>
    <t>DSCC</t>
  </si>
  <si>
    <t>100-250</t>
  </si>
  <si>
    <t>HOUSE SENATE VICTORY FUND</t>
  </si>
  <si>
    <t>WALTON, CHRISTY R.</t>
  </si>
  <si>
    <t>CORY BOOKER FOR SENATE</t>
  </si>
  <si>
    <t>LEMLER, SHANE</t>
  </si>
  <si>
    <t>LIBERTARIAN PARTY OF INDIANA</t>
  </si>
  <si>
    <t>CHUNG, JAMIE</t>
  </si>
  <si>
    <t>DNC SERVICES CORP / DEMOCRATIC NATIONAL COMMITTEE</t>
  </si>
  <si>
    <t>BROWN, CHRISTEL</t>
  </si>
  <si>
    <t>BIDEN VICTORY FUND</t>
  </si>
  <si>
    <t>PHAIR, JOSHUA</t>
  </si>
  <si>
    <t>ANGELA WILLIAMS FOR US SENATE</t>
  </si>
  <si>
    <t>WALTON, SAMUEL R.</t>
  </si>
  <si>
    <t>HOUSE MAJORITY PAC</t>
  </si>
  <si>
    <t>SMITH, GREGORY</t>
  </si>
  <si>
    <t>BRYANT, DANIEL</t>
  </si>
  <si>
    <t>VA</t>
  </si>
  <si>
    <t>THORN, SARAH</t>
  </si>
  <si>
    <t>JONES, DUSTIN</t>
  </si>
  <si>
    <t>HILDEBRANDT, BRIAN</t>
  </si>
  <si>
    <t>TRUMP MAKE AMERICA GREAT AGAIN COMMITTEE</t>
  </si>
  <si>
    <t>LAMM, WILLIAM</t>
  </si>
  <si>
    <t>PHILPOTT, MICHAEL</t>
  </si>
  <si>
    <t>MAVERICK PAC USA</t>
  </si>
  <si>
    <t>250-1000</t>
  </si>
  <si>
    <t>RIDDLE, PATRICK</t>
  </si>
  <si>
    <t>OH</t>
  </si>
  <si>
    <t>FOLTYN, TIMOTHY</t>
  </si>
  <si>
    <t>BENNETT, CHRIS</t>
  </si>
  <si>
    <t>BIGGS, MICHAEL B</t>
  </si>
  <si>
    <t>HEIDRICH, MARY</t>
  </si>
  <si>
    <t>EDWARDS, NELSON</t>
  </si>
  <si>
    <t>RAMIREZ, JULIA</t>
  </si>
  <si>
    <t>1000-5000</t>
  </si>
  <si>
    <t>EMGE, KATIE</t>
  </si>
  <si>
    <t>CONGRESSIONAL LEADERSHIP FUND</t>
  </si>
  <si>
    <t>HENLEY, JEAN</t>
  </si>
  <si>
    <t>STEVENS, JANICE</t>
  </si>
  <si>
    <t>&gt;5000</t>
  </si>
  <si>
    <t>entity_type</t>
  </si>
  <si>
    <t>entity_type_desc</t>
  </si>
  <si>
    <t>unused_contbr_id</t>
  </si>
  <si>
    <t>contributor_prefix</t>
  </si>
  <si>
    <t>contributor_name</t>
  </si>
  <si>
    <t>recipient_committee_type</t>
  </si>
  <si>
    <t>recipient_committee_org_type</t>
  </si>
  <si>
    <t>recipient_committee_designation</t>
  </si>
  <si>
    <t>contributor_first_name</t>
  </si>
  <si>
    <t>contributor_middle_name</t>
  </si>
  <si>
    <t>contributor_last_name</t>
  </si>
  <si>
    <t>contributor_suffix</t>
  </si>
  <si>
    <t>contributor_street_1</t>
  </si>
  <si>
    <t>contributor_street_2</t>
  </si>
  <si>
    <t>contributor_city</t>
  </si>
  <si>
    <t>contributor_state</t>
  </si>
  <si>
    <t>contributor_zip</t>
  </si>
  <si>
    <t>contributor_employer</t>
  </si>
  <si>
    <t>contributor_occupation</t>
  </si>
  <si>
    <t>contributor_id</t>
  </si>
  <si>
    <t>receipt_type</t>
  </si>
  <si>
    <t>receipt_type_desc</t>
  </si>
  <si>
    <t>receipt_type_full</t>
  </si>
  <si>
    <t>memo_code</t>
  </si>
  <si>
    <t>memo_code_full</t>
  </si>
  <si>
    <t>contribution_receipt_date</t>
  </si>
  <si>
    <t>contribution_receipt_amount</t>
  </si>
  <si>
    <t>contributor_aggregate_ytd</t>
  </si>
  <si>
    <t>candidate_id</t>
  </si>
  <si>
    <t>candidate_name</t>
  </si>
  <si>
    <t>candidate_first_name</t>
  </si>
  <si>
    <t>candidate_last_name</t>
  </si>
  <si>
    <t>candidate_middle_name</t>
  </si>
  <si>
    <t>candidate_prefix</t>
  </si>
  <si>
    <t>candidate_suffix</t>
  </si>
  <si>
    <t>candidate_office</t>
  </si>
  <si>
    <t>candidate_office_full</t>
  </si>
  <si>
    <t>candidate_office_state</t>
  </si>
  <si>
    <t>candidate_office_state_full</t>
  </si>
  <si>
    <t>candidate_office_district</t>
  </si>
  <si>
    <t>conduit_committee_id</t>
  </si>
  <si>
    <t>conduit_committee_name</t>
  </si>
  <si>
    <t>conduit_committee_street1</t>
  </si>
  <si>
    <t>conduit_committee_street2</t>
  </si>
  <si>
    <t>conduit_committee_city</t>
  </si>
  <si>
    <t>conduit_committee_state</t>
  </si>
  <si>
    <t>conduit_committee_zip</t>
  </si>
  <si>
    <t>donor_committee_name</t>
  </si>
  <si>
    <t>national_committee_nonfederal_account</t>
  </si>
  <si>
    <t>election_type</t>
  </si>
  <si>
    <t>election_type_full</t>
  </si>
  <si>
    <t>fec_election_type_desc</t>
  </si>
  <si>
    <t>fec_election_year</t>
  </si>
  <si>
    <t>amendment_indicator</t>
  </si>
  <si>
    <t>amendment_indicator_desc</t>
  </si>
  <si>
    <t>schedule_type_full</t>
  </si>
  <si>
    <t>load_date</t>
  </si>
  <si>
    <t>original_sub_id</t>
  </si>
  <si>
    <t>back_reference_transaction_id</t>
  </si>
  <si>
    <t>back_reference_schedule_name</t>
  </si>
  <si>
    <t>filing_form</t>
  </si>
  <si>
    <t>link_id</t>
  </si>
  <si>
    <t>is_individual</t>
  </si>
  <si>
    <t>memo_text</t>
  </si>
  <si>
    <t>two_year_transaction_period</t>
  </si>
  <si>
    <t>schedule_type</t>
  </si>
  <si>
    <t>increased_limit</t>
  </si>
  <si>
    <t>sub_id</t>
  </si>
  <si>
    <t>pdf_url</t>
  </si>
  <si>
    <t>line_number_label</t>
  </si>
  <si>
    <t>IND</t>
  </si>
  <si>
    <t>INDIVIDUAL</t>
  </si>
  <si>
    <t>COPESKEY, JEFFREY F</t>
  </si>
  <si>
    <t>Q</t>
  </si>
  <si>
    <t>C</t>
  </si>
  <si>
    <t>JEFFREY</t>
  </si>
  <si>
    <t>COPESKEY</t>
  </si>
  <si>
    <t>4045 SCENIC HWY</t>
  </si>
  <si>
    <t>BATON ROUGE</t>
  </si>
  <si>
    <t>LA</t>
  </si>
  <si>
    <t>EXXON MOBIL CORPORATION</t>
  </si>
  <si>
    <t>STATE GOVERNMENT RELATIONS ADVISOR, LA</t>
  </si>
  <si>
    <t>CONTRIBUTION</t>
  </si>
  <si>
    <t>PRIMARY</t>
  </si>
  <si>
    <t>ADD</t>
  </si>
  <si>
    <t>ITEMIZED RECEIPTS</t>
  </si>
  <si>
    <t>F3X</t>
  </si>
  <si>
    <t>t</t>
  </si>
  <si>
    <t>* PAYROLL DEDUCTION: $21.00 PER PAY PERIOD</t>
  </si>
  <si>
    <t>SA</t>
  </si>
  <si>
    <t>http://docquery.fec.gov/cgi-bin/fecimg/?201906149150032903</t>
  </si>
  <si>
    <t>Contributions From Individuals/Persons Other Than Political Committees</t>
  </si>
  <si>
    <t>LUM, TAMMY S.</t>
  </si>
  <si>
    <t>TAMMY</t>
  </si>
  <si>
    <t>S.</t>
  </si>
  <si>
    <t>LUM</t>
  </si>
  <si>
    <t>22777 SPRINGWOODS VILLAGE</t>
  </si>
  <si>
    <t>SPRING</t>
  </si>
  <si>
    <t>MANAGER AMERICAS SUPPLY COORDINATOR</t>
  </si>
  <si>
    <t>* PAYROLL DEDUCTION: $25.00 PER PAY PERIOD</t>
  </si>
  <si>
    <t>http://docquery.fec.gov/cgi-bin/fecimg/?201906149150032946</t>
  </si>
  <si>
    <t>BOOHER, LINDSAY E</t>
  </si>
  <si>
    <t>LINDSAY</t>
  </si>
  <si>
    <t>E</t>
  </si>
  <si>
    <t>BOOHER</t>
  </si>
  <si>
    <t>FACILITATOR RELIABILITY DEVELOPMENT</t>
  </si>
  <si>
    <t>* PAYROLL DEDUCTION: $20.00 PER PAY PERIOD</t>
  </si>
  <si>
    <t>http://docquery.fec.gov/cgi-bin/fecimg/?201907099150524344</t>
  </si>
  <si>
    <t>ABBOTT, JACQUELYN M</t>
  </si>
  <si>
    <t>JACQUELYN</t>
  </si>
  <si>
    <t>ABBOTT</t>
  </si>
  <si>
    <t>1735 HUGHES LANDING BLDV-WEST</t>
  </si>
  <si>
    <t>THE WOODLANDS</t>
  </si>
  <si>
    <t>SUPERVISOR TAX COUNSEL - BENEFITS &amp; CO</t>
  </si>
  <si>
    <t>http://docquery.fec.gov/cgi-bin/fecimg/?201906149150032884</t>
  </si>
  <si>
    <t>BARRANCO, MARK WILLI</t>
  </si>
  <si>
    <t>MARK</t>
  </si>
  <si>
    <t>WILLI</t>
  </si>
  <si>
    <t>BARRANCO</t>
  </si>
  <si>
    <t>ADVSR PLANNING</t>
  </si>
  <si>
    <t>* PAYROLL DEDUCTION: $50.00 PER PAY PERIOD</t>
  </si>
  <si>
    <t>http://docquery.fec.gov/cgi-bin/fecimg/?201907099150524339</t>
  </si>
  <si>
    <t>MACK, AUDREY</t>
  </si>
  <si>
    <t>V</t>
  </si>
  <si>
    <t>U</t>
  </si>
  <si>
    <t>AUDREY</t>
  </si>
  <si>
    <t>MACK</t>
  </si>
  <si>
    <t>611 SHEPHERD DRIVE 612</t>
  </si>
  <si>
    <t>HOUSTON</t>
  </si>
  <si>
    <t>EXXON MOBIL</t>
  </si>
  <si>
    <t>ENGINEER</t>
  </si>
  <si>
    <t>EARMARK</t>
  </si>
  <si>
    <t>EARMARKED FOR CYNTHIA WALLACE FOR CONGRESS (C00731919)</t>
  </si>
  <si>
    <t>http://docquery.fec.gov/cgi-bin/fecimg/?202007209256642107</t>
  </si>
  <si>
    <t>KNULL, ANNA</t>
  </si>
  <si>
    <t>ANNA</t>
  </si>
  <si>
    <t>KNULL</t>
  </si>
  <si>
    <t>1337 OMAR STREET</t>
  </si>
  <si>
    <t>COUNSEL</t>
  </si>
  <si>
    <t>CONTRIBUTION TO ACT BLUE</t>
  </si>
  <si>
    <t>_x000D_</t>
  </si>
  <si>
    <t>CONTRIBUTION TO ACTBLUE</t>
  </si>
  <si>
    <t>https://docquery.fec.gov/cgi-bin/fecimg/?202012119368595868</t>
  </si>
  <si>
    <t>DICKSON, KEITH</t>
  </si>
  <si>
    <t>KEITH</t>
  </si>
  <si>
    <t>DICKSON</t>
  </si>
  <si>
    <t>14008 LAKE CRESCENT DRIVE</t>
  </si>
  <si>
    <t>CONROE</t>
  </si>
  <si>
    <t>DATA ANALYST</t>
  </si>
  <si>
    <t>EARMARKED FOR MCGRATH FOR US SENATE (C00711549)</t>
  </si>
  <si>
    <t>https://docquery.fec.gov/cgi-bin/fecimg/?202012119367479425</t>
  </si>
  <si>
    <t>DODDS, HEIDI</t>
  </si>
  <si>
    <t>HEIDI</t>
  </si>
  <si>
    <t>DODDS</t>
  </si>
  <si>
    <t>1817 WOODS EDGE DR NE</t>
  </si>
  <si>
    <t>LEESBURG</t>
  </si>
  <si>
    <t>DATA ARCHITECT</t>
  </si>
  <si>
    <t>EARMARKED FOR JULIAN FOR THE FUTURE (C00693044)</t>
  </si>
  <si>
    <t>http://docquery.fec.gov/cgi-bin/fecimg/?202001299169315631</t>
  </si>
  <si>
    <t>SMITH, TERRILYNN</t>
  </si>
  <si>
    <t>TERRILYNN</t>
  </si>
  <si>
    <t>SMITH</t>
  </si>
  <si>
    <t>P O BOX 130847</t>
  </si>
  <si>
    <t>PARALEGAL</t>
  </si>
  <si>
    <t>EARMARKED FOR FAIR FIGHT, INC. PAC - FEDERAL (C00693515)</t>
  </si>
  <si>
    <t>https://docquery.fec.gov/cgi-bin/fecimg/?202012049358614924</t>
  </si>
  <si>
    <t>SCHUESSLER, THOMAS W</t>
  </si>
  <si>
    <t>THOMAS</t>
  </si>
  <si>
    <t>W</t>
  </si>
  <si>
    <t>SCHUESSLER</t>
  </si>
  <si>
    <t>SVP CONVENTIONAL</t>
  </si>
  <si>
    <t>* PAYROLL DEDUCTION: $90.00 PER PAY PERIOD</t>
  </si>
  <si>
    <t>http://docquery.fec.gov/cgi-bin/fecimg/?201906149150032974</t>
  </si>
  <si>
    <t>BLAKE, DAVID B</t>
  </si>
  <si>
    <t>DAVID</t>
  </si>
  <si>
    <t>BLAKE</t>
  </si>
  <si>
    <t>5959 LAS COLINAS BLVD-TAX</t>
  </si>
  <si>
    <t>IRVING</t>
  </si>
  <si>
    <t>SR TAX COUNSEL - B&amp;C</t>
  </si>
  <si>
    <t>* PAYROLL DEDUCTION: $35 PER PAY PERIOD</t>
  </si>
  <si>
    <t>http://docquery.fec.gov/cgi-bin/fecimg/?201911129165353422</t>
  </si>
  <si>
    <t>C00580100</t>
  </si>
  <si>
    <t>RASMUSSEN, CHAD</t>
  </si>
  <si>
    <t>CHAD</t>
  </si>
  <si>
    <t>RASMUSSEN</t>
  </si>
  <si>
    <t>10115 KIELDER POINTE DR</t>
  </si>
  <si>
    <t>15E</t>
  </si>
  <si>
    <t>EARMARKED CONTRIBUTION</t>
  </si>
  <si>
    <t>EARMARKED FOR DONALD J. TRUMP FOR PRESIDENT, INC. (C00580100)</t>
  </si>
  <si>
    <t>P80001571</t>
  </si>
  <si>
    <t>https://docquery.fec.gov/cgi-bin/fecimg/?202101259408804576</t>
  </si>
  <si>
    <t>KESTLE, STEPHEN J</t>
  </si>
  <si>
    <t>STEPHEN</t>
  </si>
  <si>
    <t>KESTLE</t>
  </si>
  <si>
    <t>5959 LAS COLINAS BLVD-CONTRLRS</t>
  </si>
  <si>
    <t>MGR FIN RPTG &amp; ANALYSIS - CORPORATE</t>
  </si>
  <si>
    <t>* PAYROLL DEDUCTION: $60 PER PAY PERIOD</t>
  </si>
  <si>
    <t>http://docquery.fec.gov/cgi-bin/fecimg/?201910079163758065</t>
  </si>
  <si>
    <t>CHAMPAGNE, CHARLES</t>
  </si>
  <si>
    <t>CHARLES</t>
  </si>
  <si>
    <t>CHAMPAGNE</t>
  </si>
  <si>
    <t>219 PHILADELPHIA STREET</t>
  </si>
  <si>
    <t>REHOBOTH BEACH</t>
  </si>
  <si>
    <t>DE</t>
  </si>
  <si>
    <t>ANALYST</t>
  </si>
  <si>
    <t>EARMARKED FOR PETE FOR AMERICA, INC (C00697441)</t>
  </si>
  <si>
    <t>http://docquery.fec.gov/cgi-bin/fecimg/?201907299153350780</t>
  </si>
  <si>
    <t>NOLAN, ROBERT M</t>
  </si>
  <si>
    <t>ROBERT</t>
  </si>
  <si>
    <t>NOLAN</t>
  </si>
  <si>
    <t>2020 K STR NW - PUBLIC AFF</t>
  </si>
  <si>
    <t>WASHINGTON</t>
  </si>
  <si>
    <t>ADVR FED GOVERNMENT RELS</t>
  </si>
  <si>
    <t>* PAYROLL DEDUCTION: $40 PER PAY PERIOD</t>
  </si>
  <si>
    <t>http://docquery.fec.gov/cgi-bin/fecimg/?201910079163758090</t>
  </si>
  <si>
    <t>GONZALEZ, RENE</t>
  </si>
  <si>
    <t>RENE</t>
  </si>
  <si>
    <t>GONZALEZ</t>
  </si>
  <si>
    <t>15107 OAK LOFT</t>
  </si>
  <si>
    <t>SAN ANTONIO</t>
  </si>
  <si>
    <t>ATTORNEY</t>
  </si>
  <si>
    <t>EARMARKED FOR BIDEN VICTORY FUND (C00744946)</t>
  </si>
  <si>
    <t>https://docquery.fec.gov/cgi-bin/fecimg/?202012119367942760</t>
  </si>
  <si>
    <t>C00401224</t>
  </si>
  <si>
    <t>15107 OAK LOFT ST</t>
  </si>
  <si>
    <t>G2020</t>
  </si>
  <si>
    <t>GENERAL</t>
  </si>
  <si>
    <t>13663325E</t>
  </si>
  <si>
    <t>SA17A</t>
  </si>
  <si>
    <t>F3P</t>
  </si>
  <si>
    <t>* EARMARKED CONTRIBUTION: SEE BELOW</t>
  </si>
  <si>
    <t>http://docquery.fec.gov/cgi-bin/fecimg/?202010219325972322</t>
  </si>
  <si>
    <t>GOMEZ-SMITH, CHERYL L</t>
  </si>
  <si>
    <t>CHERYL</t>
  </si>
  <si>
    <t>GOMEZ-SMITH</t>
  </si>
  <si>
    <t>22777 SPRINGWOOD VILLAGE</t>
  </si>
  <si>
    <t>DIRECTOR PERSONNEL SAFETY &amp; SECURITY</t>
  </si>
  <si>
    <t>* PAYROLL DEDUCTION: $100.00 PER PAY PERIOD</t>
  </si>
  <si>
    <t>http://docquery.fec.gov/cgi-bin/fecimg/?201906149150032924</t>
  </si>
  <si>
    <t>ALLEN, MICHAEL L</t>
  </si>
  <si>
    <t>MICHAEL</t>
  </si>
  <si>
    <t>ALLEN</t>
  </si>
  <si>
    <t>COORDINATOR EXTERNAL AFFAIRS</t>
  </si>
  <si>
    <t>http://docquery.fec.gov/cgi-bin/fecimg/?201904149146117070</t>
  </si>
  <si>
    <t>MR.</t>
  </si>
  <si>
    <t>BISHOP, RALPH B. MR.</t>
  </si>
  <si>
    <t>RALPH</t>
  </si>
  <si>
    <t>B.</t>
  </si>
  <si>
    <t>BISHOP</t>
  </si>
  <si>
    <t>618 W AVENUE H</t>
  </si>
  <si>
    <t>LOVINGTON</t>
  </si>
  <si>
    <t>CONSULTANT</t>
  </si>
  <si>
    <t>http://docquery.fec.gov/cgi-bin/fecimg/?202010209297922132</t>
  </si>
  <si>
    <t>SHORES, MARK M</t>
  </si>
  <si>
    <t>SHORES</t>
  </si>
  <si>
    <t>5959 LAS COLINAS BLVD - CSP</t>
  </si>
  <si>
    <t>MGR PLANNING</t>
  </si>
  <si>
    <t>http://docquery.fec.gov/cgi-bin/fecimg/?201905159149702463</t>
  </si>
  <si>
    <t>C00694323</t>
  </si>
  <si>
    <t>EARMARKED (NON-DIRECTED) THROUGH WINRED</t>
  </si>
  <si>
    <t>CHANGE</t>
  </si>
  <si>
    <t>https://docquery.fec.gov/cgi-bin/fecimg/?202104229445367727</t>
  </si>
  <si>
    <t>BROWNELL, DAVE C</t>
  </si>
  <si>
    <t>DAVE</t>
  </si>
  <si>
    <t>BROWNELL</t>
  </si>
  <si>
    <t>SR VP OPERATIONS</t>
  </si>
  <si>
    <t>* PAYROLL DEDUCTION: $250.00 PER PAY PERIOD</t>
  </si>
  <si>
    <t>http://docquery.fec.gov/cgi-bin/fecimg/?201902149145513036</t>
  </si>
  <si>
    <t>WEBB, JOEL P</t>
  </si>
  <si>
    <t>JOEL</t>
  </si>
  <si>
    <t>WEBB</t>
  </si>
  <si>
    <t>5959 LAS COLINAS BLVD-INV RELS</t>
  </si>
  <si>
    <t>MGR OFFICE OF THE SECY</t>
  </si>
  <si>
    <t>* PAYROLL DEDUCTION: $200 PER PAY PERIOD</t>
  </si>
  <si>
    <t>http://docquery.fec.gov/cgi-bin/fecimg/?202006099239655449</t>
  </si>
  <si>
    <t>TRELENBERG, PETER W</t>
  </si>
  <si>
    <t>PETER</t>
  </si>
  <si>
    <t>TRELENBERG</t>
  </si>
  <si>
    <t>5959 LAS COLINAS BLVD-ENV/SFTY</t>
  </si>
  <si>
    <t>MGR ENV POL &amp; PLNG</t>
  </si>
  <si>
    <t>* PAYROLL DEDUCTION: $250 PER PAY PERIOD</t>
  </si>
  <si>
    <t>http://docquery.fec.gov/cgi-bin/fecimg/?202007089244373881</t>
  </si>
  <si>
    <t>KOSTELNIK, ANDRE</t>
  </si>
  <si>
    <t>ANDRE</t>
  </si>
  <si>
    <t>KOSTELNIK</t>
  </si>
  <si>
    <t>EXXON MOBIL REF &amp; SUPPLY</t>
  </si>
  <si>
    <t>LCM &amp; GRL MNGR ANGOLA</t>
  </si>
  <si>
    <t>http://docquery.fec.gov/cgi-bin/fecimg/?202003179203838389</t>
  </si>
  <si>
    <t>LUECKE, JEROME E</t>
  </si>
  <si>
    <t>JEROME</t>
  </si>
  <si>
    <t>LUECKE</t>
  </si>
  <si>
    <t>25 RABBITS RUN</t>
  </si>
  <si>
    <t>PALM BEACH GARDENS</t>
  </si>
  <si>
    <t>FL</t>
  </si>
  <si>
    <t>http://docquery.fec.gov/cgi-bin/fecimg/?202010149285748363</t>
  </si>
  <si>
    <t>PATEL, ANANT</t>
  </si>
  <si>
    <t>ANANT</t>
  </si>
  <si>
    <t>PATEL</t>
  </si>
  <si>
    <t>MANAGER LOBD AMERICAS</t>
  </si>
  <si>
    <t>http://docquery.fec.gov/cgi-bin/fecimg/?202005139232673663</t>
  </si>
  <si>
    <t>http://docquery.fec.gov/cgi-bin/fecimg/?202005139232673646</t>
  </si>
  <si>
    <t>ELLIS, JOSEPH MR.</t>
  </si>
  <si>
    <t>JOSEPH</t>
  </si>
  <si>
    <t>ELLIS</t>
  </si>
  <si>
    <t>909 TURNBERRY LANE</t>
  </si>
  <si>
    <t>SOUTHLAKE</t>
  </si>
  <si>
    <t>ACCOUNTANT</t>
  </si>
  <si>
    <t>P2020</t>
  </si>
  <si>
    <t>NO CHANGE</t>
  </si>
  <si>
    <t>SA11C.19118718910</t>
  </si>
  <si>
    <t>SA11AI</t>
  </si>
  <si>
    <t>F3</t>
  </si>
  <si>
    <t>EARMARKED FROM WINRED</t>
  </si>
  <si>
    <t>http://docquery.fec.gov/cgi-bin/fecimg/?202005159232706083</t>
  </si>
  <si>
    <t>EBNER, RANDALL M</t>
  </si>
  <si>
    <t>RANDALL</t>
  </si>
  <si>
    <t>EBNER</t>
  </si>
  <si>
    <t>5959 LAS COLINAS BLVD-LAW</t>
  </si>
  <si>
    <t>VICE PRES &amp; GENL CNSL</t>
  </si>
  <si>
    <t>http://docquery.fec.gov/cgi-bin/fecimg/?202005139232673627</t>
  </si>
  <si>
    <t>FOX, LEONARD M</t>
  </si>
  <si>
    <t>LEONARD</t>
  </si>
  <si>
    <t>FOX</t>
  </si>
  <si>
    <t>VP BUS SVCS &amp; CHEM TREASURER</t>
  </si>
  <si>
    <t>* PAYROLL DEDUCTION: $208.33 PER PAY PERIOD</t>
  </si>
  <si>
    <t>http://docquery.fec.gov/cgi-bin/fecimg/?201905159149702428</t>
  </si>
  <si>
    <t>CASEY, CHARLES A.</t>
  </si>
  <si>
    <t>A.</t>
  </si>
  <si>
    <t>CASEY</t>
  </si>
  <si>
    <t>ASST GENERAL COUNSEL - M&amp;A &amp; COM PROJ</t>
  </si>
  <si>
    <t>http://docquery.fec.gov/cgi-bin/fecimg/?201907099150524353</t>
  </si>
  <si>
    <t>WASCOM, DENNIS G</t>
  </si>
  <si>
    <t>DENNIS</t>
  </si>
  <si>
    <t>G</t>
  </si>
  <si>
    <t>WASCOM</t>
  </si>
  <si>
    <t>VICE PRES OPNL EXCL/SSHE</t>
  </si>
  <si>
    <t>* PAYROLL DEDUCTION: $416.67 PER PAY PERIOD</t>
  </si>
  <si>
    <t>http://docquery.fec.gov/cgi-bin/fecimg/?202005139232673686</t>
  </si>
  <si>
    <t>WOJNAR, THEODORE J</t>
  </si>
  <si>
    <t>THEODORE</t>
  </si>
  <si>
    <t>WOJNAR</t>
  </si>
  <si>
    <t>5959 LAS COLINAS BLVD-CORP PLN</t>
  </si>
  <si>
    <t>VICE PRES CORP STRAT PLNG</t>
  </si>
  <si>
    <t>* PAYROLL DEDUCTION: $416.66 PER PAY PERIOD</t>
  </si>
  <si>
    <t>http://docquery.fec.gov/cgi-bin/fecimg/?202003179203838414</t>
  </si>
  <si>
    <t>KING, JOHN F</t>
  </si>
  <si>
    <t>JOHN</t>
  </si>
  <si>
    <t>KING</t>
  </si>
  <si>
    <t>372 W ROYAL FLAMINGO DR</t>
  </si>
  <si>
    <t>SARASOTA</t>
  </si>
  <si>
    <t>http://docquery.fec.gov/cgi-bin/fecimg/?202001229167306236</t>
  </si>
  <si>
    <t>SCHLECKSER, ROBERT N</t>
  </si>
  <si>
    <t>SCHLECKSER</t>
  </si>
  <si>
    <t>5959 LAS COLINAS BLVD-TRSRS</t>
  </si>
  <si>
    <t>VICE PRES &amp; TREASURER</t>
  </si>
  <si>
    <t>http://docquery.fec.gov/cgi-bin/fecimg/?202001229167306300</t>
  </si>
  <si>
    <t>COLTON, WILLIAM</t>
  </si>
  <si>
    <t>WILLIAM</t>
  </si>
  <si>
    <t>COLTON</t>
  </si>
  <si>
    <t>121 N POST OAK LN APT 302</t>
  </si>
  <si>
    <t>EXXON MOBIL CORP.</t>
  </si>
  <si>
    <t>ASSISTANT TREASURER</t>
  </si>
  <si>
    <t>SA11C.40205673136</t>
  </si>
  <si>
    <t>https://docquery.fec.gov/cgi-bin/fecimg/?202104219445096019</t>
  </si>
  <si>
    <t>MATUSIC, KAREN PATRI</t>
  </si>
  <si>
    <t>KAREN</t>
  </si>
  <si>
    <t>PATRI</t>
  </si>
  <si>
    <t>MATUSIC</t>
  </si>
  <si>
    <t>MANAGER PUBLIC &amp; GOVT AFFAIRS-APPALACH</t>
  </si>
  <si>
    <t>* PAYROLL DEDUCTION: $208.00 PER PAY PERIOD</t>
  </si>
  <si>
    <t>http://docquery.fec.gov/cgi-bin/fecimg/?201907099150524413</t>
  </si>
  <si>
    <t>TOWNS, T.</t>
  </si>
  <si>
    <t>T.</t>
  </si>
  <si>
    <t>TOWNS</t>
  </si>
  <si>
    <t>PO BOX 27459</t>
  </si>
  <si>
    <t>DRILLING ADVISOR</t>
  </si>
  <si>
    <t>15J</t>
  </si>
  <si>
    <t>MEMO (FILER'S % OF CONTRIBUTION GIVEN TO JOIN</t>
  </si>
  <si>
    <t>JFC TRANSFER: TRUMP VICTORY [SA18.7249]</t>
  </si>
  <si>
    <t>X</t>
  </si>
  <si>
    <t>http://docquery.fec.gov/cgi-bin/fecimg/?202006179239914693</t>
  </si>
  <si>
    <t>Transfers From Other Authorized Committees</t>
  </si>
  <si>
    <t>BRALY, ANGELA</t>
  </si>
  <si>
    <t>ANGELA</t>
  </si>
  <si>
    <t>BRALY</t>
  </si>
  <si>
    <t>832 ALVERNA DRIVE</t>
  </si>
  <si>
    <t>INDIANAPOLIS</t>
  </si>
  <si>
    <t>BOARD MEMBER</t>
  </si>
  <si>
    <t>http://docquery.fec.gov/cgi-bin/fecimg/?202010149285748284</t>
  </si>
  <si>
    <t>C00075820</t>
  </si>
  <si>
    <t>SPELLINGS, JAMES JR.</t>
  </si>
  <si>
    <t>JAMES JR.</t>
  </si>
  <si>
    <t>SPELLINGS</t>
  </si>
  <si>
    <t>6623 WAGGONER DR</t>
  </si>
  <si>
    <t>DALLAS</t>
  </si>
  <si>
    <t>LAWYER</t>
  </si>
  <si>
    <t>EARMARKED FOR NRCC (C00075820)</t>
  </si>
  <si>
    <t>https://docquery.fec.gov/cgi-bin/fecimg/?202101259408845827</t>
  </si>
  <si>
    <t>SCHLECKSER, ROBERT</t>
  </si>
  <si>
    <t>6622 BROOKSHIRE DR.</t>
  </si>
  <si>
    <t>EXXON MOBIL CORP</t>
  </si>
  <si>
    <t>EXECUTIVE</t>
  </si>
  <si>
    <t>http://docquery.fec.gov/cgi-bin/fecimg/?201911209165845908</t>
  </si>
  <si>
    <t>WELDON, WILLIAM</t>
  </si>
  <si>
    <t>WELDON</t>
  </si>
  <si>
    <t>1264 LAKE WORTH LANE</t>
  </si>
  <si>
    <t>NORTH PALM BEACH</t>
  </si>
  <si>
    <t>http://docquery.fec.gov/cgi-bin/fecimg/?202011309337203543</t>
  </si>
  <si>
    <t>LONGWELL, NORMA L</t>
  </si>
  <si>
    <t>NORMA</t>
  </si>
  <si>
    <t>LONGWELL</t>
  </si>
  <si>
    <t>EXXON MOBIL CORPORATION SHAREHOLDER</t>
  </si>
  <si>
    <t>RETIRED HOMEMAKER</t>
  </si>
  <si>
    <t>http://docquery.fec.gov/cgi-bin/fecimg/?202010149285748361</t>
  </si>
  <si>
    <t>MCCARRON, SUZANNE</t>
  </si>
  <si>
    <t>SUZANNE</t>
  </si>
  <si>
    <t>MCCARRON</t>
  </si>
  <si>
    <t>6446 ABERDEEN AVE</t>
  </si>
  <si>
    <t>VP OF PUBLIC AFFAIRS</t>
  </si>
  <si>
    <t>https://docquery.fec.gov/cgi-bin/fecimg/?202101259408049673</t>
  </si>
  <si>
    <t>CASSIANI, STEPHEN M</t>
  </si>
  <si>
    <t>CASSIANI</t>
  </si>
  <si>
    <t>1275 SOUTH POST OAK LANE, UNIT 301</t>
  </si>
  <si>
    <t>UNIT 301</t>
  </si>
  <si>
    <t>http://docquery.fec.gov/cgi-bin/fecimg/?202011309337203396</t>
  </si>
  <si>
    <t>KANDARIAN, STEVEN</t>
  </si>
  <si>
    <t>STEVEN</t>
  </si>
  <si>
    <t>KANDARIAN</t>
  </si>
  <si>
    <t>11460 LOST TREE WAY</t>
  </si>
  <si>
    <t>http://docquery.fec.gov/cgi-bin/fecimg/?202010149285748347</t>
  </si>
  <si>
    <t>GLAUBIG, JUDITH</t>
  </si>
  <si>
    <t>JUDITH</t>
  </si>
  <si>
    <t>GLAUBIG</t>
  </si>
  <si>
    <t>527 21ST STREET 1316 BALL ST</t>
  </si>
  <si>
    <t># 6</t>
  </si>
  <si>
    <t>GALVESTON</t>
  </si>
  <si>
    <t>RETIRED ATTORNEY</t>
  </si>
  <si>
    <t>http://docquery.fec.gov/cgi-bin/fecimg/?202003199203948579</t>
  </si>
  <si>
    <t>SWIGER, ANDREW</t>
  </si>
  <si>
    <t>ANDREW</t>
  </si>
  <si>
    <t>SWIGER</t>
  </si>
  <si>
    <t>5959 LAS COLINAS BOULEVARD</t>
  </si>
  <si>
    <t>SENIOR VICE PRESIDENT</t>
  </si>
  <si>
    <t>https://docquery.fec.gov/cgi-bin/fecimg/?202101119398338718</t>
  </si>
  <si>
    <t>SPELLINGS, JAMES M. JR.</t>
  </si>
  <si>
    <t>JAMES</t>
  </si>
  <si>
    <t>M.</t>
  </si>
  <si>
    <t>JR.</t>
  </si>
  <si>
    <t>6623 WAGGONER DR.</t>
  </si>
  <si>
    <t>http://docquery.fec.gov/cgi-bin/fecimg/?202001319184593659</t>
  </si>
  <si>
    <t>SPELLINGS, JAMES M JR.</t>
  </si>
  <si>
    <t>http://docquery.fec.gov/cgi-bin/fecimg/?202010209297465149</t>
  </si>
  <si>
    <t>WILLIAMS, JACK</t>
  </si>
  <si>
    <t>JACK</t>
  </si>
  <si>
    <t>WILLIAMS</t>
  </si>
  <si>
    <t>3745 AVIEMORE DR.</t>
  </si>
  <si>
    <t>FORT WORTH</t>
  </si>
  <si>
    <t>XTO ENERGY - AN EXXON MOBIL SUBSIDIARY</t>
  </si>
  <si>
    <t>PRESIDENT</t>
  </si>
  <si>
    <t>https://docquery.fec.gov/cgi-bin/fecimg/?202104209443866524</t>
  </si>
  <si>
    <t>WOJNAR, T.J. MR.</t>
  </si>
  <si>
    <t>T.J.</t>
  </si>
  <si>
    <t>2300 WOLF STREET</t>
  </si>
  <si>
    <t>UNIT 15A</t>
  </si>
  <si>
    <t>MANAGER</t>
  </si>
  <si>
    <t>http://docquery.fec.gov/cgi-bin/fecimg/?201912209166744624</t>
  </si>
  <si>
    <t>CHAPMAN, NEIL</t>
  </si>
  <si>
    <t>NEIL</t>
  </si>
  <si>
    <t>CHAPMAN</t>
  </si>
  <si>
    <t>2413 MIMOSA DR.</t>
  </si>
  <si>
    <t>SVP</t>
  </si>
  <si>
    <t>https://docquery.fec.gov/cgi-bin/fecimg/?202104209443924858</t>
  </si>
  <si>
    <t>VICE PRESIDENT P &amp; GA</t>
  </si>
  <si>
    <t>http://docquery.fec.gov/cgi-bin/fecimg/?202010209297464561</t>
  </si>
  <si>
    <t>WOODS, DARREN</t>
  </si>
  <si>
    <t>DARREN</t>
  </si>
  <si>
    <t>WOODS</t>
  </si>
  <si>
    <t>https://docquery.fec.gov/cgi-bin/fecimg/?202101119398338988</t>
  </si>
  <si>
    <t>WILLIAMS, JACK P. JR.</t>
  </si>
  <si>
    <t>P.</t>
  </si>
  <si>
    <t>http://docquery.fec.gov/cgi-bin/fecimg/?202001319184593921</t>
  </si>
  <si>
    <t>TOWNS, T. KELLER MR.</t>
  </si>
  <si>
    <t>KELLER</t>
  </si>
  <si>
    <t>http://docquery.fec.gov/cgi-bin/fecimg/?202006199240018867</t>
  </si>
  <si>
    <t>Fernando</t>
  </si>
  <si>
    <t>Aguirre</t>
  </si>
  <si>
    <t>Retired Chiquita</t>
  </si>
  <si>
    <t>David</t>
  </si>
  <si>
    <t>Brown</t>
  </si>
  <si>
    <t>CVS</t>
  </si>
  <si>
    <t>Nelson Mullins Riley and Scarborough LLP</t>
  </si>
  <si>
    <t>Alecia</t>
  </si>
  <si>
    <t>DeCoudreaux</t>
  </si>
  <si>
    <t>Mills College, Ely Lily</t>
  </si>
  <si>
    <t>Nancy-Ann</t>
  </si>
  <si>
    <t>DeParle</t>
  </si>
  <si>
    <t>Consonance Capital Partners LLC</t>
  </si>
  <si>
    <t xml:space="preserve">David </t>
  </si>
  <si>
    <t>Centerview Capital Technology Fund</t>
  </si>
  <si>
    <t>Roger</t>
  </si>
  <si>
    <t>Dorman</t>
  </si>
  <si>
    <t>Farah</t>
  </si>
  <si>
    <t>Anne</t>
  </si>
  <si>
    <t>Finucane</t>
  </si>
  <si>
    <t>Bank of America</t>
  </si>
  <si>
    <t>Retired Becton Dickinson</t>
  </si>
  <si>
    <t>Edward</t>
  </si>
  <si>
    <t>Ludwig</t>
  </si>
  <si>
    <t>Karen</t>
  </si>
  <si>
    <t>Lynch</t>
  </si>
  <si>
    <t>Retired PCS Health Systems Inc</t>
  </si>
  <si>
    <t>Jean-Pierre</t>
  </si>
  <si>
    <t>Millon</t>
  </si>
  <si>
    <t>Bloomberg L.P.</t>
  </si>
  <si>
    <t>Mary</t>
  </si>
  <si>
    <t>Schapiro</t>
  </si>
  <si>
    <t>Retired Johnson &amp; Johnson</t>
  </si>
  <si>
    <t>William</t>
  </si>
  <si>
    <t>Weldon</t>
  </si>
  <si>
    <t>Tony</t>
  </si>
  <si>
    <t>White</t>
  </si>
  <si>
    <t>Retired Applied Biosystems Inc.</t>
  </si>
  <si>
    <t>Larry</t>
  </si>
  <si>
    <t>Merlo</t>
  </si>
  <si>
    <t>Eva</t>
  </si>
  <si>
    <t>Boratto</t>
  </si>
  <si>
    <t>Alan</t>
  </si>
  <si>
    <t>Lotvin</t>
  </si>
  <si>
    <t>Jonathon</t>
  </si>
  <si>
    <t>Roberts</t>
  </si>
  <si>
    <t>AGUIRRE, FERNANDO</t>
  </si>
  <si>
    <t>CVS HEALTH PAC</t>
  </si>
  <si>
    <t>RI</t>
  </si>
  <si>
    <t>CVS HEALTH BOD</t>
  </si>
  <si>
    <t>CVS HEALTH</t>
  </si>
  <si>
    <t>CVS Health</t>
  </si>
  <si>
    <t>BROWN II, C. DAVID</t>
  </si>
  <si>
    <t>RI, CA</t>
  </si>
  <si>
    <t>RI, Fl</t>
  </si>
  <si>
    <t>Orlando  Fl</t>
  </si>
  <si>
    <t>DECOUDREAUX, ALECIA</t>
  </si>
  <si>
    <t>MIN DEPARLE, NANCY-ANN</t>
  </si>
  <si>
    <t>FRIENDS OF SCHUMER</t>
  </si>
  <si>
    <t>DEPARLE, NANCY-ANN MIN</t>
  </si>
  <si>
    <t>DONNA SHALALA FOR CONGRESS</t>
  </si>
  <si>
    <t>CONSONANCE CAPITAL PARTNERS</t>
  </si>
  <si>
    <t>Oakland Ca</t>
  </si>
  <si>
    <t>Nancy-Ann Min DeParle served as the Deputy Chief of Staff for Policy in the administration of President Obama from January 2011 to January 2013. Previously, she served as the director of the White House Office of Health Reform, leading the administration's efforts on health care issues, including the passing of the Patient Protection and Affordable Care Act. She served as the director of the Health Care Financing Administration from 1997 to 2000, administering the Medicare program for the Clinton administration, and before then worked at the Office of Management and Budget.</t>
  </si>
  <si>
    <t>DORMAN, DAVID W. MR.</t>
  </si>
  <si>
    <t>CENTERVIEW CAPITOL</t>
  </si>
  <si>
    <t>DORMAN, DAVID W</t>
  </si>
  <si>
    <t>NRSC</t>
  </si>
  <si>
    <t>GA</t>
  </si>
  <si>
    <t>CENTERVIEW CAPITAL</t>
  </si>
  <si>
    <t>DORMAN, DAVID W.</t>
  </si>
  <si>
    <t>GRAHAM-PERDUE VICTORY FUND</t>
  </si>
  <si>
    <t>DORMAN, DAVID WYATT MR.</t>
  </si>
  <si>
    <t>PERDUE VICTORY INC</t>
  </si>
  <si>
    <t>DORMAN, DAVID W MR.</t>
  </si>
  <si>
    <t>ONE GEORGIA PAC</t>
  </si>
  <si>
    <t>DC Area</t>
  </si>
  <si>
    <t xml:space="preserve">                                                                                                                                                                                           </t>
  </si>
  <si>
    <t xml:space="preserve">                                                                                          </t>
  </si>
  <si>
    <t>FARAH, ROGER</t>
  </si>
  <si>
    <t>CT</t>
  </si>
  <si>
    <t>CT, RI</t>
  </si>
  <si>
    <t>Az</t>
  </si>
  <si>
    <t>AZ</t>
  </si>
  <si>
    <t>valhalla NY</t>
  </si>
  <si>
    <t>Polo Jeans</t>
  </si>
  <si>
    <t>FINUCANE, ANNE M</t>
  </si>
  <si>
    <t>BANK OF AMERICA CORPORATION FEDERAL PAC</t>
  </si>
  <si>
    <t>MA</t>
  </si>
  <si>
    <t>BANK OF AMERICA</t>
  </si>
  <si>
    <t>FINUCANE, ANNE</t>
  </si>
  <si>
    <t>SHAHEEN FOR SENATE</t>
  </si>
  <si>
    <t xml:space="preserve">marrird to mike barnicle from msnbc </t>
  </si>
  <si>
    <t>`00</t>
  </si>
  <si>
    <t>lincoln ma</t>
  </si>
  <si>
    <t>NY RI</t>
  </si>
  <si>
    <t>LUDWIG, EDWARD</t>
  </si>
  <si>
    <t>ny, Ma?</t>
  </si>
  <si>
    <t>LYNCH, KAREN</t>
  </si>
  <si>
    <t>THE REED COMMITTEE</t>
  </si>
  <si>
    <t>RI. Ma</t>
  </si>
  <si>
    <t>MILLON, JEAN-PIERRE</t>
  </si>
  <si>
    <t>RI, AZ</t>
  </si>
  <si>
    <t>Ma?</t>
  </si>
  <si>
    <t>SCHAPIRO, MARY</t>
  </si>
  <si>
    <t>BLOOMBERG</t>
  </si>
  <si>
    <t>NATIONAL DEMOCRATIC TRAINING COMMITTEE PAC</t>
  </si>
  <si>
    <t>SARA GIDEON FOR MAINE</t>
  </si>
  <si>
    <t>BLOOMBERG LP</t>
  </si>
  <si>
    <t>BLOOMBERG, LP</t>
  </si>
  <si>
    <t>WEXTON FOR CONGRESS</t>
  </si>
  <si>
    <t>ELISSA SLOTKIN FOR CONGRESS</t>
  </si>
  <si>
    <t>COMMITTEE TO ELECT TEDRA COBB</t>
  </si>
  <si>
    <t>RI, FL</t>
  </si>
  <si>
    <t>North Palm Beach</t>
  </si>
  <si>
    <t>WHITE, TONY</t>
  </si>
  <si>
    <t>RI, GA</t>
  </si>
  <si>
    <t>MERLO, LARRY</t>
  </si>
  <si>
    <t>MERLO, LARRY J.</t>
  </si>
  <si>
    <t>CICILLINE COMMITTEE</t>
  </si>
  <si>
    <t>CVS CAREMARK CORP.</t>
  </si>
  <si>
    <t>East Greenwich RI</t>
  </si>
  <si>
    <t>BORATTO, EVA</t>
  </si>
  <si>
    <t>BORATTO, EVA C.</t>
  </si>
  <si>
    <t>Pa</t>
  </si>
  <si>
    <t>Note, the bulk to the company pac but then 4500 to republicans and 500 to democrats, I have to say she is a dem but I think she is a repub</t>
  </si>
  <si>
    <t>LOTVIN, ALAN</t>
  </si>
  <si>
    <t>JON OSSOFF FOR SENATE</t>
  </si>
  <si>
    <t>MEIDASTOUCH</t>
  </si>
  <si>
    <t>314 ACTION FUND</t>
  </si>
  <si>
    <t>THERESA GREENFIELD FOR IOWA</t>
  </si>
  <si>
    <t>HICKENLOOPER FOR COLORADO</t>
  </si>
  <si>
    <t>CAL FOR NC</t>
  </si>
  <si>
    <t>MJ FOR TEXAS</t>
  </si>
  <si>
    <t>MONTANANS FOR BULLOCK</t>
  </si>
  <si>
    <t>BOLLIER FOR KANSAS</t>
  </si>
  <si>
    <t>DOUG JONES FOR SENATE COMMITTEE</t>
  </si>
  <si>
    <t>FLIPPABLE (FEDERAL)</t>
  </si>
  <si>
    <t>SINEMA FOR ARIZONA</t>
  </si>
  <si>
    <t>PHARMACEUTICAL CARE MANAGEMENT ASSOCIATION POLITICAL ACTION COMMITTEE (PCMA PAC)</t>
  </si>
  <si>
    <t>AMY MCGRATH FOR SENATE, INC.</t>
  </si>
  <si>
    <t>Ma</t>
  </si>
  <si>
    <t>ROBERTS, JONATHAN</t>
  </si>
  <si>
    <t>Woonsooket RI</t>
  </si>
  <si>
    <t>423 BRAZILIAN AVE Palm Beach Fl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</si>
</sst>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43" formatCode="_(* #,##0.00_);_(* \(#,##0.00\);_(* &quot;-&quot;??_);_(@_)"/>
  </numFmts>
  <fonts count="30">
    <font>
      <sz val="11"/>
      <color theme="1"/>
      <name val="Calibri"/>
      <family val="2"/>
      <scheme val="minor"/>
    </font>
    <font>
      <sz val="11"/>
      <name val="Times New Roman"/>
      <family val="1"/>
    </font>
    <font>
      <sz val="8"/>
      <name val="Times New Roman"/>
      <family val="1"/>
    </font>
    <font>
      <u/>
      <sz val="11"/>
      <color theme="10"/>
      <name val="Calibri"/>
      <family val="2"/>
    </font>
    <font>
      <u/>
      <sz val="11"/>
      <name val="Times New Roman"/>
      <family val="1"/>
    </font>
    <font>
      <sz val="11"/>
      <color theme="1"/>
      <name val="Calibri"/>
      <family val="2"/>
      <scheme val="minor"/>
    </font>
    <font>
      <sz val="11"/>
      <color rgb="FFFF0000"/>
      <name val="Calibri"/>
      <family val="2"/>
      <scheme val="minor"/>
    </font>
    <font>
      <sz val="12"/>
      <color theme="1"/>
      <name val="Times New Roman"/>
      <family val="1"/>
    </font>
    <font>
      <sz val="10"/>
      <color rgb="FF212B4A"/>
      <name val="Arial"/>
      <family val="2"/>
    </font>
    <font>
      <sz val="12"/>
      <color rgb="FFFF0000"/>
      <name val="Times New Roman"/>
      <family val="1"/>
    </font>
    <font>
      <sz val="10"/>
      <color rgb="FF707070"/>
      <name val="Franklin Gothic Medium"/>
      <family val="2"/>
    </font>
    <font>
      <sz val="11"/>
      <color rgb="FF000000"/>
      <name val="BogleWeb"/>
    </font>
    <font>
      <sz val="11"/>
      <color rgb="FF000000"/>
      <name val="Verdana"/>
      <family val="2"/>
    </font>
    <font>
      <sz val="6"/>
      <color rgb="FFFFFFFF"/>
      <name val="Verdana"/>
      <family val="2"/>
    </font>
    <font>
      <sz val="5"/>
      <color rgb="FF000000"/>
      <name val="Verdana"/>
      <family val="2"/>
    </font>
    <font>
      <sz val="11"/>
      <color rgb="FF000000"/>
      <name val="Segoe UI"/>
      <family val="2"/>
    </font>
    <font>
      <b/>
      <sz val="11"/>
      <color rgb="FF000000"/>
      <name val="BogleWeb"/>
    </font>
    <font>
      <sz val="8"/>
      <color rgb="FF555555"/>
      <name val="Segoe UI"/>
      <family val="2"/>
    </font>
    <font>
      <sz val="8"/>
      <color rgb="FF4D5156"/>
      <name val="Arial"/>
      <family val="2"/>
    </font>
    <font>
      <sz val="8"/>
      <color rgb="FF202122"/>
      <name val="Arial"/>
      <family val="2"/>
    </font>
    <font>
      <sz val="11"/>
      <color rgb="FF4D5156"/>
      <name val="Times New Roman"/>
      <family val="1"/>
    </font>
    <font>
      <sz val="12"/>
      <color rgb="FF000000"/>
      <name val="Calibri"/>
      <family val="2"/>
      <scheme val="minor"/>
    </font>
    <font>
      <u/>
      <sz val="12"/>
      <color rgb="FF196AD4"/>
      <name val="Calibri"/>
      <family val="2"/>
      <scheme val="minor"/>
    </font>
    <font>
      <sz val="10"/>
      <color theme="1"/>
      <name val="Times New Roman"/>
      <family val="2"/>
    </font>
    <font>
      <sz val="10"/>
      <color theme="0"/>
      <name val="Times New Roman"/>
      <family val="1"/>
    </font>
    <font>
      <sz val="10"/>
      <color theme="1"/>
      <name val="Times New Roman"/>
      <family val="1"/>
    </font>
    <font>
      <sz val="10"/>
      <color rgb="FFFF0000"/>
      <name val="Times New Roman"/>
      <family val="1"/>
    </font>
    <font>
      <sz val="11"/>
      <color rgb="FF212121"/>
      <name val="Arial"/>
      <family val="2"/>
    </font>
    <font>
      <sz val="10"/>
      <color rgb="FF666666"/>
      <name val="Arial"/>
      <family val="2"/>
    </font>
    <font>
      <sz val="12"/>
      <color rgb="FF212B4A"/>
      <name val="Arial"/>
      <family val="2"/>
    </font>
  </fonts>
  <fills count="6">
    <fill>
      <patternFill patternType="none"/>
    </fill>
    <fill>
      <patternFill patternType="gray125"/>
    </fill>
    <fill>
      <patternFill patternType="solid">
        <fgColor rgb="FF000000"/>
        <bgColor indexed="64"/>
      </patternFill>
    </fill>
    <fill>
      <patternFill patternType="solid">
        <fgColor rgb="FFFFFFFF"/>
        <bgColor indexed="64"/>
      </patternFill>
    </fill>
    <fill>
      <patternFill patternType="solid">
        <fgColor rgb="FFFFFFBB"/>
        <bgColor indexed="64"/>
      </patternFill>
    </fill>
    <fill>
      <patternFill patternType="solid">
        <fgColor theme="1"/>
        <bgColor indexed="64"/>
      </patternFill>
    </fill>
  </fills>
  <borders count="4">
    <border>
      <left/>
      <right/>
      <top/>
      <bottom/>
      <diagonal/>
    </border>
    <border>
      <left/>
      <right/>
      <top/>
      <bottom style="medium">
        <color rgb="FFF1F1F1"/>
      </bottom>
      <diagonal/>
    </border>
    <border>
      <left style="medium">
        <color rgb="FFF1F1F1"/>
      </left>
      <right/>
      <top/>
      <bottom style="medium">
        <color rgb="FFF1F1F1"/>
      </bottom>
      <diagonal/>
    </border>
    <border>
      <left style="medium">
        <color rgb="FFF1F1F1"/>
      </left>
      <right/>
      <top/>
      <bottom/>
      <diagonal/>
    </border>
  </borders>
  <cellStyleXfs count="8">
    <xf numFmtId="0" fontId="0" fillId="0" borderId="0"/>
    <xf numFmtId="0" fontId="3" fillId="0" borderId="0" applyNumberFormat="0" applyFill="0" applyBorder="0" applyAlignment="0" applyProtection="0">
      <alignment vertical="top"/>
      <protection locked="0"/>
    </xf>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23" fillId="0" borderId="0"/>
    <xf numFmtId="0" fontId="23" fillId="0" borderId="0"/>
    <xf numFmtId="0" fontId="23" fillId="0" borderId="0"/>
  </cellStyleXfs>
  <cellXfs count="92">
    <xf numFmtId="0" fontId="0" fillId="0" borderId="0" xfId="0"/>
    <xf numFmtId="14" fontId="0" fillId="0" borderId="0" xfId="0" applyNumberFormat="1"/>
    <xf numFmtId="0" fontId="0" fillId="0" borderId="0" xfId="0" applyNumberFormat="1"/>
    <xf numFmtId="0" fontId="1" fillId="0" borderId="0" xfId="0" applyFont="1"/>
    <xf numFmtId="0" fontId="2" fillId="0" borderId="0" xfId="0" applyFont="1"/>
    <xf numFmtId="0" fontId="4" fillId="0" borderId="0" xfId="1" applyFont="1" applyAlignment="1" applyProtection="1"/>
    <xf numFmtId="9" fontId="0" fillId="0" borderId="0" xfId="0" applyNumberFormat="1"/>
    <xf numFmtId="0" fontId="7" fillId="0" borderId="0" xfId="0" applyFont="1"/>
    <xf numFmtId="3" fontId="0" fillId="0" borderId="0" xfId="0" applyNumberFormat="1"/>
    <xf numFmtId="3" fontId="8" fillId="0" borderId="0" xfId="0" applyNumberFormat="1" applyFont="1"/>
    <xf numFmtId="0" fontId="0" fillId="0" borderId="0" xfId="3" applyNumberFormat="1" applyFont="1"/>
    <xf numFmtId="0" fontId="8" fillId="0" borderId="0" xfId="0" applyNumberFormat="1" applyFont="1"/>
    <xf numFmtId="0" fontId="6" fillId="0" borderId="0" xfId="0" applyFont="1"/>
    <xf numFmtId="0" fontId="0" fillId="0" borderId="0" xfId="2" applyNumberFormat="1" applyFont="1"/>
    <xf numFmtId="8" fontId="0" fillId="0" borderId="0" xfId="0" applyNumberFormat="1"/>
    <xf numFmtId="0" fontId="6" fillId="0" borderId="0" xfId="0" applyNumberFormat="1" applyFont="1"/>
    <xf numFmtId="14" fontId="6" fillId="0" borderId="0" xfId="0" applyNumberFormat="1" applyFont="1"/>
    <xf numFmtId="8" fontId="6" fillId="0" borderId="0" xfId="0" applyNumberFormat="1" applyFont="1"/>
    <xf numFmtId="0" fontId="9" fillId="0" borderId="0" xfId="0" applyFont="1"/>
    <xf numFmtId="0" fontId="10" fillId="0" borderId="0" xfId="0" applyFont="1"/>
    <xf numFmtId="0" fontId="3" fillId="0" borderId="0" xfId="1" applyAlignment="1" applyProtection="1"/>
    <xf numFmtId="0" fontId="3" fillId="0" borderId="0" xfId="1" applyNumberFormat="1" applyAlignment="1" applyProtection="1"/>
    <xf numFmtId="0" fontId="7" fillId="0" borderId="0" xfId="1" applyFont="1" applyAlignment="1" applyProtection="1"/>
    <xf numFmtId="0" fontId="11" fillId="0" borderId="0" xfId="0" applyFont="1" applyAlignment="1">
      <alignment wrapText="1"/>
    </xf>
    <xf numFmtId="0" fontId="11" fillId="0" borderId="0" xfId="0" applyNumberFormat="1" applyFont="1" applyAlignment="1">
      <alignment wrapText="1"/>
    </xf>
    <xf numFmtId="0" fontId="12" fillId="0" borderId="0" xfId="0" applyFont="1"/>
    <xf numFmtId="0" fontId="13" fillId="2" borderId="0" xfId="0" applyFont="1" applyFill="1" applyAlignment="1">
      <alignment wrapText="1"/>
    </xf>
    <xf numFmtId="0" fontId="13" fillId="2" borderId="0" xfId="0" applyFont="1" applyFill="1" applyAlignment="1">
      <alignment horizontal="right" wrapText="1"/>
    </xf>
    <xf numFmtId="0" fontId="3" fillId="3" borderId="0" xfId="1" applyFill="1" applyAlignment="1" applyProtection="1">
      <alignment wrapText="1"/>
    </xf>
    <xf numFmtId="0" fontId="14" fillId="3" borderId="0" xfId="0" applyFont="1" applyFill="1" applyAlignment="1">
      <alignment wrapText="1"/>
    </xf>
    <xf numFmtId="0" fontId="3" fillId="4" borderId="0" xfId="1" applyFill="1" applyAlignment="1" applyProtection="1">
      <alignment wrapText="1"/>
    </xf>
    <xf numFmtId="0" fontId="14" fillId="4" borderId="0" xfId="0" applyFont="1" applyFill="1" applyAlignment="1">
      <alignment wrapText="1"/>
    </xf>
    <xf numFmtId="0" fontId="15" fillId="0" borderId="0" xfId="0" applyFont="1" applyAlignment="1">
      <alignment horizontal="left" wrapText="1"/>
    </xf>
    <xf numFmtId="0" fontId="3" fillId="0" borderId="0" xfId="1" applyAlignment="1" applyProtection="1">
      <alignment horizontal="left" wrapText="1"/>
    </xf>
    <xf numFmtId="0" fontId="16" fillId="0" borderId="0" xfId="0" applyFont="1" applyAlignment="1">
      <alignment wrapText="1"/>
    </xf>
    <xf numFmtId="6" fontId="17" fillId="0" borderId="0" xfId="0" applyNumberFormat="1" applyFont="1"/>
    <xf numFmtId="14" fontId="1" fillId="0" borderId="0" xfId="0" applyNumberFormat="1" applyFont="1"/>
    <xf numFmtId="0" fontId="18" fillId="0" borderId="0" xfId="0" applyFont="1"/>
    <xf numFmtId="0" fontId="19" fillId="0" borderId="0" xfId="0" applyFont="1"/>
    <xf numFmtId="0" fontId="20" fillId="0" borderId="0" xfId="0" applyFont="1"/>
    <xf numFmtId="17" fontId="1" fillId="0" borderId="0" xfId="0" applyNumberFormat="1" applyFont="1"/>
    <xf numFmtId="0" fontId="21" fillId="0" borderId="0" xfId="0" applyFont="1" applyAlignment="1">
      <alignment wrapText="1"/>
    </xf>
    <xf numFmtId="0" fontId="0" fillId="0" borderId="0" xfId="0" applyAlignment="1">
      <alignment wrapText="1"/>
    </xf>
    <xf numFmtId="0" fontId="24" fillId="5" borderId="0" xfId="5" applyFont="1" applyFill="1"/>
    <xf numFmtId="0" fontId="25" fillId="5" borderId="0" xfId="5" applyFont="1" applyFill="1"/>
    <xf numFmtId="22" fontId="0" fillId="0" borderId="0" xfId="0" applyNumberFormat="1"/>
    <xf numFmtId="0" fontId="25" fillId="0" borderId="0" xfId="5" applyFont="1"/>
    <xf numFmtId="0" fontId="25" fillId="0" borderId="0" xfId="0" applyFont="1"/>
    <xf numFmtId="0" fontId="26" fillId="0" borderId="0" xfId="0" applyFont="1"/>
    <xf numFmtId="43" fontId="25" fillId="0" borderId="0" xfId="2" applyFont="1"/>
    <xf numFmtId="9" fontId="26" fillId="0" borderId="0" xfId="4" applyFont="1"/>
    <xf numFmtId="0" fontId="25" fillId="0" borderId="0" xfId="6" applyFont="1"/>
    <xf numFmtId="0" fontId="25" fillId="0" borderId="0" xfId="7" applyFont="1"/>
    <xf numFmtId="9" fontId="25" fillId="0" borderId="0" xfId="4" applyFont="1"/>
    <xf numFmtId="22" fontId="25" fillId="0" borderId="0" xfId="5" applyNumberFormat="1" applyFont="1"/>
    <xf numFmtId="47" fontId="25" fillId="0" borderId="0" xfId="5" applyNumberFormat="1" applyFont="1"/>
    <xf numFmtId="0" fontId="25" fillId="5" borderId="0" xfId="0" applyFont="1" applyFill="1"/>
    <xf numFmtId="43" fontId="25" fillId="5" borderId="0" xfId="2" applyFont="1" applyFill="1"/>
    <xf numFmtId="9" fontId="25" fillId="5" borderId="0" xfId="4" applyFont="1" applyFill="1"/>
    <xf numFmtId="0" fontId="24" fillId="5" borderId="0" xfId="0" applyFont="1" applyFill="1"/>
    <xf numFmtId="43" fontId="24" fillId="5" borderId="0" xfId="2" applyFont="1" applyFill="1"/>
    <xf numFmtId="9" fontId="24" fillId="5" borderId="0" xfId="4" applyFont="1" applyFill="1"/>
    <xf numFmtId="43" fontId="25" fillId="0" borderId="0" xfId="2" applyFont="1" applyFill="1"/>
    <xf numFmtId="0" fontId="0" fillId="3" borderId="0" xfId="0" applyFill="1"/>
    <xf numFmtId="0" fontId="27" fillId="3" borderId="1" xfId="0" applyFont="1" applyFill="1" applyBorder="1" applyAlignment="1">
      <alignment vertical="center" wrapText="1"/>
    </xf>
    <xf numFmtId="0" fontId="27" fillId="3" borderId="2" xfId="0" applyFont="1" applyFill="1" applyBorder="1" applyAlignment="1">
      <alignment vertical="center" wrapText="1"/>
    </xf>
    <xf numFmtId="0" fontId="3" fillId="3" borderId="2" xfId="1" applyFill="1" applyBorder="1" applyAlignment="1" applyProtection="1">
      <alignment vertical="center" wrapText="1"/>
    </xf>
    <xf numFmtId="14" fontId="27" fillId="3" borderId="2" xfId="0" applyNumberFormat="1" applyFont="1" applyFill="1" applyBorder="1" applyAlignment="1">
      <alignment vertical="center" wrapText="1"/>
    </xf>
    <xf numFmtId="8" fontId="27" fillId="3" borderId="2" xfId="0" applyNumberFormat="1" applyFont="1" applyFill="1" applyBorder="1" applyAlignment="1">
      <alignment horizontal="right" vertical="center" wrapText="1"/>
    </xf>
    <xf numFmtId="0" fontId="27" fillId="3" borderId="2" xfId="0" applyFont="1" applyFill="1" applyBorder="1" applyAlignment="1">
      <alignment horizontal="center" vertical="center" wrapText="1"/>
    </xf>
    <xf numFmtId="0" fontId="27" fillId="0" borderId="0" xfId="0" applyFont="1"/>
    <xf numFmtId="0" fontId="28" fillId="0" borderId="0" xfId="0" applyFont="1"/>
    <xf numFmtId="3" fontId="29" fillId="0" borderId="0" xfId="0" applyNumberFormat="1" applyFont="1"/>
    <xf numFmtId="15" fontId="1" fillId="0" borderId="0" xfId="0" applyNumberFormat="1" applyFont="1"/>
    <xf numFmtId="0" fontId="0" fillId="3" borderId="2" xfId="0" applyFill="1" applyBorder="1"/>
    <xf numFmtId="0" fontId="27" fillId="3" borderId="0" xfId="0" applyFont="1" applyFill="1" applyBorder="1" applyAlignment="1">
      <alignment horizontal="center" vertical="center" wrapText="1"/>
    </xf>
    <xf numFmtId="0" fontId="27" fillId="3" borderId="0" xfId="0" applyFont="1" applyFill="1" applyBorder="1" applyAlignment="1">
      <alignment vertical="center" wrapText="1"/>
    </xf>
    <xf numFmtId="0" fontId="6" fillId="0" borderId="1" xfId="0" applyFont="1" applyBorder="1"/>
    <xf numFmtId="0" fontId="3" fillId="3" borderId="0" xfId="1" applyFill="1" applyBorder="1" applyAlignment="1" applyProtection="1">
      <alignment vertical="center" wrapText="1"/>
    </xf>
    <xf numFmtId="0" fontId="6" fillId="0" borderId="2" xfId="0" applyFont="1" applyBorder="1"/>
    <xf numFmtId="14" fontId="27" fillId="3" borderId="0" xfId="0" applyNumberFormat="1" applyFont="1" applyFill="1" applyBorder="1" applyAlignment="1">
      <alignment vertical="center" wrapText="1"/>
    </xf>
    <xf numFmtId="8" fontId="27" fillId="3" borderId="0" xfId="0" applyNumberFormat="1" applyFont="1" applyFill="1" applyBorder="1" applyAlignment="1">
      <alignment horizontal="right" vertical="center" wrapText="1"/>
    </xf>
    <xf numFmtId="8" fontId="27" fillId="3" borderId="3" xfId="0" applyNumberFormat="1" applyFont="1" applyFill="1" applyBorder="1" applyAlignment="1">
      <alignment horizontal="right" vertical="center" wrapText="1"/>
    </xf>
    <xf numFmtId="0" fontId="13" fillId="2" borderId="0" xfId="0" applyFont="1" applyFill="1" applyAlignment="1">
      <alignment wrapText="1"/>
    </xf>
    <xf numFmtId="0" fontId="14" fillId="3" borderId="0" xfId="0" applyFont="1" applyFill="1" applyAlignment="1">
      <alignment wrapText="1"/>
    </xf>
    <xf numFmtId="6" fontId="14" fillId="3" borderId="0" xfId="0" applyNumberFormat="1" applyFont="1" applyFill="1" applyAlignment="1">
      <alignment horizontal="right" wrapText="1"/>
    </xf>
    <xf numFmtId="14" fontId="14" fillId="3" borderId="0" xfId="0" applyNumberFormat="1" applyFont="1" applyFill="1" applyAlignment="1">
      <alignment wrapText="1"/>
    </xf>
    <xf numFmtId="0" fontId="3" fillId="3" borderId="0" xfId="1" applyFill="1" applyAlignment="1" applyProtection="1">
      <alignment wrapText="1"/>
    </xf>
    <xf numFmtId="0" fontId="14" fillId="4" borderId="0" xfId="0" applyFont="1" applyFill="1" applyAlignment="1">
      <alignment wrapText="1"/>
    </xf>
    <xf numFmtId="6" fontId="14" fillId="4" borderId="0" xfId="0" applyNumberFormat="1" applyFont="1" applyFill="1" applyAlignment="1">
      <alignment horizontal="right" wrapText="1"/>
    </xf>
    <xf numFmtId="14" fontId="14" fillId="4" borderId="0" xfId="0" applyNumberFormat="1" applyFont="1" applyFill="1" applyAlignment="1">
      <alignment wrapText="1"/>
    </xf>
    <xf numFmtId="0" fontId="3" fillId="4" borderId="0" xfId="1" applyFill="1" applyAlignment="1" applyProtection="1">
      <alignment wrapText="1"/>
    </xf>
  </cellXfs>
  <cellStyles count="8">
    <cellStyle name="Comma" xfId="2" builtinId="3"/>
    <cellStyle name="Currency" xfId="3" builtinId="4"/>
    <cellStyle name="Hyperlink" xfId="1" builtinId="8"/>
    <cellStyle name="Normal" xfId="0" builtinId="0"/>
    <cellStyle name="Normal 2" xfId="6" xr:uid="{3CE5D19E-E165-4894-8F30-F34BE3AA5E6D}"/>
    <cellStyle name="Normal 3" xfId="7" xr:uid="{2E9DDD1C-B4C1-4285-BF5A-B95A82B8BE77}"/>
    <cellStyle name="Normal 5" xfId="5" xr:uid="{78826CB6-88A2-4AA6-B78F-6AACF9E36802}"/>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about:blank" TargetMode="External"/><Relationship Id="rId21" Type="http://schemas.openxmlformats.org/officeDocument/2006/relationships/hyperlink" Target="about:blank" TargetMode="External"/><Relationship Id="rId42" Type="http://schemas.openxmlformats.org/officeDocument/2006/relationships/hyperlink" Target="about:blank" TargetMode="External"/><Relationship Id="rId47" Type="http://schemas.openxmlformats.org/officeDocument/2006/relationships/hyperlink" Target="about:blank" TargetMode="External"/><Relationship Id="rId63" Type="http://schemas.openxmlformats.org/officeDocument/2006/relationships/hyperlink" Target="about:blank" TargetMode="External"/><Relationship Id="rId68" Type="http://schemas.openxmlformats.org/officeDocument/2006/relationships/hyperlink" Target="about:blank" TargetMode="External"/><Relationship Id="rId7" Type="http://schemas.openxmlformats.org/officeDocument/2006/relationships/hyperlink" Target="about:blank" TargetMode="External"/><Relationship Id="rId71" Type="http://schemas.openxmlformats.org/officeDocument/2006/relationships/printerSettings" Target="../printerSettings/printerSettings3.bin"/><Relationship Id="rId2" Type="http://schemas.openxmlformats.org/officeDocument/2006/relationships/hyperlink" Target="about:blank" TargetMode="External"/><Relationship Id="rId16"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24" Type="http://schemas.openxmlformats.org/officeDocument/2006/relationships/hyperlink" Target="about:blank" TargetMode="External"/><Relationship Id="rId32" Type="http://schemas.openxmlformats.org/officeDocument/2006/relationships/hyperlink" Target="about:blank" TargetMode="External"/><Relationship Id="rId37" Type="http://schemas.openxmlformats.org/officeDocument/2006/relationships/hyperlink" Target="about:blank" TargetMode="External"/><Relationship Id="rId40" Type="http://schemas.openxmlformats.org/officeDocument/2006/relationships/hyperlink" Target="about:blank" TargetMode="External"/><Relationship Id="rId45" Type="http://schemas.openxmlformats.org/officeDocument/2006/relationships/hyperlink" Target="about:blank" TargetMode="External"/><Relationship Id="rId53" Type="http://schemas.openxmlformats.org/officeDocument/2006/relationships/hyperlink" Target="about:blank" TargetMode="External"/><Relationship Id="rId58" Type="http://schemas.openxmlformats.org/officeDocument/2006/relationships/hyperlink" Target="about:blank" TargetMode="External"/><Relationship Id="rId66" Type="http://schemas.openxmlformats.org/officeDocument/2006/relationships/hyperlink" Target="about:blank" TargetMode="External"/><Relationship Id="rId5" Type="http://schemas.openxmlformats.org/officeDocument/2006/relationships/hyperlink" Target="about:blank" TargetMode="External"/><Relationship Id="rId61" Type="http://schemas.openxmlformats.org/officeDocument/2006/relationships/hyperlink" Target="about:blank" TargetMode="External"/><Relationship Id="rId19" Type="http://schemas.openxmlformats.org/officeDocument/2006/relationships/hyperlink" Target="about:blank" TargetMode="External"/><Relationship Id="rId14" Type="http://schemas.openxmlformats.org/officeDocument/2006/relationships/hyperlink" Target="about:blank" TargetMode="External"/><Relationship Id="rId22" Type="http://schemas.openxmlformats.org/officeDocument/2006/relationships/hyperlink" Target="about:blank" TargetMode="External"/><Relationship Id="rId27" Type="http://schemas.openxmlformats.org/officeDocument/2006/relationships/hyperlink" Target="about:blank" TargetMode="External"/><Relationship Id="rId30" Type="http://schemas.openxmlformats.org/officeDocument/2006/relationships/hyperlink" Target="about:blank" TargetMode="External"/><Relationship Id="rId35" Type="http://schemas.openxmlformats.org/officeDocument/2006/relationships/hyperlink" Target="about:blank" TargetMode="External"/><Relationship Id="rId43" Type="http://schemas.openxmlformats.org/officeDocument/2006/relationships/hyperlink" Target="about:blank" TargetMode="External"/><Relationship Id="rId48" Type="http://schemas.openxmlformats.org/officeDocument/2006/relationships/hyperlink" Target="about:blank" TargetMode="External"/><Relationship Id="rId56" Type="http://schemas.openxmlformats.org/officeDocument/2006/relationships/hyperlink" Target="about:blank" TargetMode="External"/><Relationship Id="rId64" Type="http://schemas.openxmlformats.org/officeDocument/2006/relationships/hyperlink" Target="about:blank" TargetMode="External"/><Relationship Id="rId69" Type="http://schemas.openxmlformats.org/officeDocument/2006/relationships/hyperlink" Target="https://www.fec.gov/data/committee/C00384818/" TargetMode="External"/><Relationship Id="rId8" Type="http://schemas.openxmlformats.org/officeDocument/2006/relationships/hyperlink" Target="about:blank" TargetMode="External"/><Relationship Id="rId51" Type="http://schemas.openxmlformats.org/officeDocument/2006/relationships/hyperlink" Target="about:blank" TargetMode="External"/><Relationship Id="rId3" Type="http://schemas.openxmlformats.org/officeDocument/2006/relationships/hyperlink" Target="about:blank" TargetMode="External"/><Relationship Id="rId12" Type="http://schemas.openxmlformats.org/officeDocument/2006/relationships/hyperlink" Target="about:blank"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about:blank" TargetMode="External"/><Relationship Id="rId38" Type="http://schemas.openxmlformats.org/officeDocument/2006/relationships/hyperlink" Target="about:blank" TargetMode="External"/><Relationship Id="rId46" Type="http://schemas.openxmlformats.org/officeDocument/2006/relationships/hyperlink" Target="about:blank" TargetMode="External"/><Relationship Id="rId59" Type="http://schemas.openxmlformats.org/officeDocument/2006/relationships/hyperlink" Target="about:blank" TargetMode="External"/><Relationship Id="rId67" Type="http://schemas.openxmlformats.org/officeDocument/2006/relationships/hyperlink" Target="about:blank" TargetMode="External"/><Relationship Id="rId20" Type="http://schemas.openxmlformats.org/officeDocument/2006/relationships/hyperlink" Target="about:blank" TargetMode="External"/><Relationship Id="rId41" Type="http://schemas.openxmlformats.org/officeDocument/2006/relationships/hyperlink" Target="about:blank" TargetMode="External"/><Relationship Id="rId54" Type="http://schemas.openxmlformats.org/officeDocument/2006/relationships/hyperlink" Target="about:blank" TargetMode="External"/><Relationship Id="rId62" Type="http://schemas.openxmlformats.org/officeDocument/2006/relationships/hyperlink" Target="about:blank" TargetMode="External"/><Relationship Id="rId70" Type="http://schemas.openxmlformats.org/officeDocument/2006/relationships/hyperlink" Target="https://www.fec.gov/data/committee/C00384818/"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15" Type="http://schemas.openxmlformats.org/officeDocument/2006/relationships/hyperlink" Target="about:blank" TargetMode="External"/><Relationship Id="rId23" Type="http://schemas.openxmlformats.org/officeDocument/2006/relationships/hyperlink" Target="about:blank" TargetMode="External"/><Relationship Id="rId28" Type="http://schemas.openxmlformats.org/officeDocument/2006/relationships/hyperlink" Target="about:blank" TargetMode="External"/><Relationship Id="rId36" Type="http://schemas.openxmlformats.org/officeDocument/2006/relationships/hyperlink" Target="about:blank" TargetMode="External"/><Relationship Id="rId49" Type="http://schemas.openxmlformats.org/officeDocument/2006/relationships/hyperlink" Target="about:blank" TargetMode="External"/><Relationship Id="rId57" Type="http://schemas.openxmlformats.org/officeDocument/2006/relationships/hyperlink" Target="about:blank" TargetMode="External"/><Relationship Id="rId10" Type="http://schemas.openxmlformats.org/officeDocument/2006/relationships/hyperlink" Target="about:blank" TargetMode="External"/><Relationship Id="rId31" Type="http://schemas.openxmlformats.org/officeDocument/2006/relationships/hyperlink" Target="about:blank" TargetMode="External"/><Relationship Id="rId44" Type="http://schemas.openxmlformats.org/officeDocument/2006/relationships/hyperlink" Target="about:blank" TargetMode="External"/><Relationship Id="rId52" Type="http://schemas.openxmlformats.org/officeDocument/2006/relationships/hyperlink" Target="about:blank" TargetMode="External"/><Relationship Id="rId60" Type="http://schemas.openxmlformats.org/officeDocument/2006/relationships/hyperlink" Target="about:blank" TargetMode="External"/><Relationship Id="rId6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3" Type="http://schemas.openxmlformats.org/officeDocument/2006/relationships/hyperlink" Target="about:blank" TargetMode="External"/><Relationship Id="rId18" Type="http://schemas.openxmlformats.org/officeDocument/2006/relationships/hyperlink" Target="about:blank" TargetMode="External"/><Relationship Id="rId39" Type="http://schemas.openxmlformats.org/officeDocument/2006/relationships/hyperlink" Target="about:blank" TargetMode="External"/><Relationship Id="rId34" Type="http://schemas.openxmlformats.org/officeDocument/2006/relationships/hyperlink" Target="about:blank" TargetMode="External"/><Relationship Id="rId50" Type="http://schemas.openxmlformats.org/officeDocument/2006/relationships/hyperlink" Target="about:blank" TargetMode="External"/><Relationship Id="rId55" Type="http://schemas.openxmlformats.org/officeDocument/2006/relationships/hyperlink" Target="about:blank"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about:blank" TargetMode="External"/><Relationship Id="rId18" Type="http://schemas.openxmlformats.org/officeDocument/2006/relationships/hyperlink" Target="about:blank" TargetMode="External"/><Relationship Id="rId26" Type="http://schemas.openxmlformats.org/officeDocument/2006/relationships/hyperlink" Target="about:blank" TargetMode="External"/><Relationship Id="rId39" Type="http://schemas.openxmlformats.org/officeDocument/2006/relationships/hyperlink" Target="https://www.fec.gov/data/committee/C00384818/" TargetMode="External"/><Relationship Id="rId21" Type="http://schemas.openxmlformats.org/officeDocument/2006/relationships/hyperlink" Target="about:blank" TargetMode="External"/><Relationship Id="rId34" Type="http://schemas.openxmlformats.org/officeDocument/2006/relationships/hyperlink" Target="about:blank" TargetMode="External"/><Relationship Id="rId7" Type="http://schemas.openxmlformats.org/officeDocument/2006/relationships/hyperlink" Target="about:blank" TargetMode="External"/><Relationship Id="rId12" Type="http://schemas.openxmlformats.org/officeDocument/2006/relationships/hyperlink" Target="about:blank"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about:blank" TargetMode="External"/><Relationship Id="rId38" Type="http://schemas.openxmlformats.org/officeDocument/2006/relationships/hyperlink" Target="https://www.fec.gov/data/committee/C00384818/" TargetMode="External"/><Relationship Id="rId2" Type="http://schemas.openxmlformats.org/officeDocument/2006/relationships/hyperlink" Target="about:blank" TargetMode="External"/><Relationship Id="rId16" Type="http://schemas.openxmlformats.org/officeDocument/2006/relationships/hyperlink" Target="about:blank" TargetMode="External"/><Relationship Id="rId20" Type="http://schemas.openxmlformats.org/officeDocument/2006/relationships/hyperlink" Target="about:blank" TargetMode="External"/><Relationship Id="rId29"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11" Type="http://schemas.openxmlformats.org/officeDocument/2006/relationships/hyperlink" Target="about:blank" TargetMode="External"/><Relationship Id="rId24" Type="http://schemas.openxmlformats.org/officeDocument/2006/relationships/hyperlink" Target="about:blank" TargetMode="External"/><Relationship Id="rId32" Type="http://schemas.openxmlformats.org/officeDocument/2006/relationships/hyperlink" Target="about:blank" TargetMode="External"/><Relationship Id="rId37" Type="http://schemas.openxmlformats.org/officeDocument/2006/relationships/hyperlink" Target="about:blank" TargetMode="External"/><Relationship Id="rId40" Type="http://schemas.openxmlformats.org/officeDocument/2006/relationships/printerSettings" Target="../printerSettings/printerSettings4.bin"/><Relationship Id="rId5" Type="http://schemas.openxmlformats.org/officeDocument/2006/relationships/hyperlink" Target="about:blank" TargetMode="External"/><Relationship Id="rId15" Type="http://schemas.openxmlformats.org/officeDocument/2006/relationships/hyperlink" Target="about:blank" TargetMode="External"/><Relationship Id="rId23" Type="http://schemas.openxmlformats.org/officeDocument/2006/relationships/hyperlink" Target="about:blank" TargetMode="External"/><Relationship Id="rId28" Type="http://schemas.openxmlformats.org/officeDocument/2006/relationships/hyperlink" Target="about:blank" TargetMode="External"/><Relationship Id="rId36" Type="http://schemas.openxmlformats.org/officeDocument/2006/relationships/hyperlink" Target="about:blank" TargetMode="External"/><Relationship Id="rId10" Type="http://schemas.openxmlformats.org/officeDocument/2006/relationships/hyperlink" Target="about:blank" TargetMode="External"/><Relationship Id="rId19" Type="http://schemas.openxmlformats.org/officeDocument/2006/relationships/hyperlink" Target="about:blank" TargetMode="External"/><Relationship Id="rId31"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4" Type="http://schemas.openxmlformats.org/officeDocument/2006/relationships/hyperlink" Target="about:blank" TargetMode="External"/><Relationship Id="rId22" Type="http://schemas.openxmlformats.org/officeDocument/2006/relationships/hyperlink" Target="about:blank" TargetMode="External"/><Relationship Id="rId27" Type="http://schemas.openxmlformats.org/officeDocument/2006/relationships/hyperlink" Target="about:blank" TargetMode="External"/><Relationship Id="rId30" Type="http://schemas.openxmlformats.org/officeDocument/2006/relationships/hyperlink" Target="about:blank" TargetMode="External"/><Relationship Id="rId35" Type="http://schemas.openxmlformats.org/officeDocument/2006/relationships/hyperlink" Target="about:blank" TargetMode="External"/><Relationship Id="rId8" Type="http://schemas.openxmlformats.org/officeDocument/2006/relationships/hyperlink" Target="about:blank" TargetMode="External"/><Relationship Id="rId3" Type="http://schemas.openxmlformats.org/officeDocument/2006/relationships/hyperlink" Target="about:blank"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fec.gov/data/committee/C00672311/" TargetMode="External"/><Relationship Id="rId1" Type="http://schemas.openxmlformats.org/officeDocument/2006/relationships/hyperlink" Target="https://www.fec.gov/data/committee/C0034631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fec.gov/data/committee/C00571620/" TargetMode="External"/><Relationship Id="rId3" Type="http://schemas.openxmlformats.org/officeDocument/2006/relationships/hyperlink" Target="https://www.fec.gov/data/committee/C00027466/" TargetMode="External"/><Relationship Id="rId7" Type="http://schemas.openxmlformats.org/officeDocument/2006/relationships/hyperlink" Target="https://www.fec.gov/data/committee/C00547570/" TargetMode="External"/><Relationship Id="rId2" Type="http://schemas.openxmlformats.org/officeDocument/2006/relationships/hyperlink" Target="https://www.fec.gov/data/committee/C00027466/" TargetMode="External"/><Relationship Id="rId1" Type="http://schemas.openxmlformats.org/officeDocument/2006/relationships/hyperlink" Target="https://www.fec.gov/data/committee/C00736967/" TargetMode="External"/><Relationship Id="rId6" Type="http://schemas.openxmlformats.org/officeDocument/2006/relationships/hyperlink" Target="https://www.fec.gov/data/committee/C00547570/" TargetMode="External"/><Relationship Id="rId5" Type="http://schemas.openxmlformats.org/officeDocument/2006/relationships/hyperlink" Target="https://www.fec.gov/data/committee/C00742254/" TargetMode="External"/><Relationship Id="rId4" Type="http://schemas.openxmlformats.org/officeDocument/2006/relationships/hyperlink" Target="https://www.fec.gov/data/committee/C00027466/" TargetMode="External"/><Relationship Id="rId9" Type="http://schemas.openxmlformats.org/officeDocument/2006/relationships/hyperlink" Target="https://www.fec.gov/data/committee/C00571208/"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fec.gov/data/committee/C00364778/" TargetMode="External"/><Relationship Id="rId18" Type="http://schemas.openxmlformats.org/officeDocument/2006/relationships/hyperlink" Target="https://www.fec.gov/data/committee/C00364778/" TargetMode="External"/><Relationship Id="rId26" Type="http://schemas.openxmlformats.org/officeDocument/2006/relationships/hyperlink" Target="https://www.fec.gov/data/committee/C00364778/" TargetMode="External"/><Relationship Id="rId39" Type="http://schemas.openxmlformats.org/officeDocument/2006/relationships/hyperlink" Target="https://www.fec.gov/data/committee/C00364778/" TargetMode="External"/><Relationship Id="rId21" Type="http://schemas.openxmlformats.org/officeDocument/2006/relationships/hyperlink" Target="https://www.fec.gov/data/committee/C00364778/" TargetMode="External"/><Relationship Id="rId34" Type="http://schemas.openxmlformats.org/officeDocument/2006/relationships/hyperlink" Target="https://www.fec.gov/data/committee/C00364778/" TargetMode="External"/><Relationship Id="rId42" Type="http://schemas.openxmlformats.org/officeDocument/2006/relationships/hyperlink" Target="https://www.fec.gov/data/committee/C00364778/" TargetMode="External"/><Relationship Id="rId47" Type="http://schemas.openxmlformats.org/officeDocument/2006/relationships/hyperlink" Target="https://www.fec.gov/data/committee/C00364778/" TargetMode="External"/><Relationship Id="rId50" Type="http://schemas.openxmlformats.org/officeDocument/2006/relationships/hyperlink" Target="https://www.fec.gov/data/committee/C00364778/" TargetMode="External"/><Relationship Id="rId7" Type="http://schemas.openxmlformats.org/officeDocument/2006/relationships/hyperlink" Target="https://www.fec.gov/data/committee/C00364778/" TargetMode="External"/><Relationship Id="rId2" Type="http://schemas.openxmlformats.org/officeDocument/2006/relationships/hyperlink" Target="https://www.fec.gov/data/committee/C00364778/" TargetMode="External"/><Relationship Id="rId16" Type="http://schemas.openxmlformats.org/officeDocument/2006/relationships/hyperlink" Target="https://www.fec.gov/data/committee/C00364778/" TargetMode="External"/><Relationship Id="rId29" Type="http://schemas.openxmlformats.org/officeDocument/2006/relationships/hyperlink" Target="https://www.fec.gov/data/committee/C00364778/" TargetMode="External"/><Relationship Id="rId11" Type="http://schemas.openxmlformats.org/officeDocument/2006/relationships/hyperlink" Target="https://www.fec.gov/data/committee/C00364778/" TargetMode="External"/><Relationship Id="rId24" Type="http://schemas.openxmlformats.org/officeDocument/2006/relationships/hyperlink" Target="https://www.fec.gov/data/committee/C00364778/" TargetMode="External"/><Relationship Id="rId32" Type="http://schemas.openxmlformats.org/officeDocument/2006/relationships/hyperlink" Target="https://www.fec.gov/data/committee/C00364778/" TargetMode="External"/><Relationship Id="rId37" Type="http://schemas.openxmlformats.org/officeDocument/2006/relationships/hyperlink" Target="https://www.fec.gov/data/committee/C00364778/" TargetMode="External"/><Relationship Id="rId40" Type="http://schemas.openxmlformats.org/officeDocument/2006/relationships/hyperlink" Target="https://www.fec.gov/data/committee/C00364778/" TargetMode="External"/><Relationship Id="rId45" Type="http://schemas.openxmlformats.org/officeDocument/2006/relationships/hyperlink" Target="https://www.fec.gov/data/committee/C00364778/" TargetMode="External"/><Relationship Id="rId5" Type="http://schemas.openxmlformats.org/officeDocument/2006/relationships/hyperlink" Target="https://www.fec.gov/data/committee/C00457325/" TargetMode="External"/><Relationship Id="rId15" Type="http://schemas.openxmlformats.org/officeDocument/2006/relationships/hyperlink" Target="https://www.fec.gov/data/committee/C00364778/" TargetMode="External"/><Relationship Id="rId23" Type="http://schemas.openxmlformats.org/officeDocument/2006/relationships/hyperlink" Target="https://www.fec.gov/data/committee/C00364778/" TargetMode="External"/><Relationship Id="rId28" Type="http://schemas.openxmlformats.org/officeDocument/2006/relationships/hyperlink" Target="https://www.fec.gov/data/committee/C00364778/" TargetMode="External"/><Relationship Id="rId36" Type="http://schemas.openxmlformats.org/officeDocument/2006/relationships/hyperlink" Target="https://www.fec.gov/data/committee/C00364778/" TargetMode="External"/><Relationship Id="rId49" Type="http://schemas.openxmlformats.org/officeDocument/2006/relationships/hyperlink" Target="https://www.fec.gov/data/committee/C00364778/" TargetMode="External"/><Relationship Id="rId10" Type="http://schemas.openxmlformats.org/officeDocument/2006/relationships/hyperlink" Target="https://www.fec.gov/data/committee/C00364778/" TargetMode="External"/><Relationship Id="rId19" Type="http://schemas.openxmlformats.org/officeDocument/2006/relationships/hyperlink" Target="https://www.fec.gov/data/committee/C00364778/" TargetMode="External"/><Relationship Id="rId31" Type="http://schemas.openxmlformats.org/officeDocument/2006/relationships/hyperlink" Target="https://www.fec.gov/data/committee/C00364778/" TargetMode="External"/><Relationship Id="rId44" Type="http://schemas.openxmlformats.org/officeDocument/2006/relationships/hyperlink" Target="https://www.fec.gov/data/committee/C00364778/" TargetMode="External"/><Relationship Id="rId4" Type="http://schemas.openxmlformats.org/officeDocument/2006/relationships/hyperlink" Target="https://www.fec.gov/data/committee/C00364778/" TargetMode="External"/><Relationship Id="rId9" Type="http://schemas.openxmlformats.org/officeDocument/2006/relationships/hyperlink" Target="https://www.fec.gov/data/committee/C00364778/" TargetMode="External"/><Relationship Id="rId14" Type="http://schemas.openxmlformats.org/officeDocument/2006/relationships/hyperlink" Target="https://www.fec.gov/data/committee/C00364778/" TargetMode="External"/><Relationship Id="rId22" Type="http://schemas.openxmlformats.org/officeDocument/2006/relationships/hyperlink" Target="https://www.fec.gov/data/committee/C00364778/" TargetMode="External"/><Relationship Id="rId27" Type="http://schemas.openxmlformats.org/officeDocument/2006/relationships/hyperlink" Target="https://www.fec.gov/data/committee/C00364778/" TargetMode="External"/><Relationship Id="rId30" Type="http://schemas.openxmlformats.org/officeDocument/2006/relationships/hyperlink" Target="https://www.fec.gov/data/committee/C00364778/" TargetMode="External"/><Relationship Id="rId35" Type="http://schemas.openxmlformats.org/officeDocument/2006/relationships/hyperlink" Target="https://www.fec.gov/data/committee/C00703975/" TargetMode="External"/><Relationship Id="rId43" Type="http://schemas.openxmlformats.org/officeDocument/2006/relationships/hyperlink" Target="https://www.fec.gov/data/committee/C00364778/" TargetMode="External"/><Relationship Id="rId48" Type="http://schemas.openxmlformats.org/officeDocument/2006/relationships/hyperlink" Target="https://www.fec.gov/data/committee/C00364778/" TargetMode="External"/><Relationship Id="rId8" Type="http://schemas.openxmlformats.org/officeDocument/2006/relationships/hyperlink" Target="https://www.fec.gov/data/committee/C00364778/" TargetMode="External"/><Relationship Id="rId3" Type="http://schemas.openxmlformats.org/officeDocument/2006/relationships/hyperlink" Target="https://www.fec.gov/data/committee/C00364778/" TargetMode="External"/><Relationship Id="rId12" Type="http://schemas.openxmlformats.org/officeDocument/2006/relationships/hyperlink" Target="https://www.fec.gov/data/committee/C00364778/" TargetMode="External"/><Relationship Id="rId17" Type="http://schemas.openxmlformats.org/officeDocument/2006/relationships/hyperlink" Target="https://www.fec.gov/data/committee/C00364778/" TargetMode="External"/><Relationship Id="rId25" Type="http://schemas.openxmlformats.org/officeDocument/2006/relationships/hyperlink" Target="https://www.fec.gov/data/committee/C00364778/" TargetMode="External"/><Relationship Id="rId33" Type="http://schemas.openxmlformats.org/officeDocument/2006/relationships/hyperlink" Target="https://www.fec.gov/data/committee/C00364778/" TargetMode="External"/><Relationship Id="rId38" Type="http://schemas.openxmlformats.org/officeDocument/2006/relationships/hyperlink" Target="https://www.fec.gov/data/committee/C00364778/" TargetMode="External"/><Relationship Id="rId46" Type="http://schemas.openxmlformats.org/officeDocument/2006/relationships/hyperlink" Target="https://www.fec.gov/data/committee/C00364778/" TargetMode="External"/><Relationship Id="rId20" Type="http://schemas.openxmlformats.org/officeDocument/2006/relationships/hyperlink" Target="https://www.fec.gov/data/committee/C00364778/" TargetMode="External"/><Relationship Id="rId41" Type="http://schemas.openxmlformats.org/officeDocument/2006/relationships/hyperlink" Target="https://www.fec.gov/data/committee/C00364778/" TargetMode="External"/><Relationship Id="rId1" Type="http://schemas.openxmlformats.org/officeDocument/2006/relationships/hyperlink" Target="https://www.fec.gov/data/committee/C00364778/" TargetMode="External"/><Relationship Id="rId6" Type="http://schemas.openxmlformats.org/officeDocument/2006/relationships/hyperlink" Target="https://www.fec.gov/data/committee/C00364778/"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fec.gov/data/committee/C00238907/" TargetMode="External"/><Relationship Id="rId13" Type="http://schemas.openxmlformats.org/officeDocument/2006/relationships/hyperlink" Target="https://www.fec.gov/data/committee/C00384818/" TargetMode="External"/><Relationship Id="rId18" Type="http://schemas.openxmlformats.org/officeDocument/2006/relationships/hyperlink" Target="https://www.fec.gov/data/committee/C00384818/" TargetMode="External"/><Relationship Id="rId3" Type="http://schemas.openxmlformats.org/officeDocument/2006/relationships/hyperlink" Target="https://www.fec.gov/data/committee/C00384818/" TargetMode="External"/><Relationship Id="rId21" Type="http://schemas.openxmlformats.org/officeDocument/2006/relationships/hyperlink" Target="https://www.fec.gov/data/committee/C00384818/" TargetMode="External"/><Relationship Id="rId7" Type="http://schemas.openxmlformats.org/officeDocument/2006/relationships/hyperlink" Target="https://www.fec.gov/data/committee/C00384818/" TargetMode="External"/><Relationship Id="rId12" Type="http://schemas.openxmlformats.org/officeDocument/2006/relationships/hyperlink" Target="https://www.fec.gov/data/committee/C00384818/" TargetMode="External"/><Relationship Id="rId17" Type="http://schemas.openxmlformats.org/officeDocument/2006/relationships/hyperlink" Target="https://www.fec.gov/data/committee/C00384818/" TargetMode="External"/><Relationship Id="rId2" Type="http://schemas.openxmlformats.org/officeDocument/2006/relationships/hyperlink" Target="https://www.fec.gov/data/committee/C00384818/" TargetMode="External"/><Relationship Id="rId16" Type="http://schemas.openxmlformats.org/officeDocument/2006/relationships/hyperlink" Target="https://www.fec.gov/data/committee/C00384818/" TargetMode="External"/><Relationship Id="rId20"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 Id="rId6" Type="http://schemas.openxmlformats.org/officeDocument/2006/relationships/hyperlink" Target="https://www.fec.gov/data/committee/C00384818/" TargetMode="External"/><Relationship Id="rId11" Type="http://schemas.openxmlformats.org/officeDocument/2006/relationships/hyperlink" Target="https://www.fec.gov/data/committee/C00384818/" TargetMode="External"/><Relationship Id="rId5" Type="http://schemas.openxmlformats.org/officeDocument/2006/relationships/hyperlink" Target="https://www.fec.gov/data/committee/C00384818/" TargetMode="External"/><Relationship Id="rId15" Type="http://schemas.openxmlformats.org/officeDocument/2006/relationships/hyperlink" Target="https://www.fec.gov/data/committee/C00384818/" TargetMode="External"/><Relationship Id="rId23" Type="http://schemas.openxmlformats.org/officeDocument/2006/relationships/printerSettings" Target="../printerSettings/printerSettings5.bin"/><Relationship Id="rId10" Type="http://schemas.openxmlformats.org/officeDocument/2006/relationships/hyperlink" Target="https://www.fec.gov/data/committee/C00384818/" TargetMode="External"/><Relationship Id="rId19" Type="http://schemas.openxmlformats.org/officeDocument/2006/relationships/hyperlink" Target="https://www.fec.gov/data/committee/C00384818/" TargetMode="External"/><Relationship Id="rId4" Type="http://schemas.openxmlformats.org/officeDocument/2006/relationships/hyperlink" Target="https://www.fec.gov/data/committee/C00384818/" TargetMode="External"/><Relationship Id="rId9" Type="http://schemas.openxmlformats.org/officeDocument/2006/relationships/hyperlink" Target="https://www.fec.gov/data/committee/C00384818/" TargetMode="External"/><Relationship Id="rId14" Type="http://schemas.openxmlformats.org/officeDocument/2006/relationships/hyperlink" Target="https://www.fec.gov/data/committee/C00384818/" TargetMode="External"/><Relationship Id="rId22" Type="http://schemas.openxmlformats.org/officeDocument/2006/relationships/hyperlink" Target="https://www.fec.gov/data/committee/C00384818/"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fec.gov/data/committee/C00638023/" TargetMode="External"/><Relationship Id="rId13" Type="http://schemas.openxmlformats.org/officeDocument/2006/relationships/hyperlink" Target="https://www.fec.gov/data/committee/C00238907/" TargetMode="External"/><Relationship Id="rId3" Type="http://schemas.openxmlformats.org/officeDocument/2006/relationships/hyperlink" Target="https://www.fec.gov/data/committee/C00709899/" TargetMode="External"/><Relationship Id="rId7" Type="http://schemas.openxmlformats.org/officeDocument/2006/relationships/hyperlink" Target="https://www.fec.gov/data/committee/C00042366/" TargetMode="External"/><Relationship Id="rId12" Type="http://schemas.openxmlformats.org/officeDocument/2006/relationships/hyperlink" Target="https://www.fec.gov/data/committee/C00649061/" TargetMode="External"/><Relationship Id="rId2" Type="http://schemas.openxmlformats.org/officeDocument/2006/relationships/hyperlink" Target="https://www.fec.gov/data/committee/C00603084/" TargetMode="External"/><Relationship Id="rId1" Type="http://schemas.openxmlformats.org/officeDocument/2006/relationships/hyperlink" Target="https://www.fec.gov/data/committee/C00736876/" TargetMode="External"/><Relationship Id="rId6" Type="http://schemas.openxmlformats.org/officeDocument/2006/relationships/hyperlink" Target="https://www.fec.gov/data/committee/C00744946/" TargetMode="External"/><Relationship Id="rId11" Type="http://schemas.openxmlformats.org/officeDocument/2006/relationships/hyperlink" Target="https://www.fec.gov/data/committee/C00650150/" TargetMode="External"/><Relationship Id="rId5" Type="http://schemas.openxmlformats.org/officeDocument/2006/relationships/hyperlink" Target="https://www.fec.gov/data/committee/C00703975/" TargetMode="External"/><Relationship Id="rId10" Type="http://schemas.openxmlformats.org/officeDocument/2006/relationships/hyperlink" Target="https://www.fec.gov/data/committee/C00709899/" TargetMode="External"/><Relationship Id="rId4" Type="http://schemas.openxmlformats.org/officeDocument/2006/relationships/hyperlink" Target="https://www.fec.gov/data/committee/C00703975/" TargetMode="External"/><Relationship Id="rId9" Type="http://schemas.openxmlformats.org/officeDocument/2006/relationships/hyperlink" Target="https://www.fec.gov/data/committee/C00638023/"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www.fec.gov/data/committee/C00384818/" TargetMode="External"/><Relationship Id="rId18" Type="http://schemas.openxmlformats.org/officeDocument/2006/relationships/hyperlink" Target="https://www.fec.gov/data/committee/C00384818/" TargetMode="External"/><Relationship Id="rId26" Type="http://schemas.openxmlformats.org/officeDocument/2006/relationships/hyperlink" Target="https://www.fec.gov/data/committee/C00384818/" TargetMode="External"/><Relationship Id="rId39" Type="http://schemas.openxmlformats.org/officeDocument/2006/relationships/hyperlink" Target="https://www.fec.gov/data/committee/C00384818/" TargetMode="External"/><Relationship Id="rId21" Type="http://schemas.openxmlformats.org/officeDocument/2006/relationships/hyperlink" Target="https://www.fec.gov/data/committee/C00384818/" TargetMode="External"/><Relationship Id="rId34" Type="http://schemas.openxmlformats.org/officeDocument/2006/relationships/hyperlink" Target="https://www.fec.gov/data/committee/C00384818/" TargetMode="External"/><Relationship Id="rId42" Type="http://schemas.openxmlformats.org/officeDocument/2006/relationships/hyperlink" Target="https://www.fec.gov/data/committee/C00384818/" TargetMode="External"/><Relationship Id="rId47" Type="http://schemas.openxmlformats.org/officeDocument/2006/relationships/hyperlink" Target="https://www.fec.gov/data/committee/C00384818/" TargetMode="External"/><Relationship Id="rId50" Type="http://schemas.openxmlformats.org/officeDocument/2006/relationships/hyperlink" Target="https://www.fec.gov/data/committee/C00384818/" TargetMode="External"/><Relationship Id="rId7" Type="http://schemas.openxmlformats.org/officeDocument/2006/relationships/hyperlink" Target="https://www.fec.gov/data/committee/C00384818/" TargetMode="External"/><Relationship Id="rId2" Type="http://schemas.openxmlformats.org/officeDocument/2006/relationships/hyperlink" Target="https://www.fec.gov/data/committee/C00384818/" TargetMode="External"/><Relationship Id="rId16" Type="http://schemas.openxmlformats.org/officeDocument/2006/relationships/hyperlink" Target="https://www.fec.gov/data/committee/C00238907/" TargetMode="External"/><Relationship Id="rId29" Type="http://schemas.openxmlformats.org/officeDocument/2006/relationships/hyperlink" Target="https://www.fec.gov/data/committee/C00384818/" TargetMode="External"/><Relationship Id="rId11" Type="http://schemas.openxmlformats.org/officeDocument/2006/relationships/hyperlink" Target="https://www.fec.gov/data/committee/C00744946/" TargetMode="External"/><Relationship Id="rId24" Type="http://schemas.openxmlformats.org/officeDocument/2006/relationships/hyperlink" Target="https://www.fec.gov/data/committee/C00384818/" TargetMode="External"/><Relationship Id="rId32" Type="http://schemas.openxmlformats.org/officeDocument/2006/relationships/hyperlink" Target="https://www.fec.gov/data/committee/C00384818/" TargetMode="External"/><Relationship Id="rId37" Type="http://schemas.openxmlformats.org/officeDocument/2006/relationships/hyperlink" Target="https://www.fec.gov/data/committee/C00384818/" TargetMode="External"/><Relationship Id="rId40" Type="http://schemas.openxmlformats.org/officeDocument/2006/relationships/hyperlink" Target="https://www.fec.gov/data/committee/C00384818/" TargetMode="External"/><Relationship Id="rId45" Type="http://schemas.openxmlformats.org/officeDocument/2006/relationships/hyperlink" Target="https://www.fec.gov/data/committee/C00384818/" TargetMode="External"/><Relationship Id="rId5" Type="http://schemas.openxmlformats.org/officeDocument/2006/relationships/hyperlink" Target="https://www.fec.gov/data/committee/C00384818/" TargetMode="External"/><Relationship Id="rId15" Type="http://schemas.openxmlformats.org/officeDocument/2006/relationships/hyperlink" Target="https://www.fec.gov/data/committee/C00384818/" TargetMode="External"/><Relationship Id="rId23" Type="http://schemas.openxmlformats.org/officeDocument/2006/relationships/hyperlink" Target="https://www.fec.gov/data/committee/C00384818/" TargetMode="External"/><Relationship Id="rId28" Type="http://schemas.openxmlformats.org/officeDocument/2006/relationships/hyperlink" Target="https://www.fec.gov/data/committee/C00384818/" TargetMode="External"/><Relationship Id="rId36" Type="http://schemas.openxmlformats.org/officeDocument/2006/relationships/hyperlink" Target="https://www.fec.gov/data/committee/C00384818/" TargetMode="External"/><Relationship Id="rId49" Type="http://schemas.openxmlformats.org/officeDocument/2006/relationships/hyperlink" Target="https://www.fec.gov/data/committee/C00384818/" TargetMode="External"/><Relationship Id="rId10" Type="http://schemas.openxmlformats.org/officeDocument/2006/relationships/hyperlink" Target="https://www.fec.gov/data/committee/C00703975/" TargetMode="External"/><Relationship Id="rId19" Type="http://schemas.openxmlformats.org/officeDocument/2006/relationships/hyperlink" Target="https://www.fec.gov/data/committee/C00384818/" TargetMode="External"/><Relationship Id="rId31" Type="http://schemas.openxmlformats.org/officeDocument/2006/relationships/hyperlink" Target="https://www.fec.gov/data/committee/C00384818/" TargetMode="External"/><Relationship Id="rId44" Type="http://schemas.openxmlformats.org/officeDocument/2006/relationships/hyperlink" Target="https://www.fec.gov/data/committee/C00384818/" TargetMode="External"/><Relationship Id="rId52" Type="http://schemas.openxmlformats.org/officeDocument/2006/relationships/printerSettings" Target="../printerSettings/printerSettings6.bin"/><Relationship Id="rId4" Type="http://schemas.openxmlformats.org/officeDocument/2006/relationships/hyperlink" Target="https://www.fec.gov/data/committee/C00384818/" TargetMode="External"/><Relationship Id="rId9" Type="http://schemas.openxmlformats.org/officeDocument/2006/relationships/hyperlink" Target="https://www.fec.gov/data/committee/C00384818/" TargetMode="External"/><Relationship Id="rId14" Type="http://schemas.openxmlformats.org/officeDocument/2006/relationships/hyperlink" Target="https://www.fec.gov/data/committee/C00384818/" TargetMode="External"/><Relationship Id="rId22" Type="http://schemas.openxmlformats.org/officeDocument/2006/relationships/hyperlink" Target="https://www.fec.gov/data/committee/C00384818/" TargetMode="External"/><Relationship Id="rId27" Type="http://schemas.openxmlformats.org/officeDocument/2006/relationships/hyperlink" Target="https://www.fec.gov/data/committee/C00384818/" TargetMode="External"/><Relationship Id="rId30" Type="http://schemas.openxmlformats.org/officeDocument/2006/relationships/hyperlink" Target="https://www.fec.gov/data/committee/C00384818/" TargetMode="External"/><Relationship Id="rId35" Type="http://schemas.openxmlformats.org/officeDocument/2006/relationships/hyperlink" Target="https://www.fec.gov/data/committee/C00384818/" TargetMode="External"/><Relationship Id="rId43" Type="http://schemas.openxmlformats.org/officeDocument/2006/relationships/hyperlink" Target="https://www.fec.gov/data/committee/C00384818/" TargetMode="External"/><Relationship Id="rId48" Type="http://schemas.openxmlformats.org/officeDocument/2006/relationships/hyperlink" Target="https://www.fec.gov/data/committee/C00384818/" TargetMode="External"/><Relationship Id="rId8" Type="http://schemas.openxmlformats.org/officeDocument/2006/relationships/hyperlink" Target="https://www.fec.gov/data/committee/C00384818/" TargetMode="External"/><Relationship Id="rId51" Type="http://schemas.openxmlformats.org/officeDocument/2006/relationships/hyperlink" Target="https://www.fec.gov/data/committee/C00547570/" TargetMode="External"/><Relationship Id="rId3" Type="http://schemas.openxmlformats.org/officeDocument/2006/relationships/hyperlink" Target="https://www.fec.gov/data/committee/C00384818/" TargetMode="External"/><Relationship Id="rId12" Type="http://schemas.openxmlformats.org/officeDocument/2006/relationships/hyperlink" Target="https://www.fec.gov/data/committee/C00384818/" TargetMode="External"/><Relationship Id="rId17" Type="http://schemas.openxmlformats.org/officeDocument/2006/relationships/hyperlink" Target="https://www.fec.gov/data/committee/C00384818/" TargetMode="External"/><Relationship Id="rId25" Type="http://schemas.openxmlformats.org/officeDocument/2006/relationships/hyperlink" Target="https://www.fec.gov/data/committee/C00384818/" TargetMode="External"/><Relationship Id="rId33" Type="http://schemas.openxmlformats.org/officeDocument/2006/relationships/hyperlink" Target="https://www.fec.gov/data/committee/C00384818/" TargetMode="External"/><Relationship Id="rId38" Type="http://schemas.openxmlformats.org/officeDocument/2006/relationships/hyperlink" Target="https://www.fec.gov/data/committee/C00384818/" TargetMode="External"/><Relationship Id="rId46" Type="http://schemas.openxmlformats.org/officeDocument/2006/relationships/hyperlink" Target="https://www.fec.gov/data/committee/C00384818/" TargetMode="External"/><Relationship Id="rId20" Type="http://schemas.openxmlformats.org/officeDocument/2006/relationships/hyperlink" Target="https://www.fec.gov/data/committee/C00384818/" TargetMode="External"/><Relationship Id="rId41"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 Id="rId6" Type="http://schemas.openxmlformats.org/officeDocument/2006/relationships/hyperlink" Target="https://www.fec.gov/data/committee/C00476564/"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s://www.fec.gov/data/committee/C00384818/" TargetMode="External"/><Relationship Id="rId18" Type="http://schemas.openxmlformats.org/officeDocument/2006/relationships/hyperlink" Target="https://www.fec.gov/data/committee/C00384818/" TargetMode="External"/><Relationship Id="rId26" Type="http://schemas.openxmlformats.org/officeDocument/2006/relationships/hyperlink" Target="https://www.fec.gov/data/committee/C00384818/" TargetMode="External"/><Relationship Id="rId39" Type="http://schemas.openxmlformats.org/officeDocument/2006/relationships/hyperlink" Target="https://www.fec.gov/data/committee/C00384818/" TargetMode="External"/><Relationship Id="rId21" Type="http://schemas.openxmlformats.org/officeDocument/2006/relationships/hyperlink" Target="https://www.fec.gov/data/committee/C00384818/" TargetMode="External"/><Relationship Id="rId34" Type="http://schemas.openxmlformats.org/officeDocument/2006/relationships/hyperlink" Target="https://www.fec.gov/data/committee/C00384818/" TargetMode="External"/><Relationship Id="rId42" Type="http://schemas.openxmlformats.org/officeDocument/2006/relationships/hyperlink" Target="https://www.fec.gov/data/committee/C00384818/" TargetMode="External"/><Relationship Id="rId47" Type="http://schemas.openxmlformats.org/officeDocument/2006/relationships/hyperlink" Target="https://www.fec.gov/data/committee/C00384818/" TargetMode="External"/><Relationship Id="rId50" Type="http://schemas.openxmlformats.org/officeDocument/2006/relationships/hyperlink" Target="https://www.fec.gov/data/committee/C00384818/" TargetMode="External"/><Relationship Id="rId7" Type="http://schemas.openxmlformats.org/officeDocument/2006/relationships/hyperlink" Target="https://www.fec.gov/data/committee/C00547570/" TargetMode="External"/><Relationship Id="rId2" Type="http://schemas.openxmlformats.org/officeDocument/2006/relationships/hyperlink" Target="https://www.fec.gov/data/committee/C00384818/" TargetMode="External"/><Relationship Id="rId16" Type="http://schemas.openxmlformats.org/officeDocument/2006/relationships/hyperlink" Target="https://www.fec.gov/data/committee/C00238907/" TargetMode="External"/><Relationship Id="rId29" Type="http://schemas.openxmlformats.org/officeDocument/2006/relationships/hyperlink" Target="https://www.fec.gov/data/committee/C00384818/" TargetMode="External"/><Relationship Id="rId11" Type="http://schemas.openxmlformats.org/officeDocument/2006/relationships/hyperlink" Target="https://www.fec.gov/data/committee/C00384818/" TargetMode="External"/><Relationship Id="rId24" Type="http://schemas.openxmlformats.org/officeDocument/2006/relationships/hyperlink" Target="https://www.fec.gov/data/committee/C00384818/" TargetMode="External"/><Relationship Id="rId32" Type="http://schemas.openxmlformats.org/officeDocument/2006/relationships/hyperlink" Target="https://www.fec.gov/data/committee/C00384818/" TargetMode="External"/><Relationship Id="rId37" Type="http://schemas.openxmlformats.org/officeDocument/2006/relationships/hyperlink" Target="https://www.fec.gov/data/committee/C00384818/" TargetMode="External"/><Relationship Id="rId40" Type="http://schemas.openxmlformats.org/officeDocument/2006/relationships/hyperlink" Target="https://www.fec.gov/data/committee/C00384818/" TargetMode="External"/><Relationship Id="rId45" Type="http://schemas.openxmlformats.org/officeDocument/2006/relationships/hyperlink" Target="https://www.fec.gov/data/committee/C00384818/" TargetMode="External"/><Relationship Id="rId5" Type="http://schemas.openxmlformats.org/officeDocument/2006/relationships/hyperlink" Target="https://www.fec.gov/data/committee/C00384818/" TargetMode="External"/><Relationship Id="rId15" Type="http://schemas.openxmlformats.org/officeDocument/2006/relationships/hyperlink" Target="https://www.fec.gov/data/committee/C00384818/" TargetMode="External"/><Relationship Id="rId23" Type="http://schemas.openxmlformats.org/officeDocument/2006/relationships/hyperlink" Target="https://www.fec.gov/data/committee/C00384818/" TargetMode="External"/><Relationship Id="rId28" Type="http://schemas.openxmlformats.org/officeDocument/2006/relationships/hyperlink" Target="https://www.fec.gov/data/committee/C00384818/" TargetMode="External"/><Relationship Id="rId36" Type="http://schemas.openxmlformats.org/officeDocument/2006/relationships/hyperlink" Target="https://www.fec.gov/data/committee/C00384818/" TargetMode="External"/><Relationship Id="rId49" Type="http://schemas.openxmlformats.org/officeDocument/2006/relationships/hyperlink" Target="https://www.fec.gov/data/committee/C00384818/" TargetMode="External"/><Relationship Id="rId10" Type="http://schemas.openxmlformats.org/officeDocument/2006/relationships/hyperlink" Target="https://www.fec.gov/data/committee/C00384818/" TargetMode="External"/><Relationship Id="rId19" Type="http://schemas.openxmlformats.org/officeDocument/2006/relationships/hyperlink" Target="https://www.fec.gov/data/committee/C00384818/" TargetMode="External"/><Relationship Id="rId31" Type="http://schemas.openxmlformats.org/officeDocument/2006/relationships/hyperlink" Target="https://www.fec.gov/data/committee/C00384818/" TargetMode="External"/><Relationship Id="rId44" Type="http://schemas.openxmlformats.org/officeDocument/2006/relationships/hyperlink" Target="https://www.fec.gov/data/committee/C00384818/" TargetMode="External"/><Relationship Id="rId4" Type="http://schemas.openxmlformats.org/officeDocument/2006/relationships/hyperlink" Target="https://www.fec.gov/data/committee/C00384818/" TargetMode="External"/><Relationship Id="rId9" Type="http://schemas.openxmlformats.org/officeDocument/2006/relationships/hyperlink" Target="https://www.fec.gov/data/committee/C00694323/" TargetMode="External"/><Relationship Id="rId14" Type="http://schemas.openxmlformats.org/officeDocument/2006/relationships/hyperlink" Target="https://www.fec.gov/data/committee/C00384818/" TargetMode="External"/><Relationship Id="rId22" Type="http://schemas.openxmlformats.org/officeDocument/2006/relationships/hyperlink" Target="https://www.fec.gov/data/committee/C00384818/" TargetMode="External"/><Relationship Id="rId27" Type="http://schemas.openxmlformats.org/officeDocument/2006/relationships/hyperlink" Target="https://www.fec.gov/data/committee/C00384818/" TargetMode="External"/><Relationship Id="rId30" Type="http://schemas.openxmlformats.org/officeDocument/2006/relationships/hyperlink" Target="https://www.fec.gov/data/committee/C00384818/" TargetMode="External"/><Relationship Id="rId35" Type="http://schemas.openxmlformats.org/officeDocument/2006/relationships/hyperlink" Target="https://www.fec.gov/data/committee/C00384818/" TargetMode="External"/><Relationship Id="rId43" Type="http://schemas.openxmlformats.org/officeDocument/2006/relationships/hyperlink" Target="https://www.fec.gov/data/committee/C00384818/" TargetMode="External"/><Relationship Id="rId48" Type="http://schemas.openxmlformats.org/officeDocument/2006/relationships/hyperlink" Target="https://www.fec.gov/data/committee/C00384818/" TargetMode="External"/><Relationship Id="rId8" Type="http://schemas.openxmlformats.org/officeDocument/2006/relationships/hyperlink" Target="https://www.fec.gov/data/committee/C00694323/" TargetMode="External"/><Relationship Id="rId51" Type="http://schemas.openxmlformats.org/officeDocument/2006/relationships/hyperlink" Target="https://www.fec.gov/data/committee/C00384818/" TargetMode="External"/><Relationship Id="rId3" Type="http://schemas.openxmlformats.org/officeDocument/2006/relationships/hyperlink" Target="https://www.fec.gov/data/committee/C00384818/" TargetMode="External"/><Relationship Id="rId12" Type="http://schemas.openxmlformats.org/officeDocument/2006/relationships/hyperlink" Target="https://www.fec.gov/data/committee/C00384818/" TargetMode="External"/><Relationship Id="rId17" Type="http://schemas.openxmlformats.org/officeDocument/2006/relationships/hyperlink" Target="https://www.fec.gov/data/committee/C00384818/" TargetMode="External"/><Relationship Id="rId25" Type="http://schemas.openxmlformats.org/officeDocument/2006/relationships/hyperlink" Target="https://www.fec.gov/data/committee/C00384818/" TargetMode="External"/><Relationship Id="rId33" Type="http://schemas.openxmlformats.org/officeDocument/2006/relationships/hyperlink" Target="https://www.fec.gov/data/committee/C00384818/" TargetMode="External"/><Relationship Id="rId38" Type="http://schemas.openxmlformats.org/officeDocument/2006/relationships/hyperlink" Target="https://www.fec.gov/data/committee/C00384818/" TargetMode="External"/><Relationship Id="rId46" Type="http://schemas.openxmlformats.org/officeDocument/2006/relationships/hyperlink" Target="https://www.fec.gov/data/committee/C00384818/" TargetMode="External"/><Relationship Id="rId20" Type="http://schemas.openxmlformats.org/officeDocument/2006/relationships/hyperlink" Target="https://www.fec.gov/data/committee/C00384818/" TargetMode="External"/><Relationship Id="rId41"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 Id="rId6" Type="http://schemas.openxmlformats.org/officeDocument/2006/relationships/hyperlink" Target="https://www.fec.gov/data/committee/C00384818/"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www.fec.gov/data/committee/C00709410/" TargetMode="External"/><Relationship Id="rId21" Type="http://schemas.openxmlformats.org/officeDocument/2006/relationships/hyperlink" Target="https://www.fec.gov/data/committee/C00708164/" TargetMode="External"/><Relationship Id="rId42" Type="http://schemas.openxmlformats.org/officeDocument/2006/relationships/hyperlink" Target="https://www.fec.gov/data/committee/C00042366/" TargetMode="External"/><Relationship Id="rId47" Type="http://schemas.openxmlformats.org/officeDocument/2006/relationships/hyperlink" Target="https://www.fec.gov/data/committee/C00723122/" TargetMode="External"/><Relationship Id="rId63" Type="http://schemas.openxmlformats.org/officeDocument/2006/relationships/hyperlink" Target="https://www.fec.gov/data/committee/C00384818/" TargetMode="External"/><Relationship Id="rId68" Type="http://schemas.openxmlformats.org/officeDocument/2006/relationships/hyperlink" Target="https://www.fec.gov/data/committee/C00401224/" TargetMode="External"/><Relationship Id="rId84" Type="http://schemas.openxmlformats.org/officeDocument/2006/relationships/hyperlink" Target="https://www.fec.gov/data/committee/C00711549/" TargetMode="External"/><Relationship Id="rId89" Type="http://schemas.openxmlformats.org/officeDocument/2006/relationships/hyperlink" Target="https://www.fec.gov/data/committee/C00384818/" TargetMode="External"/><Relationship Id="rId112" Type="http://schemas.openxmlformats.org/officeDocument/2006/relationships/hyperlink" Target="https://www.fec.gov/data/committee/C00384818/" TargetMode="External"/><Relationship Id="rId16" Type="http://schemas.openxmlformats.org/officeDocument/2006/relationships/hyperlink" Target="https://www.fec.gov/data/committee/C00384818/" TargetMode="External"/><Relationship Id="rId107" Type="http://schemas.openxmlformats.org/officeDocument/2006/relationships/hyperlink" Target="https://www.fec.gov/data/committee/C00384818/" TargetMode="External"/><Relationship Id="rId11" Type="http://schemas.openxmlformats.org/officeDocument/2006/relationships/hyperlink" Target="https://www.fec.gov/data/committee/C00703975/" TargetMode="External"/><Relationship Id="rId32" Type="http://schemas.openxmlformats.org/officeDocument/2006/relationships/hyperlink" Target="https://www.fec.gov/data/committee/C00723122/" TargetMode="External"/><Relationship Id="rId37" Type="http://schemas.openxmlformats.org/officeDocument/2006/relationships/hyperlink" Target="https://www.fec.gov/data/committee/C00709410/" TargetMode="External"/><Relationship Id="rId53" Type="http://schemas.openxmlformats.org/officeDocument/2006/relationships/hyperlink" Target="https://www.fec.gov/data/committee/C00384818/" TargetMode="External"/><Relationship Id="rId58" Type="http://schemas.openxmlformats.org/officeDocument/2006/relationships/hyperlink" Target="https://www.fec.gov/data/committee/C00042366/" TargetMode="External"/><Relationship Id="rId74" Type="http://schemas.openxmlformats.org/officeDocument/2006/relationships/hyperlink" Target="https://www.fec.gov/data/committee/C00709899/" TargetMode="External"/><Relationship Id="rId79" Type="http://schemas.openxmlformats.org/officeDocument/2006/relationships/hyperlink" Target="https://www.fec.gov/data/committee/C00711549/" TargetMode="External"/><Relationship Id="rId102" Type="http://schemas.openxmlformats.org/officeDocument/2006/relationships/hyperlink" Target="https://www.fec.gov/data/committee/C00384818/" TargetMode="External"/><Relationship Id="rId5" Type="http://schemas.openxmlformats.org/officeDocument/2006/relationships/hyperlink" Target="https://www.fec.gov/data/committee/C00384818/" TargetMode="External"/><Relationship Id="rId90" Type="http://schemas.openxmlformats.org/officeDocument/2006/relationships/hyperlink" Target="https://www.fec.gov/data/committee/C00384818/" TargetMode="External"/><Relationship Id="rId95" Type="http://schemas.openxmlformats.org/officeDocument/2006/relationships/hyperlink" Target="https://www.fec.gov/data/committee/C00384818/" TargetMode="External"/><Relationship Id="rId22" Type="http://schemas.openxmlformats.org/officeDocument/2006/relationships/hyperlink" Target="https://www.fec.gov/data/committee/C00716720/" TargetMode="External"/><Relationship Id="rId27" Type="http://schemas.openxmlformats.org/officeDocument/2006/relationships/hyperlink" Target="https://www.fec.gov/data/committee/C00718866/" TargetMode="External"/><Relationship Id="rId43" Type="http://schemas.openxmlformats.org/officeDocument/2006/relationships/hyperlink" Target="https://www.fec.gov/data/committee/C00632091/" TargetMode="External"/><Relationship Id="rId48" Type="http://schemas.openxmlformats.org/officeDocument/2006/relationships/hyperlink" Target="https://www.fec.gov/data/committee/C00716720/" TargetMode="External"/><Relationship Id="rId64" Type="http://schemas.openxmlformats.org/officeDocument/2006/relationships/hyperlink" Target="https://www.fec.gov/data/committee/C00388819/" TargetMode="External"/><Relationship Id="rId69" Type="http://schemas.openxmlformats.org/officeDocument/2006/relationships/hyperlink" Target="https://www.fec.gov/data/committee/C00401224/" TargetMode="External"/><Relationship Id="rId113" Type="http://schemas.openxmlformats.org/officeDocument/2006/relationships/hyperlink" Target="https://www.fec.gov/data/committee/C00384818/" TargetMode="External"/><Relationship Id="rId80" Type="http://schemas.openxmlformats.org/officeDocument/2006/relationships/hyperlink" Target="https://www.fec.gov/data/committee/C00696153/" TargetMode="External"/><Relationship Id="rId85" Type="http://schemas.openxmlformats.org/officeDocument/2006/relationships/hyperlink" Target="https://www.fec.gov/data/committee/C00696153/" TargetMode="External"/><Relationship Id="rId12" Type="http://schemas.openxmlformats.org/officeDocument/2006/relationships/hyperlink" Target="https://www.fec.gov/data/committee/C00476564/" TargetMode="External"/><Relationship Id="rId17" Type="http://schemas.openxmlformats.org/officeDocument/2006/relationships/hyperlink" Target="https://www.fec.gov/data/committee/C00703975/" TargetMode="External"/><Relationship Id="rId33" Type="http://schemas.openxmlformats.org/officeDocument/2006/relationships/hyperlink" Target="https://www.fec.gov/data/committee/C00744946/" TargetMode="External"/><Relationship Id="rId38" Type="http://schemas.openxmlformats.org/officeDocument/2006/relationships/hyperlink" Target="https://www.fec.gov/data/committee/C00649350/" TargetMode="External"/><Relationship Id="rId59" Type="http://schemas.openxmlformats.org/officeDocument/2006/relationships/hyperlink" Target="https://www.fec.gov/data/committee/C00238907/" TargetMode="External"/><Relationship Id="rId103" Type="http://schemas.openxmlformats.org/officeDocument/2006/relationships/hyperlink" Target="https://www.fec.gov/data/committee/C00384818/" TargetMode="External"/><Relationship Id="rId108" Type="http://schemas.openxmlformats.org/officeDocument/2006/relationships/hyperlink" Target="https://www.fec.gov/data/committee/C00384818/" TargetMode="External"/><Relationship Id="rId54" Type="http://schemas.openxmlformats.org/officeDocument/2006/relationships/hyperlink" Target="https://www.fec.gov/data/committee/C00508804/" TargetMode="External"/><Relationship Id="rId70" Type="http://schemas.openxmlformats.org/officeDocument/2006/relationships/hyperlink" Target="https://www.fec.gov/data/committee/C00711549/" TargetMode="External"/><Relationship Id="rId75" Type="http://schemas.openxmlformats.org/officeDocument/2006/relationships/hyperlink" Target="https://www.fec.gov/data/committee/C00711549/" TargetMode="External"/><Relationship Id="rId91" Type="http://schemas.openxmlformats.org/officeDocument/2006/relationships/hyperlink" Target="https://www.fec.gov/data/committee/C00384818/" TargetMode="External"/><Relationship Id="rId96"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 Id="rId6" Type="http://schemas.openxmlformats.org/officeDocument/2006/relationships/hyperlink" Target="https://www.fec.gov/data/committee/C00384818/" TargetMode="External"/><Relationship Id="rId15" Type="http://schemas.openxmlformats.org/officeDocument/2006/relationships/hyperlink" Target="https://www.fec.gov/data/committee/C00384818/" TargetMode="External"/><Relationship Id="rId23" Type="http://schemas.openxmlformats.org/officeDocument/2006/relationships/hyperlink" Target="https://www.fec.gov/data/committee/C00384818/" TargetMode="External"/><Relationship Id="rId28" Type="http://schemas.openxmlformats.org/officeDocument/2006/relationships/hyperlink" Target="https://www.fec.gov/data/committee/C00696153/" TargetMode="External"/><Relationship Id="rId36" Type="http://schemas.openxmlformats.org/officeDocument/2006/relationships/hyperlink" Target="https://www.fec.gov/data/committee/C00384818/" TargetMode="External"/><Relationship Id="rId49" Type="http://schemas.openxmlformats.org/officeDocument/2006/relationships/hyperlink" Target="https://www.fec.gov/data/committee/C00384818/" TargetMode="External"/><Relationship Id="rId57" Type="http://schemas.openxmlformats.org/officeDocument/2006/relationships/hyperlink" Target="https://www.fec.gov/data/committee/C00042366/" TargetMode="External"/><Relationship Id="rId106" Type="http://schemas.openxmlformats.org/officeDocument/2006/relationships/hyperlink" Target="https://www.fec.gov/data/committee/C00384818/" TargetMode="External"/><Relationship Id="rId10" Type="http://schemas.openxmlformats.org/officeDocument/2006/relationships/hyperlink" Target="https://www.fec.gov/data/committee/C00384818/" TargetMode="External"/><Relationship Id="rId31" Type="http://schemas.openxmlformats.org/officeDocument/2006/relationships/hyperlink" Target="https://www.fec.gov/data/committee/C00741611/" TargetMode="External"/><Relationship Id="rId44" Type="http://schemas.openxmlformats.org/officeDocument/2006/relationships/hyperlink" Target="https://www.fec.gov/data/committee/C00401224/" TargetMode="External"/><Relationship Id="rId52" Type="http://schemas.openxmlformats.org/officeDocument/2006/relationships/hyperlink" Target="https://www.fec.gov/data/committee/C00709899/" TargetMode="External"/><Relationship Id="rId60" Type="http://schemas.openxmlformats.org/officeDocument/2006/relationships/hyperlink" Target="https://www.fec.gov/data/committee/C00238907/" TargetMode="External"/><Relationship Id="rId65" Type="http://schemas.openxmlformats.org/officeDocument/2006/relationships/hyperlink" Target="https://www.fec.gov/data/committee/C00384818/" TargetMode="External"/><Relationship Id="rId73" Type="http://schemas.openxmlformats.org/officeDocument/2006/relationships/hyperlink" Target="https://www.fec.gov/data/committee/C00384818/" TargetMode="External"/><Relationship Id="rId78" Type="http://schemas.openxmlformats.org/officeDocument/2006/relationships/hyperlink" Target="https://www.fec.gov/data/committee/C00384818/" TargetMode="External"/><Relationship Id="rId81" Type="http://schemas.openxmlformats.org/officeDocument/2006/relationships/hyperlink" Target="https://www.fec.gov/data/committee/C00401224/" TargetMode="External"/><Relationship Id="rId86" Type="http://schemas.openxmlformats.org/officeDocument/2006/relationships/hyperlink" Target="https://www.fec.gov/data/committee/C00632091/" TargetMode="External"/><Relationship Id="rId94" Type="http://schemas.openxmlformats.org/officeDocument/2006/relationships/hyperlink" Target="https://www.fec.gov/data/committee/C00384818/" TargetMode="External"/><Relationship Id="rId99" Type="http://schemas.openxmlformats.org/officeDocument/2006/relationships/hyperlink" Target="https://www.fec.gov/data/committee/C00384818/" TargetMode="External"/><Relationship Id="rId101" Type="http://schemas.openxmlformats.org/officeDocument/2006/relationships/hyperlink" Target="https://www.fec.gov/data/committee/C00384818/" TargetMode="External"/><Relationship Id="rId4" Type="http://schemas.openxmlformats.org/officeDocument/2006/relationships/hyperlink" Target="https://www.fec.gov/data/committee/C00384818/" TargetMode="External"/><Relationship Id="rId9" Type="http://schemas.openxmlformats.org/officeDocument/2006/relationships/hyperlink" Target="https://www.fec.gov/data/committee/C00042366/" TargetMode="External"/><Relationship Id="rId13" Type="http://schemas.openxmlformats.org/officeDocument/2006/relationships/hyperlink" Target="https://www.fec.gov/data/committee/C00744946/" TargetMode="External"/><Relationship Id="rId18" Type="http://schemas.openxmlformats.org/officeDocument/2006/relationships/hyperlink" Target="https://www.fec.gov/data/committee/C00744946/" TargetMode="External"/><Relationship Id="rId39" Type="http://schemas.openxmlformats.org/officeDocument/2006/relationships/hyperlink" Target="https://www.fec.gov/data/committee/C00649350/" TargetMode="External"/><Relationship Id="rId109" Type="http://schemas.openxmlformats.org/officeDocument/2006/relationships/hyperlink" Target="https://www.fec.gov/data/committee/C00384818/" TargetMode="External"/><Relationship Id="rId34" Type="http://schemas.openxmlformats.org/officeDocument/2006/relationships/hyperlink" Target="https://www.fec.gov/data/committee/C00384818/" TargetMode="External"/><Relationship Id="rId50" Type="http://schemas.openxmlformats.org/officeDocument/2006/relationships/hyperlink" Target="https://www.fec.gov/data/committee/C00696153/" TargetMode="External"/><Relationship Id="rId55" Type="http://schemas.openxmlformats.org/officeDocument/2006/relationships/hyperlink" Target="https://www.fec.gov/data/committee/C00401224/" TargetMode="External"/><Relationship Id="rId76" Type="http://schemas.openxmlformats.org/officeDocument/2006/relationships/hyperlink" Target="https://www.fec.gov/data/committee/C00401224/" TargetMode="External"/><Relationship Id="rId97" Type="http://schemas.openxmlformats.org/officeDocument/2006/relationships/hyperlink" Target="https://www.fec.gov/data/committee/C00384818/" TargetMode="External"/><Relationship Id="rId104" Type="http://schemas.openxmlformats.org/officeDocument/2006/relationships/hyperlink" Target="https://www.fec.gov/data/committee/C00384818/" TargetMode="External"/><Relationship Id="rId7" Type="http://schemas.openxmlformats.org/officeDocument/2006/relationships/hyperlink" Target="https://www.fec.gov/data/committee/C00633248/" TargetMode="External"/><Relationship Id="rId71" Type="http://schemas.openxmlformats.org/officeDocument/2006/relationships/hyperlink" Target="https://www.fec.gov/data/committee/C00696153/" TargetMode="External"/><Relationship Id="rId92" Type="http://schemas.openxmlformats.org/officeDocument/2006/relationships/hyperlink" Target="https://www.fec.gov/data/committee/C00384818/" TargetMode="External"/><Relationship Id="rId2" Type="http://schemas.openxmlformats.org/officeDocument/2006/relationships/hyperlink" Target="https://www.fec.gov/data/committee/C00718866/" TargetMode="External"/><Relationship Id="rId29" Type="http://schemas.openxmlformats.org/officeDocument/2006/relationships/hyperlink" Target="https://www.fec.gov/data/committee/C00649350/" TargetMode="External"/><Relationship Id="rId24" Type="http://schemas.openxmlformats.org/officeDocument/2006/relationships/hyperlink" Target="https://www.fec.gov/data/committee/C00703975/" TargetMode="External"/><Relationship Id="rId40" Type="http://schemas.openxmlformats.org/officeDocument/2006/relationships/hyperlink" Target="https://www.fec.gov/data/committee/C00640623/" TargetMode="External"/><Relationship Id="rId45" Type="http://schemas.openxmlformats.org/officeDocument/2006/relationships/hyperlink" Target="https://www.fec.gov/data/committee/C00703975/" TargetMode="External"/><Relationship Id="rId66" Type="http://schemas.openxmlformats.org/officeDocument/2006/relationships/hyperlink" Target="https://www.fec.gov/data/committee/C00709899/" TargetMode="External"/><Relationship Id="rId87" Type="http://schemas.openxmlformats.org/officeDocument/2006/relationships/hyperlink" Target="https://www.fec.gov/data/committee/C00384818/" TargetMode="External"/><Relationship Id="rId110" Type="http://schemas.openxmlformats.org/officeDocument/2006/relationships/hyperlink" Target="https://www.fec.gov/data/committee/C00384818/" TargetMode="External"/><Relationship Id="rId61" Type="http://schemas.openxmlformats.org/officeDocument/2006/relationships/hyperlink" Target="https://www.fec.gov/data/committee/C00723122/" TargetMode="External"/><Relationship Id="rId82" Type="http://schemas.openxmlformats.org/officeDocument/2006/relationships/hyperlink" Target="https://www.fec.gov/data/committee/C00384818/" TargetMode="External"/><Relationship Id="rId19" Type="http://schemas.openxmlformats.org/officeDocument/2006/relationships/hyperlink" Target="https://www.fec.gov/data/committee/C00401224/" TargetMode="External"/><Relationship Id="rId14" Type="http://schemas.openxmlformats.org/officeDocument/2006/relationships/hyperlink" Target="https://www.fec.gov/data/committee/C00401224/" TargetMode="External"/><Relationship Id="rId30" Type="http://schemas.openxmlformats.org/officeDocument/2006/relationships/hyperlink" Target="https://www.fec.gov/data/committee/C00708164/" TargetMode="External"/><Relationship Id="rId35" Type="http://schemas.openxmlformats.org/officeDocument/2006/relationships/hyperlink" Target="https://www.fec.gov/data/committee/C00042366/" TargetMode="External"/><Relationship Id="rId56" Type="http://schemas.openxmlformats.org/officeDocument/2006/relationships/hyperlink" Target="https://www.fec.gov/data/committee/C00042366/" TargetMode="External"/><Relationship Id="rId77" Type="http://schemas.openxmlformats.org/officeDocument/2006/relationships/hyperlink" Target="https://www.fec.gov/data/committee/C00632091/" TargetMode="External"/><Relationship Id="rId100" Type="http://schemas.openxmlformats.org/officeDocument/2006/relationships/hyperlink" Target="https://www.fec.gov/data/committee/C00384818/" TargetMode="External"/><Relationship Id="rId105" Type="http://schemas.openxmlformats.org/officeDocument/2006/relationships/hyperlink" Target="https://www.fec.gov/data/committee/C00384818/" TargetMode="External"/><Relationship Id="rId8" Type="http://schemas.openxmlformats.org/officeDocument/2006/relationships/hyperlink" Target="https://www.fec.gov/data/committee/C00384818/" TargetMode="External"/><Relationship Id="rId51" Type="http://schemas.openxmlformats.org/officeDocument/2006/relationships/hyperlink" Target="https://www.fec.gov/data/committee/C00741611/" TargetMode="External"/><Relationship Id="rId72" Type="http://schemas.openxmlformats.org/officeDocument/2006/relationships/hyperlink" Target="https://www.fec.gov/data/committee/C00384818/" TargetMode="External"/><Relationship Id="rId93" Type="http://schemas.openxmlformats.org/officeDocument/2006/relationships/hyperlink" Target="https://www.fec.gov/data/committee/C00384818/" TargetMode="External"/><Relationship Id="rId98" Type="http://schemas.openxmlformats.org/officeDocument/2006/relationships/hyperlink" Target="https://www.fec.gov/data/committee/C00384818/" TargetMode="External"/><Relationship Id="rId3" Type="http://schemas.openxmlformats.org/officeDocument/2006/relationships/hyperlink" Target="https://www.fec.gov/data/committee/C00746073/" TargetMode="External"/><Relationship Id="rId25" Type="http://schemas.openxmlformats.org/officeDocument/2006/relationships/hyperlink" Target="https://www.fec.gov/data/committee/C00457325/" TargetMode="External"/><Relationship Id="rId46" Type="http://schemas.openxmlformats.org/officeDocument/2006/relationships/hyperlink" Target="https://www.fec.gov/data/committee/C00741611/" TargetMode="External"/><Relationship Id="rId67" Type="http://schemas.openxmlformats.org/officeDocument/2006/relationships/hyperlink" Target="https://www.fec.gov/data/committee/C00632091/" TargetMode="External"/><Relationship Id="rId20" Type="http://schemas.openxmlformats.org/officeDocument/2006/relationships/hyperlink" Target="https://www.fec.gov/data/committee/C00746073/" TargetMode="External"/><Relationship Id="rId41" Type="http://schemas.openxmlformats.org/officeDocument/2006/relationships/hyperlink" Target="https://www.fec.gov/data/committee/C00708164/" TargetMode="External"/><Relationship Id="rId62" Type="http://schemas.openxmlformats.org/officeDocument/2006/relationships/hyperlink" Target="https://www.fec.gov/data/committee/C00723122/" TargetMode="External"/><Relationship Id="rId83" Type="http://schemas.openxmlformats.org/officeDocument/2006/relationships/hyperlink" Target="https://www.fec.gov/data/committee/C00384818/" TargetMode="External"/><Relationship Id="rId88" Type="http://schemas.openxmlformats.org/officeDocument/2006/relationships/hyperlink" Target="https://www.fec.gov/data/committee/C00384818/" TargetMode="External"/><Relationship Id="rId111" Type="http://schemas.openxmlformats.org/officeDocument/2006/relationships/hyperlink" Target="https://www.fec.gov/data/committee/C00384818/"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www.fec.gov/data/committee/C00384818/" TargetMode="External"/><Relationship Id="rId18" Type="http://schemas.openxmlformats.org/officeDocument/2006/relationships/hyperlink" Target="https://www.fec.gov/data/committee/C00384818/" TargetMode="External"/><Relationship Id="rId26" Type="http://schemas.openxmlformats.org/officeDocument/2006/relationships/hyperlink" Target="https://www.fec.gov/data/committee/C00384818/" TargetMode="External"/><Relationship Id="rId39" Type="http://schemas.openxmlformats.org/officeDocument/2006/relationships/hyperlink" Target="https://www.fec.gov/data/committee/C00384818/" TargetMode="External"/><Relationship Id="rId21" Type="http://schemas.openxmlformats.org/officeDocument/2006/relationships/hyperlink" Target="https://www.fec.gov/data/committee/C00384818/" TargetMode="External"/><Relationship Id="rId34" Type="http://schemas.openxmlformats.org/officeDocument/2006/relationships/hyperlink" Target="https://www.fec.gov/data/committee/C00384818/" TargetMode="External"/><Relationship Id="rId42" Type="http://schemas.openxmlformats.org/officeDocument/2006/relationships/hyperlink" Target="https://www.fec.gov/data/committee/C00384818/" TargetMode="External"/><Relationship Id="rId47" Type="http://schemas.openxmlformats.org/officeDocument/2006/relationships/hyperlink" Target="https://www.fec.gov/data/committee/C00384818/" TargetMode="External"/><Relationship Id="rId7" Type="http://schemas.openxmlformats.org/officeDocument/2006/relationships/hyperlink" Target="https://www.fec.gov/data/committee/C00547570/" TargetMode="External"/><Relationship Id="rId2" Type="http://schemas.openxmlformats.org/officeDocument/2006/relationships/hyperlink" Target="https://www.fec.gov/data/committee/C00384818/" TargetMode="External"/><Relationship Id="rId16" Type="http://schemas.openxmlformats.org/officeDocument/2006/relationships/hyperlink" Target="https://www.fec.gov/data/committee/C00384818/" TargetMode="External"/><Relationship Id="rId29" Type="http://schemas.openxmlformats.org/officeDocument/2006/relationships/hyperlink" Target="https://www.fec.gov/data/committee/C00384818/" TargetMode="External"/><Relationship Id="rId11" Type="http://schemas.openxmlformats.org/officeDocument/2006/relationships/hyperlink" Target="https://www.fec.gov/data/committee/C00384818/" TargetMode="External"/><Relationship Id="rId24" Type="http://schemas.openxmlformats.org/officeDocument/2006/relationships/hyperlink" Target="https://www.fec.gov/data/committee/C00384818/" TargetMode="External"/><Relationship Id="rId32" Type="http://schemas.openxmlformats.org/officeDocument/2006/relationships/hyperlink" Target="https://www.fec.gov/data/committee/C00384818/" TargetMode="External"/><Relationship Id="rId37" Type="http://schemas.openxmlformats.org/officeDocument/2006/relationships/hyperlink" Target="https://www.fec.gov/data/committee/C00384818/" TargetMode="External"/><Relationship Id="rId40" Type="http://schemas.openxmlformats.org/officeDocument/2006/relationships/hyperlink" Target="https://www.fec.gov/data/committee/C00384818/" TargetMode="External"/><Relationship Id="rId45" Type="http://schemas.openxmlformats.org/officeDocument/2006/relationships/hyperlink" Target="https://www.fec.gov/data/committee/C00384818/" TargetMode="External"/><Relationship Id="rId5" Type="http://schemas.openxmlformats.org/officeDocument/2006/relationships/hyperlink" Target="https://www.fec.gov/data/committee/C00384818/" TargetMode="External"/><Relationship Id="rId15" Type="http://schemas.openxmlformats.org/officeDocument/2006/relationships/hyperlink" Target="https://www.fec.gov/data/committee/C00384818/" TargetMode="External"/><Relationship Id="rId23" Type="http://schemas.openxmlformats.org/officeDocument/2006/relationships/hyperlink" Target="https://www.fec.gov/data/committee/C00384818/" TargetMode="External"/><Relationship Id="rId28" Type="http://schemas.openxmlformats.org/officeDocument/2006/relationships/hyperlink" Target="https://www.fec.gov/data/committee/C00384818/" TargetMode="External"/><Relationship Id="rId36" Type="http://schemas.openxmlformats.org/officeDocument/2006/relationships/hyperlink" Target="https://www.fec.gov/data/committee/C00384818/" TargetMode="External"/><Relationship Id="rId49" Type="http://schemas.openxmlformats.org/officeDocument/2006/relationships/hyperlink" Target="https://www.fec.gov/data/committee/C00384818/" TargetMode="External"/><Relationship Id="rId10" Type="http://schemas.openxmlformats.org/officeDocument/2006/relationships/hyperlink" Target="https://www.fec.gov/data/committee/C00384818/" TargetMode="External"/><Relationship Id="rId19" Type="http://schemas.openxmlformats.org/officeDocument/2006/relationships/hyperlink" Target="https://www.fec.gov/data/committee/C00384818/" TargetMode="External"/><Relationship Id="rId31" Type="http://schemas.openxmlformats.org/officeDocument/2006/relationships/hyperlink" Target="https://www.fec.gov/data/committee/C00384818/" TargetMode="External"/><Relationship Id="rId44" Type="http://schemas.openxmlformats.org/officeDocument/2006/relationships/hyperlink" Target="https://www.fec.gov/data/committee/C00384818/" TargetMode="External"/><Relationship Id="rId4" Type="http://schemas.openxmlformats.org/officeDocument/2006/relationships/hyperlink" Target="https://www.fec.gov/data/committee/C00384818/" TargetMode="External"/><Relationship Id="rId9" Type="http://schemas.openxmlformats.org/officeDocument/2006/relationships/hyperlink" Target="https://www.fec.gov/data/committee/C00384818/" TargetMode="External"/><Relationship Id="rId14" Type="http://schemas.openxmlformats.org/officeDocument/2006/relationships/hyperlink" Target="https://www.fec.gov/data/committee/C00384818/" TargetMode="External"/><Relationship Id="rId22" Type="http://schemas.openxmlformats.org/officeDocument/2006/relationships/hyperlink" Target="https://www.fec.gov/data/committee/C00384818/" TargetMode="External"/><Relationship Id="rId27" Type="http://schemas.openxmlformats.org/officeDocument/2006/relationships/hyperlink" Target="https://www.fec.gov/data/committee/C00384818/" TargetMode="External"/><Relationship Id="rId30" Type="http://schemas.openxmlformats.org/officeDocument/2006/relationships/hyperlink" Target="https://www.fec.gov/data/committee/C00384818/" TargetMode="External"/><Relationship Id="rId35" Type="http://schemas.openxmlformats.org/officeDocument/2006/relationships/hyperlink" Target="https://www.fec.gov/data/committee/C00384818/" TargetMode="External"/><Relationship Id="rId43" Type="http://schemas.openxmlformats.org/officeDocument/2006/relationships/hyperlink" Target="https://www.fec.gov/data/committee/C00384818/" TargetMode="External"/><Relationship Id="rId48" Type="http://schemas.openxmlformats.org/officeDocument/2006/relationships/hyperlink" Target="https://www.fec.gov/data/committee/C00384818/" TargetMode="External"/><Relationship Id="rId8" Type="http://schemas.openxmlformats.org/officeDocument/2006/relationships/hyperlink" Target="https://www.fec.gov/data/committee/C00694323/" TargetMode="External"/><Relationship Id="rId3" Type="http://schemas.openxmlformats.org/officeDocument/2006/relationships/hyperlink" Target="https://www.fec.gov/data/committee/C00384818/" TargetMode="External"/><Relationship Id="rId12" Type="http://schemas.openxmlformats.org/officeDocument/2006/relationships/hyperlink" Target="https://www.fec.gov/data/committee/C00384818/" TargetMode="External"/><Relationship Id="rId17" Type="http://schemas.openxmlformats.org/officeDocument/2006/relationships/hyperlink" Target="https://www.fec.gov/data/committee/C00384818/" TargetMode="External"/><Relationship Id="rId25" Type="http://schemas.openxmlformats.org/officeDocument/2006/relationships/hyperlink" Target="https://www.fec.gov/data/committee/C00384818/" TargetMode="External"/><Relationship Id="rId33" Type="http://schemas.openxmlformats.org/officeDocument/2006/relationships/hyperlink" Target="https://www.fec.gov/data/committee/C00384818/" TargetMode="External"/><Relationship Id="rId38" Type="http://schemas.openxmlformats.org/officeDocument/2006/relationships/hyperlink" Target="https://www.fec.gov/data/committee/C00384818/" TargetMode="External"/><Relationship Id="rId46" Type="http://schemas.openxmlformats.org/officeDocument/2006/relationships/hyperlink" Target="https://www.fec.gov/data/committee/C00384818/" TargetMode="External"/><Relationship Id="rId20" Type="http://schemas.openxmlformats.org/officeDocument/2006/relationships/hyperlink" Target="https://www.fec.gov/data/committee/C00384818/" TargetMode="External"/><Relationship Id="rId41" Type="http://schemas.openxmlformats.org/officeDocument/2006/relationships/hyperlink" Target="https://www.fec.gov/data/committee/C00384818/" TargetMode="External"/><Relationship Id="rId1" Type="http://schemas.openxmlformats.org/officeDocument/2006/relationships/hyperlink" Target="https://www.fec.gov/data/committee/C00384818/" TargetMode="External"/><Relationship Id="rId6" Type="http://schemas.openxmlformats.org/officeDocument/2006/relationships/hyperlink" Target="https://www.fec.gov/data/committee/C003848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7"/>
  <sheetViews>
    <sheetView tabSelected="1" topLeftCell="D1" zoomScale="82" zoomScaleNormal="82" workbookViewId="0">
      <selection activeCell="R17" sqref="R17"/>
    </sheetView>
  </sheetViews>
  <sheetFormatPr defaultColWidth="8.85546875" defaultRowHeight="15"/>
  <cols>
    <col min="1" max="1" width="8.28515625" style="3" customWidth="1"/>
    <col min="2" max="2" width="26.28515625" style="3" customWidth="1"/>
    <col min="3" max="3" width="37.7109375" style="3" customWidth="1"/>
    <col min="4" max="4" width="23.140625" style="3" customWidth="1"/>
    <col min="5" max="5" width="14" style="3" customWidth="1"/>
    <col min="6" max="6" width="16.5703125" style="3" customWidth="1"/>
    <col min="7" max="7" width="16.5703125" style="3" bestFit="1" customWidth="1"/>
    <col min="8" max="8" width="25.85546875" style="3" bestFit="1" customWidth="1"/>
    <col min="9" max="9" width="23.28515625" style="3" bestFit="1" customWidth="1"/>
    <col min="10" max="10" width="8.85546875" style="3"/>
    <col min="11" max="11" width="11.7109375" style="3" customWidth="1"/>
    <col min="12" max="16384" width="8.85546875" style="3"/>
  </cols>
  <sheetData>
    <row r="1" spans="1:16" customFormat="1">
      <c r="A1" s="3" t="s">
        <v>114</v>
      </c>
      <c r="B1" s="3" t="s">
        <v>115</v>
      </c>
      <c r="C1" s="3" t="s">
        <v>116</v>
      </c>
      <c r="D1" s="3" t="s">
        <v>18</v>
      </c>
      <c r="E1" s="3" t="s">
        <v>117</v>
      </c>
      <c r="F1" s="3" t="s">
        <v>118</v>
      </c>
      <c r="G1" s="3" t="s">
        <v>119</v>
      </c>
      <c r="H1" s="3" t="s">
        <v>120</v>
      </c>
      <c r="I1" s="3" t="s">
        <v>11</v>
      </c>
      <c r="J1" s="3" t="s">
        <v>7</v>
      </c>
      <c r="K1" s="3" t="s">
        <v>121</v>
      </c>
      <c r="L1" s="3" t="s">
        <v>122</v>
      </c>
      <c r="M1" s="3" t="s">
        <v>123</v>
      </c>
      <c r="N1" s="3" t="s">
        <v>124</v>
      </c>
      <c r="O1" s="3" t="s">
        <v>125</v>
      </c>
      <c r="P1" s="3" t="s">
        <v>126</v>
      </c>
    </row>
    <row r="2" spans="1:16" customFormat="1">
      <c r="A2" s="3" t="s">
        <v>731</v>
      </c>
      <c r="B2" s="3" t="s">
        <v>129</v>
      </c>
      <c r="C2" s="3" t="s">
        <v>1</v>
      </c>
      <c r="D2" s="3" t="s">
        <v>728</v>
      </c>
      <c r="E2" s="3" t="s">
        <v>726</v>
      </c>
      <c r="F2" s="3"/>
      <c r="G2" s="3" t="s">
        <v>727</v>
      </c>
      <c r="H2" s="3" t="s">
        <v>128</v>
      </c>
      <c r="I2" s="3" t="s">
        <v>780</v>
      </c>
      <c r="J2" s="3">
        <v>63</v>
      </c>
      <c r="K2" s="3"/>
      <c r="L2" s="3">
        <v>10000</v>
      </c>
      <c r="M2" s="3"/>
      <c r="N2" s="3"/>
      <c r="O2" s="3"/>
      <c r="P2" s="3"/>
    </row>
    <row r="3" spans="1:16" customFormat="1">
      <c r="A3" s="3" t="s">
        <v>731</v>
      </c>
      <c r="B3" s="3" t="s">
        <v>129</v>
      </c>
      <c r="C3" s="3" t="s">
        <v>1</v>
      </c>
      <c r="D3" s="3" t="s">
        <v>732</v>
      </c>
      <c r="E3" s="3" t="s">
        <v>316</v>
      </c>
      <c r="F3" s="3" t="s">
        <v>729</v>
      </c>
      <c r="G3" s="3" t="s">
        <v>730</v>
      </c>
      <c r="H3" s="3" t="s">
        <v>128</v>
      </c>
      <c r="I3" s="3" t="s">
        <v>779</v>
      </c>
      <c r="J3" s="3">
        <v>69</v>
      </c>
      <c r="K3" s="3"/>
      <c r="L3" s="3">
        <v>10000</v>
      </c>
      <c r="M3" s="3"/>
      <c r="N3" s="3"/>
      <c r="O3" s="3"/>
      <c r="P3" s="3" t="s">
        <v>781</v>
      </c>
    </row>
    <row r="4" spans="1:16" customFormat="1">
      <c r="A4" s="3" t="s">
        <v>731</v>
      </c>
      <c r="B4" s="3" t="s">
        <v>129</v>
      </c>
      <c r="C4" s="3" t="s">
        <v>1</v>
      </c>
      <c r="D4" s="3" t="s">
        <v>735</v>
      </c>
      <c r="E4" s="3" t="s">
        <v>733</v>
      </c>
      <c r="F4" s="3" t="s">
        <v>132</v>
      </c>
      <c r="G4" s="3" t="s">
        <v>734</v>
      </c>
      <c r="H4" s="3" t="s">
        <v>131</v>
      </c>
      <c r="I4" s="3" t="s">
        <v>779</v>
      </c>
      <c r="J4" s="3">
        <v>66</v>
      </c>
      <c r="K4" s="3"/>
      <c r="L4" s="3">
        <v>10000</v>
      </c>
      <c r="M4" s="3"/>
      <c r="N4" s="3"/>
      <c r="O4" s="3"/>
      <c r="P4" s="70" t="s">
        <v>788</v>
      </c>
    </row>
    <row r="5" spans="1:16" customFormat="1">
      <c r="A5" s="3" t="s">
        <v>731</v>
      </c>
      <c r="B5" s="3" t="s">
        <v>129</v>
      </c>
      <c r="C5" s="3" t="s">
        <v>1</v>
      </c>
      <c r="D5" s="3" t="s">
        <v>738</v>
      </c>
      <c r="E5" s="3" t="s">
        <v>736</v>
      </c>
      <c r="F5" s="3" t="s">
        <v>128</v>
      </c>
      <c r="G5" s="3" t="s">
        <v>737</v>
      </c>
      <c r="H5" s="3" t="s">
        <v>131</v>
      </c>
      <c r="I5" s="3" t="s">
        <v>174</v>
      </c>
      <c r="J5" s="3">
        <v>64</v>
      </c>
      <c r="K5" s="3"/>
      <c r="L5" s="3">
        <v>5300</v>
      </c>
      <c r="M5" s="3"/>
      <c r="N5" s="3"/>
      <c r="O5" s="3"/>
      <c r="P5" s="3" t="s">
        <v>802</v>
      </c>
    </row>
    <row r="6" spans="1:16" customFormat="1">
      <c r="A6" s="3" t="s">
        <v>731</v>
      </c>
      <c r="B6" s="3" t="s">
        <v>129</v>
      </c>
      <c r="C6" s="3" t="s">
        <v>1</v>
      </c>
      <c r="D6" s="3" t="s">
        <v>740</v>
      </c>
      <c r="E6" s="3" t="s">
        <v>739</v>
      </c>
      <c r="F6" s="3" t="s">
        <v>410</v>
      </c>
      <c r="G6" s="3" t="s">
        <v>742</v>
      </c>
      <c r="H6" s="3" t="s">
        <v>128</v>
      </c>
      <c r="I6" s="3" t="s">
        <v>809</v>
      </c>
      <c r="J6" s="3">
        <v>67</v>
      </c>
      <c r="K6" s="3"/>
      <c r="L6" s="3"/>
      <c r="M6" s="3">
        <v>111000</v>
      </c>
      <c r="N6" s="3"/>
      <c r="O6" s="3"/>
      <c r="P6" s="3" t="s">
        <v>870</v>
      </c>
    </row>
    <row r="7" spans="1:16" customFormat="1">
      <c r="A7" s="3" t="s">
        <v>731</v>
      </c>
      <c r="B7" s="3" t="s">
        <v>129</v>
      </c>
      <c r="C7" s="3" t="s">
        <v>1</v>
      </c>
      <c r="D7" s="3" t="s">
        <v>811</v>
      </c>
      <c r="E7" s="3" t="s">
        <v>741</v>
      </c>
      <c r="F7" s="3" t="s">
        <v>1</v>
      </c>
      <c r="G7" s="3" t="s">
        <v>743</v>
      </c>
      <c r="H7" s="3" t="s">
        <v>128</v>
      </c>
      <c r="I7" s="3" t="s">
        <v>807</v>
      </c>
      <c r="J7" s="3">
        <v>68</v>
      </c>
      <c r="K7" s="3"/>
      <c r="L7" s="3">
        <v>10000</v>
      </c>
      <c r="M7" s="3"/>
      <c r="N7" s="3"/>
      <c r="O7" s="3"/>
      <c r="P7" s="3" t="s">
        <v>810</v>
      </c>
    </row>
    <row r="8" spans="1:16" customFormat="1">
      <c r="A8" s="3" t="s">
        <v>731</v>
      </c>
      <c r="B8" s="3" t="s">
        <v>129</v>
      </c>
      <c r="C8" s="3" t="s">
        <v>1</v>
      </c>
      <c r="D8" s="3" t="s">
        <v>746</v>
      </c>
      <c r="E8" s="3" t="s">
        <v>744</v>
      </c>
      <c r="F8" s="3" t="s">
        <v>128</v>
      </c>
      <c r="G8" s="3" t="s">
        <v>745</v>
      </c>
      <c r="H8" s="3" t="s">
        <v>131</v>
      </c>
      <c r="I8" s="3" t="s">
        <v>814</v>
      </c>
      <c r="J8" s="3">
        <v>68</v>
      </c>
      <c r="K8" s="3"/>
      <c r="L8" s="3">
        <v>13799</v>
      </c>
      <c r="M8" s="3"/>
      <c r="N8" s="3"/>
      <c r="O8" s="3"/>
      <c r="P8" s="3" t="s">
        <v>820</v>
      </c>
    </row>
    <row r="9" spans="1:16" customFormat="1">
      <c r="A9" s="3" t="s">
        <v>731</v>
      </c>
      <c r="B9" s="3" t="s">
        <v>129</v>
      </c>
      <c r="C9" s="3" t="s">
        <v>1</v>
      </c>
      <c r="D9" s="3" t="s">
        <v>747</v>
      </c>
      <c r="E9" s="3" t="s">
        <v>748</v>
      </c>
      <c r="F9" s="3" t="s">
        <v>130</v>
      </c>
      <c r="G9" s="3" t="s">
        <v>749</v>
      </c>
      <c r="H9" s="3" t="s">
        <v>128</v>
      </c>
      <c r="I9" s="3" t="s">
        <v>821</v>
      </c>
      <c r="J9" s="3">
        <v>69</v>
      </c>
      <c r="K9" s="3"/>
      <c r="L9" s="3">
        <v>10000</v>
      </c>
      <c r="M9" s="3"/>
      <c r="N9" s="3"/>
      <c r="O9" s="3"/>
      <c r="P9" s="3" t="s">
        <v>823</v>
      </c>
    </row>
    <row r="10" spans="1:16" customFormat="1">
      <c r="A10" s="3" t="s">
        <v>731</v>
      </c>
      <c r="B10" s="3" t="s">
        <v>129</v>
      </c>
      <c r="C10" s="3" t="s">
        <v>129</v>
      </c>
      <c r="D10" s="3" t="s">
        <v>731</v>
      </c>
      <c r="E10" s="3" t="s">
        <v>750</v>
      </c>
      <c r="F10" s="3" t="s">
        <v>133</v>
      </c>
      <c r="G10" s="3" t="s">
        <v>751</v>
      </c>
      <c r="H10" s="3" t="s">
        <v>131</v>
      </c>
      <c r="I10" s="3" t="s">
        <v>826</v>
      </c>
      <c r="J10" s="3">
        <v>58</v>
      </c>
      <c r="K10" s="73">
        <v>23375</v>
      </c>
      <c r="L10" s="3">
        <v>9750</v>
      </c>
      <c r="M10" s="3"/>
      <c r="N10" s="3"/>
      <c r="O10" s="3"/>
      <c r="P10" s="70" t="s">
        <v>829</v>
      </c>
    </row>
    <row r="11" spans="1:16" customFormat="1">
      <c r="A11" s="3" t="s">
        <v>731</v>
      </c>
      <c r="B11" s="3" t="s">
        <v>129</v>
      </c>
      <c r="C11" s="3" t="s">
        <v>129</v>
      </c>
      <c r="D11" s="3" t="s">
        <v>752</v>
      </c>
      <c r="E11" s="3" t="s">
        <v>753</v>
      </c>
      <c r="F11" s="3"/>
      <c r="G11" s="3" t="s">
        <v>754</v>
      </c>
      <c r="H11" s="3" t="s">
        <v>128</v>
      </c>
      <c r="I11" s="3" t="s">
        <v>828</v>
      </c>
      <c r="J11" s="3">
        <v>70</v>
      </c>
      <c r="K11" s="3"/>
      <c r="L11" s="3">
        <v>10000</v>
      </c>
      <c r="M11" s="3"/>
      <c r="N11" s="3"/>
      <c r="O11" s="3"/>
      <c r="P11" s="70" t="s">
        <v>808</v>
      </c>
    </row>
    <row r="12" spans="1:16" customFormat="1">
      <c r="A12" s="3" t="s">
        <v>731</v>
      </c>
      <c r="B12" s="3" t="s">
        <v>129</v>
      </c>
      <c r="C12" s="3" t="s">
        <v>1</v>
      </c>
      <c r="D12" s="3" t="s">
        <v>755</v>
      </c>
      <c r="E12" s="3" t="s">
        <v>756</v>
      </c>
      <c r="F12" s="3" t="s">
        <v>134</v>
      </c>
      <c r="G12" s="3" t="s">
        <v>757</v>
      </c>
      <c r="H12" s="3" t="s">
        <v>131</v>
      </c>
      <c r="I12" s="3" t="s">
        <v>177</v>
      </c>
      <c r="J12" s="3">
        <v>65</v>
      </c>
      <c r="K12" s="36">
        <v>20259</v>
      </c>
      <c r="L12" s="3">
        <v>20250</v>
      </c>
      <c r="M12" s="3"/>
      <c r="N12" s="3"/>
      <c r="O12" s="3"/>
      <c r="P12" s="3" t="s">
        <v>177</v>
      </c>
    </row>
    <row r="13" spans="1:16" customFormat="1">
      <c r="A13" s="3" t="s">
        <v>731</v>
      </c>
      <c r="B13" s="3" t="s">
        <v>129</v>
      </c>
      <c r="C13" s="3" t="s">
        <v>1</v>
      </c>
      <c r="D13" s="3" t="s">
        <v>758</v>
      </c>
      <c r="E13" s="3" t="s">
        <v>759</v>
      </c>
      <c r="F13" s="3" t="s">
        <v>316</v>
      </c>
      <c r="G13" s="3" t="s">
        <v>760</v>
      </c>
      <c r="H13" s="3" t="s">
        <v>128</v>
      </c>
      <c r="I13" s="3" t="s">
        <v>839</v>
      </c>
      <c r="J13" s="3">
        <v>72</v>
      </c>
      <c r="K13" s="36">
        <v>17853</v>
      </c>
      <c r="L13" s="3">
        <v>10000</v>
      </c>
      <c r="M13" s="3"/>
      <c r="N13" s="3"/>
      <c r="O13" s="3"/>
      <c r="P13" s="3" t="s">
        <v>840</v>
      </c>
    </row>
    <row r="14" spans="1:16" customFormat="1">
      <c r="A14" s="3" t="s">
        <v>731</v>
      </c>
      <c r="B14" s="3" t="s">
        <v>129</v>
      </c>
      <c r="C14" s="3" t="s">
        <v>1</v>
      </c>
      <c r="D14" s="3" t="s">
        <v>763</v>
      </c>
      <c r="E14" s="3" t="s">
        <v>761</v>
      </c>
      <c r="F14" s="3" t="s">
        <v>134</v>
      </c>
      <c r="G14" s="3" t="s">
        <v>762</v>
      </c>
      <c r="H14" s="3" t="s">
        <v>128</v>
      </c>
      <c r="I14" s="3" t="s">
        <v>842</v>
      </c>
      <c r="J14" s="3">
        <v>74</v>
      </c>
      <c r="K14" s="3"/>
      <c r="L14" s="3">
        <v>10000</v>
      </c>
      <c r="M14" s="3"/>
      <c r="N14" s="3"/>
      <c r="O14" s="3"/>
      <c r="P14" s="3"/>
    </row>
    <row r="15" spans="1:16" customFormat="1">
      <c r="A15" s="3" t="s">
        <v>731</v>
      </c>
      <c r="B15" s="3" t="s">
        <v>129</v>
      </c>
      <c r="C15" s="3" t="s">
        <v>129</v>
      </c>
      <c r="D15" s="3" t="s">
        <v>731</v>
      </c>
      <c r="E15" s="3" t="s">
        <v>764</v>
      </c>
      <c r="F15" s="3" t="s">
        <v>130</v>
      </c>
      <c r="G15" s="3" t="s">
        <v>765</v>
      </c>
      <c r="H15" s="3" t="s">
        <v>128</v>
      </c>
      <c r="I15" s="3" t="s">
        <v>774</v>
      </c>
      <c r="J15" s="3">
        <v>66</v>
      </c>
      <c r="K15" s="36">
        <v>20175</v>
      </c>
      <c r="L15" s="3">
        <v>14000</v>
      </c>
      <c r="M15" s="3">
        <v>2000</v>
      </c>
      <c r="N15" s="3"/>
      <c r="O15" s="3"/>
      <c r="P15" s="3" t="s">
        <v>847</v>
      </c>
    </row>
    <row r="16" spans="1:16" customFormat="1">
      <c r="A16" s="3" t="s">
        <v>731</v>
      </c>
      <c r="B16" s="3" t="s">
        <v>129</v>
      </c>
      <c r="C16" s="3" t="s">
        <v>129</v>
      </c>
      <c r="D16" s="3" t="s">
        <v>731</v>
      </c>
      <c r="E16" s="3" t="s">
        <v>766</v>
      </c>
      <c r="F16" s="3" t="s">
        <v>316</v>
      </c>
      <c r="G16" s="3" t="s">
        <v>767</v>
      </c>
      <c r="H16" s="3" t="s">
        <v>131</v>
      </c>
      <c r="I16" s="3" t="s">
        <v>850</v>
      </c>
      <c r="J16" s="3">
        <v>54</v>
      </c>
      <c r="K16" s="3"/>
      <c r="L16" s="3">
        <v>9250</v>
      </c>
      <c r="M16" s="3">
        <v>4500</v>
      </c>
      <c r="N16" s="3"/>
      <c r="O16" s="3"/>
      <c r="P16" s="3"/>
    </row>
    <row r="17" spans="1:16" customFormat="1">
      <c r="A17" s="3" t="s">
        <v>731</v>
      </c>
      <c r="B17" s="3" t="s">
        <v>129</v>
      </c>
      <c r="C17" s="3" t="s">
        <v>129</v>
      </c>
      <c r="D17" s="3" t="s">
        <v>731</v>
      </c>
      <c r="E17" s="3" t="s">
        <v>768</v>
      </c>
      <c r="F17" s="3" t="s">
        <v>128</v>
      </c>
      <c r="G17" s="3" t="s">
        <v>769</v>
      </c>
      <c r="H17" s="3" t="s">
        <v>128</v>
      </c>
      <c r="I17" s="3" t="s">
        <v>867</v>
      </c>
      <c r="J17" s="3">
        <v>58</v>
      </c>
      <c r="K17" s="3"/>
      <c r="L17" s="3">
        <v>60525</v>
      </c>
      <c r="M17" s="3"/>
      <c r="N17" s="3">
        <v>5000</v>
      </c>
      <c r="O17" s="3"/>
      <c r="P17" s="3"/>
    </row>
    <row r="18" spans="1:16" customFormat="1">
      <c r="A18" s="3" t="s">
        <v>731</v>
      </c>
      <c r="B18" s="3" t="s">
        <v>129</v>
      </c>
      <c r="C18" s="3" t="s">
        <v>129</v>
      </c>
      <c r="D18" s="3" t="s">
        <v>731</v>
      </c>
      <c r="E18" s="3" t="s">
        <v>770</v>
      </c>
      <c r="F18" s="3" t="s">
        <v>316</v>
      </c>
      <c r="G18" s="3" t="s">
        <v>771</v>
      </c>
      <c r="H18" s="3" t="s">
        <v>128</v>
      </c>
      <c r="I18" s="3" t="s">
        <v>774</v>
      </c>
      <c r="J18" s="3">
        <v>64</v>
      </c>
      <c r="K18" s="3"/>
      <c r="L18" s="3">
        <v>10000</v>
      </c>
      <c r="M18" s="3">
        <v>2000</v>
      </c>
      <c r="N18" s="3"/>
      <c r="O18" s="3"/>
      <c r="P18" s="3" t="s">
        <v>869</v>
      </c>
    </row>
    <row r="19" spans="1:16" customFormat="1">
      <c r="A19" s="3"/>
      <c r="B19" s="3"/>
      <c r="C19" s="3"/>
      <c r="D19" s="3"/>
      <c r="E19" s="3"/>
      <c r="F19" s="3"/>
      <c r="G19" s="3"/>
      <c r="H19" s="3"/>
      <c r="I19" s="3"/>
      <c r="J19" s="3"/>
      <c r="K19" s="3"/>
      <c r="L19" s="3">
        <f>SUM(L2:L18)</f>
        <v>222874</v>
      </c>
      <c r="M19" s="3">
        <f>SUM(M2:M18)</f>
        <v>119500</v>
      </c>
      <c r="N19" s="3">
        <f>SUM(N17:N18)</f>
        <v>5000</v>
      </c>
      <c r="O19" s="3"/>
      <c r="P19" s="3"/>
    </row>
    <row r="20" spans="1:16" customFormat="1">
      <c r="A20" s="3"/>
      <c r="B20" s="3"/>
      <c r="C20" s="3"/>
      <c r="D20" s="3"/>
      <c r="E20" s="3"/>
      <c r="F20" s="3"/>
      <c r="G20" s="3"/>
      <c r="H20" s="3"/>
      <c r="I20" s="3"/>
      <c r="J20" s="3"/>
      <c r="K20" s="3"/>
      <c r="L20" s="3"/>
      <c r="M20" s="3"/>
      <c r="N20" s="3"/>
      <c r="O20" s="3"/>
      <c r="P20" s="3"/>
    </row>
    <row r="21" spans="1:16" customFormat="1">
      <c r="A21" s="3"/>
      <c r="B21" s="3"/>
      <c r="C21" s="3"/>
      <c r="D21" s="3"/>
      <c r="E21" s="3"/>
      <c r="F21" s="3"/>
      <c r="G21" s="3"/>
      <c r="H21" s="3"/>
      <c r="I21" s="3"/>
      <c r="J21" s="3"/>
      <c r="K21" s="3"/>
      <c r="L21" s="3"/>
      <c r="M21" s="3"/>
      <c r="N21" s="3"/>
      <c r="O21" s="3"/>
      <c r="P21" s="3"/>
    </row>
    <row r="22" spans="1:16" customFormat="1">
      <c r="A22" s="3"/>
      <c r="B22" s="3"/>
      <c r="C22" s="3"/>
      <c r="D22" s="3"/>
      <c r="E22" s="3"/>
      <c r="F22" s="3"/>
      <c r="G22" s="3"/>
      <c r="H22" s="3"/>
      <c r="I22" s="3"/>
      <c r="J22" s="3"/>
      <c r="K22" s="3"/>
      <c r="L22" s="3"/>
      <c r="M22" s="3"/>
      <c r="N22" s="3"/>
      <c r="O22" s="3"/>
      <c r="P22" s="3"/>
    </row>
    <row r="23" spans="1:16" customFormat="1">
      <c r="A23" s="3"/>
      <c r="B23" s="3"/>
      <c r="C23" s="3"/>
      <c r="D23" s="3"/>
      <c r="E23" s="3"/>
      <c r="F23" s="3"/>
      <c r="G23" s="3"/>
      <c r="H23" s="3"/>
      <c r="I23" s="3"/>
      <c r="J23" s="3"/>
      <c r="K23" s="3"/>
      <c r="L23" s="3"/>
      <c r="M23" s="3"/>
      <c r="N23" s="3"/>
      <c r="O23" s="3"/>
      <c r="P23" s="3"/>
    </row>
    <row r="24" spans="1:16" customFormat="1">
      <c r="A24" s="3"/>
      <c r="B24" s="3"/>
      <c r="C24" s="3"/>
      <c r="D24" s="3"/>
      <c r="E24" s="3"/>
      <c r="F24" s="3"/>
      <c r="G24" s="3"/>
      <c r="H24" s="3"/>
      <c r="I24" s="3"/>
      <c r="J24" s="3"/>
      <c r="K24" s="3"/>
      <c r="L24" s="3"/>
      <c r="M24" s="3"/>
      <c r="N24" s="3"/>
      <c r="O24" s="3"/>
      <c r="P24" s="3"/>
    </row>
    <row r="25" spans="1:16" customFormat="1">
      <c r="A25" s="3"/>
      <c r="B25" s="3"/>
      <c r="C25" s="3"/>
      <c r="D25" s="3"/>
      <c r="E25" s="3"/>
      <c r="F25" s="3"/>
      <c r="G25" s="3"/>
      <c r="H25" s="3"/>
      <c r="I25" s="3"/>
      <c r="J25" s="3"/>
      <c r="K25" s="3"/>
      <c r="L25" s="3"/>
      <c r="M25" s="3"/>
      <c r="N25" s="3"/>
      <c r="O25" s="3"/>
      <c r="P25" s="3"/>
    </row>
    <row r="26" spans="1:16" customFormat="1">
      <c r="A26" s="3"/>
      <c r="B26" s="3"/>
      <c r="C26" s="3"/>
      <c r="D26" s="3"/>
      <c r="E26" s="3"/>
      <c r="F26" s="3"/>
      <c r="G26" s="3"/>
      <c r="H26" s="3"/>
      <c r="I26" s="3"/>
      <c r="J26" s="3"/>
      <c r="K26" s="3"/>
      <c r="L26" s="3"/>
      <c r="M26" s="3"/>
      <c r="N26" s="3"/>
      <c r="O26" s="3"/>
      <c r="P26" s="3"/>
    </row>
    <row r="27" spans="1:16" customFormat="1">
      <c r="A27" s="3"/>
      <c r="B27" s="3"/>
      <c r="C27" s="3"/>
      <c r="D27" s="3"/>
      <c r="E27" s="3"/>
      <c r="F27" s="3"/>
      <c r="G27" s="3"/>
      <c r="H27" s="3"/>
      <c r="I27" s="3"/>
      <c r="J27" s="3"/>
      <c r="K27" s="3"/>
      <c r="L27" s="3"/>
      <c r="M27" s="3"/>
      <c r="N27" s="3"/>
      <c r="O27" s="3"/>
      <c r="P27" s="3"/>
    </row>
    <row r="28" spans="1:16" customFormat="1">
      <c r="A28" s="3"/>
      <c r="B28" s="3"/>
      <c r="C28" s="3"/>
      <c r="D28" s="3"/>
      <c r="E28" s="3"/>
      <c r="F28" s="3"/>
      <c r="G28" s="3"/>
      <c r="H28" s="3"/>
      <c r="I28" s="3"/>
      <c r="J28" s="3"/>
      <c r="K28" s="3"/>
      <c r="L28" s="3"/>
      <c r="M28" s="3"/>
      <c r="N28" s="3"/>
      <c r="O28" s="3"/>
      <c r="P28" s="3"/>
    </row>
    <row r="29" spans="1:16" customFormat="1">
      <c r="A29" s="3"/>
      <c r="B29" s="3"/>
      <c r="C29" s="3"/>
      <c r="D29" s="3"/>
      <c r="E29" s="3"/>
      <c r="F29" s="3"/>
      <c r="G29" s="3"/>
      <c r="H29" s="3"/>
      <c r="I29" s="3"/>
      <c r="J29" s="3"/>
      <c r="K29" s="3"/>
      <c r="L29" s="3"/>
      <c r="M29" s="3"/>
      <c r="N29" s="3"/>
      <c r="O29" s="3"/>
      <c r="P29" s="3"/>
    </row>
    <row r="30" spans="1:16" customFormat="1">
      <c r="A30" s="3"/>
      <c r="B30" s="3"/>
      <c r="C30" s="3"/>
      <c r="D30" s="3"/>
      <c r="E30" s="3"/>
      <c r="F30" s="3"/>
      <c r="G30" s="3"/>
      <c r="H30" s="3"/>
      <c r="I30" s="3"/>
      <c r="J30" s="3"/>
      <c r="K30" s="3"/>
      <c r="L30" s="3"/>
      <c r="M30" s="3"/>
      <c r="N30" s="3"/>
      <c r="O30" s="3"/>
      <c r="P30" s="3"/>
    </row>
    <row r="31" spans="1:16" customFormat="1">
      <c r="A31" s="3"/>
      <c r="B31" s="3"/>
      <c r="C31" s="3"/>
      <c r="D31" s="3"/>
      <c r="E31" s="3"/>
      <c r="F31" s="3"/>
      <c r="G31" s="3"/>
      <c r="H31" s="3"/>
      <c r="I31" s="3"/>
      <c r="J31" s="3"/>
      <c r="K31" s="3"/>
      <c r="L31" s="3"/>
      <c r="M31" s="3"/>
      <c r="N31" s="3"/>
      <c r="O31" s="3"/>
      <c r="P31" s="3"/>
    </row>
    <row r="32" spans="1:16" customFormat="1">
      <c r="A32" s="3"/>
      <c r="B32" s="3"/>
      <c r="C32" s="3"/>
      <c r="D32" s="3"/>
      <c r="E32" s="3"/>
      <c r="F32" s="3"/>
      <c r="G32" s="3"/>
      <c r="H32" s="3"/>
      <c r="I32" s="3"/>
      <c r="J32" s="3"/>
      <c r="K32" s="3"/>
      <c r="L32" s="3"/>
      <c r="M32" s="3"/>
      <c r="N32" s="3"/>
      <c r="O32" s="3"/>
      <c r="P32" s="3"/>
    </row>
    <row r="33" spans="1:16" customFormat="1">
      <c r="A33" s="3"/>
      <c r="B33" s="3"/>
      <c r="C33" s="3"/>
      <c r="D33" s="3"/>
      <c r="E33" s="3"/>
      <c r="F33" s="3"/>
      <c r="G33" s="3"/>
      <c r="H33" s="3"/>
      <c r="I33" s="3"/>
      <c r="J33" s="3"/>
      <c r="K33" s="3"/>
      <c r="L33" s="3"/>
      <c r="M33" s="3"/>
      <c r="N33" s="3"/>
      <c r="O33" s="3"/>
      <c r="P33" s="3"/>
    </row>
    <row r="34" spans="1:16">
      <c r="C34" s="4"/>
      <c r="D34" s="5"/>
      <c r="E34" s="5"/>
      <c r="K34" s="36"/>
      <c r="N34" s="2"/>
    </row>
    <row r="35" spans="1:16">
      <c r="C35" s="4"/>
      <c r="D35" s="5"/>
      <c r="E35" s="5"/>
      <c r="K35" s="36"/>
    </row>
    <row r="36" spans="1:16">
      <c r="C36" s="4"/>
    </row>
    <row r="37" spans="1:16">
      <c r="C37" s="4"/>
      <c r="D37" s="5"/>
      <c r="E37" s="5"/>
      <c r="K37" s="36"/>
    </row>
    <row r="38" spans="1:16">
      <c r="C38" s="4"/>
      <c r="D38" s="5"/>
      <c r="E38" s="5"/>
      <c r="K38" s="36"/>
    </row>
    <row r="39" spans="1:16">
      <c r="C39" s="4"/>
      <c r="D39" s="5"/>
      <c r="E39" s="5"/>
      <c r="K39" s="36"/>
    </row>
    <row r="40" spans="1:16">
      <c r="C40" s="4"/>
      <c r="D40" s="5"/>
      <c r="E40" s="5"/>
      <c r="K40" s="36"/>
    </row>
    <row r="41" spans="1:16">
      <c r="C41" s="4"/>
      <c r="D41" s="5"/>
      <c r="E41" s="5"/>
      <c r="K41" s="36"/>
    </row>
    <row r="42" spans="1:16">
      <c r="C42" s="4"/>
      <c r="D42" s="5"/>
      <c r="E42" s="5"/>
      <c r="K42" s="36"/>
      <c r="P42" s="37"/>
    </row>
    <row r="43" spans="1:16">
      <c r="C43" s="4"/>
      <c r="D43" s="5"/>
      <c r="E43" s="5"/>
      <c r="K43" s="36"/>
      <c r="P43" s="38"/>
    </row>
    <row r="44" spans="1:16">
      <c r="C44" s="4"/>
      <c r="D44" s="5"/>
      <c r="E44" s="5"/>
      <c r="K44" s="36"/>
    </row>
    <row r="45" spans="1:16">
      <c r="C45" s="4"/>
      <c r="D45" s="39"/>
      <c r="E45" s="5"/>
      <c r="K45" s="40"/>
    </row>
    <row r="46" spans="1:16" ht="15.75">
      <c r="C46" s="4"/>
      <c r="E46" s="22"/>
      <c r="K46" s="36"/>
    </row>
    <row r="47" spans="1:16" ht="15.75">
      <c r="C47" s="4"/>
      <c r="E47" s="7"/>
      <c r="K47" s="36"/>
    </row>
    <row r="48" spans="1:16" ht="15.75">
      <c r="C48" s="4"/>
      <c r="E48" s="22"/>
    </row>
    <row r="49" spans="3:5" ht="15.75">
      <c r="C49" s="4"/>
      <c r="E49" s="22"/>
    </row>
    <row r="50" spans="3:5" ht="15.75">
      <c r="C50" s="4"/>
      <c r="E50" s="22"/>
    </row>
    <row r="51" spans="3:5" ht="15.75">
      <c r="C51" s="4"/>
      <c r="E51" s="22"/>
    </row>
    <row r="52" spans="3:5" ht="15.75">
      <c r="C52" s="4"/>
      <c r="E52" s="22"/>
    </row>
    <row r="53" spans="3:5">
      <c r="C53" s="4"/>
      <c r="E53" s="5"/>
    </row>
    <row r="54" spans="3:5">
      <c r="C54" s="4"/>
      <c r="D54" s="5"/>
      <c r="E54" s="5"/>
    </row>
    <row r="55" spans="3:5">
      <c r="C55" s="4"/>
      <c r="D55" s="5"/>
      <c r="E55" s="5"/>
    </row>
    <row r="56" spans="3:5">
      <c r="C56" s="4"/>
      <c r="D56" s="5"/>
      <c r="E56" s="5"/>
    </row>
    <row r="57" spans="3:5">
      <c r="C57" s="4"/>
    </row>
    <row r="58" spans="3:5">
      <c r="C58" s="4"/>
      <c r="D58" s="5"/>
      <c r="E58" s="5"/>
    </row>
    <row r="59" spans="3:5">
      <c r="C59" s="4"/>
      <c r="D59" s="5"/>
      <c r="E59" s="5"/>
    </row>
    <row r="60" spans="3:5">
      <c r="C60" s="4"/>
      <c r="D60" s="5"/>
      <c r="E60" s="5"/>
    </row>
    <row r="61" spans="3:5">
      <c r="C61" s="4"/>
      <c r="D61" s="5"/>
      <c r="E61" s="5"/>
    </row>
    <row r="62" spans="3:5">
      <c r="C62" s="4"/>
      <c r="D62" s="5"/>
      <c r="E62" s="5"/>
    </row>
    <row r="63" spans="3:5">
      <c r="C63" s="4"/>
      <c r="D63" s="5"/>
      <c r="E63" s="5"/>
    </row>
    <row r="64" spans="3:5">
      <c r="C64" s="4"/>
      <c r="D64" s="5"/>
      <c r="E64" s="5"/>
    </row>
    <row r="65" spans="3:5">
      <c r="C65" s="4"/>
      <c r="D65" s="5"/>
      <c r="E65" s="5"/>
    </row>
    <row r="66" spans="3:5">
      <c r="C66" s="4"/>
      <c r="D66" s="5"/>
      <c r="E66" s="5"/>
    </row>
    <row r="67" spans="3:5">
      <c r="C67" s="4"/>
      <c r="D67" s="5"/>
      <c r="E67" s="5"/>
    </row>
  </sheetData>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Y153"/>
  <sheetViews>
    <sheetView workbookViewId="0">
      <selection activeCell="J16" sqref="J16"/>
    </sheetView>
  </sheetViews>
  <sheetFormatPr defaultRowHeight="15"/>
  <cols>
    <col min="5" max="5" width="17.28515625" customWidth="1"/>
    <col min="16" max="16" width="12" customWidth="1"/>
  </cols>
  <sheetData>
    <row r="1" spans="1:18">
      <c r="A1" s="43" t="s">
        <v>143</v>
      </c>
      <c r="B1" s="44"/>
      <c r="C1" s="44"/>
      <c r="D1" s="44"/>
      <c r="E1" s="44"/>
      <c r="F1" s="44"/>
      <c r="G1" s="44"/>
      <c r="L1" s="12" t="s">
        <v>16</v>
      </c>
      <c r="M1" s="12" t="s">
        <v>17</v>
      </c>
      <c r="N1" s="12" t="s">
        <v>11</v>
      </c>
      <c r="O1" s="12" t="s">
        <v>18</v>
      </c>
      <c r="P1" s="12" t="s">
        <v>19</v>
      </c>
      <c r="Q1" s="12" t="s">
        <v>20</v>
      </c>
      <c r="R1" s="12" t="s">
        <v>24</v>
      </c>
    </row>
    <row r="2" spans="1:18">
      <c r="A2" s="12" t="s">
        <v>16</v>
      </c>
      <c r="B2" s="12" t="s">
        <v>17</v>
      </c>
      <c r="C2" s="12" t="s">
        <v>11</v>
      </c>
      <c r="D2" s="12" t="s">
        <v>18</v>
      </c>
      <c r="E2" s="12" t="s">
        <v>19</v>
      </c>
      <c r="F2" s="12" t="s">
        <v>20</v>
      </c>
      <c r="G2" s="12" t="s">
        <v>24</v>
      </c>
      <c r="L2" t="s">
        <v>144</v>
      </c>
      <c r="M2" t="s">
        <v>22</v>
      </c>
      <c r="N2" t="s">
        <v>145</v>
      </c>
      <c r="O2" t="s">
        <v>10</v>
      </c>
      <c r="P2" s="1">
        <v>43573</v>
      </c>
      <c r="Q2">
        <v>3</v>
      </c>
      <c r="R2" t="s">
        <v>2</v>
      </c>
    </row>
    <row r="3" spans="1:18">
      <c r="A3" t="s">
        <v>144</v>
      </c>
      <c r="B3" t="s">
        <v>22</v>
      </c>
      <c r="C3" t="s">
        <v>145</v>
      </c>
      <c r="D3" t="s">
        <v>10</v>
      </c>
      <c r="E3" s="1">
        <v>43573</v>
      </c>
      <c r="F3">
        <v>3</v>
      </c>
      <c r="G3" t="s">
        <v>2</v>
      </c>
      <c r="L3" t="s">
        <v>146</v>
      </c>
      <c r="M3" t="s">
        <v>22</v>
      </c>
      <c r="N3" t="s">
        <v>147</v>
      </c>
      <c r="O3" t="s">
        <v>10</v>
      </c>
      <c r="P3" s="1">
        <v>43689</v>
      </c>
      <c r="Q3">
        <v>1</v>
      </c>
      <c r="R3" t="s">
        <v>2</v>
      </c>
    </row>
    <row r="4" spans="1:18">
      <c r="A4" t="s">
        <v>146</v>
      </c>
      <c r="B4" t="s">
        <v>22</v>
      </c>
      <c r="C4" t="s">
        <v>147</v>
      </c>
      <c r="D4" t="s">
        <v>10</v>
      </c>
      <c r="E4" s="1">
        <v>43689</v>
      </c>
      <c r="F4">
        <v>1</v>
      </c>
      <c r="G4" t="s">
        <v>2</v>
      </c>
      <c r="L4" t="s">
        <v>148</v>
      </c>
      <c r="M4" t="s">
        <v>22</v>
      </c>
      <c r="N4" t="s">
        <v>149</v>
      </c>
      <c r="O4" t="s">
        <v>10</v>
      </c>
      <c r="P4" s="1">
        <v>43606</v>
      </c>
      <c r="Q4">
        <v>10</v>
      </c>
      <c r="R4" t="s">
        <v>2</v>
      </c>
    </row>
    <row r="5" spans="1:18">
      <c r="A5" t="s">
        <v>148</v>
      </c>
      <c r="B5" t="s">
        <v>22</v>
      </c>
      <c r="C5" t="s">
        <v>149</v>
      </c>
      <c r="D5" t="s">
        <v>10</v>
      </c>
      <c r="E5" s="1">
        <v>43606</v>
      </c>
      <c r="F5">
        <v>10</v>
      </c>
      <c r="G5" t="s">
        <v>2</v>
      </c>
      <c r="L5" t="s">
        <v>150</v>
      </c>
      <c r="M5" t="s">
        <v>22</v>
      </c>
      <c r="N5" t="s">
        <v>151</v>
      </c>
      <c r="O5" t="s">
        <v>10</v>
      </c>
      <c r="P5" s="1">
        <v>44111</v>
      </c>
      <c r="Q5">
        <v>10</v>
      </c>
      <c r="R5" t="s">
        <v>2</v>
      </c>
    </row>
    <row r="6" spans="1:18">
      <c r="A6" t="s">
        <v>150</v>
      </c>
      <c r="B6" t="s">
        <v>22</v>
      </c>
      <c r="C6" t="s">
        <v>151</v>
      </c>
      <c r="D6" t="s">
        <v>10</v>
      </c>
      <c r="E6" s="1">
        <v>44111</v>
      </c>
      <c r="F6">
        <v>10</v>
      </c>
      <c r="G6" t="s">
        <v>2</v>
      </c>
      <c r="L6" t="s">
        <v>152</v>
      </c>
      <c r="M6" t="s">
        <v>22</v>
      </c>
      <c r="N6" t="s">
        <v>153</v>
      </c>
      <c r="O6" t="s">
        <v>10</v>
      </c>
      <c r="P6" s="1">
        <v>44141</v>
      </c>
      <c r="Q6">
        <v>3</v>
      </c>
      <c r="R6" t="s">
        <v>2</v>
      </c>
    </row>
    <row r="7" spans="1:18">
      <c r="A7" t="s">
        <v>152</v>
      </c>
      <c r="B7" t="s">
        <v>22</v>
      </c>
      <c r="C7" t="s">
        <v>153</v>
      </c>
      <c r="D7" t="s">
        <v>10</v>
      </c>
      <c r="E7" s="1">
        <v>44141</v>
      </c>
      <c r="F7">
        <v>3</v>
      </c>
      <c r="G7" t="s">
        <v>2</v>
      </c>
      <c r="L7" t="s">
        <v>154</v>
      </c>
      <c r="M7" t="s">
        <v>155</v>
      </c>
      <c r="N7" t="s">
        <v>30</v>
      </c>
      <c r="O7" t="s">
        <v>10</v>
      </c>
      <c r="P7" s="1">
        <v>44153</v>
      </c>
      <c r="Q7">
        <v>12.5</v>
      </c>
      <c r="R7" t="s">
        <v>2</v>
      </c>
    </row>
    <row r="8" spans="1:18">
      <c r="A8" t="s">
        <v>154</v>
      </c>
      <c r="B8" t="s">
        <v>155</v>
      </c>
      <c r="C8" t="s">
        <v>30</v>
      </c>
      <c r="D8" t="s">
        <v>10</v>
      </c>
      <c r="E8" s="1">
        <v>44153</v>
      </c>
      <c r="F8">
        <v>12.5</v>
      </c>
      <c r="G8" t="s">
        <v>2</v>
      </c>
      <c r="L8" t="s">
        <v>156</v>
      </c>
      <c r="M8" t="s">
        <v>22</v>
      </c>
      <c r="N8" t="s">
        <v>29</v>
      </c>
      <c r="O8" t="s">
        <v>10</v>
      </c>
      <c r="P8" s="1">
        <v>44062</v>
      </c>
      <c r="Q8">
        <v>1</v>
      </c>
      <c r="R8" t="s">
        <v>2</v>
      </c>
    </row>
    <row r="9" spans="1:18">
      <c r="A9" t="s">
        <v>156</v>
      </c>
      <c r="B9" t="s">
        <v>22</v>
      </c>
      <c r="C9" t="s">
        <v>29</v>
      </c>
      <c r="D9" t="s">
        <v>10</v>
      </c>
      <c r="E9" s="1">
        <v>44062</v>
      </c>
      <c r="F9">
        <v>1</v>
      </c>
      <c r="G9" t="s">
        <v>2</v>
      </c>
      <c r="H9">
        <f>SUM(F3:F9)</f>
        <v>40.5</v>
      </c>
      <c r="L9" t="s">
        <v>157</v>
      </c>
      <c r="M9" t="s">
        <v>22</v>
      </c>
      <c r="N9" t="s">
        <v>158</v>
      </c>
      <c r="O9" t="s">
        <v>10</v>
      </c>
      <c r="P9" s="1">
        <v>44033</v>
      </c>
      <c r="Q9">
        <v>100</v>
      </c>
      <c r="R9" t="s">
        <v>2</v>
      </c>
    </row>
    <row r="10" spans="1:18">
      <c r="A10" t="s">
        <v>159</v>
      </c>
      <c r="B10" t="s">
        <v>105</v>
      </c>
      <c r="C10" t="s">
        <v>23</v>
      </c>
      <c r="D10" t="s">
        <v>10</v>
      </c>
      <c r="E10" s="1">
        <v>43796</v>
      </c>
      <c r="F10">
        <v>10</v>
      </c>
      <c r="G10" t="s">
        <v>1</v>
      </c>
      <c r="H10">
        <v>10</v>
      </c>
      <c r="L10" t="s">
        <v>160</v>
      </c>
      <c r="M10" t="s">
        <v>22</v>
      </c>
      <c r="N10" t="s">
        <v>23</v>
      </c>
      <c r="O10" t="s">
        <v>10</v>
      </c>
      <c r="P10" s="1">
        <v>44056</v>
      </c>
      <c r="Q10">
        <v>100</v>
      </c>
      <c r="R10" t="s">
        <v>2</v>
      </c>
    </row>
    <row r="11" spans="1:18">
      <c r="A11" t="s">
        <v>161</v>
      </c>
      <c r="B11" t="s">
        <v>162</v>
      </c>
      <c r="C11" t="s">
        <v>163</v>
      </c>
      <c r="D11" t="s">
        <v>10</v>
      </c>
      <c r="E11" s="1">
        <v>43998</v>
      </c>
      <c r="F11">
        <v>10</v>
      </c>
      <c r="G11" t="s">
        <v>3</v>
      </c>
      <c r="L11" t="s">
        <v>164</v>
      </c>
      <c r="M11" t="s">
        <v>0</v>
      </c>
      <c r="N11" t="s">
        <v>165</v>
      </c>
      <c r="O11" t="s">
        <v>10</v>
      </c>
      <c r="P11" s="1">
        <v>44084</v>
      </c>
      <c r="Q11">
        <v>100</v>
      </c>
      <c r="R11" t="s">
        <v>2</v>
      </c>
    </row>
    <row r="12" spans="1:18">
      <c r="A12" t="s">
        <v>166</v>
      </c>
      <c r="B12" t="s">
        <v>162</v>
      </c>
      <c r="C12" t="s">
        <v>167</v>
      </c>
      <c r="D12" t="s">
        <v>10</v>
      </c>
      <c r="E12" s="1">
        <v>44164</v>
      </c>
      <c r="F12">
        <v>30</v>
      </c>
      <c r="G12" t="s">
        <v>3</v>
      </c>
      <c r="H12">
        <f>SUM(F11:F12)</f>
        <v>40</v>
      </c>
      <c r="L12" t="s">
        <v>168</v>
      </c>
      <c r="M12" t="s">
        <v>169</v>
      </c>
      <c r="N12" t="s">
        <v>170</v>
      </c>
      <c r="O12" t="s">
        <v>10</v>
      </c>
      <c r="P12" s="1">
        <v>43894</v>
      </c>
      <c r="Q12">
        <v>250</v>
      </c>
      <c r="R12" t="s">
        <v>2</v>
      </c>
    </row>
    <row r="13" spans="1:18">
      <c r="A13" s="43" t="s">
        <v>171</v>
      </c>
      <c r="B13" s="44"/>
      <c r="C13" s="44"/>
      <c r="D13" s="44"/>
      <c r="E13" s="44"/>
      <c r="F13" s="44"/>
      <c r="G13" s="44"/>
      <c r="L13" t="s">
        <v>172</v>
      </c>
      <c r="M13" t="s">
        <v>173</v>
      </c>
      <c r="N13" t="s">
        <v>174</v>
      </c>
      <c r="O13" t="s">
        <v>10</v>
      </c>
      <c r="P13" s="1">
        <v>43723</v>
      </c>
      <c r="Q13">
        <v>1000</v>
      </c>
      <c r="R13" t="s">
        <v>2</v>
      </c>
    </row>
    <row r="14" spans="1:18">
      <c r="A14" s="12" t="s">
        <v>16</v>
      </c>
      <c r="B14" s="12" t="s">
        <v>17</v>
      </c>
      <c r="C14" s="12" t="s">
        <v>11</v>
      </c>
      <c r="D14" s="12" t="s">
        <v>18</v>
      </c>
      <c r="E14" s="12" t="s">
        <v>19</v>
      </c>
      <c r="F14" s="12" t="s">
        <v>20</v>
      </c>
      <c r="G14" s="12" t="s">
        <v>24</v>
      </c>
      <c r="L14" t="s">
        <v>175</v>
      </c>
      <c r="M14" t="s">
        <v>176</v>
      </c>
      <c r="N14" t="s">
        <v>177</v>
      </c>
      <c r="O14" t="s">
        <v>10</v>
      </c>
      <c r="P14" s="1">
        <v>43809</v>
      </c>
      <c r="Q14">
        <v>500</v>
      </c>
      <c r="R14" t="s">
        <v>2</v>
      </c>
    </row>
    <row r="15" spans="1:18">
      <c r="A15" t="s">
        <v>157</v>
      </c>
      <c r="B15" t="s">
        <v>22</v>
      </c>
      <c r="C15" t="s">
        <v>158</v>
      </c>
      <c r="D15" t="s">
        <v>10</v>
      </c>
      <c r="E15" s="1">
        <v>44033</v>
      </c>
      <c r="F15">
        <v>100</v>
      </c>
      <c r="G15" t="s">
        <v>2</v>
      </c>
      <c r="L15" t="s">
        <v>178</v>
      </c>
      <c r="M15" t="s">
        <v>155</v>
      </c>
      <c r="N15" t="s">
        <v>151</v>
      </c>
      <c r="O15" t="s">
        <v>10</v>
      </c>
      <c r="P15" s="1">
        <v>44142</v>
      </c>
      <c r="Q15">
        <v>250</v>
      </c>
      <c r="R15" t="s">
        <v>2</v>
      </c>
    </row>
    <row r="16" spans="1:18">
      <c r="A16" t="s">
        <v>160</v>
      </c>
      <c r="B16" t="s">
        <v>22</v>
      </c>
      <c r="C16" t="s">
        <v>23</v>
      </c>
      <c r="D16" t="s">
        <v>10</v>
      </c>
      <c r="E16" s="1">
        <v>44056</v>
      </c>
      <c r="F16">
        <v>100</v>
      </c>
      <c r="G16" t="s">
        <v>2</v>
      </c>
      <c r="L16" t="s">
        <v>179</v>
      </c>
      <c r="M16" t="s">
        <v>180</v>
      </c>
      <c r="N16" t="s">
        <v>23</v>
      </c>
      <c r="O16" t="s">
        <v>10</v>
      </c>
      <c r="P16" s="1">
        <v>43916</v>
      </c>
      <c r="Q16">
        <v>500</v>
      </c>
      <c r="R16" t="s">
        <v>2</v>
      </c>
    </row>
    <row r="17" spans="1:18">
      <c r="A17" t="s">
        <v>164</v>
      </c>
      <c r="B17" t="s">
        <v>0</v>
      </c>
      <c r="C17" t="s">
        <v>165</v>
      </c>
      <c r="D17" t="s">
        <v>10</v>
      </c>
      <c r="E17" s="1">
        <v>44084</v>
      </c>
      <c r="F17">
        <v>100</v>
      </c>
      <c r="G17" t="s">
        <v>2</v>
      </c>
      <c r="H17">
        <f>SUM(F15:F17)</f>
        <v>300</v>
      </c>
      <c r="L17" t="s">
        <v>181</v>
      </c>
      <c r="M17" t="s">
        <v>182</v>
      </c>
      <c r="N17" t="s">
        <v>165</v>
      </c>
      <c r="O17" t="s">
        <v>111</v>
      </c>
      <c r="P17" s="1">
        <v>44009</v>
      </c>
      <c r="Q17">
        <v>1111.1099999999999</v>
      </c>
      <c r="R17" t="s">
        <v>2</v>
      </c>
    </row>
    <row r="18" spans="1:18">
      <c r="A18" t="s">
        <v>183</v>
      </c>
      <c r="B18" t="s">
        <v>105</v>
      </c>
      <c r="C18" t="s">
        <v>23</v>
      </c>
      <c r="D18" t="s">
        <v>10</v>
      </c>
      <c r="E18" s="1">
        <v>43993</v>
      </c>
      <c r="F18">
        <v>96.15</v>
      </c>
      <c r="G18" t="s">
        <v>1</v>
      </c>
      <c r="H18">
        <v>96.15</v>
      </c>
      <c r="L18" t="s">
        <v>178</v>
      </c>
      <c r="M18" t="s">
        <v>184</v>
      </c>
      <c r="N18" t="s">
        <v>151</v>
      </c>
      <c r="O18" t="s">
        <v>111</v>
      </c>
      <c r="P18" s="1">
        <v>44093</v>
      </c>
      <c r="Q18">
        <v>2800</v>
      </c>
      <c r="R18" t="s">
        <v>2</v>
      </c>
    </row>
    <row r="19" spans="1:18">
      <c r="A19" t="s">
        <v>185</v>
      </c>
      <c r="B19" t="s">
        <v>162</v>
      </c>
      <c r="C19" t="s">
        <v>186</v>
      </c>
      <c r="D19" t="s">
        <v>10</v>
      </c>
      <c r="E19" s="1">
        <v>44175</v>
      </c>
      <c r="F19">
        <v>100</v>
      </c>
      <c r="G19" t="s">
        <v>3</v>
      </c>
      <c r="L19" t="s">
        <v>187</v>
      </c>
      <c r="M19" t="s">
        <v>0</v>
      </c>
      <c r="N19" t="s">
        <v>23</v>
      </c>
      <c r="O19" t="s">
        <v>111</v>
      </c>
      <c r="P19" s="1">
        <v>44003</v>
      </c>
      <c r="Q19">
        <v>2700</v>
      </c>
      <c r="R19" t="s">
        <v>2</v>
      </c>
    </row>
    <row r="20" spans="1:18">
      <c r="A20" t="s">
        <v>188</v>
      </c>
      <c r="B20" t="s">
        <v>162</v>
      </c>
      <c r="C20" t="s">
        <v>165</v>
      </c>
      <c r="D20" t="s">
        <v>10</v>
      </c>
      <c r="E20" s="1">
        <v>43923</v>
      </c>
      <c r="F20">
        <v>67.5</v>
      </c>
      <c r="G20" t="s">
        <v>3</v>
      </c>
      <c r="L20" t="s">
        <v>189</v>
      </c>
      <c r="M20" t="s">
        <v>173</v>
      </c>
      <c r="N20" t="s">
        <v>190</v>
      </c>
      <c r="O20" t="s">
        <v>111</v>
      </c>
      <c r="P20" s="1">
        <v>43829</v>
      </c>
      <c r="Q20">
        <v>2800</v>
      </c>
      <c r="R20" t="s">
        <v>2</v>
      </c>
    </row>
    <row r="21" spans="1:18">
      <c r="A21" t="s">
        <v>191</v>
      </c>
      <c r="B21" t="s">
        <v>162</v>
      </c>
      <c r="C21" t="s">
        <v>147</v>
      </c>
      <c r="D21" t="s">
        <v>10</v>
      </c>
      <c r="E21" s="1">
        <v>44187</v>
      </c>
      <c r="F21">
        <v>100</v>
      </c>
      <c r="G21" t="s">
        <v>3</v>
      </c>
      <c r="L21" t="s">
        <v>192</v>
      </c>
      <c r="M21" t="s">
        <v>193</v>
      </c>
      <c r="N21" t="s">
        <v>190</v>
      </c>
      <c r="O21" t="s">
        <v>111</v>
      </c>
      <c r="P21" s="1">
        <v>43854</v>
      </c>
      <c r="Q21">
        <v>2800</v>
      </c>
      <c r="R21" t="s">
        <v>2</v>
      </c>
    </row>
    <row r="22" spans="1:18">
      <c r="A22" t="s">
        <v>194</v>
      </c>
      <c r="B22" t="s">
        <v>162</v>
      </c>
      <c r="C22" t="s">
        <v>151</v>
      </c>
      <c r="D22" t="s">
        <v>10</v>
      </c>
      <c r="E22" s="1">
        <v>44095</v>
      </c>
      <c r="F22">
        <v>100</v>
      </c>
      <c r="G22" t="s">
        <v>3</v>
      </c>
      <c r="L22" t="s">
        <v>195</v>
      </c>
      <c r="M22" t="s">
        <v>0</v>
      </c>
      <c r="N22" t="s">
        <v>27</v>
      </c>
      <c r="O22" t="s">
        <v>111</v>
      </c>
      <c r="P22" s="1">
        <v>44062</v>
      </c>
      <c r="Q22">
        <v>1500</v>
      </c>
      <c r="R22" t="s">
        <v>2</v>
      </c>
    </row>
    <row r="23" spans="1:18">
      <c r="A23" t="s">
        <v>196</v>
      </c>
      <c r="B23" t="s">
        <v>162</v>
      </c>
      <c r="C23" t="s">
        <v>197</v>
      </c>
      <c r="D23" t="s">
        <v>10</v>
      </c>
      <c r="E23" s="1">
        <v>44158</v>
      </c>
      <c r="F23">
        <v>100</v>
      </c>
      <c r="G23" t="s">
        <v>3</v>
      </c>
      <c r="L23" t="s">
        <v>198</v>
      </c>
      <c r="M23" t="s">
        <v>199</v>
      </c>
      <c r="N23" t="s">
        <v>190</v>
      </c>
      <c r="O23" t="s">
        <v>10</v>
      </c>
      <c r="P23" s="45">
        <v>43544</v>
      </c>
      <c r="Q23">
        <v>5600</v>
      </c>
      <c r="R23" t="s">
        <v>2</v>
      </c>
    </row>
    <row r="24" spans="1:18">
      <c r="A24" t="s">
        <v>200</v>
      </c>
      <c r="B24" t="s">
        <v>108</v>
      </c>
      <c r="C24" t="s">
        <v>201</v>
      </c>
      <c r="D24" t="s">
        <v>10</v>
      </c>
      <c r="E24" s="1">
        <v>43972</v>
      </c>
      <c r="F24">
        <v>75</v>
      </c>
      <c r="G24" t="s">
        <v>3</v>
      </c>
      <c r="H24">
        <f>SUM(F19:F24)</f>
        <v>542.5</v>
      </c>
      <c r="L24" t="s">
        <v>198</v>
      </c>
      <c r="M24" t="s">
        <v>202</v>
      </c>
      <c r="N24" t="s">
        <v>190</v>
      </c>
      <c r="O24" t="s">
        <v>10</v>
      </c>
      <c r="P24" s="45">
        <v>43815</v>
      </c>
      <c r="Q24">
        <v>10000</v>
      </c>
      <c r="R24" t="s">
        <v>2</v>
      </c>
    </row>
    <row r="25" spans="1:18">
      <c r="A25" s="43" t="s">
        <v>203</v>
      </c>
      <c r="B25" s="44"/>
      <c r="C25" s="44"/>
      <c r="D25" s="44"/>
      <c r="E25" s="44"/>
      <c r="F25" s="44"/>
      <c r="G25" s="44"/>
      <c r="L25" t="s">
        <v>198</v>
      </c>
      <c r="M25" t="s">
        <v>204</v>
      </c>
      <c r="N25" t="s">
        <v>190</v>
      </c>
      <c r="O25" t="s">
        <v>10</v>
      </c>
      <c r="P25" s="45">
        <v>43815</v>
      </c>
      <c r="Q25">
        <v>20000</v>
      </c>
      <c r="R25" t="s">
        <v>2</v>
      </c>
    </row>
    <row r="26" spans="1:18">
      <c r="A26" s="12" t="s">
        <v>16</v>
      </c>
      <c r="B26" s="12" t="s">
        <v>17</v>
      </c>
      <c r="C26" s="12" t="s">
        <v>11</v>
      </c>
      <c r="D26" s="12" t="s">
        <v>18</v>
      </c>
      <c r="E26" s="12" t="s">
        <v>19</v>
      </c>
      <c r="F26" s="12" t="s">
        <v>20</v>
      </c>
      <c r="G26" s="12" t="s">
        <v>24</v>
      </c>
      <c r="L26" t="s">
        <v>205</v>
      </c>
      <c r="M26" t="s">
        <v>206</v>
      </c>
      <c r="N26" t="s">
        <v>23</v>
      </c>
      <c r="O26" t="s">
        <v>10</v>
      </c>
      <c r="P26" s="45">
        <v>43873</v>
      </c>
      <c r="Q26">
        <v>5600</v>
      </c>
      <c r="R26" t="s">
        <v>2</v>
      </c>
    </row>
    <row r="27" spans="1:18">
      <c r="A27" t="s">
        <v>168</v>
      </c>
      <c r="B27" t="s">
        <v>169</v>
      </c>
      <c r="C27" t="s">
        <v>170</v>
      </c>
      <c r="D27" t="s">
        <v>10</v>
      </c>
      <c r="E27" s="1">
        <v>43894</v>
      </c>
      <c r="F27">
        <v>250</v>
      </c>
      <c r="G27" t="s">
        <v>2</v>
      </c>
      <c r="H27">
        <v>250</v>
      </c>
      <c r="L27" t="s">
        <v>192</v>
      </c>
      <c r="M27" t="s">
        <v>0</v>
      </c>
      <c r="N27" t="s">
        <v>190</v>
      </c>
      <c r="O27" t="s">
        <v>10</v>
      </c>
      <c r="P27" s="45">
        <v>43950</v>
      </c>
      <c r="Q27">
        <v>5600</v>
      </c>
      <c r="R27" t="s">
        <v>2</v>
      </c>
    </row>
    <row r="28" spans="1:18">
      <c r="A28" t="s">
        <v>207</v>
      </c>
      <c r="B28" t="s">
        <v>208</v>
      </c>
      <c r="C28" t="s">
        <v>170</v>
      </c>
      <c r="D28" t="s">
        <v>10</v>
      </c>
      <c r="E28" s="1">
        <v>43871</v>
      </c>
      <c r="F28">
        <v>230</v>
      </c>
      <c r="G28" t="s">
        <v>134</v>
      </c>
      <c r="H28">
        <v>230</v>
      </c>
      <c r="L28" t="s">
        <v>209</v>
      </c>
      <c r="M28" t="s">
        <v>210</v>
      </c>
      <c r="N28" t="s">
        <v>29</v>
      </c>
      <c r="O28" t="s">
        <v>10</v>
      </c>
      <c r="P28" s="45">
        <v>44110</v>
      </c>
      <c r="Q28">
        <v>7200</v>
      </c>
      <c r="R28" t="s">
        <v>2</v>
      </c>
    </row>
    <row r="29" spans="1:18">
      <c r="A29" t="s">
        <v>211</v>
      </c>
      <c r="B29" t="s">
        <v>105</v>
      </c>
      <c r="C29" t="s">
        <v>23</v>
      </c>
      <c r="D29" t="s">
        <v>10</v>
      </c>
      <c r="E29" s="1">
        <v>43937</v>
      </c>
      <c r="F29">
        <v>250</v>
      </c>
      <c r="G29" t="s">
        <v>1</v>
      </c>
      <c r="L29" t="s">
        <v>209</v>
      </c>
      <c r="M29" t="s">
        <v>212</v>
      </c>
      <c r="N29" t="s">
        <v>29</v>
      </c>
      <c r="O29" t="s">
        <v>10</v>
      </c>
      <c r="P29" s="45">
        <v>44110</v>
      </c>
      <c r="Q29">
        <v>10000</v>
      </c>
      <c r="R29" t="s">
        <v>2</v>
      </c>
    </row>
    <row r="30" spans="1:18">
      <c r="A30" t="s">
        <v>213</v>
      </c>
      <c r="B30" t="s">
        <v>214</v>
      </c>
      <c r="C30" t="s">
        <v>26</v>
      </c>
      <c r="D30" t="s">
        <v>10</v>
      </c>
      <c r="E30" s="1">
        <v>43727</v>
      </c>
      <c r="F30">
        <v>250</v>
      </c>
      <c r="G30" t="s">
        <v>1</v>
      </c>
      <c r="L30" t="s">
        <v>215</v>
      </c>
      <c r="M30" t="s">
        <v>216</v>
      </c>
      <c r="N30" t="s">
        <v>23</v>
      </c>
      <c r="O30" t="s">
        <v>10</v>
      </c>
      <c r="P30" s="45">
        <v>44124</v>
      </c>
      <c r="Q30">
        <v>125000</v>
      </c>
      <c r="R30" t="s">
        <v>2</v>
      </c>
    </row>
    <row r="31" spans="1:18">
      <c r="A31" t="s">
        <v>217</v>
      </c>
      <c r="B31" t="s">
        <v>105</v>
      </c>
      <c r="C31" t="s">
        <v>23</v>
      </c>
      <c r="D31" t="s">
        <v>10</v>
      </c>
      <c r="E31" s="1">
        <v>43615</v>
      </c>
      <c r="F31">
        <v>192.3</v>
      </c>
      <c r="G31" t="s">
        <v>1</v>
      </c>
      <c r="L31" t="s">
        <v>189</v>
      </c>
      <c r="M31" t="s">
        <v>216</v>
      </c>
      <c r="N31" t="s">
        <v>190</v>
      </c>
      <c r="O31" t="s">
        <v>10</v>
      </c>
      <c r="P31" s="45">
        <v>44095</v>
      </c>
      <c r="Q31">
        <v>50000</v>
      </c>
      <c r="R31" t="s">
        <v>2</v>
      </c>
    </row>
    <row r="32" spans="1:18">
      <c r="A32" t="s">
        <v>218</v>
      </c>
      <c r="B32" t="s">
        <v>105</v>
      </c>
      <c r="C32" t="s">
        <v>219</v>
      </c>
      <c r="D32" t="s">
        <v>10</v>
      </c>
      <c r="E32" s="1">
        <v>43657</v>
      </c>
      <c r="F32">
        <v>192.3</v>
      </c>
      <c r="G32" t="s">
        <v>1</v>
      </c>
      <c r="L32" t="s">
        <v>220</v>
      </c>
      <c r="M32" t="s">
        <v>210</v>
      </c>
      <c r="N32" t="s">
        <v>177</v>
      </c>
      <c r="O32" t="s">
        <v>10</v>
      </c>
      <c r="P32" s="45">
        <v>44097</v>
      </c>
      <c r="Q32">
        <v>5500</v>
      </c>
      <c r="R32" t="s">
        <v>2</v>
      </c>
    </row>
    <row r="33" spans="1:18">
      <c r="A33" t="s">
        <v>221</v>
      </c>
      <c r="B33" t="s">
        <v>105</v>
      </c>
      <c r="C33" t="s">
        <v>107</v>
      </c>
      <c r="D33" t="s">
        <v>10</v>
      </c>
      <c r="E33" s="1">
        <v>43531</v>
      </c>
      <c r="F33">
        <v>250</v>
      </c>
      <c r="G33" t="s">
        <v>1</v>
      </c>
      <c r="H33">
        <f>SUM(F29:F33)</f>
        <v>1134.5999999999999</v>
      </c>
      <c r="P33" s="1"/>
      <c r="Q33">
        <f>SUM(Q2:Q32)</f>
        <v>261051.61</v>
      </c>
    </row>
    <row r="34" spans="1:18">
      <c r="A34" t="s">
        <v>222</v>
      </c>
      <c r="B34" t="s">
        <v>223</v>
      </c>
      <c r="C34" t="s">
        <v>151</v>
      </c>
      <c r="D34" t="s">
        <v>10</v>
      </c>
      <c r="E34" s="1">
        <v>44142</v>
      </c>
      <c r="F34">
        <v>150</v>
      </c>
      <c r="G34" t="s">
        <v>3</v>
      </c>
      <c r="P34" s="1"/>
    </row>
    <row r="35" spans="1:18">
      <c r="A35" t="s">
        <v>224</v>
      </c>
      <c r="B35" t="s">
        <v>108</v>
      </c>
      <c r="C35" t="s">
        <v>186</v>
      </c>
      <c r="D35" t="s">
        <v>10</v>
      </c>
      <c r="E35" s="1">
        <v>43865</v>
      </c>
      <c r="F35">
        <v>168.97</v>
      </c>
      <c r="G35" t="s">
        <v>3</v>
      </c>
      <c r="L35" t="s">
        <v>207</v>
      </c>
      <c r="M35" t="s">
        <v>208</v>
      </c>
      <c r="N35" t="s">
        <v>170</v>
      </c>
      <c r="O35" t="s">
        <v>10</v>
      </c>
      <c r="P35" s="1">
        <v>43871</v>
      </c>
      <c r="Q35">
        <v>230</v>
      </c>
      <c r="R35" t="s">
        <v>134</v>
      </c>
    </row>
    <row r="36" spans="1:18">
      <c r="A36" t="s">
        <v>225</v>
      </c>
      <c r="B36" t="s">
        <v>226</v>
      </c>
      <c r="C36" t="s">
        <v>23</v>
      </c>
      <c r="D36" t="s">
        <v>10</v>
      </c>
      <c r="E36" s="1">
        <v>43816</v>
      </c>
      <c r="F36">
        <v>125</v>
      </c>
      <c r="G36" t="s">
        <v>3</v>
      </c>
      <c r="H36">
        <f>SUM(F34:F36)</f>
        <v>443.97</v>
      </c>
      <c r="P36" s="1"/>
    </row>
    <row r="37" spans="1:18">
      <c r="A37" s="43" t="s">
        <v>227</v>
      </c>
      <c r="B37" s="44"/>
      <c r="C37" s="44"/>
      <c r="D37" s="44"/>
      <c r="E37" s="44"/>
      <c r="F37" s="44"/>
      <c r="G37" s="44"/>
      <c r="P37" s="1"/>
    </row>
    <row r="38" spans="1:18">
      <c r="A38" s="12" t="s">
        <v>16</v>
      </c>
      <c r="B38" s="12" t="s">
        <v>17</v>
      </c>
      <c r="C38" s="12" t="s">
        <v>11</v>
      </c>
      <c r="D38" s="12" t="s">
        <v>18</v>
      </c>
      <c r="E38" s="12" t="s">
        <v>19</v>
      </c>
      <c r="F38" s="12" t="s">
        <v>20</v>
      </c>
      <c r="G38" s="12" t="s">
        <v>24</v>
      </c>
      <c r="L38" t="s">
        <v>159</v>
      </c>
      <c r="M38" t="s">
        <v>105</v>
      </c>
      <c r="N38" t="s">
        <v>23</v>
      </c>
      <c r="O38" t="s">
        <v>10</v>
      </c>
      <c r="P38" s="1">
        <v>43796</v>
      </c>
      <c r="Q38">
        <v>10</v>
      </c>
      <c r="R38" t="s">
        <v>1</v>
      </c>
    </row>
    <row r="39" spans="1:18">
      <c r="A39" t="s">
        <v>172</v>
      </c>
      <c r="B39" t="s">
        <v>173</v>
      </c>
      <c r="C39" t="s">
        <v>174</v>
      </c>
      <c r="D39" t="s">
        <v>10</v>
      </c>
      <c r="E39" s="1">
        <v>43723</v>
      </c>
      <c r="F39">
        <v>1000</v>
      </c>
      <c r="G39" t="s">
        <v>2</v>
      </c>
      <c r="L39" t="s">
        <v>183</v>
      </c>
      <c r="M39" t="s">
        <v>105</v>
      </c>
      <c r="N39" t="s">
        <v>23</v>
      </c>
      <c r="O39" t="s">
        <v>10</v>
      </c>
      <c r="P39" s="1">
        <v>43993</v>
      </c>
      <c r="Q39">
        <v>96.15</v>
      </c>
      <c r="R39" t="s">
        <v>1</v>
      </c>
    </row>
    <row r="40" spans="1:18">
      <c r="A40" t="s">
        <v>175</v>
      </c>
      <c r="B40" t="s">
        <v>176</v>
      </c>
      <c r="C40" t="s">
        <v>177</v>
      </c>
      <c r="D40" t="s">
        <v>10</v>
      </c>
      <c r="E40" s="1">
        <v>43809</v>
      </c>
      <c r="F40">
        <v>500</v>
      </c>
      <c r="G40" t="s">
        <v>2</v>
      </c>
      <c r="L40" t="s">
        <v>211</v>
      </c>
      <c r="M40" t="s">
        <v>105</v>
      </c>
      <c r="N40" t="s">
        <v>23</v>
      </c>
      <c r="O40" t="s">
        <v>10</v>
      </c>
      <c r="P40" s="1">
        <v>43937</v>
      </c>
      <c r="Q40">
        <v>250</v>
      </c>
      <c r="R40" t="s">
        <v>1</v>
      </c>
    </row>
    <row r="41" spans="1:18">
      <c r="A41" t="s">
        <v>178</v>
      </c>
      <c r="B41" t="s">
        <v>155</v>
      </c>
      <c r="C41" t="s">
        <v>151</v>
      </c>
      <c r="D41" t="s">
        <v>10</v>
      </c>
      <c r="E41" s="1">
        <v>44142</v>
      </c>
      <c r="F41">
        <v>250</v>
      </c>
      <c r="G41" t="s">
        <v>2</v>
      </c>
      <c r="L41" t="s">
        <v>213</v>
      </c>
      <c r="M41" t="s">
        <v>214</v>
      </c>
      <c r="N41" t="s">
        <v>26</v>
      </c>
      <c r="O41" t="s">
        <v>10</v>
      </c>
      <c r="P41" s="1">
        <v>43727</v>
      </c>
      <c r="Q41">
        <v>250</v>
      </c>
      <c r="R41" t="s">
        <v>1</v>
      </c>
    </row>
    <row r="42" spans="1:18">
      <c r="A42" t="s">
        <v>179</v>
      </c>
      <c r="B42" t="s">
        <v>180</v>
      </c>
      <c r="C42" t="s">
        <v>23</v>
      </c>
      <c r="D42" t="s">
        <v>10</v>
      </c>
      <c r="E42" s="1">
        <v>43916</v>
      </c>
      <c r="F42">
        <v>500</v>
      </c>
      <c r="G42" t="s">
        <v>2</v>
      </c>
      <c r="H42">
        <f>SUM(F39:F42)</f>
        <v>2250</v>
      </c>
      <c r="L42" t="s">
        <v>217</v>
      </c>
      <c r="M42" t="s">
        <v>105</v>
      </c>
      <c r="N42" t="s">
        <v>23</v>
      </c>
      <c r="O42" t="s">
        <v>10</v>
      </c>
      <c r="P42" s="1">
        <v>43615</v>
      </c>
      <c r="Q42">
        <v>192.3</v>
      </c>
      <c r="R42" t="s">
        <v>1</v>
      </c>
    </row>
    <row r="43" spans="1:18">
      <c r="A43" t="s">
        <v>228</v>
      </c>
      <c r="B43" t="s">
        <v>162</v>
      </c>
      <c r="C43" t="s">
        <v>229</v>
      </c>
      <c r="D43" t="s">
        <v>10</v>
      </c>
      <c r="E43" s="1">
        <v>44177</v>
      </c>
      <c r="F43">
        <v>790</v>
      </c>
      <c r="G43" t="s">
        <v>3</v>
      </c>
      <c r="L43" t="s">
        <v>218</v>
      </c>
      <c r="M43" t="s">
        <v>105</v>
      </c>
      <c r="N43" t="s">
        <v>219</v>
      </c>
      <c r="O43" t="s">
        <v>10</v>
      </c>
      <c r="P43" s="1">
        <v>43657</v>
      </c>
      <c r="Q43">
        <v>192.3</v>
      </c>
      <c r="R43" t="s">
        <v>1</v>
      </c>
    </row>
    <row r="44" spans="1:18">
      <c r="A44" t="s">
        <v>230</v>
      </c>
      <c r="B44" t="s">
        <v>113</v>
      </c>
      <c r="C44" t="s">
        <v>174</v>
      </c>
      <c r="D44" t="s">
        <v>10</v>
      </c>
      <c r="E44" s="1">
        <v>43580</v>
      </c>
      <c r="F44">
        <v>500</v>
      </c>
      <c r="G44" t="s">
        <v>3</v>
      </c>
      <c r="L44" t="s">
        <v>221</v>
      </c>
      <c r="M44" t="s">
        <v>105</v>
      </c>
      <c r="N44" t="s">
        <v>107</v>
      </c>
      <c r="O44" t="s">
        <v>10</v>
      </c>
      <c r="P44" s="1">
        <v>43531</v>
      </c>
      <c r="Q44">
        <v>250</v>
      </c>
      <c r="R44" t="s">
        <v>1</v>
      </c>
    </row>
    <row r="45" spans="1:18">
      <c r="A45" t="s">
        <v>231</v>
      </c>
      <c r="B45" t="s">
        <v>108</v>
      </c>
      <c r="C45" t="s">
        <v>167</v>
      </c>
      <c r="D45" t="s">
        <v>10</v>
      </c>
      <c r="E45" s="1">
        <v>44005</v>
      </c>
      <c r="F45">
        <v>500</v>
      </c>
      <c r="G45" t="s">
        <v>3</v>
      </c>
      <c r="L45" t="s">
        <v>232</v>
      </c>
      <c r="M45" t="s">
        <v>105</v>
      </c>
      <c r="N45" t="s">
        <v>23</v>
      </c>
      <c r="O45" t="s">
        <v>106</v>
      </c>
      <c r="P45" s="1">
        <v>43909</v>
      </c>
      <c r="Q45">
        <v>4505</v>
      </c>
      <c r="R45" t="s">
        <v>1</v>
      </c>
    </row>
    <row r="46" spans="1:18">
      <c r="A46" t="s">
        <v>233</v>
      </c>
      <c r="B46" t="s">
        <v>109</v>
      </c>
      <c r="C46" t="s">
        <v>29</v>
      </c>
      <c r="D46" t="s">
        <v>10</v>
      </c>
      <c r="E46" s="1">
        <v>44006</v>
      </c>
      <c r="F46">
        <v>250</v>
      </c>
      <c r="G46" t="s">
        <v>3</v>
      </c>
      <c r="P46" s="1"/>
      <c r="Q46">
        <f>SUM(Q38:Q45)</f>
        <v>5745.75</v>
      </c>
    </row>
    <row r="47" spans="1:18">
      <c r="A47" t="s">
        <v>234</v>
      </c>
      <c r="B47" t="s">
        <v>35</v>
      </c>
      <c r="C47" t="s">
        <v>118</v>
      </c>
      <c r="D47" t="s">
        <v>10</v>
      </c>
      <c r="E47" s="1">
        <v>44084</v>
      </c>
      <c r="F47">
        <v>500</v>
      </c>
      <c r="G47" t="s">
        <v>3</v>
      </c>
      <c r="P47" s="1"/>
    </row>
    <row r="48" spans="1:18">
      <c r="A48" t="s">
        <v>235</v>
      </c>
      <c r="B48" t="s">
        <v>162</v>
      </c>
      <c r="C48" t="s">
        <v>158</v>
      </c>
      <c r="D48" t="s">
        <v>10</v>
      </c>
      <c r="E48" s="1">
        <v>44007</v>
      </c>
      <c r="F48">
        <v>600</v>
      </c>
      <c r="G48" t="s">
        <v>3</v>
      </c>
      <c r="H48">
        <f>SUM(F43:F48)</f>
        <v>3140</v>
      </c>
      <c r="L48" t="s">
        <v>161</v>
      </c>
      <c r="M48" t="s">
        <v>162</v>
      </c>
      <c r="N48" t="s">
        <v>163</v>
      </c>
      <c r="O48" t="s">
        <v>10</v>
      </c>
      <c r="P48" s="1">
        <v>43998</v>
      </c>
      <c r="Q48">
        <v>10</v>
      </c>
      <c r="R48" t="s">
        <v>3</v>
      </c>
    </row>
    <row r="49" spans="1:18">
      <c r="A49" s="43" t="s">
        <v>236</v>
      </c>
      <c r="B49" s="44"/>
      <c r="C49" s="44"/>
      <c r="D49" s="44"/>
      <c r="E49" s="44"/>
      <c r="F49" s="44"/>
      <c r="G49" s="44"/>
      <c r="L49" t="s">
        <v>166</v>
      </c>
      <c r="M49" t="s">
        <v>162</v>
      </c>
      <c r="N49" t="s">
        <v>167</v>
      </c>
      <c r="O49" t="s">
        <v>10</v>
      </c>
      <c r="P49" s="1">
        <v>44164</v>
      </c>
      <c r="Q49">
        <v>30</v>
      </c>
      <c r="R49" t="s">
        <v>3</v>
      </c>
    </row>
    <row r="50" spans="1:18">
      <c r="A50" s="12" t="s">
        <v>16</v>
      </c>
      <c r="B50" s="12" t="s">
        <v>17</v>
      </c>
      <c r="C50" s="12" t="s">
        <v>11</v>
      </c>
      <c r="D50" s="12" t="s">
        <v>18</v>
      </c>
      <c r="E50" s="12" t="s">
        <v>19</v>
      </c>
      <c r="F50" s="12" t="s">
        <v>20</v>
      </c>
      <c r="G50" s="12" t="s">
        <v>24</v>
      </c>
      <c r="L50" t="s">
        <v>185</v>
      </c>
      <c r="M50" t="s">
        <v>162</v>
      </c>
      <c r="N50" t="s">
        <v>186</v>
      </c>
      <c r="O50" t="s">
        <v>10</v>
      </c>
      <c r="P50" s="1">
        <v>44175</v>
      </c>
      <c r="Q50">
        <v>100</v>
      </c>
      <c r="R50" t="s">
        <v>3</v>
      </c>
    </row>
    <row r="51" spans="1:18">
      <c r="A51" t="s">
        <v>181</v>
      </c>
      <c r="B51" t="s">
        <v>182</v>
      </c>
      <c r="C51" t="s">
        <v>165</v>
      </c>
      <c r="D51" t="s">
        <v>111</v>
      </c>
      <c r="E51" s="1">
        <v>44009</v>
      </c>
      <c r="F51">
        <v>1111.1099999999999</v>
      </c>
      <c r="G51" t="s">
        <v>2</v>
      </c>
      <c r="L51" t="s">
        <v>188</v>
      </c>
      <c r="M51" t="s">
        <v>162</v>
      </c>
      <c r="N51" t="s">
        <v>165</v>
      </c>
      <c r="O51" t="s">
        <v>10</v>
      </c>
      <c r="P51" s="1">
        <v>43923</v>
      </c>
      <c r="Q51">
        <v>67.5</v>
      </c>
      <c r="R51" t="s">
        <v>3</v>
      </c>
    </row>
    <row r="52" spans="1:18">
      <c r="A52" t="s">
        <v>178</v>
      </c>
      <c r="B52" t="s">
        <v>184</v>
      </c>
      <c r="C52" t="s">
        <v>151</v>
      </c>
      <c r="D52" t="s">
        <v>111</v>
      </c>
      <c r="E52" s="1">
        <v>44093</v>
      </c>
      <c r="F52">
        <v>2800</v>
      </c>
      <c r="G52" t="s">
        <v>2</v>
      </c>
      <c r="L52" t="s">
        <v>191</v>
      </c>
      <c r="M52" t="s">
        <v>162</v>
      </c>
      <c r="N52" t="s">
        <v>147</v>
      </c>
      <c r="O52" t="s">
        <v>10</v>
      </c>
      <c r="P52" s="1">
        <v>44187</v>
      </c>
      <c r="Q52">
        <v>100</v>
      </c>
      <c r="R52" t="s">
        <v>3</v>
      </c>
    </row>
    <row r="53" spans="1:18">
      <c r="A53" t="s">
        <v>187</v>
      </c>
      <c r="B53" t="s">
        <v>0</v>
      </c>
      <c r="C53" t="s">
        <v>23</v>
      </c>
      <c r="D53" t="s">
        <v>111</v>
      </c>
      <c r="E53" s="1">
        <v>44003</v>
      </c>
      <c r="F53">
        <v>2700</v>
      </c>
      <c r="G53" t="s">
        <v>2</v>
      </c>
      <c r="L53" t="s">
        <v>194</v>
      </c>
      <c r="M53" t="s">
        <v>162</v>
      </c>
      <c r="N53" t="s">
        <v>151</v>
      </c>
      <c r="O53" t="s">
        <v>10</v>
      </c>
      <c r="P53" s="1">
        <v>44095</v>
      </c>
      <c r="Q53">
        <v>100</v>
      </c>
      <c r="R53" t="s">
        <v>3</v>
      </c>
    </row>
    <row r="54" spans="1:18">
      <c r="A54" t="s">
        <v>189</v>
      </c>
      <c r="B54" t="s">
        <v>173</v>
      </c>
      <c r="C54" t="s">
        <v>190</v>
      </c>
      <c r="D54" t="s">
        <v>111</v>
      </c>
      <c r="E54" s="1">
        <v>43829</v>
      </c>
      <c r="F54">
        <v>2800</v>
      </c>
      <c r="G54" t="s">
        <v>2</v>
      </c>
      <c r="L54" t="s">
        <v>196</v>
      </c>
      <c r="M54" t="s">
        <v>162</v>
      </c>
      <c r="N54" t="s">
        <v>197</v>
      </c>
      <c r="O54" t="s">
        <v>10</v>
      </c>
      <c r="P54" s="1">
        <v>44158</v>
      </c>
      <c r="Q54">
        <v>100</v>
      </c>
      <c r="R54" t="s">
        <v>3</v>
      </c>
    </row>
    <row r="55" spans="1:18">
      <c r="A55" t="s">
        <v>192</v>
      </c>
      <c r="B55" t="s">
        <v>193</v>
      </c>
      <c r="C55" t="s">
        <v>190</v>
      </c>
      <c r="D55" t="s">
        <v>111</v>
      </c>
      <c r="E55" s="1">
        <v>43854</v>
      </c>
      <c r="F55">
        <v>2800</v>
      </c>
      <c r="G55" t="s">
        <v>2</v>
      </c>
      <c r="L55" t="s">
        <v>200</v>
      </c>
      <c r="M55" t="s">
        <v>108</v>
      </c>
      <c r="N55" t="s">
        <v>201</v>
      </c>
      <c r="O55" t="s">
        <v>10</v>
      </c>
      <c r="P55" s="1">
        <v>43972</v>
      </c>
      <c r="Q55">
        <v>75</v>
      </c>
      <c r="R55" t="s">
        <v>3</v>
      </c>
    </row>
    <row r="56" spans="1:18">
      <c r="A56" t="s">
        <v>195</v>
      </c>
      <c r="B56" t="s">
        <v>0</v>
      </c>
      <c r="C56" t="s">
        <v>27</v>
      </c>
      <c r="D56" t="s">
        <v>111</v>
      </c>
      <c r="E56" s="1">
        <v>44062</v>
      </c>
      <c r="F56">
        <v>1500</v>
      </c>
      <c r="G56" t="s">
        <v>2</v>
      </c>
      <c r="H56">
        <f>SUM(F51:F56)</f>
        <v>13711.11</v>
      </c>
      <c r="L56" t="s">
        <v>196</v>
      </c>
      <c r="M56" t="s">
        <v>162</v>
      </c>
      <c r="N56" t="s">
        <v>197</v>
      </c>
      <c r="O56" t="s">
        <v>10</v>
      </c>
      <c r="P56" s="1">
        <v>44158</v>
      </c>
      <c r="Q56">
        <v>100</v>
      </c>
      <c r="R56" t="s">
        <v>3</v>
      </c>
    </row>
    <row r="57" spans="1:18">
      <c r="A57" t="s">
        <v>232</v>
      </c>
      <c r="B57" t="s">
        <v>105</v>
      </c>
      <c r="C57" t="s">
        <v>23</v>
      </c>
      <c r="D57" t="s">
        <v>106</v>
      </c>
      <c r="E57" s="1">
        <v>43909</v>
      </c>
      <c r="F57">
        <v>4505</v>
      </c>
      <c r="G57" t="s">
        <v>1</v>
      </c>
      <c r="H57">
        <v>4505</v>
      </c>
      <c r="L57" t="s">
        <v>200</v>
      </c>
      <c r="M57" t="s">
        <v>108</v>
      </c>
      <c r="N57" t="s">
        <v>201</v>
      </c>
      <c r="O57" t="s">
        <v>10</v>
      </c>
      <c r="P57" s="1">
        <v>43972</v>
      </c>
      <c r="Q57">
        <v>75</v>
      </c>
      <c r="R57" t="s">
        <v>3</v>
      </c>
    </row>
    <row r="58" spans="1:18">
      <c r="A58" t="s">
        <v>237</v>
      </c>
      <c r="B58" t="s">
        <v>238</v>
      </c>
      <c r="C58" t="s">
        <v>170</v>
      </c>
      <c r="D58" t="s">
        <v>111</v>
      </c>
      <c r="E58" s="1">
        <v>44001</v>
      </c>
      <c r="F58">
        <v>2500</v>
      </c>
      <c r="G58" t="s">
        <v>3</v>
      </c>
      <c r="L58" t="s">
        <v>222</v>
      </c>
      <c r="M58" t="s">
        <v>223</v>
      </c>
      <c r="N58" t="s">
        <v>151</v>
      </c>
      <c r="O58" t="s">
        <v>10</v>
      </c>
      <c r="P58" s="1">
        <v>44142</v>
      </c>
      <c r="Q58">
        <v>150</v>
      </c>
      <c r="R58" t="s">
        <v>3</v>
      </c>
    </row>
    <row r="59" spans="1:18">
      <c r="A59" t="s">
        <v>239</v>
      </c>
      <c r="B59" t="s">
        <v>162</v>
      </c>
      <c r="C59" t="s">
        <v>186</v>
      </c>
      <c r="D59" t="s">
        <v>111</v>
      </c>
      <c r="E59" s="1">
        <v>44040</v>
      </c>
      <c r="F59">
        <v>1770</v>
      </c>
      <c r="G59" t="s">
        <v>3</v>
      </c>
      <c r="L59" t="s">
        <v>224</v>
      </c>
      <c r="M59" t="s">
        <v>108</v>
      </c>
      <c r="N59" t="s">
        <v>186</v>
      </c>
      <c r="O59" t="s">
        <v>10</v>
      </c>
      <c r="P59" s="1">
        <v>43865</v>
      </c>
      <c r="Q59">
        <v>168.97</v>
      </c>
      <c r="R59" t="s">
        <v>3</v>
      </c>
    </row>
    <row r="60" spans="1:18">
      <c r="A60" t="s">
        <v>240</v>
      </c>
      <c r="B60" t="s">
        <v>108</v>
      </c>
      <c r="C60" t="s">
        <v>147</v>
      </c>
      <c r="D60" t="s">
        <v>111</v>
      </c>
      <c r="E60" s="1">
        <v>44039</v>
      </c>
      <c r="F60">
        <v>1570</v>
      </c>
      <c r="G60" t="s">
        <v>3</v>
      </c>
      <c r="H60">
        <f>SUM(F58:F60)</f>
        <v>5840</v>
      </c>
      <c r="L60" t="s">
        <v>225</v>
      </c>
      <c r="M60" t="s">
        <v>226</v>
      </c>
      <c r="N60" t="s">
        <v>23</v>
      </c>
      <c r="O60" t="s">
        <v>10</v>
      </c>
      <c r="P60" s="1">
        <v>43816</v>
      </c>
      <c r="Q60">
        <v>125</v>
      </c>
      <c r="R60" t="s">
        <v>3</v>
      </c>
    </row>
    <row r="61" spans="1:18">
      <c r="A61" s="43" t="s">
        <v>241</v>
      </c>
      <c r="B61" s="44"/>
      <c r="C61" s="44"/>
      <c r="D61" s="44"/>
      <c r="E61" s="44"/>
      <c r="F61" s="44"/>
      <c r="G61" s="44"/>
      <c r="L61" t="s">
        <v>228</v>
      </c>
      <c r="M61" t="s">
        <v>162</v>
      </c>
      <c r="N61" t="s">
        <v>229</v>
      </c>
      <c r="O61" t="s">
        <v>10</v>
      </c>
      <c r="P61" s="1">
        <v>44177</v>
      </c>
      <c r="Q61">
        <v>790</v>
      </c>
      <c r="R61" t="s">
        <v>3</v>
      </c>
    </row>
    <row r="62" spans="1:18">
      <c r="A62" s="12" t="s">
        <v>16</v>
      </c>
      <c r="B62" s="12" t="s">
        <v>17</v>
      </c>
      <c r="C62" s="12" t="s">
        <v>11</v>
      </c>
      <c r="D62" s="12" t="s">
        <v>18</v>
      </c>
      <c r="E62" s="12" t="s">
        <v>19</v>
      </c>
      <c r="F62" s="12" t="s">
        <v>20</v>
      </c>
      <c r="G62" s="12" t="s">
        <v>24</v>
      </c>
      <c r="L62" t="s">
        <v>230</v>
      </c>
      <c r="M62" t="s">
        <v>113</v>
      </c>
      <c r="N62" t="s">
        <v>174</v>
      </c>
      <c r="O62" t="s">
        <v>10</v>
      </c>
      <c r="P62" s="1">
        <v>43580</v>
      </c>
      <c r="Q62">
        <v>500</v>
      </c>
      <c r="R62" t="s">
        <v>3</v>
      </c>
    </row>
    <row r="63" spans="1:18">
      <c r="A63" t="s">
        <v>198</v>
      </c>
      <c r="B63" t="s">
        <v>199</v>
      </c>
      <c r="C63" t="s">
        <v>190</v>
      </c>
      <c r="D63" t="s">
        <v>10</v>
      </c>
      <c r="E63" s="45">
        <v>43544</v>
      </c>
      <c r="F63">
        <v>5600</v>
      </c>
      <c r="G63" t="s">
        <v>2</v>
      </c>
      <c r="L63" t="s">
        <v>231</v>
      </c>
      <c r="M63" t="s">
        <v>108</v>
      </c>
      <c r="N63" t="s">
        <v>167</v>
      </c>
      <c r="O63" t="s">
        <v>10</v>
      </c>
      <c r="P63" s="1">
        <v>44005</v>
      </c>
      <c r="Q63">
        <v>500</v>
      </c>
      <c r="R63" t="s">
        <v>3</v>
      </c>
    </row>
    <row r="64" spans="1:18">
      <c r="A64" t="s">
        <v>198</v>
      </c>
      <c r="B64" t="s">
        <v>202</v>
      </c>
      <c r="C64" t="s">
        <v>190</v>
      </c>
      <c r="D64" t="s">
        <v>10</v>
      </c>
      <c r="E64" s="45">
        <v>43815</v>
      </c>
      <c r="F64">
        <v>10000</v>
      </c>
      <c r="G64" t="s">
        <v>2</v>
      </c>
      <c r="L64" t="s">
        <v>233</v>
      </c>
      <c r="M64" t="s">
        <v>109</v>
      </c>
      <c r="N64" t="s">
        <v>29</v>
      </c>
      <c r="O64" t="s">
        <v>10</v>
      </c>
      <c r="P64" s="1">
        <v>44006</v>
      </c>
      <c r="Q64">
        <v>250</v>
      </c>
      <c r="R64" t="s">
        <v>3</v>
      </c>
    </row>
    <row r="65" spans="1:77">
      <c r="A65" t="s">
        <v>198</v>
      </c>
      <c r="B65" t="s">
        <v>204</v>
      </c>
      <c r="C65" t="s">
        <v>190</v>
      </c>
      <c r="D65" t="s">
        <v>10</v>
      </c>
      <c r="E65" s="45">
        <v>43815</v>
      </c>
      <c r="F65">
        <v>20000</v>
      </c>
      <c r="G65" t="s">
        <v>2</v>
      </c>
      <c r="L65" t="s">
        <v>234</v>
      </c>
      <c r="M65" t="s">
        <v>35</v>
      </c>
      <c r="N65" t="s">
        <v>118</v>
      </c>
      <c r="O65" t="s">
        <v>10</v>
      </c>
      <c r="P65" s="1">
        <v>44084</v>
      </c>
      <c r="Q65">
        <v>500</v>
      </c>
      <c r="R65" t="s">
        <v>3</v>
      </c>
    </row>
    <row r="66" spans="1:77">
      <c r="A66" t="s">
        <v>205</v>
      </c>
      <c r="B66" t="s">
        <v>206</v>
      </c>
      <c r="C66" t="s">
        <v>23</v>
      </c>
      <c r="D66" t="s">
        <v>10</v>
      </c>
      <c r="E66" s="45">
        <v>43873</v>
      </c>
      <c r="F66">
        <v>5600</v>
      </c>
      <c r="G66" t="s">
        <v>2</v>
      </c>
      <c r="L66" t="s">
        <v>235</v>
      </c>
      <c r="M66" t="s">
        <v>162</v>
      </c>
      <c r="N66" t="s">
        <v>158</v>
      </c>
      <c r="O66" t="s">
        <v>10</v>
      </c>
      <c r="P66" s="1">
        <v>44007</v>
      </c>
      <c r="Q66">
        <v>600</v>
      </c>
      <c r="R66" t="s">
        <v>3</v>
      </c>
    </row>
    <row r="67" spans="1:77">
      <c r="A67" t="s">
        <v>192</v>
      </c>
      <c r="B67" t="s">
        <v>0</v>
      </c>
      <c r="C67" t="s">
        <v>190</v>
      </c>
      <c r="D67" t="s">
        <v>10</v>
      </c>
      <c r="E67" s="45">
        <v>43950</v>
      </c>
      <c r="F67">
        <v>5600</v>
      </c>
      <c r="G67" t="s">
        <v>2</v>
      </c>
      <c r="L67" t="s">
        <v>237</v>
      </c>
      <c r="M67" t="s">
        <v>238</v>
      </c>
      <c r="N67" t="s">
        <v>170</v>
      </c>
      <c r="O67" t="s">
        <v>111</v>
      </c>
      <c r="P67" s="1">
        <v>44001</v>
      </c>
      <c r="Q67">
        <v>2500</v>
      </c>
      <c r="R67" t="s">
        <v>3</v>
      </c>
    </row>
    <row r="68" spans="1:77">
      <c r="A68" t="s">
        <v>209</v>
      </c>
      <c r="B68" t="s">
        <v>210</v>
      </c>
      <c r="C68" t="s">
        <v>29</v>
      </c>
      <c r="D68" t="s">
        <v>10</v>
      </c>
      <c r="E68" s="45">
        <v>44110</v>
      </c>
      <c r="F68">
        <v>7200</v>
      </c>
      <c r="G68" t="s">
        <v>2</v>
      </c>
      <c r="L68" t="s">
        <v>239</v>
      </c>
      <c r="M68" t="s">
        <v>162</v>
      </c>
      <c r="N68" t="s">
        <v>186</v>
      </c>
      <c r="O68" t="s">
        <v>111</v>
      </c>
      <c r="P68" s="1">
        <v>44040</v>
      </c>
      <c r="Q68">
        <v>1770</v>
      </c>
      <c r="R68" t="s">
        <v>3</v>
      </c>
    </row>
    <row r="69" spans="1:77">
      <c r="A69" t="s">
        <v>209</v>
      </c>
      <c r="B69" t="s">
        <v>212</v>
      </c>
      <c r="C69" t="s">
        <v>29</v>
      </c>
      <c r="D69" t="s">
        <v>10</v>
      </c>
      <c r="E69" s="45">
        <v>44110</v>
      </c>
      <c r="F69">
        <v>10000</v>
      </c>
      <c r="G69" t="s">
        <v>2</v>
      </c>
      <c r="L69" t="s">
        <v>240</v>
      </c>
      <c r="M69" t="s">
        <v>108</v>
      </c>
      <c r="N69" t="s">
        <v>147</v>
      </c>
      <c r="O69" t="s">
        <v>111</v>
      </c>
      <c r="P69" s="1">
        <v>44039</v>
      </c>
      <c r="Q69">
        <v>1570</v>
      </c>
      <c r="R69" t="s">
        <v>3</v>
      </c>
    </row>
    <row r="70" spans="1:77">
      <c r="A70" t="s">
        <v>215</v>
      </c>
      <c r="B70" t="s">
        <v>216</v>
      </c>
      <c r="C70" t="s">
        <v>23</v>
      </c>
      <c r="D70" t="s">
        <v>10</v>
      </c>
      <c r="E70" s="45">
        <v>44124</v>
      </c>
      <c r="F70">
        <v>125000</v>
      </c>
      <c r="G70" t="s">
        <v>2</v>
      </c>
      <c r="P70" s="45"/>
      <c r="Q70">
        <f>SUM(Q48:Q69)</f>
        <v>10181.470000000001</v>
      </c>
    </row>
    <row r="71" spans="1:77">
      <c r="A71" t="s">
        <v>189</v>
      </c>
      <c r="B71" t="s">
        <v>216</v>
      </c>
      <c r="C71" t="s">
        <v>190</v>
      </c>
      <c r="D71" t="s">
        <v>10</v>
      </c>
      <c r="E71" s="45">
        <v>44095</v>
      </c>
      <c r="F71">
        <v>50000</v>
      </c>
      <c r="G71" t="s">
        <v>2</v>
      </c>
      <c r="P71" s="45"/>
    </row>
    <row r="72" spans="1:77">
      <c r="A72" t="s">
        <v>220</v>
      </c>
      <c r="B72" t="s">
        <v>210</v>
      </c>
      <c r="C72" t="s">
        <v>177</v>
      </c>
      <c r="D72" t="s">
        <v>10</v>
      </c>
      <c r="E72" s="45">
        <v>44097</v>
      </c>
      <c r="F72">
        <v>5500</v>
      </c>
      <c r="G72" t="s">
        <v>2</v>
      </c>
      <c r="H72">
        <f>SUM(F63:F72)</f>
        <v>244500</v>
      </c>
    </row>
    <row r="80" spans="1:77">
      <c r="A80" s="46" t="s">
        <v>242</v>
      </c>
      <c r="B80" s="46" t="s">
        <v>243</v>
      </c>
      <c r="C80" s="46" t="s">
        <v>244</v>
      </c>
      <c r="D80" s="46" t="s">
        <v>245</v>
      </c>
      <c r="E80" s="46" t="s">
        <v>246</v>
      </c>
      <c r="F80" s="46" t="s">
        <v>247</v>
      </c>
      <c r="G80" s="46" t="s">
        <v>248</v>
      </c>
      <c r="H80" s="46" t="s">
        <v>249</v>
      </c>
      <c r="I80" s="46" t="s">
        <v>250</v>
      </c>
      <c r="J80" s="46" t="s">
        <v>251</v>
      </c>
      <c r="K80" s="46" t="s">
        <v>252</v>
      </c>
      <c r="L80" s="46" t="s">
        <v>253</v>
      </c>
      <c r="M80" s="46" t="s">
        <v>254</v>
      </c>
      <c r="N80" s="46" t="s">
        <v>255</v>
      </c>
      <c r="O80" s="46" t="s">
        <v>256</v>
      </c>
      <c r="P80" s="46" t="s">
        <v>257</v>
      </c>
      <c r="Q80" s="46" t="s">
        <v>258</v>
      </c>
      <c r="R80" s="46" t="s">
        <v>259</v>
      </c>
      <c r="S80" s="46" t="s">
        <v>260</v>
      </c>
      <c r="T80" s="46" t="s">
        <v>261</v>
      </c>
      <c r="U80" s="46" t="s">
        <v>262</v>
      </c>
      <c r="V80" s="46" t="s">
        <v>263</v>
      </c>
      <c r="W80" s="46" t="s">
        <v>264</v>
      </c>
      <c r="X80" s="46" t="s">
        <v>265</v>
      </c>
      <c r="Y80" s="46" t="s">
        <v>266</v>
      </c>
      <c r="Z80" s="46" t="s">
        <v>267</v>
      </c>
      <c r="AA80" s="46" t="s">
        <v>268</v>
      </c>
      <c r="AB80" s="46" t="s">
        <v>269</v>
      </c>
      <c r="AC80" s="46" t="s">
        <v>270</v>
      </c>
      <c r="AD80" s="46" t="s">
        <v>271</v>
      </c>
      <c r="AE80" s="46" t="s">
        <v>272</v>
      </c>
      <c r="AF80" s="46" t="s">
        <v>273</v>
      </c>
      <c r="AG80" s="46" t="s">
        <v>274</v>
      </c>
      <c r="AH80" s="46" t="s">
        <v>275</v>
      </c>
      <c r="AI80" s="46" t="s">
        <v>276</v>
      </c>
      <c r="AJ80" s="46" t="s">
        <v>277</v>
      </c>
      <c r="AK80" s="46" t="s">
        <v>278</v>
      </c>
      <c r="AL80" s="46" t="s">
        <v>279</v>
      </c>
      <c r="AM80" s="46" t="s">
        <v>280</v>
      </c>
      <c r="AN80" s="46" t="s">
        <v>281</v>
      </c>
      <c r="AO80" s="46" t="s">
        <v>282</v>
      </c>
      <c r="AP80" s="46" t="s">
        <v>283</v>
      </c>
      <c r="AQ80" s="46" t="s">
        <v>284</v>
      </c>
      <c r="AR80" s="46" t="s">
        <v>285</v>
      </c>
      <c r="AS80" s="46" t="s">
        <v>286</v>
      </c>
      <c r="AT80" s="46" t="s">
        <v>287</v>
      </c>
      <c r="AU80" s="46" t="s">
        <v>288</v>
      </c>
      <c r="AV80" s="46" t="s">
        <v>289</v>
      </c>
      <c r="AW80" s="46" t="s">
        <v>290</v>
      </c>
      <c r="AX80" s="46" t="s">
        <v>291</v>
      </c>
      <c r="AY80" s="46" t="s">
        <v>292</v>
      </c>
      <c r="AZ80" s="46" t="s">
        <v>293</v>
      </c>
      <c r="BA80" s="46" t="s">
        <v>294</v>
      </c>
      <c r="BB80" s="46" t="s">
        <v>295</v>
      </c>
      <c r="BC80" s="46" t="s">
        <v>296</v>
      </c>
      <c r="BD80" s="46" t="s">
        <v>297</v>
      </c>
      <c r="BE80" s="46" t="s">
        <v>298</v>
      </c>
      <c r="BF80" s="46" t="s">
        <v>299</v>
      </c>
      <c r="BG80" s="46" t="s">
        <v>300</v>
      </c>
      <c r="BH80" s="46" t="s">
        <v>301</v>
      </c>
      <c r="BI80" s="46" t="s">
        <v>302</v>
      </c>
      <c r="BJ80" s="46" t="s">
        <v>303</v>
      </c>
      <c r="BK80" s="46" t="s">
        <v>304</v>
      </c>
      <c r="BL80" s="46" t="s">
        <v>305</v>
      </c>
      <c r="BM80" s="46" t="s">
        <v>306</v>
      </c>
      <c r="BN80" s="46" t="s">
        <v>307</v>
      </c>
      <c r="BO80" s="46" t="s">
        <v>308</v>
      </c>
      <c r="BP80" s="46" t="s">
        <v>309</v>
      </c>
      <c r="BQ80" s="46" t="s">
        <v>310</v>
      </c>
      <c r="BR80" s="46" t="s">
        <v>311</v>
      </c>
      <c r="BS80" s="47" t="s">
        <v>20</v>
      </c>
      <c r="BT80" s="48" t="s">
        <v>24</v>
      </c>
      <c r="BU80" s="49" t="s">
        <v>4</v>
      </c>
      <c r="BV80" s="49" t="s">
        <v>6</v>
      </c>
      <c r="BW80" s="47" t="s">
        <v>5</v>
      </c>
      <c r="BX80" s="50" t="s">
        <v>13</v>
      </c>
      <c r="BY80" s="50" t="s">
        <v>14</v>
      </c>
    </row>
    <row r="81" spans="1:77">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51"/>
      <c r="BT81" s="52"/>
      <c r="BU81" s="49">
        <v>0</v>
      </c>
      <c r="BV81" s="49"/>
      <c r="BW81" s="52"/>
      <c r="BX81" s="53" t="e">
        <v>#DIV/0!</v>
      </c>
      <c r="BY81" s="53" t="e">
        <v>#DIV/0!</v>
      </c>
    </row>
    <row r="82" spans="1:77">
      <c r="A82" s="46" t="s">
        <v>312</v>
      </c>
      <c r="B82" s="46" t="s">
        <v>313</v>
      </c>
      <c r="C82" s="46"/>
      <c r="D82" s="46"/>
      <c r="E82" s="46" t="s">
        <v>314</v>
      </c>
      <c r="F82" s="46" t="s">
        <v>315</v>
      </c>
      <c r="G82" s="46" t="s">
        <v>316</v>
      </c>
      <c r="H82" s="46" t="s">
        <v>127</v>
      </c>
      <c r="I82" s="46" t="s">
        <v>317</v>
      </c>
      <c r="J82" s="46" t="s">
        <v>131</v>
      </c>
      <c r="K82" s="46" t="s">
        <v>318</v>
      </c>
      <c r="L82" s="46"/>
      <c r="M82" s="46" t="s">
        <v>319</v>
      </c>
      <c r="N82" s="46"/>
      <c r="O82" s="46" t="s">
        <v>320</v>
      </c>
      <c r="P82" s="46" t="s">
        <v>321</v>
      </c>
      <c r="Q82" s="46">
        <v>70805</v>
      </c>
      <c r="R82" s="46" t="s">
        <v>322</v>
      </c>
      <c r="S82" s="46" t="s">
        <v>323</v>
      </c>
      <c r="T82" s="46"/>
      <c r="U82" s="46">
        <v>15</v>
      </c>
      <c r="V82" s="46" t="s">
        <v>324</v>
      </c>
      <c r="W82" s="46"/>
      <c r="X82" s="46"/>
      <c r="Y82" s="46"/>
      <c r="Z82" s="54">
        <v>43616</v>
      </c>
      <c r="AA82" s="46">
        <v>42</v>
      </c>
      <c r="AB82" s="46">
        <v>210</v>
      </c>
      <c r="AC82" s="46"/>
      <c r="AD82" s="46"/>
      <c r="AE82" s="46"/>
      <c r="AF82" s="46"/>
      <c r="AG82" s="46"/>
      <c r="AH82" s="46"/>
      <c r="AI82" s="46"/>
      <c r="AJ82" s="46"/>
      <c r="AK82" s="46"/>
      <c r="AL82" s="46"/>
      <c r="AM82" s="46"/>
      <c r="AN82" s="46"/>
      <c r="AO82" s="46"/>
      <c r="AP82" s="46"/>
      <c r="AQ82" s="46"/>
      <c r="AR82" s="46"/>
      <c r="AS82" s="46"/>
      <c r="AT82" s="46"/>
      <c r="AU82" s="46"/>
      <c r="AV82" s="46"/>
      <c r="AW82" s="46"/>
      <c r="AX82" s="46" t="s">
        <v>47</v>
      </c>
      <c r="AY82" s="46"/>
      <c r="AZ82" s="46" t="s">
        <v>325</v>
      </c>
      <c r="BA82" s="46"/>
      <c r="BB82" s="46" t="s">
        <v>132</v>
      </c>
      <c r="BC82" s="46" t="s">
        <v>326</v>
      </c>
      <c r="BD82" s="46" t="s">
        <v>327</v>
      </c>
      <c r="BE82" s="55">
        <v>43631.112526192126</v>
      </c>
      <c r="BF82" s="46"/>
      <c r="BG82" s="46"/>
      <c r="BH82" s="46"/>
      <c r="BI82" s="46" t="s">
        <v>328</v>
      </c>
      <c r="BJ82" s="46">
        <v>4.0614201916580198E+18</v>
      </c>
      <c r="BK82" s="46" t="s">
        <v>329</v>
      </c>
      <c r="BL82" s="46" t="s">
        <v>330</v>
      </c>
      <c r="BM82" s="46">
        <v>2020</v>
      </c>
      <c r="BN82" s="46" t="s">
        <v>331</v>
      </c>
      <c r="BO82" s="46"/>
      <c r="BP82" s="46">
        <v>4.0614201916580803E+18</v>
      </c>
      <c r="BQ82" s="46" t="s">
        <v>332</v>
      </c>
      <c r="BR82" s="46" t="s">
        <v>333</v>
      </c>
      <c r="BS82" s="51">
        <v>42</v>
      </c>
      <c r="BT82" s="52" t="s">
        <v>3</v>
      </c>
      <c r="BU82" s="49">
        <v>32.797177208572926</v>
      </c>
      <c r="BV82" s="49">
        <v>9.2028227914270779</v>
      </c>
      <c r="BW82" s="46"/>
      <c r="BX82" s="53">
        <v>0.78088517163268867</v>
      </c>
      <c r="BY82" s="53">
        <v>0.21911482836731139</v>
      </c>
    </row>
    <row r="83" spans="1:77">
      <c r="A83" s="46" t="s">
        <v>312</v>
      </c>
      <c r="B83" s="46" t="s">
        <v>313</v>
      </c>
      <c r="C83" s="46"/>
      <c r="D83" s="46"/>
      <c r="E83" s="46" t="s">
        <v>334</v>
      </c>
      <c r="F83" s="46" t="s">
        <v>315</v>
      </c>
      <c r="G83" s="46" t="s">
        <v>316</v>
      </c>
      <c r="H83" s="46" t="s">
        <v>127</v>
      </c>
      <c r="I83" s="46" t="s">
        <v>335</v>
      </c>
      <c r="J83" s="46" t="s">
        <v>336</v>
      </c>
      <c r="K83" s="46" t="s">
        <v>337</v>
      </c>
      <c r="L83" s="46"/>
      <c r="M83" s="46" t="s">
        <v>338</v>
      </c>
      <c r="N83" s="46"/>
      <c r="O83" s="46" t="s">
        <v>339</v>
      </c>
      <c r="P83" s="46" t="s">
        <v>107</v>
      </c>
      <c r="Q83" s="46">
        <v>77389</v>
      </c>
      <c r="R83" s="46" t="s">
        <v>322</v>
      </c>
      <c r="S83" s="46" t="s">
        <v>340</v>
      </c>
      <c r="T83" s="46"/>
      <c r="U83" s="46">
        <v>15</v>
      </c>
      <c r="V83" s="46" t="s">
        <v>324</v>
      </c>
      <c r="W83" s="46"/>
      <c r="X83" s="46"/>
      <c r="Y83" s="46"/>
      <c r="Z83" s="54">
        <v>43616</v>
      </c>
      <c r="AA83" s="46">
        <v>50</v>
      </c>
      <c r="AB83" s="46">
        <v>250</v>
      </c>
      <c r="AC83" s="46"/>
      <c r="AD83" s="46"/>
      <c r="AE83" s="46"/>
      <c r="AF83" s="46"/>
      <c r="AG83" s="46"/>
      <c r="AH83" s="46"/>
      <c r="AI83" s="46"/>
      <c r="AJ83" s="46"/>
      <c r="AK83" s="46"/>
      <c r="AL83" s="46"/>
      <c r="AM83" s="46"/>
      <c r="AN83" s="46"/>
      <c r="AO83" s="46"/>
      <c r="AP83" s="46"/>
      <c r="AQ83" s="46"/>
      <c r="AR83" s="46"/>
      <c r="AS83" s="46"/>
      <c r="AT83" s="46"/>
      <c r="AU83" s="46"/>
      <c r="AV83" s="46"/>
      <c r="AW83" s="46"/>
      <c r="AX83" s="46" t="s">
        <v>47</v>
      </c>
      <c r="AY83" s="46"/>
      <c r="AZ83" s="46" t="s">
        <v>325</v>
      </c>
      <c r="BA83" s="46"/>
      <c r="BB83" s="46" t="s">
        <v>132</v>
      </c>
      <c r="BC83" s="46" t="s">
        <v>326</v>
      </c>
      <c r="BD83" s="46" t="s">
        <v>327</v>
      </c>
      <c r="BE83" s="55">
        <v>43631.112526469908</v>
      </c>
      <c r="BF83" s="46"/>
      <c r="BG83" s="46"/>
      <c r="BH83" s="46"/>
      <c r="BI83" s="46" t="s">
        <v>328</v>
      </c>
      <c r="BJ83" s="46">
        <v>4.0614201916580198E+18</v>
      </c>
      <c r="BK83" s="46" t="s">
        <v>329</v>
      </c>
      <c r="BL83" s="46" t="s">
        <v>341</v>
      </c>
      <c r="BM83" s="46">
        <v>2020</v>
      </c>
      <c r="BN83" s="46" t="s">
        <v>331</v>
      </c>
      <c r="BO83" s="46"/>
      <c r="BP83" s="46">
        <v>4.0614201916580803E+18</v>
      </c>
      <c r="BQ83" s="46" t="s">
        <v>342</v>
      </c>
      <c r="BR83" s="46" t="s">
        <v>333</v>
      </c>
      <c r="BS83" s="51">
        <v>50</v>
      </c>
      <c r="BT83" s="52" t="s">
        <v>3</v>
      </c>
      <c r="BU83" s="49">
        <v>39.044258581634431</v>
      </c>
      <c r="BV83" s="49">
        <v>10.955741418365569</v>
      </c>
      <c r="BW83" s="46"/>
      <c r="BX83" s="53">
        <v>0.78088517163268867</v>
      </c>
      <c r="BY83" s="53">
        <v>0.21911482836731139</v>
      </c>
    </row>
    <row r="84" spans="1:77">
      <c r="A84" s="46" t="s">
        <v>312</v>
      </c>
      <c r="B84" s="46" t="s">
        <v>313</v>
      </c>
      <c r="C84" s="46"/>
      <c r="D84" s="46"/>
      <c r="E84" s="46" t="s">
        <v>343</v>
      </c>
      <c r="F84" s="46" t="s">
        <v>315</v>
      </c>
      <c r="G84" s="46" t="s">
        <v>316</v>
      </c>
      <c r="H84" s="46" t="s">
        <v>127</v>
      </c>
      <c r="I84" s="46" t="s">
        <v>344</v>
      </c>
      <c r="J84" s="46" t="s">
        <v>345</v>
      </c>
      <c r="K84" s="46" t="s">
        <v>346</v>
      </c>
      <c r="L84" s="46"/>
      <c r="M84" s="46" t="s">
        <v>338</v>
      </c>
      <c r="N84" s="46"/>
      <c r="O84" s="46" t="s">
        <v>339</v>
      </c>
      <c r="P84" s="46" t="s">
        <v>107</v>
      </c>
      <c r="Q84" s="46">
        <v>77389</v>
      </c>
      <c r="R84" s="46" t="s">
        <v>322</v>
      </c>
      <c r="S84" s="46" t="s">
        <v>347</v>
      </c>
      <c r="T84" s="46"/>
      <c r="U84" s="46">
        <v>15</v>
      </c>
      <c r="V84" s="46" t="s">
        <v>324</v>
      </c>
      <c r="W84" s="46"/>
      <c r="X84" s="46"/>
      <c r="Y84" s="46"/>
      <c r="Z84" s="54">
        <v>43646</v>
      </c>
      <c r="AA84" s="46">
        <v>40</v>
      </c>
      <c r="AB84" s="46">
        <v>205</v>
      </c>
      <c r="AC84" s="46"/>
      <c r="AD84" s="46"/>
      <c r="AE84" s="46"/>
      <c r="AF84" s="46"/>
      <c r="AG84" s="46"/>
      <c r="AH84" s="46"/>
      <c r="AI84" s="46"/>
      <c r="AJ84" s="46"/>
      <c r="AK84" s="46"/>
      <c r="AL84" s="46"/>
      <c r="AM84" s="46"/>
      <c r="AN84" s="46"/>
      <c r="AO84" s="46"/>
      <c r="AP84" s="46"/>
      <c r="AQ84" s="46"/>
      <c r="AR84" s="46"/>
      <c r="AS84" s="46"/>
      <c r="AT84" s="46"/>
      <c r="AU84" s="46"/>
      <c r="AV84" s="46"/>
      <c r="AW84" s="46"/>
      <c r="AX84" s="46" t="s">
        <v>47</v>
      </c>
      <c r="AY84" s="46"/>
      <c r="AZ84" s="46" t="s">
        <v>325</v>
      </c>
      <c r="BA84" s="46"/>
      <c r="BB84" s="46" t="s">
        <v>132</v>
      </c>
      <c r="BC84" s="46" t="s">
        <v>326</v>
      </c>
      <c r="BD84" s="46" t="s">
        <v>327</v>
      </c>
      <c r="BE84" s="55">
        <v>43657.143775254626</v>
      </c>
      <c r="BF84" s="46"/>
      <c r="BG84" s="46"/>
      <c r="BH84" s="46"/>
      <c r="BI84" s="46" t="s">
        <v>328</v>
      </c>
      <c r="BJ84" s="46">
        <v>4.0710201916590899E+18</v>
      </c>
      <c r="BK84" s="46" t="s">
        <v>329</v>
      </c>
      <c r="BL84" s="46" t="s">
        <v>348</v>
      </c>
      <c r="BM84" s="46">
        <v>2020</v>
      </c>
      <c r="BN84" s="46" t="s">
        <v>331</v>
      </c>
      <c r="BO84" s="46"/>
      <c r="BP84" s="46">
        <v>4.0710201916592599E+18</v>
      </c>
      <c r="BQ84" s="46" t="s">
        <v>349</v>
      </c>
      <c r="BR84" s="46" t="s">
        <v>333</v>
      </c>
      <c r="BS84" s="51">
        <v>40</v>
      </c>
      <c r="BT84" s="52" t="s">
        <v>3</v>
      </c>
      <c r="BU84" s="49">
        <v>31.235406865307546</v>
      </c>
      <c r="BV84" s="49">
        <v>8.7645931346924559</v>
      </c>
      <c r="BW84" s="46"/>
      <c r="BX84" s="53">
        <v>0.78088517163268867</v>
      </c>
      <c r="BY84" s="53">
        <v>0.21911482836731139</v>
      </c>
    </row>
    <row r="85" spans="1:77">
      <c r="A85" s="46" t="s">
        <v>312</v>
      </c>
      <c r="B85" s="46" t="s">
        <v>313</v>
      </c>
      <c r="C85" s="46"/>
      <c r="D85" s="46"/>
      <c r="E85" s="46" t="s">
        <v>350</v>
      </c>
      <c r="F85" s="46" t="s">
        <v>315</v>
      </c>
      <c r="G85" s="46" t="s">
        <v>316</v>
      </c>
      <c r="H85" s="46" t="s">
        <v>127</v>
      </c>
      <c r="I85" s="46" t="s">
        <v>351</v>
      </c>
      <c r="J85" s="46" t="s">
        <v>128</v>
      </c>
      <c r="K85" s="46" t="s">
        <v>352</v>
      </c>
      <c r="L85" s="46"/>
      <c r="M85" s="46" t="s">
        <v>353</v>
      </c>
      <c r="N85" s="46"/>
      <c r="O85" s="46" t="s">
        <v>354</v>
      </c>
      <c r="P85" s="46" t="s">
        <v>107</v>
      </c>
      <c r="Q85" s="46">
        <v>77380</v>
      </c>
      <c r="R85" s="46" t="s">
        <v>322</v>
      </c>
      <c r="S85" s="46" t="s">
        <v>355</v>
      </c>
      <c r="T85" s="46"/>
      <c r="U85" s="46">
        <v>15</v>
      </c>
      <c r="V85" s="46" t="s">
        <v>324</v>
      </c>
      <c r="W85" s="46"/>
      <c r="X85" s="46"/>
      <c r="Y85" s="46"/>
      <c r="Z85" s="54">
        <v>43616</v>
      </c>
      <c r="AA85" s="46">
        <v>50</v>
      </c>
      <c r="AB85" s="46">
        <v>250</v>
      </c>
      <c r="AC85" s="46"/>
      <c r="AD85" s="46"/>
      <c r="AE85" s="46"/>
      <c r="AF85" s="46"/>
      <c r="AG85" s="46"/>
      <c r="AH85" s="46"/>
      <c r="AI85" s="46"/>
      <c r="AJ85" s="46"/>
      <c r="AK85" s="46"/>
      <c r="AL85" s="46"/>
      <c r="AM85" s="46"/>
      <c r="AN85" s="46"/>
      <c r="AO85" s="46"/>
      <c r="AP85" s="46"/>
      <c r="AQ85" s="46"/>
      <c r="AR85" s="46"/>
      <c r="AS85" s="46"/>
      <c r="AT85" s="46"/>
      <c r="AU85" s="46"/>
      <c r="AV85" s="46"/>
      <c r="AW85" s="46"/>
      <c r="AX85" s="46" t="s">
        <v>47</v>
      </c>
      <c r="AY85" s="46"/>
      <c r="AZ85" s="46" t="s">
        <v>325</v>
      </c>
      <c r="BA85" s="46"/>
      <c r="BB85" s="46" t="s">
        <v>132</v>
      </c>
      <c r="BC85" s="46" t="s">
        <v>326</v>
      </c>
      <c r="BD85" s="46" t="s">
        <v>327</v>
      </c>
      <c r="BE85" s="55">
        <v>43631.112526064811</v>
      </c>
      <c r="BF85" s="46"/>
      <c r="BG85" s="46"/>
      <c r="BH85" s="46"/>
      <c r="BI85" s="46" t="s">
        <v>328</v>
      </c>
      <c r="BJ85" s="46">
        <v>4.0614201916580198E+18</v>
      </c>
      <c r="BK85" s="46" t="s">
        <v>329</v>
      </c>
      <c r="BL85" s="46" t="s">
        <v>341</v>
      </c>
      <c r="BM85" s="46">
        <v>2020</v>
      </c>
      <c r="BN85" s="46" t="s">
        <v>331</v>
      </c>
      <c r="BO85" s="46"/>
      <c r="BP85" s="46">
        <v>4.0614201916580803E+18</v>
      </c>
      <c r="BQ85" s="46" t="s">
        <v>356</v>
      </c>
      <c r="BR85" s="46" t="s">
        <v>333</v>
      </c>
      <c r="BS85" s="51">
        <v>50</v>
      </c>
      <c r="BT85" s="52" t="s">
        <v>3</v>
      </c>
      <c r="BU85" s="49">
        <v>39.044258581634431</v>
      </c>
      <c r="BV85" s="49">
        <v>10.955741418365569</v>
      </c>
      <c r="BW85" s="46"/>
      <c r="BX85" s="53">
        <v>0.78088517163268867</v>
      </c>
      <c r="BY85" s="53">
        <v>0.21911482836731139</v>
      </c>
    </row>
    <row r="86" spans="1:77">
      <c r="A86" s="46" t="s">
        <v>312</v>
      </c>
      <c r="B86" s="46" t="s">
        <v>313</v>
      </c>
      <c r="C86" s="46"/>
      <c r="D86" s="46"/>
      <c r="E86" s="46" t="s">
        <v>357</v>
      </c>
      <c r="F86" s="46" t="s">
        <v>315</v>
      </c>
      <c r="G86" s="46" t="s">
        <v>316</v>
      </c>
      <c r="H86" s="46" t="s">
        <v>127</v>
      </c>
      <c r="I86" s="46" t="s">
        <v>358</v>
      </c>
      <c r="J86" s="46" t="s">
        <v>359</v>
      </c>
      <c r="K86" s="46" t="s">
        <v>360</v>
      </c>
      <c r="L86" s="46"/>
      <c r="M86" s="46" t="s">
        <v>338</v>
      </c>
      <c r="N86" s="46"/>
      <c r="O86" s="46" t="s">
        <v>339</v>
      </c>
      <c r="P86" s="46" t="s">
        <v>107</v>
      </c>
      <c r="Q86" s="46">
        <v>77389</v>
      </c>
      <c r="R86" s="46" t="s">
        <v>322</v>
      </c>
      <c r="S86" s="46" t="s">
        <v>361</v>
      </c>
      <c r="T86" s="46"/>
      <c r="U86" s="46">
        <v>15</v>
      </c>
      <c r="V86" s="46" t="s">
        <v>324</v>
      </c>
      <c r="W86" s="46"/>
      <c r="X86" s="46"/>
      <c r="Y86" s="46"/>
      <c r="Z86" s="54">
        <v>43646</v>
      </c>
      <c r="AA86" s="46">
        <v>50</v>
      </c>
      <c r="AB86" s="46">
        <v>300</v>
      </c>
      <c r="AC86" s="46"/>
      <c r="AD86" s="46"/>
      <c r="AE86" s="46"/>
      <c r="AF86" s="46"/>
      <c r="AG86" s="46"/>
      <c r="AH86" s="46"/>
      <c r="AI86" s="46"/>
      <c r="AJ86" s="46"/>
      <c r="AK86" s="46"/>
      <c r="AL86" s="46"/>
      <c r="AM86" s="46"/>
      <c r="AN86" s="46"/>
      <c r="AO86" s="46"/>
      <c r="AP86" s="46"/>
      <c r="AQ86" s="46"/>
      <c r="AR86" s="46"/>
      <c r="AS86" s="46"/>
      <c r="AT86" s="46"/>
      <c r="AU86" s="46"/>
      <c r="AV86" s="46"/>
      <c r="AW86" s="46"/>
      <c r="AX86" s="46" t="s">
        <v>47</v>
      </c>
      <c r="AY86" s="46"/>
      <c r="AZ86" s="46" t="s">
        <v>325</v>
      </c>
      <c r="BA86" s="46"/>
      <c r="BB86" s="46" t="s">
        <v>132</v>
      </c>
      <c r="BC86" s="46" t="s">
        <v>326</v>
      </c>
      <c r="BD86" s="46" t="s">
        <v>327</v>
      </c>
      <c r="BE86" s="55">
        <v>43657.143775231481</v>
      </c>
      <c r="BF86" s="46"/>
      <c r="BG86" s="46"/>
      <c r="BH86" s="46"/>
      <c r="BI86" s="46" t="s">
        <v>328</v>
      </c>
      <c r="BJ86" s="46">
        <v>4.0710201916590899E+18</v>
      </c>
      <c r="BK86" s="46" t="s">
        <v>329</v>
      </c>
      <c r="BL86" s="46" t="s">
        <v>362</v>
      </c>
      <c r="BM86" s="46">
        <v>2020</v>
      </c>
      <c r="BN86" s="46" t="s">
        <v>331</v>
      </c>
      <c r="BO86" s="46"/>
      <c r="BP86" s="46">
        <v>4.0710201916592599E+18</v>
      </c>
      <c r="BQ86" s="46" t="s">
        <v>363</v>
      </c>
      <c r="BR86" s="46" t="s">
        <v>333</v>
      </c>
      <c r="BS86" s="51">
        <v>50</v>
      </c>
      <c r="BT86" s="52" t="s">
        <v>3</v>
      </c>
      <c r="BU86" s="49">
        <v>39.044258581634431</v>
      </c>
      <c r="BV86" s="49">
        <v>10.955741418365569</v>
      </c>
      <c r="BW86" s="46"/>
      <c r="BX86" s="53">
        <v>0.78088517163268867</v>
      </c>
      <c r="BY86" s="53">
        <v>0.21911482836731139</v>
      </c>
    </row>
    <row r="87" spans="1:77">
      <c r="A87" s="46" t="s">
        <v>312</v>
      </c>
      <c r="B87" s="46" t="s">
        <v>313</v>
      </c>
      <c r="C87" s="46"/>
      <c r="D87" s="46"/>
      <c r="E87" s="46" t="s">
        <v>364</v>
      </c>
      <c r="F87" s="46" t="s">
        <v>365</v>
      </c>
      <c r="G87" s="46"/>
      <c r="H87" s="46" t="s">
        <v>366</v>
      </c>
      <c r="I87" s="46" t="s">
        <v>367</v>
      </c>
      <c r="J87" s="46"/>
      <c r="K87" s="46" t="s">
        <v>368</v>
      </c>
      <c r="L87" s="46"/>
      <c r="M87" s="46" t="s">
        <v>369</v>
      </c>
      <c r="N87" s="46"/>
      <c r="O87" s="46" t="s">
        <v>370</v>
      </c>
      <c r="P87" s="46" t="s">
        <v>107</v>
      </c>
      <c r="Q87" s="46">
        <v>77007</v>
      </c>
      <c r="R87" s="46" t="s">
        <v>371</v>
      </c>
      <c r="S87" s="46" t="s">
        <v>372</v>
      </c>
      <c r="T87" s="46"/>
      <c r="U87" s="46"/>
      <c r="V87" s="46"/>
      <c r="W87" s="46" t="s">
        <v>373</v>
      </c>
      <c r="X87" s="46"/>
      <c r="Y87" s="46"/>
      <c r="Z87" s="54">
        <v>43990</v>
      </c>
      <c r="AA87" s="46">
        <v>12.5</v>
      </c>
      <c r="AB87" s="46">
        <v>12.5</v>
      </c>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t="s">
        <v>132</v>
      </c>
      <c r="BC87" s="46" t="s">
        <v>326</v>
      </c>
      <c r="BD87" s="46" t="s">
        <v>327</v>
      </c>
      <c r="BE87" s="55">
        <v>44054.344273819443</v>
      </c>
      <c r="BF87" s="46"/>
      <c r="BG87" s="46"/>
      <c r="BH87" s="46"/>
      <c r="BI87" s="46" t="s">
        <v>328</v>
      </c>
      <c r="BJ87" s="46">
        <v>4.0721202017922499E+18</v>
      </c>
      <c r="BK87" s="46" t="s">
        <v>329</v>
      </c>
      <c r="BL87" s="46" t="s">
        <v>374</v>
      </c>
      <c r="BM87" s="46">
        <v>2020</v>
      </c>
      <c r="BN87" s="46" t="s">
        <v>331</v>
      </c>
      <c r="BO87" s="46"/>
      <c r="BP87" s="46">
        <v>4.0810202018201902E+18</v>
      </c>
      <c r="BQ87" s="46" t="s">
        <v>375</v>
      </c>
      <c r="BR87" s="46" t="s">
        <v>333</v>
      </c>
      <c r="BS87" s="51">
        <v>12.5</v>
      </c>
      <c r="BT87" s="46" t="s">
        <v>2</v>
      </c>
      <c r="BU87" s="49"/>
      <c r="BV87" s="49">
        <v>12.5</v>
      </c>
      <c r="BW87" s="46"/>
      <c r="BX87" s="53"/>
      <c r="BY87" s="53">
        <v>1</v>
      </c>
    </row>
    <row r="88" spans="1:77">
      <c r="A88" s="46" t="s">
        <v>312</v>
      </c>
      <c r="B88" s="46" t="s">
        <v>313</v>
      </c>
      <c r="C88" s="46"/>
      <c r="D88" s="46"/>
      <c r="E88" s="46" t="s">
        <v>376</v>
      </c>
      <c r="F88" s="46" t="s">
        <v>365</v>
      </c>
      <c r="G88" s="46"/>
      <c r="H88" s="46" t="s">
        <v>366</v>
      </c>
      <c r="I88" s="46" t="s">
        <v>377</v>
      </c>
      <c r="J88" s="46"/>
      <c r="K88" s="46" t="s">
        <v>378</v>
      </c>
      <c r="L88" s="46"/>
      <c r="M88" s="46" t="s">
        <v>379</v>
      </c>
      <c r="N88" s="46"/>
      <c r="O88" s="46" t="s">
        <v>370</v>
      </c>
      <c r="P88" s="46" t="s">
        <v>107</v>
      </c>
      <c r="Q88" s="46">
        <v>77008</v>
      </c>
      <c r="R88" s="46" t="s">
        <v>371</v>
      </c>
      <c r="S88" s="46" t="s">
        <v>380</v>
      </c>
      <c r="T88" s="46"/>
      <c r="U88" s="46"/>
      <c r="V88" s="46"/>
      <c r="W88" s="46" t="s">
        <v>381</v>
      </c>
      <c r="X88" s="46"/>
      <c r="Y88" s="46"/>
      <c r="Z88" s="54">
        <v>44055</v>
      </c>
      <c r="AA88" s="46">
        <v>10</v>
      </c>
      <c r="AB88" s="46">
        <v>10</v>
      </c>
      <c r="AC88" s="46"/>
      <c r="AD88" s="46"/>
      <c r="AE88" s="46"/>
      <c r="AF88" s="46"/>
      <c r="AG88" s="46"/>
      <c r="AH88" s="46"/>
      <c r="AI88" s="46"/>
      <c r="AJ88" s="46"/>
      <c r="AK88" s="46"/>
      <c r="AL88" s="46"/>
      <c r="AM88" s="46"/>
      <c r="AN88" s="46"/>
      <c r="AO88" s="46"/>
      <c r="AP88" s="46"/>
      <c r="AQ88" s="46"/>
      <c r="AR88" s="46"/>
      <c r="AS88" s="46"/>
      <c r="AT88" s="46"/>
      <c r="AU88" s="46"/>
      <c r="AV88" s="46"/>
      <c r="AW88" s="46" t="s">
        <v>382</v>
      </c>
      <c r="AX88" s="46"/>
      <c r="AY88" s="46"/>
      <c r="AZ88" s="46"/>
      <c r="BA88" s="46"/>
      <c r="BB88" s="46" t="s">
        <v>132</v>
      </c>
      <c r="BC88" s="46" t="s">
        <v>326</v>
      </c>
      <c r="BD88" s="46" t="s">
        <v>327</v>
      </c>
      <c r="BE88" s="55">
        <v>44209.450804930559</v>
      </c>
      <c r="BF88" s="46"/>
      <c r="BG88" s="46"/>
      <c r="BH88" s="46"/>
      <c r="BI88" s="46" t="s">
        <v>328</v>
      </c>
      <c r="BJ88" s="46">
        <v>4.1215202019740099E+18</v>
      </c>
      <c r="BK88" s="46" t="s">
        <v>329</v>
      </c>
      <c r="BL88" s="46" t="s">
        <v>383</v>
      </c>
      <c r="BM88" s="46">
        <v>2020</v>
      </c>
      <c r="BN88" s="46" t="s">
        <v>331</v>
      </c>
      <c r="BO88" s="46"/>
      <c r="BP88" s="46">
        <v>4.01122021207202E+18</v>
      </c>
      <c r="BQ88" s="46" t="s">
        <v>384</v>
      </c>
      <c r="BR88" s="46" t="s">
        <v>333</v>
      </c>
      <c r="BS88" s="51">
        <v>10</v>
      </c>
      <c r="BT88" s="46" t="s">
        <v>2</v>
      </c>
      <c r="BU88" s="49"/>
      <c r="BV88" s="49">
        <v>10</v>
      </c>
      <c r="BW88" s="46"/>
      <c r="BX88" s="53"/>
      <c r="BY88" s="53">
        <v>1</v>
      </c>
    </row>
    <row r="89" spans="1:77">
      <c r="A89" s="46" t="s">
        <v>312</v>
      </c>
      <c r="B89" s="46" t="s">
        <v>313</v>
      </c>
      <c r="C89" s="46"/>
      <c r="D89" s="46"/>
      <c r="E89" s="46" t="s">
        <v>385</v>
      </c>
      <c r="F89" s="46" t="s">
        <v>365</v>
      </c>
      <c r="G89" s="46"/>
      <c r="H89" s="46" t="s">
        <v>366</v>
      </c>
      <c r="I89" s="46" t="s">
        <v>386</v>
      </c>
      <c r="J89" s="46"/>
      <c r="K89" s="46" t="s">
        <v>387</v>
      </c>
      <c r="L89" s="46"/>
      <c r="M89" s="46" t="s">
        <v>388</v>
      </c>
      <c r="N89" s="46"/>
      <c r="O89" s="46" t="s">
        <v>389</v>
      </c>
      <c r="P89" s="46" t="s">
        <v>107</v>
      </c>
      <c r="Q89" s="46">
        <v>77384</v>
      </c>
      <c r="R89" s="46" t="s">
        <v>371</v>
      </c>
      <c r="S89" s="46" t="s">
        <v>390</v>
      </c>
      <c r="T89" s="46"/>
      <c r="U89" s="46"/>
      <c r="V89" s="46"/>
      <c r="W89" s="46" t="s">
        <v>373</v>
      </c>
      <c r="X89" s="46"/>
      <c r="Y89" s="46"/>
      <c r="Z89" s="54">
        <v>44061</v>
      </c>
      <c r="AA89" s="46">
        <v>25</v>
      </c>
      <c r="AB89" s="46">
        <v>25</v>
      </c>
      <c r="AC89" s="46"/>
      <c r="AD89" s="46"/>
      <c r="AE89" s="46"/>
      <c r="AF89" s="46"/>
      <c r="AG89" s="46"/>
      <c r="AH89" s="46"/>
      <c r="AI89" s="46"/>
      <c r="AJ89" s="46"/>
      <c r="AK89" s="46"/>
      <c r="AL89" s="46"/>
      <c r="AM89" s="46"/>
      <c r="AN89" s="46"/>
      <c r="AO89" s="46"/>
      <c r="AP89" s="46"/>
      <c r="AQ89" s="46"/>
      <c r="AR89" s="46"/>
      <c r="AS89" s="46"/>
      <c r="AT89" s="46"/>
      <c r="AU89" s="46"/>
      <c r="AV89" s="46"/>
      <c r="AW89" s="46" t="s">
        <v>382</v>
      </c>
      <c r="AX89" s="46"/>
      <c r="AY89" s="46"/>
      <c r="AZ89" s="46"/>
      <c r="BA89" s="46"/>
      <c r="BB89" s="46" t="s">
        <v>132</v>
      </c>
      <c r="BC89" s="46" t="s">
        <v>326</v>
      </c>
      <c r="BD89" s="46" t="s">
        <v>327</v>
      </c>
      <c r="BE89" s="55">
        <v>44209.410361122682</v>
      </c>
      <c r="BF89" s="46"/>
      <c r="BG89" s="46"/>
      <c r="BH89" s="46"/>
      <c r="BI89" s="46" t="s">
        <v>328</v>
      </c>
      <c r="BJ89" s="46">
        <v>4.1215202019740099E+18</v>
      </c>
      <c r="BK89" s="46" t="s">
        <v>329</v>
      </c>
      <c r="BL89" s="46" t="s">
        <v>391</v>
      </c>
      <c r="BM89" s="46">
        <v>2020</v>
      </c>
      <c r="BN89" s="46" t="s">
        <v>331</v>
      </c>
      <c r="BO89" s="46"/>
      <c r="BP89" s="46">
        <v>4.01122021207437E+18</v>
      </c>
      <c r="BQ89" s="46" t="s">
        <v>392</v>
      </c>
      <c r="BR89" s="46" t="s">
        <v>333</v>
      </c>
      <c r="BS89" s="51">
        <v>25</v>
      </c>
      <c r="BT89" s="46" t="s">
        <v>2</v>
      </c>
      <c r="BU89" s="49"/>
      <c r="BV89" s="49">
        <v>25</v>
      </c>
      <c r="BW89" s="46"/>
      <c r="BX89" s="53"/>
      <c r="BY89" s="53">
        <v>1</v>
      </c>
    </row>
    <row r="90" spans="1:77">
      <c r="A90" s="46" t="s">
        <v>312</v>
      </c>
      <c r="B90" s="46" t="s">
        <v>313</v>
      </c>
      <c r="C90" s="46"/>
      <c r="D90" s="46"/>
      <c r="E90" s="46" t="s">
        <v>393</v>
      </c>
      <c r="F90" s="46" t="s">
        <v>365</v>
      </c>
      <c r="G90" s="46"/>
      <c r="H90" s="46" t="s">
        <v>366</v>
      </c>
      <c r="I90" s="46" t="s">
        <v>394</v>
      </c>
      <c r="J90" s="46"/>
      <c r="K90" s="46" t="s">
        <v>395</v>
      </c>
      <c r="L90" s="46"/>
      <c r="M90" s="46" t="s">
        <v>396</v>
      </c>
      <c r="N90" s="46"/>
      <c r="O90" s="46" t="s">
        <v>397</v>
      </c>
      <c r="P90" s="46" t="s">
        <v>219</v>
      </c>
      <c r="Q90" s="46">
        <v>20176</v>
      </c>
      <c r="R90" s="46" t="s">
        <v>371</v>
      </c>
      <c r="S90" s="46" t="s">
        <v>398</v>
      </c>
      <c r="T90" s="46"/>
      <c r="U90" s="46"/>
      <c r="V90" s="46"/>
      <c r="W90" s="46" t="s">
        <v>373</v>
      </c>
      <c r="X90" s="46"/>
      <c r="Y90" s="46"/>
      <c r="Z90" s="54">
        <v>43803</v>
      </c>
      <c r="AA90" s="46">
        <v>20</v>
      </c>
      <c r="AB90" s="46">
        <v>100</v>
      </c>
      <c r="AC90" s="46"/>
      <c r="AD90" s="46"/>
      <c r="AE90" s="46"/>
      <c r="AF90" s="46"/>
      <c r="AG90" s="46"/>
      <c r="AH90" s="46"/>
      <c r="AI90" s="46"/>
      <c r="AJ90" s="46"/>
      <c r="AK90" s="46"/>
      <c r="AL90" s="46"/>
      <c r="AM90" s="46"/>
      <c r="AN90" s="46"/>
      <c r="AO90" s="46"/>
      <c r="AP90" s="46"/>
      <c r="AQ90" s="46"/>
      <c r="AR90" s="46"/>
      <c r="AS90" s="46"/>
      <c r="AT90" s="46"/>
      <c r="AU90" s="46"/>
      <c r="AV90" s="46"/>
      <c r="AW90" s="46" t="s">
        <v>382</v>
      </c>
      <c r="AX90" s="46"/>
      <c r="AY90" s="46"/>
      <c r="AZ90" s="46"/>
      <c r="BA90" s="46"/>
      <c r="BB90" s="46" t="s">
        <v>132</v>
      </c>
      <c r="BC90" s="46" t="s">
        <v>326</v>
      </c>
      <c r="BD90" s="46" t="s">
        <v>327</v>
      </c>
      <c r="BE90" s="55">
        <v>43894.448898819443</v>
      </c>
      <c r="BF90" s="46"/>
      <c r="BG90" s="46"/>
      <c r="BH90" s="46"/>
      <c r="BI90" s="46" t="s">
        <v>328</v>
      </c>
      <c r="BJ90" s="46">
        <v>4.02012020168638E+18</v>
      </c>
      <c r="BK90" s="46" t="s">
        <v>329</v>
      </c>
      <c r="BL90" s="46" t="s">
        <v>399</v>
      </c>
      <c r="BM90" s="46">
        <v>2020</v>
      </c>
      <c r="BN90" s="46" t="s">
        <v>331</v>
      </c>
      <c r="BO90" s="46"/>
      <c r="BP90" s="46">
        <v>4.0302202012201902E+18</v>
      </c>
      <c r="BQ90" s="46" t="s">
        <v>400</v>
      </c>
      <c r="BR90" s="46" t="s">
        <v>333</v>
      </c>
      <c r="BS90" s="51">
        <v>20</v>
      </c>
      <c r="BT90" s="46" t="s">
        <v>2</v>
      </c>
      <c r="BU90" s="49"/>
      <c r="BV90" s="49">
        <v>20</v>
      </c>
      <c r="BW90" s="46"/>
      <c r="BX90" s="53"/>
      <c r="BY90" s="53">
        <v>1</v>
      </c>
    </row>
    <row r="91" spans="1:77">
      <c r="A91" s="46" t="s">
        <v>312</v>
      </c>
      <c r="B91" s="46" t="s">
        <v>313</v>
      </c>
      <c r="C91" s="46"/>
      <c r="D91" s="46"/>
      <c r="E91" s="46" t="s">
        <v>401</v>
      </c>
      <c r="F91" s="46" t="s">
        <v>365</v>
      </c>
      <c r="G91" s="46"/>
      <c r="H91" s="46" t="s">
        <v>366</v>
      </c>
      <c r="I91" s="46" t="s">
        <v>402</v>
      </c>
      <c r="J91" s="46"/>
      <c r="K91" s="46" t="s">
        <v>403</v>
      </c>
      <c r="L91" s="46"/>
      <c r="M91" s="46" t="s">
        <v>404</v>
      </c>
      <c r="N91" s="46"/>
      <c r="O91" s="46" t="s">
        <v>354</v>
      </c>
      <c r="P91" s="46" t="s">
        <v>107</v>
      </c>
      <c r="Q91" s="46">
        <v>77393</v>
      </c>
      <c r="R91" s="46" t="s">
        <v>322</v>
      </c>
      <c r="S91" s="46" t="s">
        <v>405</v>
      </c>
      <c r="T91" s="46"/>
      <c r="U91" s="46"/>
      <c r="V91" s="46"/>
      <c r="W91" s="46" t="s">
        <v>373</v>
      </c>
      <c r="X91" s="46"/>
      <c r="Y91" s="46"/>
      <c r="Z91" s="54">
        <v>44146</v>
      </c>
      <c r="AA91" s="46">
        <v>8.34</v>
      </c>
      <c r="AB91" s="46">
        <v>16.670000000000002</v>
      </c>
      <c r="AC91" s="46"/>
      <c r="AD91" s="46"/>
      <c r="AE91" s="46"/>
      <c r="AF91" s="46"/>
      <c r="AG91" s="46"/>
      <c r="AH91" s="46"/>
      <c r="AI91" s="46"/>
      <c r="AJ91" s="46"/>
      <c r="AK91" s="46"/>
      <c r="AL91" s="46"/>
      <c r="AM91" s="46"/>
      <c r="AN91" s="46"/>
      <c r="AO91" s="46"/>
      <c r="AP91" s="46"/>
      <c r="AQ91" s="46"/>
      <c r="AR91" s="46"/>
      <c r="AS91" s="46"/>
      <c r="AT91" s="46"/>
      <c r="AU91" s="46"/>
      <c r="AV91" s="46"/>
      <c r="AW91" s="46" t="s">
        <v>382</v>
      </c>
      <c r="AX91" s="46"/>
      <c r="AY91" s="46"/>
      <c r="AZ91" s="46"/>
      <c r="BA91" s="46"/>
      <c r="BB91" s="46" t="s">
        <v>132</v>
      </c>
      <c r="BC91" s="46" t="s">
        <v>326</v>
      </c>
      <c r="BD91" s="46" t="s">
        <v>327</v>
      </c>
      <c r="BE91" s="55">
        <v>44201.56457667824</v>
      </c>
      <c r="BF91" s="46"/>
      <c r="BG91" s="46"/>
      <c r="BH91" s="46"/>
      <c r="BI91" s="46" t="s">
        <v>328</v>
      </c>
      <c r="BJ91" s="46">
        <v>4.1205202019644498E+18</v>
      </c>
      <c r="BK91" s="46" t="s">
        <v>329</v>
      </c>
      <c r="BL91" s="46" t="s">
        <v>406</v>
      </c>
      <c r="BM91" s="46">
        <v>2020</v>
      </c>
      <c r="BN91" s="46" t="s">
        <v>331</v>
      </c>
      <c r="BO91" s="46"/>
      <c r="BP91" s="46">
        <v>4.01042021200911E+18</v>
      </c>
      <c r="BQ91" s="46" t="s">
        <v>407</v>
      </c>
      <c r="BR91" s="46" t="s">
        <v>333</v>
      </c>
      <c r="BS91" s="51">
        <v>8.34</v>
      </c>
      <c r="BT91" s="46" t="s">
        <v>2</v>
      </c>
      <c r="BU91" s="49"/>
      <c r="BV91" s="49">
        <v>8.34</v>
      </c>
      <c r="BW91" s="46"/>
      <c r="BX91" s="53"/>
      <c r="BY91" s="53">
        <v>1</v>
      </c>
    </row>
    <row r="92" spans="1:77">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1"/>
      <c r="BT92" s="56"/>
      <c r="BU92" s="57"/>
      <c r="BV92" s="57"/>
      <c r="BW92" s="56"/>
      <c r="BX92" s="58"/>
      <c r="BY92" s="58"/>
    </row>
    <row r="93" spans="1:77">
      <c r="A93" s="46" t="s">
        <v>312</v>
      </c>
      <c r="B93" s="46" t="s">
        <v>313</v>
      </c>
      <c r="C93" s="46"/>
      <c r="D93" s="46"/>
      <c r="E93" s="46" t="s">
        <v>408</v>
      </c>
      <c r="F93" s="46" t="s">
        <v>315</v>
      </c>
      <c r="G93" s="46" t="s">
        <v>316</v>
      </c>
      <c r="H93" s="46" t="s">
        <v>127</v>
      </c>
      <c r="I93" s="46" t="s">
        <v>409</v>
      </c>
      <c r="J93" s="46" t="s">
        <v>410</v>
      </c>
      <c r="K93" s="46" t="s">
        <v>411</v>
      </c>
      <c r="L93" s="46"/>
      <c r="M93" s="46" t="s">
        <v>338</v>
      </c>
      <c r="N93" s="46"/>
      <c r="O93" s="46" t="s">
        <v>339</v>
      </c>
      <c r="P93" s="46" t="s">
        <v>107</v>
      </c>
      <c r="Q93" s="46">
        <v>77389</v>
      </c>
      <c r="R93" s="46" t="s">
        <v>322</v>
      </c>
      <c r="S93" s="46" t="s">
        <v>412</v>
      </c>
      <c r="T93" s="46"/>
      <c r="U93" s="46">
        <v>15</v>
      </c>
      <c r="V93" s="46" t="s">
        <v>324</v>
      </c>
      <c r="W93" s="46"/>
      <c r="X93" s="46"/>
      <c r="Y93" s="46"/>
      <c r="Z93" s="54">
        <v>43616</v>
      </c>
      <c r="AA93" s="46">
        <v>90</v>
      </c>
      <c r="AB93" s="46">
        <v>450</v>
      </c>
      <c r="AC93" s="46"/>
      <c r="AD93" s="46"/>
      <c r="AE93" s="46"/>
      <c r="AF93" s="46"/>
      <c r="AG93" s="46"/>
      <c r="AH93" s="46"/>
      <c r="AI93" s="46"/>
      <c r="AJ93" s="46"/>
      <c r="AK93" s="46"/>
      <c r="AL93" s="46"/>
      <c r="AM93" s="46"/>
      <c r="AN93" s="46"/>
      <c r="AO93" s="46"/>
      <c r="AP93" s="46"/>
      <c r="AQ93" s="46"/>
      <c r="AR93" s="46"/>
      <c r="AS93" s="46"/>
      <c r="AT93" s="46"/>
      <c r="AU93" s="46"/>
      <c r="AV93" s="46"/>
      <c r="AW93" s="46"/>
      <c r="AX93" s="46" t="s">
        <v>47</v>
      </c>
      <c r="AY93" s="46"/>
      <c r="AZ93" s="46" t="s">
        <v>325</v>
      </c>
      <c r="BA93" s="46"/>
      <c r="BB93" s="46" t="s">
        <v>132</v>
      </c>
      <c r="BC93" s="46" t="s">
        <v>326</v>
      </c>
      <c r="BD93" s="46" t="s">
        <v>327</v>
      </c>
      <c r="BE93" s="55">
        <v>43631.112526655095</v>
      </c>
      <c r="BF93" s="46"/>
      <c r="BG93" s="46"/>
      <c r="BH93" s="46"/>
      <c r="BI93" s="46" t="s">
        <v>328</v>
      </c>
      <c r="BJ93" s="46">
        <v>4.0614201916580198E+18</v>
      </c>
      <c r="BK93" s="46" t="s">
        <v>329</v>
      </c>
      <c r="BL93" s="46" t="s">
        <v>413</v>
      </c>
      <c r="BM93" s="46">
        <v>2020</v>
      </c>
      <c r="BN93" s="46" t="s">
        <v>331</v>
      </c>
      <c r="BO93" s="46"/>
      <c r="BP93" s="46">
        <v>4.0614201916580803E+18</v>
      </c>
      <c r="BQ93" s="46" t="s">
        <v>414</v>
      </c>
      <c r="BR93" s="46" t="s">
        <v>333</v>
      </c>
      <c r="BS93" s="51">
        <v>90</v>
      </c>
      <c r="BT93" s="52" t="s">
        <v>3</v>
      </c>
      <c r="BU93" s="49">
        <v>70.279665446941976</v>
      </c>
      <c r="BV93" s="49">
        <v>19.720334553058024</v>
      </c>
      <c r="BW93" s="46"/>
      <c r="BX93" s="53">
        <v>0.78088517163268867</v>
      </c>
      <c r="BY93" s="53">
        <v>0.21911482836731139</v>
      </c>
    </row>
    <row r="94" spans="1:77">
      <c r="A94" s="46" t="s">
        <v>312</v>
      </c>
      <c r="B94" s="46" t="s">
        <v>313</v>
      </c>
      <c r="C94" s="46"/>
      <c r="D94" s="46"/>
      <c r="E94" s="46" t="s">
        <v>415</v>
      </c>
      <c r="F94" s="46" t="s">
        <v>315</v>
      </c>
      <c r="G94" s="46" t="s">
        <v>316</v>
      </c>
      <c r="H94" s="46" t="s">
        <v>127</v>
      </c>
      <c r="I94" s="46" t="s">
        <v>416</v>
      </c>
      <c r="J94" s="46" t="s">
        <v>127</v>
      </c>
      <c r="K94" s="46" t="s">
        <v>417</v>
      </c>
      <c r="L94" s="46"/>
      <c r="M94" s="46" t="s">
        <v>418</v>
      </c>
      <c r="N94" s="46"/>
      <c r="O94" s="46" t="s">
        <v>419</v>
      </c>
      <c r="P94" s="46" t="s">
        <v>107</v>
      </c>
      <c r="Q94" s="46">
        <v>75039</v>
      </c>
      <c r="R94" s="46" t="s">
        <v>322</v>
      </c>
      <c r="S94" s="46" t="s">
        <v>420</v>
      </c>
      <c r="T94" s="46"/>
      <c r="U94" s="46">
        <v>15</v>
      </c>
      <c r="V94" s="46" t="s">
        <v>324</v>
      </c>
      <c r="W94" s="46"/>
      <c r="X94" s="46"/>
      <c r="Y94" s="46"/>
      <c r="Z94" s="54">
        <v>43769</v>
      </c>
      <c r="AA94" s="46">
        <v>70</v>
      </c>
      <c r="AB94" s="46">
        <v>700</v>
      </c>
      <c r="AC94" s="46"/>
      <c r="AD94" s="46"/>
      <c r="AE94" s="46"/>
      <c r="AF94" s="46"/>
      <c r="AG94" s="46"/>
      <c r="AH94" s="46"/>
      <c r="AI94" s="46"/>
      <c r="AJ94" s="46"/>
      <c r="AK94" s="46"/>
      <c r="AL94" s="46"/>
      <c r="AM94" s="46"/>
      <c r="AN94" s="46"/>
      <c r="AO94" s="46"/>
      <c r="AP94" s="46"/>
      <c r="AQ94" s="46"/>
      <c r="AR94" s="46"/>
      <c r="AS94" s="46"/>
      <c r="AT94" s="46"/>
      <c r="AU94" s="46"/>
      <c r="AV94" s="46"/>
      <c r="AW94" s="46"/>
      <c r="AX94" s="46" t="s">
        <v>47</v>
      </c>
      <c r="AY94" s="46"/>
      <c r="AZ94" s="46" t="s">
        <v>325</v>
      </c>
      <c r="BA94" s="46"/>
      <c r="BB94" s="46" t="s">
        <v>132</v>
      </c>
      <c r="BC94" s="46" t="s">
        <v>326</v>
      </c>
      <c r="BD94" s="46" t="s">
        <v>327</v>
      </c>
      <c r="BE94" s="55">
        <v>43782.06843388889</v>
      </c>
      <c r="BF94" s="46"/>
      <c r="BG94" s="46"/>
      <c r="BH94" s="46"/>
      <c r="BI94" s="46" t="s">
        <v>328</v>
      </c>
      <c r="BJ94" s="46">
        <v>4.1112201916786299E+18</v>
      </c>
      <c r="BK94" s="46" t="s">
        <v>329</v>
      </c>
      <c r="BL94" s="46" t="s">
        <v>421</v>
      </c>
      <c r="BM94" s="46">
        <v>2020</v>
      </c>
      <c r="BN94" s="46" t="s">
        <v>331</v>
      </c>
      <c r="BO94" s="46"/>
      <c r="BP94" s="46">
        <v>4.1112201916786401E+18</v>
      </c>
      <c r="BQ94" s="46" t="s">
        <v>422</v>
      </c>
      <c r="BR94" s="46" t="s">
        <v>333</v>
      </c>
      <c r="BS94" s="51">
        <v>70</v>
      </c>
      <c r="BT94" s="52" t="s">
        <v>3</v>
      </c>
      <c r="BU94" s="49">
        <v>54.661962014288207</v>
      </c>
      <c r="BV94" s="49">
        <v>15.338037985711797</v>
      </c>
      <c r="BW94" s="46"/>
      <c r="BX94" s="53">
        <v>0.78088517163268867</v>
      </c>
      <c r="BY94" s="53">
        <v>0.21911482836731139</v>
      </c>
    </row>
    <row r="95" spans="1:77">
      <c r="A95" s="46" t="s">
        <v>312</v>
      </c>
      <c r="B95" s="46" t="s">
        <v>313</v>
      </c>
      <c r="C95" s="46" t="s">
        <v>423</v>
      </c>
      <c r="D95" s="46"/>
      <c r="E95" s="46" t="s">
        <v>424</v>
      </c>
      <c r="F95" s="46" t="s">
        <v>365</v>
      </c>
      <c r="G95" s="46"/>
      <c r="H95" s="46" t="s">
        <v>366</v>
      </c>
      <c r="I95" s="46" t="s">
        <v>425</v>
      </c>
      <c r="J95" s="46"/>
      <c r="K95" s="46" t="s">
        <v>426</v>
      </c>
      <c r="L95" s="46"/>
      <c r="M95" s="46" t="s">
        <v>427</v>
      </c>
      <c r="N95" s="46"/>
      <c r="O95" s="46" t="s">
        <v>339</v>
      </c>
      <c r="P95" s="46" t="s">
        <v>107</v>
      </c>
      <c r="Q95" s="46">
        <v>773797207</v>
      </c>
      <c r="R95" s="46" t="s">
        <v>371</v>
      </c>
      <c r="S95" s="46" t="s">
        <v>372</v>
      </c>
      <c r="T95" s="46" t="s">
        <v>423</v>
      </c>
      <c r="U95" s="46" t="s">
        <v>428</v>
      </c>
      <c r="V95" s="46" t="s">
        <v>429</v>
      </c>
      <c r="W95" s="46" t="s">
        <v>430</v>
      </c>
      <c r="X95" s="46"/>
      <c r="Y95" s="46"/>
      <c r="Z95" s="54">
        <v>44098</v>
      </c>
      <c r="AA95" s="46">
        <v>100</v>
      </c>
      <c r="AB95" s="46">
        <v>300</v>
      </c>
      <c r="AC95" s="46" t="s">
        <v>431</v>
      </c>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t="s">
        <v>132</v>
      </c>
      <c r="BC95" s="46" t="s">
        <v>326</v>
      </c>
      <c r="BD95" s="46" t="s">
        <v>327</v>
      </c>
      <c r="BE95" s="55">
        <v>44252.618193981485</v>
      </c>
      <c r="BF95" s="46"/>
      <c r="BG95" s="46"/>
      <c r="BH95" s="46"/>
      <c r="BI95" s="46" t="s">
        <v>328</v>
      </c>
      <c r="BJ95" s="46">
        <v>4.0125202121377597E+18</v>
      </c>
      <c r="BK95" s="46" t="s">
        <v>329</v>
      </c>
      <c r="BL95" s="46"/>
      <c r="BM95" s="46">
        <v>2020</v>
      </c>
      <c r="BN95" s="46" t="s">
        <v>331</v>
      </c>
      <c r="BO95" s="46"/>
      <c r="BP95" s="46">
        <v>4.0224202111785098E+18</v>
      </c>
      <c r="BQ95" s="46" t="s">
        <v>432</v>
      </c>
      <c r="BR95" s="46" t="s">
        <v>333</v>
      </c>
      <c r="BS95" s="51">
        <v>100</v>
      </c>
      <c r="BT95" s="46" t="s">
        <v>3</v>
      </c>
      <c r="BU95" s="49">
        <v>100</v>
      </c>
      <c r="BV95" s="49"/>
      <c r="BW95" s="46"/>
      <c r="BX95" s="53">
        <v>1</v>
      </c>
      <c r="BY95" s="53"/>
    </row>
    <row r="96" spans="1:77">
      <c r="A96" s="46" t="s">
        <v>312</v>
      </c>
      <c r="B96" s="46" t="s">
        <v>313</v>
      </c>
      <c r="C96" s="46"/>
      <c r="D96" s="46"/>
      <c r="E96" s="46" t="s">
        <v>433</v>
      </c>
      <c r="F96" s="46" t="s">
        <v>315</v>
      </c>
      <c r="G96" s="46" t="s">
        <v>316</v>
      </c>
      <c r="H96" s="46" t="s">
        <v>127</v>
      </c>
      <c r="I96" s="46" t="s">
        <v>434</v>
      </c>
      <c r="J96" s="46" t="s">
        <v>130</v>
      </c>
      <c r="K96" s="46" t="s">
        <v>435</v>
      </c>
      <c r="L96" s="46"/>
      <c r="M96" s="46" t="s">
        <v>436</v>
      </c>
      <c r="N96" s="46"/>
      <c r="O96" s="46" t="s">
        <v>419</v>
      </c>
      <c r="P96" s="46" t="s">
        <v>107</v>
      </c>
      <c r="Q96" s="46">
        <v>75039</v>
      </c>
      <c r="R96" s="46" t="s">
        <v>322</v>
      </c>
      <c r="S96" s="46" t="s">
        <v>437</v>
      </c>
      <c r="T96" s="46"/>
      <c r="U96" s="46">
        <v>15</v>
      </c>
      <c r="V96" s="46" t="s">
        <v>324</v>
      </c>
      <c r="W96" s="46"/>
      <c r="X96" s="46"/>
      <c r="Y96" s="46"/>
      <c r="Z96" s="54">
        <v>43738</v>
      </c>
      <c r="AA96" s="46">
        <v>60</v>
      </c>
      <c r="AB96" s="46">
        <v>540</v>
      </c>
      <c r="AC96" s="46"/>
      <c r="AD96" s="46"/>
      <c r="AE96" s="46"/>
      <c r="AF96" s="46"/>
      <c r="AG96" s="46"/>
      <c r="AH96" s="46"/>
      <c r="AI96" s="46"/>
      <c r="AJ96" s="46"/>
      <c r="AK96" s="46"/>
      <c r="AL96" s="46"/>
      <c r="AM96" s="46"/>
      <c r="AN96" s="46"/>
      <c r="AO96" s="46"/>
      <c r="AP96" s="46"/>
      <c r="AQ96" s="46"/>
      <c r="AR96" s="46"/>
      <c r="AS96" s="46"/>
      <c r="AT96" s="46"/>
      <c r="AU96" s="46"/>
      <c r="AV96" s="46"/>
      <c r="AW96" s="46"/>
      <c r="AX96" s="46" t="s">
        <v>47</v>
      </c>
      <c r="AY96" s="46"/>
      <c r="AZ96" s="46" t="s">
        <v>325</v>
      </c>
      <c r="BA96" s="46"/>
      <c r="BB96" s="46" t="s">
        <v>132</v>
      </c>
      <c r="BC96" s="46" t="s">
        <v>326</v>
      </c>
      <c r="BD96" s="46" t="s">
        <v>327</v>
      </c>
      <c r="BE96" s="55">
        <v>43746.104349513887</v>
      </c>
      <c r="BF96" s="46"/>
      <c r="BG96" s="46"/>
      <c r="BH96" s="46"/>
      <c r="BI96" s="46" t="s">
        <v>328</v>
      </c>
      <c r="BJ96" s="46">
        <v>4.1007201916737802E+18</v>
      </c>
      <c r="BK96" s="46" t="s">
        <v>329</v>
      </c>
      <c r="BL96" s="46" t="s">
        <v>438</v>
      </c>
      <c r="BM96" s="46">
        <v>2020</v>
      </c>
      <c r="BN96" s="46" t="s">
        <v>331</v>
      </c>
      <c r="BO96" s="46"/>
      <c r="BP96" s="46">
        <v>4.1007201916740198E+18</v>
      </c>
      <c r="BQ96" s="46" t="s">
        <v>439</v>
      </c>
      <c r="BR96" s="46" t="s">
        <v>333</v>
      </c>
      <c r="BS96" s="51">
        <v>60</v>
      </c>
      <c r="BT96" s="52" t="s">
        <v>3</v>
      </c>
      <c r="BU96" s="49">
        <v>46.853110297961322</v>
      </c>
      <c r="BV96" s="49">
        <v>13.146889702038683</v>
      </c>
      <c r="BW96" s="46"/>
      <c r="BX96" s="53">
        <v>0.78088517163268867</v>
      </c>
      <c r="BY96" s="53">
        <v>0.21911482836731139</v>
      </c>
    </row>
    <row r="97" spans="1:77">
      <c r="A97" s="46" t="s">
        <v>312</v>
      </c>
      <c r="B97" s="46" t="s">
        <v>313</v>
      </c>
      <c r="C97" s="46"/>
      <c r="D97" s="46"/>
      <c r="E97" s="46" t="s">
        <v>440</v>
      </c>
      <c r="F97" s="46" t="s">
        <v>410</v>
      </c>
      <c r="G97" s="46"/>
      <c r="H97" s="46" t="s">
        <v>366</v>
      </c>
      <c r="I97" s="46" t="s">
        <v>441</v>
      </c>
      <c r="J97" s="46"/>
      <c r="K97" s="46" t="s">
        <v>442</v>
      </c>
      <c r="L97" s="46"/>
      <c r="M97" s="46" t="s">
        <v>443</v>
      </c>
      <c r="N97" s="46"/>
      <c r="O97" s="46" t="s">
        <v>444</v>
      </c>
      <c r="P97" s="46" t="s">
        <v>445</v>
      </c>
      <c r="Q97" s="46">
        <v>19971</v>
      </c>
      <c r="R97" s="46" t="s">
        <v>371</v>
      </c>
      <c r="S97" s="46" t="s">
        <v>446</v>
      </c>
      <c r="T97" s="46"/>
      <c r="U97" s="46"/>
      <c r="V97" s="46"/>
      <c r="W97" s="46" t="s">
        <v>373</v>
      </c>
      <c r="X97" s="46"/>
      <c r="Y97" s="46"/>
      <c r="Z97" s="54">
        <v>43557</v>
      </c>
      <c r="AA97" s="46">
        <v>100</v>
      </c>
      <c r="AB97" s="46">
        <v>100</v>
      </c>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t="s">
        <v>132</v>
      </c>
      <c r="BC97" s="46" t="s">
        <v>326</v>
      </c>
      <c r="BD97" s="46" t="s">
        <v>327</v>
      </c>
      <c r="BE97" s="55">
        <v>43706.829009675923</v>
      </c>
      <c r="BF97" s="46"/>
      <c r="BG97" s="46"/>
      <c r="BH97" s="46"/>
      <c r="BI97" s="46" t="s">
        <v>328</v>
      </c>
      <c r="BJ97" s="46">
        <v>4.0801201916624399E+18</v>
      </c>
      <c r="BK97" s="46" t="s">
        <v>329</v>
      </c>
      <c r="BL97" s="46" t="s">
        <v>447</v>
      </c>
      <c r="BM97" s="46">
        <v>2020</v>
      </c>
      <c r="BN97" s="46" t="s">
        <v>331</v>
      </c>
      <c r="BO97" s="46"/>
      <c r="BP97" s="46">
        <v>4.0828201911328599E+18</v>
      </c>
      <c r="BQ97" s="46" t="s">
        <v>448</v>
      </c>
      <c r="BR97" s="46" t="s">
        <v>333</v>
      </c>
      <c r="BS97" s="51">
        <v>100</v>
      </c>
      <c r="BT97" s="46" t="s">
        <v>2</v>
      </c>
      <c r="BU97" s="49"/>
      <c r="BV97" s="49">
        <v>100</v>
      </c>
      <c r="BW97" s="46"/>
      <c r="BX97" s="53"/>
      <c r="BY97" s="53">
        <v>1</v>
      </c>
    </row>
    <row r="98" spans="1:77">
      <c r="A98" s="46" t="s">
        <v>312</v>
      </c>
      <c r="B98" s="46" t="s">
        <v>313</v>
      </c>
      <c r="C98" s="46"/>
      <c r="D98" s="46"/>
      <c r="E98" s="46" t="s">
        <v>449</v>
      </c>
      <c r="F98" s="46" t="s">
        <v>315</v>
      </c>
      <c r="G98" s="46" t="s">
        <v>316</v>
      </c>
      <c r="H98" s="46" t="s">
        <v>127</v>
      </c>
      <c r="I98" s="46" t="s">
        <v>450</v>
      </c>
      <c r="J98" s="46" t="s">
        <v>128</v>
      </c>
      <c r="K98" s="46" t="s">
        <v>451</v>
      </c>
      <c r="L98" s="46"/>
      <c r="M98" s="46" t="s">
        <v>452</v>
      </c>
      <c r="N98" s="46"/>
      <c r="O98" s="46" t="s">
        <v>453</v>
      </c>
      <c r="P98" s="46" t="s">
        <v>177</v>
      </c>
      <c r="Q98" s="46">
        <v>20006</v>
      </c>
      <c r="R98" s="46" t="s">
        <v>322</v>
      </c>
      <c r="S98" s="46" t="s">
        <v>454</v>
      </c>
      <c r="T98" s="46"/>
      <c r="U98" s="46">
        <v>15</v>
      </c>
      <c r="V98" s="46" t="s">
        <v>324</v>
      </c>
      <c r="W98" s="46"/>
      <c r="X98" s="46"/>
      <c r="Y98" s="46"/>
      <c r="Z98" s="54">
        <v>43738</v>
      </c>
      <c r="AA98" s="46">
        <v>80</v>
      </c>
      <c r="AB98" s="46">
        <v>720</v>
      </c>
      <c r="AC98" s="46"/>
      <c r="AD98" s="46"/>
      <c r="AE98" s="46"/>
      <c r="AF98" s="46"/>
      <c r="AG98" s="46"/>
      <c r="AH98" s="46"/>
      <c r="AI98" s="46"/>
      <c r="AJ98" s="46"/>
      <c r="AK98" s="46"/>
      <c r="AL98" s="46"/>
      <c r="AM98" s="46"/>
      <c r="AN98" s="46"/>
      <c r="AO98" s="46"/>
      <c r="AP98" s="46"/>
      <c r="AQ98" s="46"/>
      <c r="AR98" s="46"/>
      <c r="AS98" s="46"/>
      <c r="AT98" s="46"/>
      <c r="AU98" s="46"/>
      <c r="AV98" s="46"/>
      <c r="AW98" s="46"/>
      <c r="AX98" s="46" t="s">
        <v>47</v>
      </c>
      <c r="AY98" s="46"/>
      <c r="AZ98" s="46" t="s">
        <v>325</v>
      </c>
      <c r="BA98" s="46"/>
      <c r="BB98" s="46" t="s">
        <v>132</v>
      </c>
      <c r="BC98" s="46" t="s">
        <v>326</v>
      </c>
      <c r="BD98" s="46" t="s">
        <v>327</v>
      </c>
      <c r="BE98" s="55">
        <v>43746.104349606481</v>
      </c>
      <c r="BF98" s="46"/>
      <c r="BG98" s="46"/>
      <c r="BH98" s="46"/>
      <c r="BI98" s="46" t="s">
        <v>328</v>
      </c>
      <c r="BJ98" s="46">
        <v>4.1007201916737802E+18</v>
      </c>
      <c r="BK98" s="46" t="s">
        <v>329</v>
      </c>
      <c r="BL98" s="46" t="s">
        <v>455</v>
      </c>
      <c r="BM98" s="46">
        <v>2020</v>
      </c>
      <c r="BN98" s="46" t="s">
        <v>331</v>
      </c>
      <c r="BO98" s="46"/>
      <c r="BP98" s="46">
        <v>4.1007201916740198E+18</v>
      </c>
      <c r="BQ98" s="46" t="s">
        <v>456</v>
      </c>
      <c r="BR98" s="46" t="s">
        <v>333</v>
      </c>
      <c r="BS98" s="51">
        <v>80</v>
      </c>
      <c r="BT98" s="52" t="s">
        <v>3</v>
      </c>
      <c r="BU98" s="49">
        <v>62.470813730615092</v>
      </c>
      <c r="BV98" s="49">
        <v>17.529186269384912</v>
      </c>
      <c r="BW98" s="46"/>
      <c r="BX98" s="53">
        <v>0.78088517163268867</v>
      </c>
      <c r="BY98" s="53">
        <v>0.21911482836731139</v>
      </c>
    </row>
    <row r="99" spans="1:77">
      <c r="A99" s="46" t="s">
        <v>312</v>
      </c>
      <c r="B99" s="46" t="s">
        <v>313</v>
      </c>
      <c r="C99" s="46"/>
      <c r="D99" s="46"/>
      <c r="E99" s="46" t="s">
        <v>457</v>
      </c>
      <c r="F99" s="46" t="s">
        <v>365</v>
      </c>
      <c r="G99" s="46"/>
      <c r="H99" s="46" t="s">
        <v>366</v>
      </c>
      <c r="I99" s="46" t="s">
        <v>458</v>
      </c>
      <c r="J99" s="46"/>
      <c r="K99" s="46" t="s">
        <v>459</v>
      </c>
      <c r="L99" s="46"/>
      <c r="M99" s="46" t="s">
        <v>460</v>
      </c>
      <c r="N99" s="46"/>
      <c r="O99" s="46" t="s">
        <v>461</v>
      </c>
      <c r="P99" s="46" t="s">
        <v>107</v>
      </c>
      <c r="Q99" s="46">
        <v>78232</v>
      </c>
      <c r="R99" s="46" t="s">
        <v>322</v>
      </c>
      <c r="S99" s="46" t="s">
        <v>462</v>
      </c>
      <c r="T99" s="46"/>
      <c r="U99" s="46"/>
      <c r="V99" s="46"/>
      <c r="W99" s="46" t="s">
        <v>373</v>
      </c>
      <c r="X99" s="46"/>
      <c r="Y99" s="46"/>
      <c r="Z99" s="54">
        <v>44073</v>
      </c>
      <c r="AA99" s="46">
        <v>100</v>
      </c>
      <c r="AB99" s="46">
        <v>100</v>
      </c>
      <c r="AC99" s="46"/>
      <c r="AD99" s="46"/>
      <c r="AE99" s="46"/>
      <c r="AF99" s="46"/>
      <c r="AG99" s="46"/>
      <c r="AH99" s="46"/>
      <c r="AI99" s="46"/>
      <c r="AJ99" s="46"/>
      <c r="AK99" s="46"/>
      <c r="AL99" s="46"/>
      <c r="AM99" s="46"/>
      <c r="AN99" s="46"/>
      <c r="AO99" s="46"/>
      <c r="AP99" s="46"/>
      <c r="AQ99" s="46"/>
      <c r="AR99" s="46"/>
      <c r="AS99" s="46"/>
      <c r="AT99" s="46"/>
      <c r="AU99" s="46"/>
      <c r="AV99" s="46"/>
      <c r="AW99" s="46" t="s">
        <v>382</v>
      </c>
      <c r="AX99" s="46"/>
      <c r="AY99" s="46"/>
      <c r="AZ99" s="46"/>
      <c r="BA99" s="46"/>
      <c r="BB99" s="46" t="s">
        <v>132</v>
      </c>
      <c r="BC99" s="46" t="s">
        <v>326</v>
      </c>
      <c r="BD99" s="46" t="s">
        <v>327</v>
      </c>
      <c r="BE99" s="55">
        <v>44209.418404097225</v>
      </c>
      <c r="BF99" s="46"/>
      <c r="BG99" s="46"/>
      <c r="BH99" s="46"/>
      <c r="BI99" s="46" t="s">
        <v>328</v>
      </c>
      <c r="BJ99" s="46">
        <v>4.1215202019740099E+18</v>
      </c>
      <c r="BK99" s="46" t="s">
        <v>329</v>
      </c>
      <c r="BL99" s="46" t="s">
        <v>463</v>
      </c>
      <c r="BM99" s="46">
        <v>2020</v>
      </c>
      <c r="BN99" s="46" t="s">
        <v>331</v>
      </c>
      <c r="BO99" s="46"/>
      <c r="BP99" s="46">
        <v>4.0112202120797599E+18</v>
      </c>
      <c r="BQ99" s="46" t="s">
        <v>464</v>
      </c>
      <c r="BR99" s="46" t="s">
        <v>333</v>
      </c>
      <c r="BS99" s="51">
        <v>100</v>
      </c>
      <c r="BT99" s="46" t="s">
        <v>2</v>
      </c>
      <c r="BU99" s="49"/>
      <c r="BV99" s="49">
        <v>100</v>
      </c>
      <c r="BW99" s="46"/>
      <c r="BX99" s="53"/>
      <c r="BY99" s="53">
        <v>1</v>
      </c>
    </row>
    <row r="100" spans="1:77">
      <c r="A100" s="46" t="s">
        <v>312</v>
      </c>
      <c r="B100" s="46" t="s">
        <v>313</v>
      </c>
      <c r="C100" s="46" t="s">
        <v>465</v>
      </c>
      <c r="D100" s="46"/>
      <c r="E100" s="46" t="s">
        <v>457</v>
      </c>
      <c r="F100" s="46" t="s">
        <v>47</v>
      </c>
      <c r="G100" s="46"/>
      <c r="H100" s="46" t="s">
        <v>47</v>
      </c>
      <c r="I100" s="46" t="s">
        <v>458</v>
      </c>
      <c r="J100" s="46"/>
      <c r="K100" s="46" t="s">
        <v>459</v>
      </c>
      <c r="L100" s="46"/>
      <c r="M100" s="46" t="s">
        <v>466</v>
      </c>
      <c r="N100" s="46"/>
      <c r="O100" s="46" t="s">
        <v>461</v>
      </c>
      <c r="P100" s="46" t="s">
        <v>107</v>
      </c>
      <c r="Q100" s="46">
        <v>782324617</v>
      </c>
      <c r="R100" s="46" t="s">
        <v>322</v>
      </c>
      <c r="S100" s="46" t="s">
        <v>462</v>
      </c>
      <c r="T100" s="46" t="s">
        <v>465</v>
      </c>
      <c r="U100" s="46" t="s">
        <v>428</v>
      </c>
      <c r="V100" s="46" t="s">
        <v>429</v>
      </c>
      <c r="W100" s="46"/>
      <c r="X100" s="46"/>
      <c r="Y100" s="46"/>
      <c r="Z100" s="54">
        <v>44080</v>
      </c>
      <c r="AA100" s="46">
        <v>100</v>
      </c>
      <c r="AB100" s="46">
        <v>900</v>
      </c>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t="s">
        <v>467</v>
      </c>
      <c r="AY100" s="46"/>
      <c r="AZ100" s="46" t="s">
        <v>468</v>
      </c>
      <c r="BA100" s="46">
        <v>2020</v>
      </c>
      <c r="BB100" s="46" t="s">
        <v>132</v>
      </c>
      <c r="BC100" s="46" t="s">
        <v>326</v>
      </c>
      <c r="BD100" s="46" t="s">
        <v>327</v>
      </c>
      <c r="BE100" s="55">
        <v>44140.227744641204</v>
      </c>
      <c r="BF100" s="46"/>
      <c r="BG100" s="46" t="s">
        <v>469</v>
      </c>
      <c r="BH100" s="46" t="s">
        <v>470</v>
      </c>
      <c r="BI100" s="46" t="s">
        <v>471</v>
      </c>
      <c r="BJ100" s="46">
        <v>4.1022202018826598E+18</v>
      </c>
      <c r="BK100" s="46" t="s">
        <v>329</v>
      </c>
      <c r="BL100" s="46" t="s">
        <v>472</v>
      </c>
      <c r="BM100" s="46">
        <v>2020</v>
      </c>
      <c r="BN100" s="46" t="s">
        <v>331</v>
      </c>
      <c r="BO100" s="46"/>
      <c r="BP100" s="46">
        <v>4.10232020188307E+18</v>
      </c>
      <c r="BQ100" s="46" t="s">
        <v>473</v>
      </c>
      <c r="BR100" s="46" t="s">
        <v>333</v>
      </c>
      <c r="BS100" s="51">
        <v>100</v>
      </c>
      <c r="BT100" s="46" t="s">
        <v>2</v>
      </c>
      <c r="BU100" s="49"/>
      <c r="BV100" s="49">
        <v>100</v>
      </c>
      <c r="BW100" s="46"/>
      <c r="BX100" s="53"/>
      <c r="BY100" s="53">
        <v>1</v>
      </c>
    </row>
    <row r="101" spans="1:77">
      <c r="A101" s="46" t="s">
        <v>312</v>
      </c>
      <c r="B101" s="46" t="s">
        <v>313</v>
      </c>
      <c r="C101" s="46"/>
      <c r="D101" s="46"/>
      <c r="E101" s="46" t="s">
        <v>474</v>
      </c>
      <c r="F101" s="46" t="s">
        <v>315</v>
      </c>
      <c r="G101" s="46" t="s">
        <v>316</v>
      </c>
      <c r="H101" s="46" t="s">
        <v>127</v>
      </c>
      <c r="I101" s="46" t="s">
        <v>475</v>
      </c>
      <c r="J101" s="46" t="s">
        <v>134</v>
      </c>
      <c r="K101" s="46" t="s">
        <v>476</v>
      </c>
      <c r="L101" s="46"/>
      <c r="M101" s="46" t="s">
        <v>477</v>
      </c>
      <c r="N101" s="46"/>
      <c r="O101" s="46" t="s">
        <v>339</v>
      </c>
      <c r="P101" s="46" t="s">
        <v>107</v>
      </c>
      <c r="Q101" s="46">
        <v>77389</v>
      </c>
      <c r="R101" s="46" t="s">
        <v>322</v>
      </c>
      <c r="S101" s="46" t="s">
        <v>478</v>
      </c>
      <c r="T101" s="46"/>
      <c r="U101" s="46">
        <v>15</v>
      </c>
      <c r="V101" s="46" t="s">
        <v>324</v>
      </c>
      <c r="W101" s="46"/>
      <c r="X101" s="46"/>
      <c r="Y101" s="46"/>
      <c r="Z101" s="54">
        <v>43616</v>
      </c>
      <c r="AA101" s="46">
        <v>100</v>
      </c>
      <c r="AB101" s="46">
        <v>500</v>
      </c>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t="s">
        <v>47</v>
      </c>
      <c r="AY101" s="46"/>
      <c r="AZ101" s="46" t="s">
        <v>325</v>
      </c>
      <c r="BA101" s="46"/>
      <c r="BB101" s="46" t="s">
        <v>132</v>
      </c>
      <c r="BC101" s="46" t="s">
        <v>326</v>
      </c>
      <c r="BD101" s="46" t="s">
        <v>327</v>
      </c>
      <c r="BE101" s="55">
        <v>43631.112526319448</v>
      </c>
      <c r="BF101" s="46"/>
      <c r="BG101" s="46"/>
      <c r="BH101" s="46"/>
      <c r="BI101" s="46" t="s">
        <v>328</v>
      </c>
      <c r="BJ101" s="46">
        <v>4.0614201916580198E+18</v>
      </c>
      <c r="BK101" s="46" t="s">
        <v>329</v>
      </c>
      <c r="BL101" s="46" t="s">
        <v>479</v>
      </c>
      <c r="BM101" s="46">
        <v>2020</v>
      </c>
      <c r="BN101" s="46" t="s">
        <v>331</v>
      </c>
      <c r="BO101" s="46"/>
      <c r="BP101" s="46">
        <v>4.0614201916580803E+18</v>
      </c>
      <c r="BQ101" s="46" t="s">
        <v>480</v>
      </c>
      <c r="BR101" s="46" t="s">
        <v>333</v>
      </c>
      <c r="BS101" s="51">
        <v>100</v>
      </c>
      <c r="BT101" s="52" t="s">
        <v>3</v>
      </c>
      <c r="BU101" s="49">
        <v>78.088517163268861</v>
      </c>
      <c r="BV101" s="49">
        <v>21.911482836731139</v>
      </c>
      <c r="BW101" s="46"/>
      <c r="BX101" s="53">
        <v>0.78088517163268867</v>
      </c>
      <c r="BY101" s="53">
        <v>0.21911482836731139</v>
      </c>
    </row>
    <row r="102" spans="1:77">
      <c r="A102" s="46" t="s">
        <v>312</v>
      </c>
      <c r="B102" s="46" t="s">
        <v>313</v>
      </c>
      <c r="C102" s="46"/>
      <c r="D102" s="46"/>
      <c r="E102" s="46" t="s">
        <v>481</v>
      </c>
      <c r="F102" s="46" t="s">
        <v>315</v>
      </c>
      <c r="G102" s="46" t="s">
        <v>316</v>
      </c>
      <c r="H102" s="46" t="s">
        <v>127</v>
      </c>
      <c r="I102" s="46" t="s">
        <v>482</v>
      </c>
      <c r="J102" s="46" t="s">
        <v>134</v>
      </c>
      <c r="K102" s="46" t="s">
        <v>483</v>
      </c>
      <c r="L102" s="46"/>
      <c r="M102" s="46" t="s">
        <v>477</v>
      </c>
      <c r="N102" s="46"/>
      <c r="O102" s="46" t="s">
        <v>339</v>
      </c>
      <c r="P102" s="46" t="s">
        <v>107</v>
      </c>
      <c r="Q102" s="46">
        <v>77389</v>
      </c>
      <c r="R102" s="46" t="s">
        <v>322</v>
      </c>
      <c r="S102" s="46" t="s">
        <v>484</v>
      </c>
      <c r="T102" s="46"/>
      <c r="U102" s="46">
        <v>15</v>
      </c>
      <c r="V102" s="46" t="s">
        <v>324</v>
      </c>
      <c r="W102" s="46"/>
      <c r="X102" s="46"/>
      <c r="Y102" s="46"/>
      <c r="Z102" s="54">
        <v>43555</v>
      </c>
      <c r="AA102" s="46">
        <v>100</v>
      </c>
      <c r="AB102" s="46">
        <v>300</v>
      </c>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t="s">
        <v>47</v>
      </c>
      <c r="AY102" s="46"/>
      <c r="AZ102" s="46" t="s">
        <v>325</v>
      </c>
      <c r="BA102" s="46"/>
      <c r="BB102" s="46" t="s">
        <v>132</v>
      </c>
      <c r="BC102" s="46" t="s">
        <v>326</v>
      </c>
      <c r="BD102" s="46" t="s">
        <v>327</v>
      </c>
      <c r="BE102" s="55">
        <v>43571.116482048608</v>
      </c>
      <c r="BF102" s="46"/>
      <c r="BG102" s="46"/>
      <c r="BH102" s="46"/>
      <c r="BI102" s="46" t="s">
        <v>328</v>
      </c>
      <c r="BJ102" s="46">
        <v>4.0414201916463099E+18</v>
      </c>
      <c r="BK102" s="46" t="s">
        <v>329</v>
      </c>
      <c r="BL102" s="46" t="s">
        <v>479</v>
      </c>
      <c r="BM102" s="46">
        <v>2020</v>
      </c>
      <c r="BN102" s="46" t="s">
        <v>331</v>
      </c>
      <c r="BO102" s="46"/>
      <c r="BP102" s="46">
        <v>4.0415201916463601E+18</v>
      </c>
      <c r="BQ102" s="46" t="s">
        <v>485</v>
      </c>
      <c r="BR102" s="46" t="s">
        <v>333</v>
      </c>
      <c r="BS102" s="51">
        <v>100</v>
      </c>
      <c r="BT102" s="52" t="s">
        <v>3</v>
      </c>
      <c r="BU102" s="49">
        <v>78.088517163268861</v>
      </c>
      <c r="BV102" s="49">
        <v>21.911482836731139</v>
      </c>
      <c r="BW102" s="46"/>
      <c r="BX102" s="53">
        <v>0.78088517163268867</v>
      </c>
      <c r="BY102" s="53">
        <v>0.21911482836731139</v>
      </c>
    </row>
    <row r="103" spans="1:77">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56"/>
      <c r="BR103" s="56"/>
      <c r="BS103" s="51"/>
      <c r="BT103" s="56"/>
      <c r="BU103" s="57"/>
      <c r="BV103" s="57"/>
      <c r="BW103" s="56"/>
      <c r="BX103" s="58"/>
      <c r="BY103" s="58"/>
    </row>
    <row r="104" spans="1:77">
      <c r="A104" s="46" t="s">
        <v>312</v>
      </c>
      <c r="B104" s="46" t="s">
        <v>313</v>
      </c>
      <c r="C104" s="46"/>
      <c r="D104" s="46" t="s">
        <v>486</v>
      </c>
      <c r="E104" s="46" t="s">
        <v>487</v>
      </c>
      <c r="F104" s="46" t="s">
        <v>129</v>
      </c>
      <c r="G104" s="46"/>
      <c r="H104" s="46" t="s">
        <v>366</v>
      </c>
      <c r="I104" s="46" t="s">
        <v>488</v>
      </c>
      <c r="J104" s="46" t="s">
        <v>489</v>
      </c>
      <c r="K104" s="46" t="s">
        <v>490</v>
      </c>
      <c r="L104" s="46"/>
      <c r="M104" s="46" t="s">
        <v>491</v>
      </c>
      <c r="N104" s="46"/>
      <c r="O104" s="46" t="s">
        <v>492</v>
      </c>
      <c r="P104" s="46" t="s">
        <v>197</v>
      </c>
      <c r="Q104" s="46">
        <v>882605137</v>
      </c>
      <c r="R104" s="46" t="s">
        <v>371</v>
      </c>
      <c r="S104" s="46" t="s">
        <v>493</v>
      </c>
      <c r="T104" s="46"/>
      <c r="U104" s="46">
        <v>15</v>
      </c>
      <c r="V104" s="46" t="s">
        <v>324</v>
      </c>
      <c r="W104" s="46" t="s">
        <v>324</v>
      </c>
      <c r="X104" s="46"/>
      <c r="Y104" s="46"/>
      <c r="Z104" s="54">
        <v>44096</v>
      </c>
      <c r="AA104" s="46">
        <v>200</v>
      </c>
      <c r="AB104" s="46">
        <v>225</v>
      </c>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t="s">
        <v>47</v>
      </c>
      <c r="AY104" s="46"/>
      <c r="AZ104" s="46" t="s">
        <v>325</v>
      </c>
      <c r="BA104" s="46"/>
      <c r="BB104" s="46" t="s">
        <v>132</v>
      </c>
      <c r="BC104" s="46" t="s">
        <v>326</v>
      </c>
      <c r="BD104" s="46" t="s">
        <v>327</v>
      </c>
      <c r="BE104" s="55">
        <v>44155.323494837961</v>
      </c>
      <c r="BF104" s="46"/>
      <c r="BG104" s="46"/>
      <c r="BH104" s="46"/>
      <c r="BI104" s="46" t="s">
        <v>328</v>
      </c>
      <c r="BJ104" s="46">
        <v>4.1021202018822298E+18</v>
      </c>
      <c r="BK104" s="46" t="s">
        <v>329</v>
      </c>
      <c r="BL104" s="46"/>
      <c r="BM104" s="46">
        <v>2020</v>
      </c>
      <c r="BN104" s="46" t="s">
        <v>331</v>
      </c>
      <c r="BO104" s="46"/>
      <c r="BP104" s="46">
        <v>4.11192020195774E+18</v>
      </c>
      <c r="BQ104" s="46" t="s">
        <v>494</v>
      </c>
      <c r="BR104" s="46" t="s">
        <v>333</v>
      </c>
      <c r="BS104" s="51">
        <v>200</v>
      </c>
      <c r="BT104" s="46" t="s">
        <v>3</v>
      </c>
      <c r="BU104" s="49">
        <v>200</v>
      </c>
      <c r="BV104" s="49"/>
      <c r="BW104" s="46"/>
      <c r="BX104" s="53">
        <v>1</v>
      </c>
      <c r="BY104" s="53"/>
    </row>
    <row r="105" spans="1:77">
      <c r="A105" s="46" t="s">
        <v>312</v>
      </c>
      <c r="B105" s="46" t="s">
        <v>313</v>
      </c>
      <c r="C105" s="46"/>
      <c r="D105" s="46"/>
      <c r="E105" s="46" t="s">
        <v>495</v>
      </c>
      <c r="F105" s="46" t="s">
        <v>315</v>
      </c>
      <c r="G105" s="46" t="s">
        <v>316</v>
      </c>
      <c r="H105" s="46" t="s">
        <v>127</v>
      </c>
      <c r="I105" s="46" t="s">
        <v>358</v>
      </c>
      <c r="J105" s="46" t="s">
        <v>128</v>
      </c>
      <c r="K105" s="46" t="s">
        <v>496</v>
      </c>
      <c r="L105" s="46"/>
      <c r="M105" s="46" t="s">
        <v>497</v>
      </c>
      <c r="N105" s="46"/>
      <c r="O105" s="46" t="s">
        <v>419</v>
      </c>
      <c r="P105" s="46" t="s">
        <v>107</v>
      </c>
      <c r="Q105" s="46">
        <v>75039</v>
      </c>
      <c r="R105" s="46" t="s">
        <v>322</v>
      </c>
      <c r="S105" s="46" t="s">
        <v>498</v>
      </c>
      <c r="T105" s="46"/>
      <c r="U105" s="46">
        <v>15</v>
      </c>
      <c r="V105" s="46" t="s">
        <v>324</v>
      </c>
      <c r="W105" s="46"/>
      <c r="X105" s="46"/>
      <c r="Y105" s="46"/>
      <c r="Z105" s="54">
        <v>43585</v>
      </c>
      <c r="AA105" s="46">
        <v>200</v>
      </c>
      <c r="AB105" s="46">
        <v>800</v>
      </c>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t="s">
        <v>47</v>
      </c>
      <c r="AY105" s="46"/>
      <c r="AZ105" s="46" t="s">
        <v>325</v>
      </c>
      <c r="BA105" s="46"/>
      <c r="BB105" s="46" t="s">
        <v>132</v>
      </c>
      <c r="BC105" s="46" t="s">
        <v>326</v>
      </c>
      <c r="BD105" s="46" t="s">
        <v>327</v>
      </c>
      <c r="BE105" s="55">
        <v>43601.107904363424</v>
      </c>
      <c r="BF105" s="46"/>
      <c r="BG105" s="46"/>
      <c r="BH105" s="46"/>
      <c r="BI105" s="46" t="s">
        <v>328</v>
      </c>
      <c r="BJ105" s="46">
        <v>4.0515201916567798E+18</v>
      </c>
      <c r="BK105" s="46" t="s">
        <v>329</v>
      </c>
      <c r="BL105" s="46" t="s">
        <v>479</v>
      </c>
      <c r="BM105" s="46">
        <v>2020</v>
      </c>
      <c r="BN105" s="46" t="s">
        <v>331</v>
      </c>
      <c r="BO105" s="46"/>
      <c r="BP105" s="46">
        <v>4.0515201916568003E+18</v>
      </c>
      <c r="BQ105" s="46" t="s">
        <v>499</v>
      </c>
      <c r="BR105" s="46" t="s">
        <v>333</v>
      </c>
      <c r="BS105" s="51">
        <v>200</v>
      </c>
      <c r="BT105" s="52" t="s">
        <v>3</v>
      </c>
      <c r="BU105" s="49">
        <v>156.17703432653772</v>
      </c>
      <c r="BV105" s="49">
        <v>43.822965673462278</v>
      </c>
      <c r="BW105" s="46"/>
      <c r="BX105" s="53">
        <v>0.78088517163268867</v>
      </c>
      <c r="BY105" s="53">
        <v>0.21911482836731139</v>
      </c>
    </row>
    <row r="106" spans="1:77">
      <c r="A106" s="46" t="s">
        <v>312</v>
      </c>
      <c r="B106" s="46" t="s">
        <v>313</v>
      </c>
      <c r="C106" s="46" t="s">
        <v>500</v>
      </c>
      <c r="D106" s="46"/>
      <c r="E106" s="46" t="s">
        <v>424</v>
      </c>
      <c r="F106" s="46" t="s">
        <v>129</v>
      </c>
      <c r="G106" s="46"/>
      <c r="H106" s="46" t="s">
        <v>366</v>
      </c>
      <c r="I106" s="46" t="s">
        <v>425</v>
      </c>
      <c r="J106" s="46"/>
      <c r="K106" s="46" t="s">
        <v>426</v>
      </c>
      <c r="L106" s="46"/>
      <c r="M106" s="46" t="s">
        <v>427</v>
      </c>
      <c r="N106" s="46"/>
      <c r="O106" s="46" t="s">
        <v>339</v>
      </c>
      <c r="P106" s="46" t="s">
        <v>107</v>
      </c>
      <c r="Q106" s="46">
        <v>773797207</v>
      </c>
      <c r="R106" s="46" t="s">
        <v>371</v>
      </c>
      <c r="S106" s="46" t="s">
        <v>372</v>
      </c>
      <c r="T106" s="46" t="s">
        <v>500</v>
      </c>
      <c r="U106" s="46" t="s">
        <v>428</v>
      </c>
      <c r="V106" s="46" t="s">
        <v>429</v>
      </c>
      <c r="W106" s="46" t="s">
        <v>501</v>
      </c>
      <c r="X106" s="46"/>
      <c r="Y106" s="46"/>
      <c r="Z106" s="54">
        <v>44104</v>
      </c>
      <c r="AA106" s="46">
        <v>200</v>
      </c>
      <c r="AB106" s="46">
        <v>400</v>
      </c>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t="s">
        <v>47</v>
      </c>
      <c r="AY106" s="46"/>
      <c r="AZ106" s="46" t="s">
        <v>325</v>
      </c>
      <c r="BA106" s="46"/>
      <c r="BB106" s="46" t="s">
        <v>316</v>
      </c>
      <c r="BC106" s="46" t="s">
        <v>502</v>
      </c>
      <c r="BD106" s="46" t="s">
        <v>327</v>
      </c>
      <c r="BE106" s="55">
        <v>44327.149270289352</v>
      </c>
      <c r="BF106" s="46"/>
      <c r="BG106" s="46"/>
      <c r="BH106" s="46"/>
      <c r="BI106" s="46" t="s">
        <v>328</v>
      </c>
      <c r="BJ106" s="46">
        <v>4.0423202112787502E+18</v>
      </c>
      <c r="BK106" s="46" t="s">
        <v>329</v>
      </c>
      <c r="BL106" s="46"/>
      <c r="BM106" s="46">
        <v>2020</v>
      </c>
      <c r="BN106" s="46" t="s">
        <v>331</v>
      </c>
      <c r="BO106" s="46"/>
      <c r="BP106" s="46">
        <v>4.0511202112927898E+18</v>
      </c>
      <c r="BQ106" s="46" t="s">
        <v>503</v>
      </c>
      <c r="BR106" s="46" t="s">
        <v>333</v>
      </c>
      <c r="BS106" s="51">
        <v>200</v>
      </c>
      <c r="BT106" s="46" t="s">
        <v>3</v>
      </c>
      <c r="BU106" s="49">
        <v>200</v>
      </c>
      <c r="BV106" s="49"/>
      <c r="BW106" s="46"/>
      <c r="BX106" s="53">
        <v>1</v>
      </c>
      <c r="BY106" s="53">
        <v>0.21911482836731139</v>
      </c>
    </row>
    <row r="107" spans="1:77">
      <c r="A107" s="46" t="s">
        <v>312</v>
      </c>
      <c r="B107" s="46" t="s">
        <v>313</v>
      </c>
      <c r="C107" s="46"/>
      <c r="D107" s="46"/>
      <c r="E107" s="46" t="s">
        <v>504</v>
      </c>
      <c r="F107" s="46" t="s">
        <v>315</v>
      </c>
      <c r="G107" s="46" t="s">
        <v>316</v>
      </c>
      <c r="H107" s="46" t="s">
        <v>127</v>
      </c>
      <c r="I107" s="46" t="s">
        <v>505</v>
      </c>
      <c r="J107" s="46" t="s">
        <v>316</v>
      </c>
      <c r="K107" s="46" t="s">
        <v>506</v>
      </c>
      <c r="L107" s="46"/>
      <c r="M107" s="46" t="s">
        <v>338</v>
      </c>
      <c r="N107" s="46"/>
      <c r="O107" s="46" t="s">
        <v>339</v>
      </c>
      <c r="P107" s="46" t="s">
        <v>107</v>
      </c>
      <c r="Q107" s="46">
        <v>77389</v>
      </c>
      <c r="R107" s="46" t="s">
        <v>322</v>
      </c>
      <c r="S107" s="46" t="s">
        <v>507</v>
      </c>
      <c r="T107" s="46"/>
      <c r="U107" s="46">
        <v>15</v>
      </c>
      <c r="V107" s="46" t="s">
        <v>324</v>
      </c>
      <c r="W107" s="46"/>
      <c r="X107" s="46"/>
      <c r="Y107" s="46"/>
      <c r="Z107" s="54">
        <v>43496</v>
      </c>
      <c r="AA107" s="46">
        <v>250</v>
      </c>
      <c r="AB107" s="46">
        <v>250</v>
      </c>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t="s">
        <v>47</v>
      </c>
      <c r="AY107" s="46"/>
      <c r="AZ107" s="46" t="s">
        <v>325</v>
      </c>
      <c r="BA107" s="46"/>
      <c r="BB107" s="46" t="s">
        <v>132</v>
      </c>
      <c r="BC107" s="46" t="s">
        <v>326</v>
      </c>
      <c r="BD107" s="46" t="s">
        <v>327</v>
      </c>
      <c r="BE107" s="55">
        <v>43524.149592407404</v>
      </c>
      <c r="BF107" s="46"/>
      <c r="BG107" s="46"/>
      <c r="BH107" s="46"/>
      <c r="BI107" s="46" t="s">
        <v>328</v>
      </c>
      <c r="BJ107" s="46">
        <v>4.02152019163953E+18</v>
      </c>
      <c r="BK107" s="46" t="s">
        <v>329</v>
      </c>
      <c r="BL107" s="46" t="s">
        <v>508</v>
      </c>
      <c r="BM107" s="46">
        <v>2020</v>
      </c>
      <c r="BN107" s="46" t="s">
        <v>331</v>
      </c>
      <c r="BO107" s="46"/>
      <c r="BP107" s="46">
        <v>4.0227201916444001E+18</v>
      </c>
      <c r="BQ107" s="46" t="s">
        <v>509</v>
      </c>
      <c r="BR107" s="46" t="s">
        <v>333</v>
      </c>
      <c r="BS107" s="51">
        <v>250</v>
      </c>
      <c r="BT107" s="52" t="s">
        <v>3</v>
      </c>
      <c r="BU107" s="49">
        <v>195.22129290817216</v>
      </c>
      <c r="BV107" s="49">
        <v>54.778707091827847</v>
      </c>
      <c r="BW107" s="46"/>
      <c r="BX107" s="53">
        <v>0.78088517163268867</v>
      </c>
      <c r="BY107" s="53">
        <v>0.21911482836731139</v>
      </c>
    </row>
    <row r="108" spans="1:77">
      <c r="A108" s="46" t="s">
        <v>312</v>
      </c>
      <c r="B108" s="46" t="s">
        <v>313</v>
      </c>
      <c r="C108" s="46"/>
      <c r="D108" s="46"/>
      <c r="E108" s="46" t="s">
        <v>510</v>
      </c>
      <c r="F108" s="46" t="s">
        <v>315</v>
      </c>
      <c r="G108" s="46" t="s">
        <v>316</v>
      </c>
      <c r="H108" s="46" t="s">
        <v>127</v>
      </c>
      <c r="I108" s="46" t="s">
        <v>511</v>
      </c>
      <c r="J108" s="46" t="s">
        <v>47</v>
      </c>
      <c r="K108" s="46" t="s">
        <v>512</v>
      </c>
      <c r="L108" s="46"/>
      <c r="M108" s="46" t="s">
        <v>513</v>
      </c>
      <c r="N108" s="46"/>
      <c r="O108" s="46" t="s">
        <v>419</v>
      </c>
      <c r="P108" s="46" t="s">
        <v>107</v>
      </c>
      <c r="Q108" s="46">
        <v>75039</v>
      </c>
      <c r="R108" s="46" t="s">
        <v>322</v>
      </c>
      <c r="S108" s="46" t="s">
        <v>514</v>
      </c>
      <c r="T108" s="46"/>
      <c r="U108" s="46">
        <v>15</v>
      </c>
      <c r="V108" s="46" t="s">
        <v>324</v>
      </c>
      <c r="W108" s="46"/>
      <c r="X108" s="46"/>
      <c r="Y108" s="46"/>
      <c r="Z108" s="54">
        <v>43980</v>
      </c>
      <c r="AA108" s="46">
        <v>200</v>
      </c>
      <c r="AB108" s="46">
        <v>1000</v>
      </c>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t="s">
        <v>47</v>
      </c>
      <c r="AY108" s="46"/>
      <c r="AZ108" s="46" t="s">
        <v>325</v>
      </c>
      <c r="BA108" s="46"/>
      <c r="BB108" s="46" t="s">
        <v>132</v>
      </c>
      <c r="BC108" s="46" t="s">
        <v>326</v>
      </c>
      <c r="BD108" s="46" t="s">
        <v>327</v>
      </c>
      <c r="BE108" s="55">
        <v>43992.066234155092</v>
      </c>
      <c r="BF108" s="46"/>
      <c r="BG108" s="46"/>
      <c r="BH108" s="46"/>
      <c r="BI108" s="46" t="s">
        <v>328</v>
      </c>
      <c r="BJ108" s="46">
        <v>4.06092020177453E+18</v>
      </c>
      <c r="BK108" s="46" t="s">
        <v>329</v>
      </c>
      <c r="BL108" s="46" t="s">
        <v>515</v>
      </c>
      <c r="BM108" s="46">
        <v>2020</v>
      </c>
      <c r="BN108" s="46" t="s">
        <v>331</v>
      </c>
      <c r="BO108" s="46"/>
      <c r="BP108" s="46">
        <v>4.06092020177455E+18</v>
      </c>
      <c r="BQ108" s="46" t="s">
        <v>516</v>
      </c>
      <c r="BR108" s="46" t="s">
        <v>333</v>
      </c>
      <c r="BS108" s="51">
        <v>200</v>
      </c>
      <c r="BT108" s="52" t="s">
        <v>3</v>
      </c>
      <c r="BU108" s="49">
        <v>156.17703432653772</v>
      </c>
      <c r="BV108" s="49">
        <v>43.822965673462278</v>
      </c>
      <c r="BW108" s="46"/>
      <c r="BX108" s="53">
        <v>0.78088517163268867</v>
      </c>
      <c r="BY108" s="53">
        <v>0.21911482836731139</v>
      </c>
    </row>
    <row r="109" spans="1:77">
      <c r="A109" s="46" t="s">
        <v>312</v>
      </c>
      <c r="B109" s="46" t="s">
        <v>313</v>
      </c>
      <c r="C109" s="46"/>
      <c r="D109" s="46"/>
      <c r="E109" s="46" t="s">
        <v>517</v>
      </c>
      <c r="F109" s="46" t="s">
        <v>315</v>
      </c>
      <c r="G109" s="46" t="s">
        <v>316</v>
      </c>
      <c r="H109" s="46" t="s">
        <v>127</v>
      </c>
      <c r="I109" s="46" t="s">
        <v>518</v>
      </c>
      <c r="J109" s="46" t="s">
        <v>410</v>
      </c>
      <c r="K109" s="46" t="s">
        <v>519</v>
      </c>
      <c r="L109" s="46"/>
      <c r="M109" s="46" t="s">
        <v>520</v>
      </c>
      <c r="N109" s="46"/>
      <c r="O109" s="46" t="s">
        <v>419</v>
      </c>
      <c r="P109" s="46" t="s">
        <v>107</v>
      </c>
      <c r="Q109" s="46">
        <v>75039</v>
      </c>
      <c r="R109" s="46" t="s">
        <v>322</v>
      </c>
      <c r="S109" s="46" t="s">
        <v>521</v>
      </c>
      <c r="T109" s="46"/>
      <c r="U109" s="46">
        <v>15</v>
      </c>
      <c r="V109" s="46" t="s">
        <v>324</v>
      </c>
      <c r="W109" s="46"/>
      <c r="X109" s="46"/>
      <c r="Y109" s="46"/>
      <c r="Z109" s="54">
        <v>44012</v>
      </c>
      <c r="AA109" s="46">
        <v>250</v>
      </c>
      <c r="AB109" s="46">
        <v>1500</v>
      </c>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t="s">
        <v>47</v>
      </c>
      <c r="AY109" s="46"/>
      <c r="AZ109" s="46" t="s">
        <v>325</v>
      </c>
      <c r="BA109" s="46"/>
      <c r="BB109" s="46" t="s">
        <v>132</v>
      </c>
      <c r="BC109" s="46" t="s">
        <v>326</v>
      </c>
      <c r="BD109" s="46" t="s">
        <v>327</v>
      </c>
      <c r="BE109" s="55">
        <v>44021.062293819443</v>
      </c>
      <c r="BF109" s="46"/>
      <c r="BG109" s="46"/>
      <c r="BH109" s="46"/>
      <c r="BI109" s="46" t="s">
        <v>328</v>
      </c>
      <c r="BJ109" s="46">
        <v>4.07082020177986E+18</v>
      </c>
      <c r="BK109" s="46" t="s">
        <v>329</v>
      </c>
      <c r="BL109" s="46" t="s">
        <v>522</v>
      </c>
      <c r="BM109" s="46">
        <v>2020</v>
      </c>
      <c r="BN109" s="46" t="s">
        <v>331</v>
      </c>
      <c r="BO109" s="46"/>
      <c r="BP109" s="46">
        <v>4.0708202017799398E+18</v>
      </c>
      <c r="BQ109" s="46" t="s">
        <v>523</v>
      </c>
      <c r="BR109" s="46" t="s">
        <v>333</v>
      </c>
      <c r="BS109" s="51">
        <v>250</v>
      </c>
      <c r="BT109" s="52" t="s">
        <v>3</v>
      </c>
      <c r="BU109" s="49">
        <v>195.22129290817216</v>
      </c>
      <c r="BV109" s="49">
        <v>54.778707091827847</v>
      </c>
      <c r="BW109" s="46"/>
      <c r="BX109" s="53">
        <v>0.78088517163268867</v>
      </c>
      <c r="BY109" s="53">
        <v>0.21911482836731139</v>
      </c>
    </row>
    <row r="110" spans="1:77">
      <c r="A110" s="46" t="s">
        <v>312</v>
      </c>
      <c r="B110" s="46" t="s">
        <v>313</v>
      </c>
      <c r="C110" s="46"/>
      <c r="D110" s="46"/>
      <c r="E110" s="46" t="s">
        <v>524</v>
      </c>
      <c r="F110" s="46" t="s">
        <v>315</v>
      </c>
      <c r="G110" s="46" t="s">
        <v>316</v>
      </c>
      <c r="H110" s="46" t="s">
        <v>127</v>
      </c>
      <c r="I110" s="46" t="s">
        <v>525</v>
      </c>
      <c r="J110" s="46"/>
      <c r="K110" s="46" t="s">
        <v>526</v>
      </c>
      <c r="L110" s="46"/>
      <c r="M110" s="46" t="s">
        <v>338</v>
      </c>
      <c r="N110" s="46"/>
      <c r="O110" s="46" t="s">
        <v>339</v>
      </c>
      <c r="P110" s="46" t="s">
        <v>107</v>
      </c>
      <c r="Q110" s="46">
        <v>77389</v>
      </c>
      <c r="R110" s="46" t="s">
        <v>527</v>
      </c>
      <c r="S110" s="46" t="s">
        <v>528</v>
      </c>
      <c r="T110" s="46"/>
      <c r="U110" s="46">
        <v>15</v>
      </c>
      <c r="V110" s="46" t="s">
        <v>324</v>
      </c>
      <c r="W110" s="46"/>
      <c r="X110" s="46"/>
      <c r="Y110" s="46"/>
      <c r="Z110" s="54">
        <v>43889</v>
      </c>
      <c r="AA110" s="46">
        <v>250</v>
      </c>
      <c r="AB110" s="46">
        <v>500</v>
      </c>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t="s">
        <v>47</v>
      </c>
      <c r="AY110" s="46"/>
      <c r="AZ110" s="46" t="s">
        <v>325</v>
      </c>
      <c r="BA110" s="46"/>
      <c r="BB110" s="46" t="s">
        <v>132</v>
      </c>
      <c r="BC110" s="46" t="s">
        <v>326</v>
      </c>
      <c r="BD110" s="46" t="s">
        <v>327</v>
      </c>
      <c r="BE110" s="55">
        <v>43908.075155416664</v>
      </c>
      <c r="BF110" s="46"/>
      <c r="BG110" s="46"/>
      <c r="BH110" s="46"/>
      <c r="BI110" s="46" t="s">
        <v>328</v>
      </c>
      <c r="BJ110" s="46">
        <v>4.03172020170321E+18</v>
      </c>
      <c r="BK110" s="46" t="s">
        <v>329</v>
      </c>
      <c r="BL110" s="46" t="s">
        <v>522</v>
      </c>
      <c r="BM110" s="46">
        <v>2020</v>
      </c>
      <c r="BN110" s="46" t="s">
        <v>331</v>
      </c>
      <c r="BO110" s="46"/>
      <c r="BP110" s="46">
        <v>4.03172020170323E+18</v>
      </c>
      <c r="BQ110" s="46" t="s">
        <v>529</v>
      </c>
      <c r="BR110" s="46" t="s">
        <v>333</v>
      </c>
      <c r="BS110" s="51">
        <v>250</v>
      </c>
      <c r="BT110" s="52" t="s">
        <v>3</v>
      </c>
      <c r="BU110" s="49">
        <v>195.22129290817216</v>
      </c>
      <c r="BV110" s="49">
        <v>54.778707091827847</v>
      </c>
      <c r="BW110" s="46"/>
      <c r="BX110" s="53">
        <v>0.78088517163268867</v>
      </c>
      <c r="BY110" s="53">
        <v>0.21911482836731139</v>
      </c>
    </row>
    <row r="111" spans="1:77">
      <c r="A111" s="46" t="s">
        <v>312</v>
      </c>
      <c r="B111" s="46" t="s">
        <v>313</v>
      </c>
      <c r="C111" s="46"/>
      <c r="D111" s="46"/>
      <c r="E111" s="46" t="s">
        <v>530</v>
      </c>
      <c r="F111" s="46" t="s">
        <v>315</v>
      </c>
      <c r="G111" s="46" t="s">
        <v>316</v>
      </c>
      <c r="H111" s="46" t="s">
        <v>127</v>
      </c>
      <c r="I111" s="46" t="s">
        <v>531</v>
      </c>
      <c r="J111" s="46" t="s">
        <v>345</v>
      </c>
      <c r="K111" s="46" t="s">
        <v>532</v>
      </c>
      <c r="L111" s="46"/>
      <c r="M111" s="46" t="s">
        <v>533</v>
      </c>
      <c r="N111" s="46"/>
      <c r="O111" s="46" t="s">
        <v>534</v>
      </c>
      <c r="P111" s="46" t="s">
        <v>535</v>
      </c>
      <c r="Q111" s="46">
        <v>334180000</v>
      </c>
      <c r="R111" s="46" t="s">
        <v>322</v>
      </c>
      <c r="S111" s="46" t="s">
        <v>28</v>
      </c>
      <c r="T111" s="46"/>
      <c r="U111" s="46">
        <v>15</v>
      </c>
      <c r="V111" s="46" t="s">
        <v>324</v>
      </c>
      <c r="W111" s="46"/>
      <c r="X111" s="46"/>
      <c r="Y111" s="46"/>
      <c r="Z111" s="54">
        <v>44098</v>
      </c>
      <c r="AA111" s="46">
        <v>250</v>
      </c>
      <c r="AB111" s="46">
        <v>250</v>
      </c>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t="s">
        <v>47</v>
      </c>
      <c r="AY111" s="46"/>
      <c r="AZ111" s="46" t="s">
        <v>325</v>
      </c>
      <c r="BA111" s="46"/>
      <c r="BB111" s="46" t="s">
        <v>132</v>
      </c>
      <c r="BC111" s="46" t="s">
        <v>326</v>
      </c>
      <c r="BD111" s="46" t="s">
        <v>327</v>
      </c>
      <c r="BE111" s="55">
        <v>44121.755114143518</v>
      </c>
      <c r="BF111" s="46"/>
      <c r="BG111" s="46"/>
      <c r="BH111" s="46"/>
      <c r="BI111" s="46" t="s">
        <v>328</v>
      </c>
      <c r="BJ111" s="46">
        <v>4.1015202018575601E+18</v>
      </c>
      <c r="BK111" s="46" t="s">
        <v>329</v>
      </c>
      <c r="BL111" s="46"/>
      <c r="BM111" s="46">
        <v>2020</v>
      </c>
      <c r="BN111" s="46" t="s">
        <v>331</v>
      </c>
      <c r="BO111" s="46"/>
      <c r="BP111" s="46">
        <v>4.1016202018796498E+18</v>
      </c>
      <c r="BQ111" s="46" t="s">
        <v>536</v>
      </c>
      <c r="BR111" s="46" t="s">
        <v>333</v>
      </c>
      <c r="BS111" s="51">
        <v>250</v>
      </c>
      <c r="BT111" s="52" t="s">
        <v>3</v>
      </c>
      <c r="BU111" s="49">
        <v>195.22129290817216</v>
      </c>
      <c r="BV111" s="49">
        <v>54.778707091827847</v>
      </c>
      <c r="BW111" s="46"/>
      <c r="BX111" s="53">
        <v>0.78088517163268867</v>
      </c>
      <c r="BY111" s="53">
        <v>0.21911482836731139</v>
      </c>
    </row>
    <row r="112" spans="1:77">
      <c r="A112" s="46" t="s">
        <v>312</v>
      </c>
      <c r="B112" s="46" t="s">
        <v>313</v>
      </c>
      <c r="C112" s="46"/>
      <c r="D112" s="46"/>
      <c r="E112" s="46" t="s">
        <v>537</v>
      </c>
      <c r="F112" s="46" t="s">
        <v>315</v>
      </c>
      <c r="G112" s="46" t="s">
        <v>316</v>
      </c>
      <c r="H112" s="46" t="s">
        <v>127</v>
      </c>
      <c r="I112" s="46" t="s">
        <v>538</v>
      </c>
      <c r="J112" s="46"/>
      <c r="K112" s="46" t="s">
        <v>539</v>
      </c>
      <c r="L112" s="46"/>
      <c r="M112" s="46" t="s">
        <v>338</v>
      </c>
      <c r="N112" s="46"/>
      <c r="O112" s="46" t="s">
        <v>339</v>
      </c>
      <c r="P112" s="46" t="s">
        <v>107</v>
      </c>
      <c r="Q112" s="46">
        <v>77389</v>
      </c>
      <c r="R112" s="46" t="s">
        <v>527</v>
      </c>
      <c r="S112" s="46" t="s">
        <v>540</v>
      </c>
      <c r="T112" s="46"/>
      <c r="U112" s="46">
        <v>15</v>
      </c>
      <c r="V112" s="46" t="s">
        <v>324</v>
      </c>
      <c r="W112" s="46"/>
      <c r="X112" s="46"/>
      <c r="Y112" s="46"/>
      <c r="Z112" s="54">
        <v>43951</v>
      </c>
      <c r="AA112" s="46">
        <v>120</v>
      </c>
      <c r="AB112" s="46">
        <v>480</v>
      </c>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t="s">
        <v>47</v>
      </c>
      <c r="AY112" s="46"/>
      <c r="AZ112" s="46" t="s">
        <v>325</v>
      </c>
      <c r="BA112" s="46"/>
      <c r="BB112" s="46" t="s">
        <v>132</v>
      </c>
      <c r="BC112" s="46" t="s">
        <v>326</v>
      </c>
      <c r="BD112" s="46" t="s">
        <v>327</v>
      </c>
      <c r="BE112" s="55">
        <v>43965.059127534725</v>
      </c>
      <c r="BF112" s="46"/>
      <c r="BG112" s="46"/>
      <c r="BH112" s="46"/>
      <c r="BI112" s="46" t="s">
        <v>328</v>
      </c>
      <c r="BJ112" s="46">
        <v>4.05132020174272E+18</v>
      </c>
      <c r="BK112" s="46" t="s">
        <v>329</v>
      </c>
      <c r="BL112" s="46" t="s">
        <v>438</v>
      </c>
      <c r="BM112" s="46">
        <v>2020</v>
      </c>
      <c r="BN112" s="46" t="s">
        <v>331</v>
      </c>
      <c r="BO112" s="46"/>
      <c r="BP112" s="46">
        <v>4.05132020174287E+18</v>
      </c>
      <c r="BQ112" s="46" t="s">
        <v>541</v>
      </c>
      <c r="BR112" s="46" t="s">
        <v>333</v>
      </c>
      <c r="BS112" s="51">
        <v>120</v>
      </c>
      <c r="BT112" s="52" t="s">
        <v>3</v>
      </c>
      <c r="BU112" s="49">
        <v>93.706220595922645</v>
      </c>
      <c r="BV112" s="49">
        <v>26.293779404077366</v>
      </c>
      <c r="BW112" s="46"/>
      <c r="BX112" s="53">
        <v>0.78088517163268867</v>
      </c>
      <c r="BY112" s="53">
        <v>0.21911482836731139</v>
      </c>
    </row>
    <row r="113" spans="1:77">
      <c r="A113" s="46" t="s">
        <v>312</v>
      </c>
      <c r="B113" s="46" t="s">
        <v>313</v>
      </c>
      <c r="C113" s="46"/>
      <c r="D113" s="46"/>
      <c r="E113" s="46" t="s">
        <v>433</v>
      </c>
      <c r="F113" s="46" t="s">
        <v>315</v>
      </c>
      <c r="G113" s="46" t="s">
        <v>316</v>
      </c>
      <c r="H113" s="46" t="s">
        <v>127</v>
      </c>
      <c r="I113" s="46" t="s">
        <v>434</v>
      </c>
      <c r="J113" s="46" t="s">
        <v>130</v>
      </c>
      <c r="K113" s="46" t="s">
        <v>435</v>
      </c>
      <c r="L113" s="46"/>
      <c r="M113" s="46" t="s">
        <v>436</v>
      </c>
      <c r="N113" s="46"/>
      <c r="O113" s="46" t="s">
        <v>419</v>
      </c>
      <c r="P113" s="46" t="s">
        <v>107</v>
      </c>
      <c r="Q113" s="46">
        <v>75039</v>
      </c>
      <c r="R113" s="46" t="s">
        <v>322</v>
      </c>
      <c r="S113" s="46" t="s">
        <v>437</v>
      </c>
      <c r="T113" s="46"/>
      <c r="U113" s="46">
        <v>15</v>
      </c>
      <c r="V113" s="46" t="s">
        <v>324</v>
      </c>
      <c r="W113" s="46"/>
      <c r="X113" s="46"/>
      <c r="Y113" s="46"/>
      <c r="Z113" s="54">
        <v>43951</v>
      </c>
      <c r="AA113" s="46">
        <v>200</v>
      </c>
      <c r="AB113" s="46">
        <v>800</v>
      </c>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t="s">
        <v>47</v>
      </c>
      <c r="AY113" s="46"/>
      <c r="AZ113" s="46" t="s">
        <v>325</v>
      </c>
      <c r="BA113" s="46"/>
      <c r="BB113" s="46" t="s">
        <v>132</v>
      </c>
      <c r="BC113" s="46" t="s">
        <v>326</v>
      </c>
      <c r="BD113" s="46" t="s">
        <v>327</v>
      </c>
      <c r="BE113" s="55">
        <v>43965.059127442131</v>
      </c>
      <c r="BF113" s="46"/>
      <c r="BG113" s="46"/>
      <c r="BH113" s="46"/>
      <c r="BI113" s="46" t="s">
        <v>328</v>
      </c>
      <c r="BJ113" s="46">
        <v>4.05132020174272E+18</v>
      </c>
      <c r="BK113" s="46" t="s">
        <v>329</v>
      </c>
      <c r="BL113" s="46" t="s">
        <v>515</v>
      </c>
      <c r="BM113" s="46">
        <v>2020</v>
      </c>
      <c r="BN113" s="46" t="s">
        <v>331</v>
      </c>
      <c r="BO113" s="46"/>
      <c r="BP113" s="46">
        <v>4.05132020174287E+18</v>
      </c>
      <c r="BQ113" s="46" t="s">
        <v>542</v>
      </c>
      <c r="BR113" s="46" t="s">
        <v>333</v>
      </c>
      <c r="BS113" s="51">
        <v>200</v>
      </c>
      <c r="BT113" s="52" t="s">
        <v>3</v>
      </c>
      <c r="BU113" s="49">
        <v>156.17703432653772</v>
      </c>
      <c r="BV113" s="49">
        <v>43.822965673462278</v>
      </c>
      <c r="BW113" s="46"/>
      <c r="BX113" s="53">
        <v>0.78088517163268867</v>
      </c>
      <c r="BY113" s="53">
        <v>0.21911482836731139</v>
      </c>
    </row>
    <row r="114" spans="1:77">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1"/>
      <c r="BT114" s="56"/>
      <c r="BU114" s="57"/>
      <c r="BV114" s="57"/>
      <c r="BW114" s="56"/>
      <c r="BX114" s="58"/>
      <c r="BY114" s="58"/>
    </row>
    <row r="115" spans="1:77">
      <c r="A115" s="46" t="s">
        <v>312</v>
      </c>
      <c r="B115" s="46" t="s">
        <v>313</v>
      </c>
      <c r="C115" s="46" t="s">
        <v>500</v>
      </c>
      <c r="D115" s="46" t="s">
        <v>486</v>
      </c>
      <c r="E115" s="46" t="s">
        <v>543</v>
      </c>
      <c r="F115" s="46" t="s">
        <v>133</v>
      </c>
      <c r="G115" s="46"/>
      <c r="H115" s="46" t="s">
        <v>47</v>
      </c>
      <c r="I115" s="46" t="s">
        <v>544</v>
      </c>
      <c r="J115" s="46"/>
      <c r="K115" s="46" t="s">
        <v>545</v>
      </c>
      <c r="L115" s="46"/>
      <c r="M115" s="46" t="s">
        <v>546</v>
      </c>
      <c r="N115" s="46"/>
      <c r="O115" s="46" t="s">
        <v>547</v>
      </c>
      <c r="P115" s="46" t="s">
        <v>107</v>
      </c>
      <c r="Q115" s="46">
        <v>760924215</v>
      </c>
      <c r="R115" s="46" t="s">
        <v>322</v>
      </c>
      <c r="S115" s="46" t="s">
        <v>548</v>
      </c>
      <c r="T115" s="46" t="s">
        <v>500</v>
      </c>
      <c r="U115" s="46" t="s">
        <v>428</v>
      </c>
      <c r="V115" s="46" t="s">
        <v>429</v>
      </c>
      <c r="W115" s="46" t="s">
        <v>324</v>
      </c>
      <c r="X115" s="46"/>
      <c r="Y115" s="46"/>
      <c r="Z115" s="54">
        <v>43708</v>
      </c>
      <c r="AA115" s="46">
        <v>500</v>
      </c>
      <c r="AB115" s="46">
        <v>600</v>
      </c>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t="s">
        <v>549</v>
      </c>
      <c r="AY115" s="46"/>
      <c r="AZ115" s="46" t="s">
        <v>325</v>
      </c>
      <c r="BA115" s="46">
        <v>2020</v>
      </c>
      <c r="BB115" s="46" t="s">
        <v>1</v>
      </c>
      <c r="BC115" s="46" t="s">
        <v>550</v>
      </c>
      <c r="BD115" s="46" t="s">
        <v>327</v>
      </c>
      <c r="BE115" s="55">
        <v>43968.07615270833</v>
      </c>
      <c r="BF115" s="46"/>
      <c r="BG115" s="46" t="s">
        <v>551</v>
      </c>
      <c r="BH115" s="46" t="s">
        <v>552</v>
      </c>
      <c r="BI115" s="46" t="s">
        <v>553</v>
      </c>
      <c r="BJ115" s="46">
        <v>4.0515202017548001E+18</v>
      </c>
      <c r="BK115" s="46" t="s">
        <v>329</v>
      </c>
      <c r="BL115" s="46" t="s">
        <v>554</v>
      </c>
      <c r="BM115" s="46">
        <v>2020</v>
      </c>
      <c r="BN115" s="46" t="s">
        <v>331</v>
      </c>
      <c r="BO115" s="46"/>
      <c r="BP115" s="46">
        <v>4.05162020176145E+18</v>
      </c>
      <c r="BQ115" s="46" t="s">
        <v>555</v>
      </c>
      <c r="BR115" s="46" t="s">
        <v>333</v>
      </c>
      <c r="BS115" s="51">
        <v>500</v>
      </c>
      <c r="BT115" s="46" t="s">
        <v>3</v>
      </c>
      <c r="BU115" s="49">
        <v>500</v>
      </c>
      <c r="BV115" s="49"/>
      <c r="BW115" s="46"/>
      <c r="BX115" s="53">
        <v>1</v>
      </c>
      <c r="BY115" s="53"/>
    </row>
    <row r="116" spans="1:77">
      <c r="A116" s="46" t="s">
        <v>312</v>
      </c>
      <c r="B116" s="46" t="s">
        <v>313</v>
      </c>
      <c r="C116" s="46"/>
      <c r="D116" s="46"/>
      <c r="E116" s="46" t="s">
        <v>556</v>
      </c>
      <c r="F116" s="46" t="s">
        <v>315</v>
      </c>
      <c r="G116" s="46" t="s">
        <v>316</v>
      </c>
      <c r="H116" s="46" t="s">
        <v>127</v>
      </c>
      <c r="I116" s="46" t="s">
        <v>557</v>
      </c>
      <c r="J116" s="46" t="s">
        <v>128</v>
      </c>
      <c r="K116" s="46" t="s">
        <v>558</v>
      </c>
      <c r="L116" s="46"/>
      <c r="M116" s="46" t="s">
        <v>559</v>
      </c>
      <c r="N116" s="46"/>
      <c r="O116" s="46" t="s">
        <v>419</v>
      </c>
      <c r="P116" s="46" t="s">
        <v>107</v>
      </c>
      <c r="Q116" s="46">
        <v>75039</v>
      </c>
      <c r="R116" s="46" t="s">
        <v>322</v>
      </c>
      <c r="S116" s="46" t="s">
        <v>560</v>
      </c>
      <c r="T116" s="46"/>
      <c r="U116" s="46">
        <v>15</v>
      </c>
      <c r="V116" s="46" t="s">
        <v>324</v>
      </c>
      <c r="W116" s="46"/>
      <c r="X116" s="46"/>
      <c r="Y116" s="46"/>
      <c r="Z116" s="54">
        <v>43951</v>
      </c>
      <c r="AA116" s="46">
        <v>400</v>
      </c>
      <c r="AB116" s="46">
        <v>1600</v>
      </c>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t="s">
        <v>47</v>
      </c>
      <c r="AY116" s="46"/>
      <c r="AZ116" s="46" t="s">
        <v>325</v>
      </c>
      <c r="BA116" s="46"/>
      <c r="BB116" s="46" t="s">
        <v>132</v>
      </c>
      <c r="BC116" s="46" t="s">
        <v>326</v>
      </c>
      <c r="BD116" s="46" t="s">
        <v>327</v>
      </c>
      <c r="BE116" s="55">
        <v>43965.059127337961</v>
      </c>
      <c r="BF116" s="46"/>
      <c r="BG116" s="46"/>
      <c r="BH116" s="46"/>
      <c r="BI116" s="46" t="s">
        <v>328</v>
      </c>
      <c r="BJ116" s="46">
        <v>4.05132020174272E+18</v>
      </c>
      <c r="BK116" s="46" t="s">
        <v>329</v>
      </c>
      <c r="BL116" s="46" t="s">
        <v>515</v>
      </c>
      <c r="BM116" s="46">
        <v>2020</v>
      </c>
      <c r="BN116" s="46" t="s">
        <v>331</v>
      </c>
      <c r="BO116" s="46"/>
      <c r="BP116" s="46">
        <v>4.05132020174287E+18</v>
      </c>
      <c r="BQ116" s="46" t="s">
        <v>561</v>
      </c>
      <c r="BR116" s="46" t="s">
        <v>333</v>
      </c>
      <c r="BS116" s="51">
        <v>400</v>
      </c>
      <c r="BT116" s="52" t="s">
        <v>3</v>
      </c>
      <c r="BU116" s="49">
        <v>312.35406865307544</v>
      </c>
      <c r="BV116" s="49">
        <v>87.645931346924556</v>
      </c>
      <c r="BW116" s="46"/>
      <c r="BX116" s="53">
        <v>0.78088517163268867</v>
      </c>
      <c r="BY116" s="53">
        <v>0.21911482836731139</v>
      </c>
    </row>
    <row r="117" spans="1:77">
      <c r="A117" s="46" t="s">
        <v>312</v>
      </c>
      <c r="B117" s="46" t="s">
        <v>313</v>
      </c>
      <c r="C117" s="46"/>
      <c r="D117" s="46"/>
      <c r="E117" s="46" t="s">
        <v>562</v>
      </c>
      <c r="F117" s="46" t="s">
        <v>315</v>
      </c>
      <c r="G117" s="46" t="s">
        <v>316</v>
      </c>
      <c r="H117" s="46" t="s">
        <v>127</v>
      </c>
      <c r="I117" s="46" t="s">
        <v>563</v>
      </c>
      <c r="J117" s="46" t="s">
        <v>128</v>
      </c>
      <c r="K117" s="46" t="s">
        <v>564</v>
      </c>
      <c r="L117" s="46"/>
      <c r="M117" s="46" t="s">
        <v>338</v>
      </c>
      <c r="N117" s="46"/>
      <c r="O117" s="46" t="s">
        <v>339</v>
      </c>
      <c r="P117" s="46" t="s">
        <v>107</v>
      </c>
      <c r="Q117" s="46">
        <v>77389</v>
      </c>
      <c r="R117" s="46" t="s">
        <v>322</v>
      </c>
      <c r="S117" s="46" t="s">
        <v>565</v>
      </c>
      <c r="T117" s="46"/>
      <c r="U117" s="46">
        <v>15</v>
      </c>
      <c r="V117" s="46" t="s">
        <v>324</v>
      </c>
      <c r="W117" s="46"/>
      <c r="X117" s="46"/>
      <c r="Y117" s="46"/>
      <c r="Z117" s="54">
        <v>43585</v>
      </c>
      <c r="AA117" s="46">
        <v>416.66</v>
      </c>
      <c r="AB117" s="46">
        <v>1666.64</v>
      </c>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t="s">
        <v>47</v>
      </c>
      <c r="AY117" s="46"/>
      <c r="AZ117" s="46" t="s">
        <v>325</v>
      </c>
      <c r="BA117" s="46"/>
      <c r="BB117" s="46" t="s">
        <v>132</v>
      </c>
      <c r="BC117" s="46" t="s">
        <v>326</v>
      </c>
      <c r="BD117" s="46" t="s">
        <v>327</v>
      </c>
      <c r="BE117" s="55">
        <v>43601.107904131946</v>
      </c>
      <c r="BF117" s="46"/>
      <c r="BG117" s="46"/>
      <c r="BH117" s="46"/>
      <c r="BI117" s="46" t="s">
        <v>328</v>
      </c>
      <c r="BJ117" s="46">
        <v>4.0515201916567798E+18</v>
      </c>
      <c r="BK117" s="46" t="s">
        <v>329</v>
      </c>
      <c r="BL117" s="46" t="s">
        <v>566</v>
      </c>
      <c r="BM117" s="46">
        <v>2020</v>
      </c>
      <c r="BN117" s="46" t="s">
        <v>331</v>
      </c>
      <c r="BO117" s="46"/>
      <c r="BP117" s="46">
        <v>4.0515201916568003E+18</v>
      </c>
      <c r="BQ117" s="46" t="s">
        <v>567</v>
      </c>
      <c r="BR117" s="46" t="s">
        <v>333</v>
      </c>
      <c r="BS117" s="51">
        <v>416.66</v>
      </c>
      <c r="BT117" s="52" t="s">
        <v>3</v>
      </c>
      <c r="BU117" s="49">
        <v>325.36361561247605</v>
      </c>
      <c r="BV117" s="49">
        <v>91.296384387523972</v>
      </c>
      <c r="BW117" s="46"/>
      <c r="BX117" s="53">
        <v>0.78088517163268867</v>
      </c>
      <c r="BY117" s="53">
        <v>0.21911482836731139</v>
      </c>
    </row>
    <row r="118" spans="1:77">
      <c r="A118" s="46" t="s">
        <v>312</v>
      </c>
      <c r="B118" s="46" t="s">
        <v>313</v>
      </c>
      <c r="C118" s="46"/>
      <c r="D118" s="46"/>
      <c r="E118" s="46" t="s">
        <v>568</v>
      </c>
      <c r="F118" s="46" t="s">
        <v>315</v>
      </c>
      <c r="G118" s="46" t="s">
        <v>316</v>
      </c>
      <c r="H118" s="46" t="s">
        <v>127</v>
      </c>
      <c r="I118" s="46" t="s">
        <v>441</v>
      </c>
      <c r="J118" s="46" t="s">
        <v>569</v>
      </c>
      <c r="K118" s="46" t="s">
        <v>570</v>
      </c>
      <c r="L118" s="46"/>
      <c r="M118" s="46" t="s">
        <v>338</v>
      </c>
      <c r="N118" s="46"/>
      <c r="O118" s="46" t="s">
        <v>339</v>
      </c>
      <c r="P118" s="46" t="s">
        <v>107</v>
      </c>
      <c r="Q118" s="46">
        <v>77389</v>
      </c>
      <c r="R118" s="46" t="s">
        <v>322</v>
      </c>
      <c r="S118" s="46" t="s">
        <v>571</v>
      </c>
      <c r="T118" s="46"/>
      <c r="U118" s="46">
        <v>15</v>
      </c>
      <c r="V118" s="46" t="s">
        <v>324</v>
      </c>
      <c r="W118" s="46"/>
      <c r="X118" s="46"/>
      <c r="Y118" s="46"/>
      <c r="Z118" s="54">
        <v>43646</v>
      </c>
      <c r="AA118" s="46">
        <v>416.66</v>
      </c>
      <c r="AB118" s="46">
        <v>2499.96</v>
      </c>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t="s">
        <v>47</v>
      </c>
      <c r="AY118" s="46"/>
      <c r="AZ118" s="46" t="s">
        <v>325</v>
      </c>
      <c r="BA118" s="46"/>
      <c r="BB118" s="46" t="s">
        <v>132</v>
      </c>
      <c r="BC118" s="46" t="s">
        <v>326</v>
      </c>
      <c r="BD118" s="46" t="s">
        <v>327</v>
      </c>
      <c r="BE118" s="55">
        <v>43657.143775312499</v>
      </c>
      <c r="BF118" s="46"/>
      <c r="BG118" s="46"/>
      <c r="BH118" s="46"/>
      <c r="BI118" s="46" t="s">
        <v>328</v>
      </c>
      <c r="BJ118" s="46">
        <v>4.0710201916590899E+18</v>
      </c>
      <c r="BK118" s="46" t="s">
        <v>329</v>
      </c>
      <c r="BL118" s="46" t="s">
        <v>566</v>
      </c>
      <c r="BM118" s="46">
        <v>2020</v>
      </c>
      <c r="BN118" s="46" t="s">
        <v>331</v>
      </c>
      <c r="BO118" s="46"/>
      <c r="BP118" s="46">
        <v>4.0710201916592599E+18</v>
      </c>
      <c r="BQ118" s="46" t="s">
        <v>572</v>
      </c>
      <c r="BR118" s="46" t="s">
        <v>333</v>
      </c>
      <c r="BS118" s="51">
        <v>416.66</v>
      </c>
      <c r="BT118" s="52" t="s">
        <v>3</v>
      </c>
      <c r="BU118" s="49">
        <v>325.36361561247605</v>
      </c>
      <c r="BV118" s="49">
        <v>91.296384387523972</v>
      </c>
      <c r="BW118" s="46"/>
      <c r="BX118" s="53">
        <v>0.78088517163268867</v>
      </c>
      <c r="BY118" s="53">
        <v>0.21911482836731139</v>
      </c>
    </row>
    <row r="119" spans="1:77">
      <c r="A119" s="46" t="s">
        <v>312</v>
      </c>
      <c r="B119" s="46" t="s">
        <v>313</v>
      </c>
      <c r="C119" s="46"/>
      <c r="D119" s="46"/>
      <c r="E119" s="46" t="s">
        <v>573</v>
      </c>
      <c r="F119" s="46" t="s">
        <v>315</v>
      </c>
      <c r="G119" s="46" t="s">
        <v>316</v>
      </c>
      <c r="H119" s="46" t="s">
        <v>127</v>
      </c>
      <c r="I119" s="46" t="s">
        <v>574</v>
      </c>
      <c r="J119" s="46" t="s">
        <v>575</v>
      </c>
      <c r="K119" s="46" t="s">
        <v>576</v>
      </c>
      <c r="L119" s="46"/>
      <c r="M119" s="46" t="s">
        <v>338</v>
      </c>
      <c r="N119" s="46"/>
      <c r="O119" s="46" t="s">
        <v>339</v>
      </c>
      <c r="P119" s="46" t="s">
        <v>107</v>
      </c>
      <c r="Q119" s="46">
        <v>77389</v>
      </c>
      <c r="R119" s="46" t="s">
        <v>322</v>
      </c>
      <c r="S119" s="46" t="s">
        <v>577</v>
      </c>
      <c r="T119" s="46"/>
      <c r="U119" s="46">
        <v>15</v>
      </c>
      <c r="V119" s="46" t="s">
        <v>324</v>
      </c>
      <c r="W119" s="46"/>
      <c r="X119" s="46"/>
      <c r="Y119" s="46"/>
      <c r="Z119" s="54">
        <v>43951</v>
      </c>
      <c r="AA119" s="46">
        <v>416.67</v>
      </c>
      <c r="AB119" s="46">
        <v>1666.68</v>
      </c>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t="s">
        <v>47</v>
      </c>
      <c r="AY119" s="46"/>
      <c r="AZ119" s="46" t="s">
        <v>325</v>
      </c>
      <c r="BA119" s="46"/>
      <c r="BB119" s="46" t="s">
        <v>132</v>
      </c>
      <c r="BC119" s="46" t="s">
        <v>326</v>
      </c>
      <c r="BD119" s="46" t="s">
        <v>327</v>
      </c>
      <c r="BE119" s="55">
        <v>43965.059127673609</v>
      </c>
      <c r="BF119" s="46"/>
      <c r="BG119" s="46"/>
      <c r="BH119" s="46"/>
      <c r="BI119" s="46" t="s">
        <v>328</v>
      </c>
      <c r="BJ119" s="46">
        <v>4.05132020174272E+18</v>
      </c>
      <c r="BK119" s="46" t="s">
        <v>329</v>
      </c>
      <c r="BL119" s="46" t="s">
        <v>578</v>
      </c>
      <c r="BM119" s="46">
        <v>2020</v>
      </c>
      <c r="BN119" s="46" t="s">
        <v>331</v>
      </c>
      <c r="BO119" s="46"/>
      <c r="BP119" s="46">
        <v>4.05132020174287E+18</v>
      </c>
      <c r="BQ119" s="46" t="s">
        <v>579</v>
      </c>
      <c r="BR119" s="46" t="s">
        <v>333</v>
      </c>
      <c r="BS119" s="51">
        <v>416.67</v>
      </c>
      <c r="BT119" s="52" t="s">
        <v>3</v>
      </c>
      <c r="BU119" s="49">
        <v>325.37142446419239</v>
      </c>
      <c r="BV119" s="49">
        <v>91.298575535807643</v>
      </c>
      <c r="BW119" s="46"/>
      <c r="BX119" s="53">
        <v>0.78088517163268867</v>
      </c>
      <c r="BY119" s="53">
        <v>0.21911482836731139</v>
      </c>
    </row>
    <row r="120" spans="1:77">
      <c r="A120" s="46" t="s">
        <v>312</v>
      </c>
      <c r="B120" s="46" t="s">
        <v>313</v>
      </c>
      <c r="C120" s="46"/>
      <c r="D120" s="46"/>
      <c r="E120" s="46" t="s">
        <v>580</v>
      </c>
      <c r="F120" s="46" t="s">
        <v>315</v>
      </c>
      <c r="G120" s="46" t="s">
        <v>316</v>
      </c>
      <c r="H120" s="46" t="s">
        <v>127</v>
      </c>
      <c r="I120" s="46" t="s">
        <v>581</v>
      </c>
      <c r="J120" s="46" t="s">
        <v>130</v>
      </c>
      <c r="K120" s="46" t="s">
        <v>582</v>
      </c>
      <c r="L120" s="46"/>
      <c r="M120" s="46" t="s">
        <v>583</v>
      </c>
      <c r="N120" s="46"/>
      <c r="O120" s="46" t="s">
        <v>419</v>
      </c>
      <c r="P120" s="46" t="s">
        <v>107</v>
      </c>
      <c r="Q120" s="46">
        <v>75039</v>
      </c>
      <c r="R120" s="46" t="s">
        <v>322</v>
      </c>
      <c r="S120" s="46" t="s">
        <v>584</v>
      </c>
      <c r="T120" s="46"/>
      <c r="U120" s="46">
        <v>15</v>
      </c>
      <c r="V120" s="46" t="s">
        <v>324</v>
      </c>
      <c r="W120" s="46"/>
      <c r="X120" s="46"/>
      <c r="Y120" s="46"/>
      <c r="Z120" s="54">
        <v>43889</v>
      </c>
      <c r="AA120" s="46">
        <v>416.66</v>
      </c>
      <c r="AB120" s="46">
        <v>833.32</v>
      </c>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t="s">
        <v>47</v>
      </c>
      <c r="AY120" s="46"/>
      <c r="AZ120" s="46" t="s">
        <v>325</v>
      </c>
      <c r="BA120" s="46"/>
      <c r="BB120" s="46" t="s">
        <v>132</v>
      </c>
      <c r="BC120" s="46" t="s">
        <v>326</v>
      </c>
      <c r="BD120" s="46" t="s">
        <v>327</v>
      </c>
      <c r="BE120" s="55">
        <v>43908.075155497689</v>
      </c>
      <c r="BF120" s="46"/>
      <c r="BG120" s="46"/>
      <c r="BH120" s="46"/>
      <c r="BI120" s="46" t="s">
        <v>328</v>
      </c>
      <c r="BJ120" s="46">
        <v>4.03172020170321E+18</v>
      </c>
      <c r="BK120" s="46" t="s">
        <v>329</v>
      </c>
      <c r="BL120" s="46" t="s">
        <v>585</v>
      </c>
      <c r="BM120" s="46">
        <v>2020</v>
      </c>
      <c r="BN120" s="46" t="s">
        <v>331</v>
      </c>
      <c r="BO120" s="46"/>
      <c r="BP120" s="46">
        <v>4.03172020170323E+18</v>
      </c>
      <c r="BQ120" s="46" t="s">
        <v>586</v>
      </c>
      <c r="BR120" s="46" t="s">
        <v>333</v>
      </c>
      <c r="BS120" s="51">
        <v>416.66</v>
      </c>
      <c r="BT120" s="52" t="s">
        <v>3</v>
      </c>
      <c r="BU120" s="49">
        <v>325.36361561247605</v>
      </c>
      <c r="BV120" s="49">
        <v>91.296384387523972</v>
      </c>
      <c r="BW120" s="46"/>
      <c r="BX120" s="53">
        <v>0.78088517163268867</v>
      </c>
      <c r="BY120" s="53">
        <v>0.21911482836731139</v>
      </c>
    </row>
    <row r="121" spans="1:77">
      <c r="A121" s="46" t="s">
        <v>312</v>
      </c>
      <c r="B121" s="46" t="s">
        <v>313</v>
      </c>
      <c r="C121" s="46"/>
      <c r="D121" s="46"/>
      <c r="E121" s="46" t="s">
        <v>587</v>
      </c>
      <c r="F121" s="46" t="s">
        <v>315</v>
      </c>
      <c r="G121" s="46" t="s">
        <v>316</v>
      </c>
      <c r="H121" s="46" t="s">
        <v>127</v>
      </c>
      <c r="I121" s="46" t="s">
        <v>588</v>
      </c>
      <c r="J121" s="46" t="s">
        <v>131</v>
      </c>
      <c r="K121" s="46" t="s">
        <v>589</v>
      </c>
      <c r="L121" s="46"/>
      <c r="M121" s="46" t="s">
        <v>590</v>
      </c>
      <c r="N121" s="46"/>
      <c r="O121" s="46" t="s">
        <v>591</v>
      </c>
      <c r="P121" s="46" t="s">
        <v>535</v>
      </c>
      <c r="Q121" s="46">
        <v>342361816</v>
      </c>
      <c r="R121" s="46" t="s">
        <v>322</v>
      </c>
      <c r="S121" s="46" t="s">
        <v>28</v>
      </c>
      <c r="T121" s="46"/>
      <c r="U121" s="46">
        <v>15</v>
      </c>
      <c r="V121" s="46" t="s">
        <v>324</v>
      </c>
      <c r="W121" s="46"/>
      <c r="X121" s="46"/>
      <c r="Y121" s="46"/>
      <c r="Z121" s="54">
        <v>43810</v>
      </c>
      <c r="AA121" s="46">
        <v>500</v>
      </c>
      <c r="AB121" s="46">
        <v>500</v>
      </c>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t="s">
        <v>47</v>
      </c>
      <c r="AY121" s="46"/>
      <c r="AZ121" s="46" t="s">
        <v>325</v>
      </c>
      <c r="BA121" s="46"/>
      <c r="BB121" s="46" t="s">
        <v>132</v>
      </c>
      <c r="BC121" s="46" t="s">
        <v>326</v>
      </c>
      <c r="BD121" s="46" t="s">
        <v>327</v>
      </c>
      <c r="BE121" s="55">
        <v>43853.069426585651</v>
      </c>
      <c r="BF121" s="46"/>
      <c r="BG121" s="46"/>
      <c r="BH121" s="46"/>
      <c r="BI121" s="46" t="s">
        <v>328</v>
      </c>
      <c r="BJ121" s="46">
        <v>4.0122202016854098E+18</v>
      </c>
      <c r="BK121" s="46" t="s">
        <v>329</v>
      </c>
      <c r="BL121" s="46"/>
      <c r="BM121" s="46">
        <v>2020</v>
      </c>
      <c r="BN121" s="46" t="s">
        <v>331</v>
      </c>
      <c r="BO121" s="46"/>
      <c r="BP121" s="46">
        <v>4.01222020168546E+18</v>
      </c>
      <c r="BQ121" s="46" t="s">
        <v>592</v>
      </c>
      <c r="BR121" s="46" t="s">
        <v>333</v>
      </c>
      <c r="BS121" s="51">
        <v>500</v>
      </c>
      <c r="BT121" s="52" t="s">
        <v>3</v>
      </c>
      <c r="BU121" s="49">
        <v>390.44258581634432</v>
      </c>
      <c r="BV121" s="49">
        <v>109.55741418365569</v>
      </c>
      <c r="BW121" s="46"/>
      <c r="BX121" s="53">
        <v>0.78088517163268867</v>
      </c>
      <c r="BY121" s="53">
        <v>0.21911482836731139</v>
      </c>
    </row>
    <row r="122" spans="1:77">
      <c r="A122" s="46" t="s">
        <v>312</v>
      </c>
      <c r="B122" s="46" t="s">
        <v>313</v>
      </c>
      <c r="C122" s="46"/>
      <c r="D122" s="46"/>
      <c r="E122" s="46" t="s">
        <v>593</v>
      </c>
      <c r="F122" s="46" t="s">
        <v>315</v>
      </c>
      <c r="G122" s="46" t="s">
        <v>316</v>
      </c>
      <c r="H122" s="46" t="s">
        <v>127</v>
      </c>
      <c r="I122" s="46" t="s">
        <v>450</v>
      </c>
      <c r="J122" s="46" t="s">
        <v>1</v>
      </c>
      <c r="K122" s="46" t="s">
        <v>594</v>
      </c>
      <c r="L122" s="46"/>
      <c r="M122" s="46" t="s">
        <v>595</v>
      </c>
      <c r="N122" s="46"/>
      <c r="O122" s="46" t="s">
        <v>419</v>
      </c>
      <c r="P122" s="46" t="s">
        <v>107</v>
      </c>
      <c r="Q122" s="46">
        <v>75039</v>
      </c>
      <c r="R122" s="46" t="s">
        <v>322</v>
      </c>
      <c r="S122" s="46" t="s">
        <v>596</v>
      </c>
      <c r="T122" s="46"/>
      <c r="U122" s="46">
        <v>15</v>
      </c>
      <c r="V122" s="46" t="s">
        <v>324</v>
      </c>
      <c r="W122" s="46"/>
      <c r="X122" s="46"/>
      <c r="Y122" s="46"/>
      <c r="Z122" s="54">
        <v>43830</v>
      </c>
      <c r="AA122" s="46">
        <v>300</v>
      </c>
      <c r="AB122" s="46">
        <v>4700</v>
      </c>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t="s">
        <v>47</v>
      </c>
      <c r="AY122" s="46"/>
      <c r="AZ122" s="46" t="s">
        <v>325</v>
      </c>
      <c r="BA122" s="46"/>
      <c r="BB122" s="46" t="s">
        <v>132</v>
      </c>
      <c r="BC122" s="46" t="s">
        <v>326</v>
      </c>
      <c r="BD122" s="46" t="s">
        <v>327</v>
      </c>
      <c r="BE122" s="55">
        <v>43853.069426863425</v>
      </c>
      <c r="BF122" s="46"/>
      <c r="BG122" s="46"/>
      <c r="BH122" s="46"/>
      <c r="BI122" s="46" t="s">
        <v>328</v>
      </c>
      <c r="BJ122" s="46">
        <v>4.0122202016854098E+18</v>
      </c>
      <c r="BK122" s="46" t="s">
        <v>329</v>
      </c>
      <c r="BL122" s="46" t="s">
        <v>515</v>
      </c>
      <c r="BM122" s="46">
        <v>2020</v>
      </c>
      <c r="BN122" s="46" t="s">
        <v>331</v>
      </c>
      <c r="BO122" s="46"/>
      <c r="BP122" s="46">
        <v>4.01222020168546E+18</v>
      </c>
      <c r="BQ122" s="46" t="s">
        <v>597</v>
      </c>
      <c r="BR122" s="46" t="s">
        <v>333</v>
      </c>
      <c r="BS122" s="51">
        <v>300</v>
      </c>
      <c r="BT122" s="52" t="s">
        <v>3</v>
      </c>
      <c r="BU122" s="49">
        <v>234.2655514898066</v>
      </c>
      <c r="BV122" s="49">
        <v>65.734448510193417</v>
      </c>
      <c r="BW122" s="46"/>
      <c r="BX122" s="53">
        <v>0.78088517163268867</v>
      </c>
      <c r="BY122" s="53">
        <v>0.21911482836731139</v>
      </c>
    </row>
    <row r="123" spans="1:77">
      <c r="A123" s="46" t="s">
        <v>312</v>
      </c>
      <c r="B123" s="46" t="s">
        <v>313</v>
      </c>
      <c r="C123" s="46"/>
      <c r="D123" s="46"/>
      <c r="E123" s="46" t="s">
        <v>598</v>
      </c>
      <c r="F123" s="46" t="s">
        <v>133</v>
      </c>
      <c r="G123" s="46"/>
      <c r="H123" s="46" t="s">
        <v>47</v>
      </c>
      <c r="I123" s="46" t="s">
        <v>599</v>
      </c>
      <c r="J123" s="46"/>
      <c r="K123" s="46" t="s">
        <v>600</v>
      </c>
      <c r="L123" s="46"/>
      <c r="M123" s="46" t="s">
        <v>601</v>
      </c>
      <c r="N123" s="46"/>
      <c r="O123" s="46" t="s">
        <v>370</v>
      </c>
      <c r="P123" s="46" t="s">
        <v>107</v>
      </c>
      <c r="Q123" s="46">
        <v>770247710</v>
      </c>
      <c r="R123" s="46" t="s">
        <v>602</v>
      </c>
      <c r="S123" s="46" t="s">
        <v>603</v>
      </c>
      <c r="T123" s="46"/>
      <c r="U123" s="46" t="s">
        <v>428</v>
      </c>
      <c r="V123" s="46" t="s">
        <v>429</v>
      </c>
      <c r="W123" s="46" t="s">
        <v>324</v>
      </c>
      <c r="X123" s="46"/>
      <c r="Y123" s="46"/>
      <c r="Z123" s="54">
        <v>44089</v>
      </c>
      <c r="AA123" s="46">
        <v>1000</v>
      </c>
      <c r="AB123" s="46">
        <v>1200</v>
      </c>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t="s">
        <v>467</v>
      </c>
      <c r="AY123" s="46"/>
      <c r="AZ123" s="46" t="s">
        <v>468</v>
      </c>
      <c r="BA123" s="46">
        <v>2020</v>
      </c>
      <c r="BB123" s="46" t="s">
        <v>132</v>
      </c>
      <c r="BC123" s="46" t="s">
        <v>326</v>
      </c>
      <c r="BD123" s="46" t="s">
        <v>327</v>
      </c>
      <c r="BE123" s="55">
        <v>44324.200905613427</v>
      </c>
      <c r="BF123" s="46"/>
      <c r="BG123" s="46" t="s">
        <v>604</v>
      </c>
      <c r="BH123" s="46" t="s">
        <v>552</v>
      </c>
      <c r="BI123" s="46" t="s">
        <v>553</v>
      </c>
      <c r="BJ123" s="46">
        <v>4.0423202112787502E+18</v>
      </c>
      <c r="BK123" s="46" t="s">
        <v>329</v>
      </c>
      <c r="BL123" s="46" t="s">
        <v>554</v>
      </c>
      <c r="BM123" s="46">
        <v>2020</v>
      </c>
      <c r="BN123" s="46" t="s">
        <v>331</v>
      </c>
      <c r="BO123" s="46"/>
      <c r="BP123" s="46">
        <v>4.0508202112872202E+18</v>
      </c>
      <c r="BQ123" s="46" t="s">
        <v>605</v>
      </c>
      <c r="BR123" s="46" t="s">
        <v>333</v>
      </c>
      <c r="BS123" s="51">
        <v>1000</v>
      </c>
      <c r="BT123" s="46" t="s">
        <v>3</v>
      </c>
      <c r="BU123" s="49">
        <v>1000</v>
      </c>
      <c r="BV123" s="49"/>
      <c r="BW123" s="46"/>
      <c r="BX123" s="53">
        <v>1</v>
      </c>
      <c r="BY123" s="53"/>
    </row>
    <row r="124" spans="1:77">
      <c r="A124" s="46" t="s">
        <v>312</v>
      </c>
      <c r="B124" s="46" t="s">
        <v>313</v>
      </c>
      <c r="C124" s="46"/>
      <c r="D124" s="46"/>
      <c r="E124" s="46" t="s">
        <v>606</v>
      </c>
      <c r="F124" s="46" t="s">
        <v>315</v>
      </c>
      <c r="G124" s="46" t="s">
        <v>316</v>
      </c>
      <c r="H124" s="46" t="s">
        <v>127</v>
      </c>
      <c r="I124" s="46" t="s">
        <v>607</v>
      </c>
      <c r="J124" s="46" t="s">
        <v>608</v>
      </c>
      <c r="K124" s="46" t="s">
        <v>609</v>
      </c>
      <c r="L124" s="46"/>
      <c r="M124" s="46" t="s">
        <v>338</v>
      </c>
      <c r="N124" s="46"/>
      <c r="O124" s="46" t="s">
        <v>339</v>
      </c>
      <c r="P124" s="46" t="s">
        <v>107</v>
      </c>
      <c r="Q124" s="46">
        <v>77389</v>
      </c>
      <c r="R124" s="46" t="s">
        <v>322</v>
      </c>
      <c r="S124" s="46" t="s">
        <v>610</v>
      </c>
      <c r="T124" s="46"/>
      <c r="U124" s="46">
        <v>15</v>
      </c>
      <c r="V124" s="46" t="s">
        <v>324</v>
      </c>
      <c r="W124" s="46"/>
      <c r="X124" s="46"/>
      <c r="Y124" s="46"/>
      <c r="Z124" s="54">
        <v>43646</v>
      </c>
      <c r="AA124" s="46">
        <v>416</v>
      </c>
      <c r="AB124" s="46">
        <v>2496</v>
      </c>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t="s">
        <v>47</v>
      </c>
      <c r="AY124" s="46"/>
      <c r="AZ124" s="46" t="s">
        <v>325</v>
      </c>
      <c r="BA124" s="46"/>
      <c r="BB124" s="46" t="s">
        <v>132</v>
      </c>
      <c r="BC124" s="46" t="s">
        <v>326</v>
      </c>
      <c r="BD124" s="46" t="s">
        <v>327</v>
      </c>
      <c r="BE124" s="55">
        <v>43657.143775682867</v>
      </c>
      <c r="BF124" s="46"/>
      <c r="BG124" s="46"/>
      <c r="BH124" s="46"/>
      <c r="BI124" s="46" t="s">
        <v>328</v>
      </c>
      <c r="BJ124" s="46">
        <v>4.0710201916590899E+18</v>
      </c>
      <c r="BK124" s="46" t="s">
        <v>329</v>
      </c>
      <c r="BL124" s="46" t="s">
        <v>611</v>
      </c>
      <c r="BM124" s="46">
        <v>2020</v>
      </c>
      <c r="BN124" s="46" t="s">
        <v>331</v>
      </c>
      <c r="BO124" s="46"/>
      <c r="BP124" s="46">
        <v>4.0710201916592599E+18</v>
      </c>
      <c r="BQ124" s="46" t="s">
        <v>612</v>
      </c>
      <c r="BR124" s="46" t="s">
        <v>333</v>
      </c>
      <c r="BS124" s="51">
        <v>416</v>
      </c>
      <c r="BT124" s="52" t="s">
        <v>3</v>
      </c>
      <c r="BU124" s="49">
        <v>324.84823139919848</v>
      </c>
      <c r="BV124" s="49">
        <v>91.151768600801532</v>
      </c>
      <c r="BW124" s="46"/>
      <c r="BX124" s="53">
        <v>0.78088517163268867</v>
      </c>
      <c r="BY124" s="53">
        <v>0.21911482836731139</v>
      </c>
    </row>
    <row r="125" spans="1:77">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59"/>
      <c r="BG125" s="59"/>
      <c r="BH125" s="59"/>
      <c r="BI125" s="59"/>
      <c r="BJ125" s="59"/>
      <c r="BK125" s="59"/>
      <c r="BL125" s="59"/>
      <c r="BM125" s="59"/>
      <c r="BN125" s="59"/>
      <c r="BO125" s="59"/>
      <c r="BP125" s="59"/>
      <c r="BQ125" s="59"/>
      <c r="BR125" s="59"/>
      <c r="BS125" s="51"/>
      <c r="BT125" s="59"/>
      <c r="BU125" s="60"/>
      <c r="BV125" s="60"/>
      <c r="BW125" s="59"/>
      <c r="BX125" s="61"/>
      <c r="BY125" s="61"/>
    </row>
    <row r="126" spans="1:77">
      <c r="A126" s="46" t="s">
        <v>312</v>
      </c>
      <c r="B126" s="46" t="s">
        <v>313</v>
      </c>
      <c r="C126" s="46"/>
      <c r="D126" s="46"/>
      <c r="E126" s="46" t="s">
        <v>613</v>
      </c>
      <c r="F126" s="46" t="s">
        <v>47</v>
      </c>
      <c r="G126" s="46"/>
      <c r="H126" s="46" t="s">
        <v>47</v>
      </c>
      <c r="I126" s="46" t="s">
        <v>614</v>
      </c>
      <c r="J126" s="46"/>
      <c r="K126" s="46" t="s">
        <v>615</v>
      </c>
      <c r="L126" s="46"/>
      <c r="M126" s="46" t="s">
        <v>616</v>
      </c>
      <c r="N126" s="46"/>
      <c r="O126" s="46" t="s">
        <v>370</v>
      </c>
      <c r="P126" s="46" t="s">
        <v>107</v>
      </c>
      <c r="Q126" s="46">
        <v>77227</v>
      </c>
      <c r="R126" s="46" t="s">
        <v>371</v>
      </c>
      <c r="S126" s="46" t="s">
        <v>617</v>
      </c>
      <c r="T126" s="46"/>
      <c r="U126" s="46" t="s">
        <v>618</v>
      </c>
      <c r="V126" s="46" t="s">
        <v>619</v>
      </c>
      <c r="W126" s="46" t="s">
        <v>620</v>
      </c>
      <c r="X126" s="46" t="s">
        <v>621</v>
      </c>
      <c r="Y126" s="46"/>
      <c r="Z126" s="54">
        <v>43896</v>
      </c>
      <c r="AA126" s="46">
        <v>2800</v>
      </c>
      <c r="AB126" s="46">
        <v>2800</v>
      </c>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t="s">
        <v>549</v>
      </c>
      <c r="AY126" s="46"/>
      <c r="AZ126" s="46" t="s">
        <v>325</v>
      </c>
      <c r="BA126" s="46">
        <v>2020</v>
      </c>
      <c r="BB126" s="46" t="s">
        <v>132</v>
      </c>
      <c r="BC126" s="46" t="s">
        <v>326</v>
      </c>
      <c r="BD126" s="46" t="s">
        <v>327</v>
      </c>
      <c r="BE126" s="55">
        <v>44001.120116851853</v>
      </c>
      <c r="BF126" s="46"/>
      <c r="BG126" s="46"/>
      <c r="BH126" s="46"/>
      <c r="BI126" s="46" t="s">
        <v>471</v>
      </c>
      <c r="BJ126" s="46">
        <v>4.0618202017751101E+18</v>
      </c>
      <c r="BK126" s="46" t="s">
        <v>329</v>
      </c>
      <c r="BL126" s="46"/>
      <c r="BM126" s="46">
        <v>2020</v>
      </c>
      <c r="BN126" s="46" t="s">
        <v>331</v>
      </c>
      <c r="BO126" s="46"/>
      <c r="BP126" s="46">
        <v>4.06182020177549E+18</v>
      </c>
      <c r="BQ126" s="46" t="s">
        <v>622</v>
      </c>
      <c r="BR126" s="46" t="s">
        <v>623</v>
      </c>
      <c r="BS126" s="51">
        <v>2800</v>
      </c>
      <c r="BT126" s="46" t="s">
        <v>3</v>
      </c>
      <c r="BU126" s="49">
        <v>2800</v>
      </c>
      <c r="BV126" s="49"/>
      <c r="BW126" s="46"/>
      <c r="BX126" s="53">
        <v>1</v>
      </c>
      <c r="BY126" s="53"/>
    </row>
    <row r="127" spans="1:77">
      <c r="A127" s="46" t="s">
        <v>312</v>
      </c>
      <c r="B127" s="46" t="s">
        <v>313</v>
      </c>
      <c r="C127" s="46"/>
      <c r="D127" s="46"/>
      <c r="E127" s="46" t="s">
        <v>624</v>
      </c>
      <c r="F127" s="46" t="s">
        <v>315</v>
      </c>
      <c r="G127" s="46" t="s">
        <v>316</v>
      </c>
      <c r="H127" s="46" t="s">
        <v>127</v>
      </c>
      <c r="I127" s="46" t="s">
        <v>625</v>
      </c>
      <c r="J127" s="46"/>
      <c r="K127" s="46" t="s">
        <v>626</v>
      </c>
      <c r="L127" s="46"/>
      <c r="M127" s="46" t="s">
        <v>627</v>
      </c>
      <c r="N127" s="46"/>
      <c r="O127" s="46" t="s">
        <v>628</v>
      </c>
      <c r="P127" s="46" t="s">
        <v>170</v>
      </c>
      <c r="Q127" s="46">
        <v>46260</v>
      </c>
      <c r="R127" s="46" t="s">
        <v>322</v>
      </c>
      <c r="S127" s="46" t="s">
        <v>629</v>
      </c>
      <c r="T127" s="46"/>
      <c r="U127" s="46">
        <v>15</v>
      </c>
      <c r="V127" s="46" t="s">
        <v>324</v>
      </c>
      <c r="W127" s="46"/>
      <c r="X127" s="46"/>
      <c r="Y127" s="46"/>
      <c r="Z127" s="54">
        <v>44084</v>
      </c>
      <c r="AA127" s="46">
        <v>5000</v>
      </c>
      <c r="AB127" s="46">
        <v>5000</v>
      </c>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t="s">
        <v>47</v>
      </c>
      <c r="AY127" s="46"/>
      <c r="AZ127" s="46" t="s">
        <v>325</v>
      </c>
      <c r="BA127" s="46"/>
      <c r="BB127" s="46" t="s">
        <v>132</v>
      </c>
      <c r="BC127" s="46" t="s">
        <v>326</v>
      </c>
      <c r="BD127" s="46" t="s">
        <v>327</v>
      </c>
      <c r="BE127" s="55">
        <v>44121.755114108797</v>
      </c>
      <c r="BF127" s="46"/>
      <c r="BG127" s="46"/>
      <c r="BH127" s="46"/>
      <c r="BI127" s="46" t="s">
        <v>328</v>
      </c>
      <c r="BJ127" s="46">
        <v>4.1015202018575601E+18</v>
      </c>
      <c r="BK127" s="46" t="s">
        <v>329</v>
      </c>
      <c r="BL127" s="46"/>
      <c r="BM127" s="46">
        <v>2020</v>
      </c>
      <c r="BN127" s="46" t="s">
        <v>331</v>
      </c>
      <c r="BO127" s="46"/>
      <c r="BP127" s="46">
        <v>4.1016202018796498E+18</v>
      </c>
      <c r="BQ127" s="46" t="s">
        <v>630</v>
      </c>
      <c r="BR127" s="46" t="s">
        <v>333</v>
      </c>
      <c r="BS127" s="51">
        <v>5000</v>
      </c>
      <c r="BT127" s="52" t="s">
        <v>3</v>
      </c>
      <c r="BU127" s="49">
        <v>3904.4258581634435</v>
      </c>
      <c r="BV127" s="49">
        <v>1095.5741418365569</v>
      </c>
      <c r="BW127" s="46"/>
      <c r="BX127" s="53">
        <v>0.78088517163268867</v>
      </c>
      <c r="BY127" s="53">
        <v>0.21911482836731139</v>
      </c>
    </row>
    <row r="128" spans="1:77">
      <c r="A128" s="46" t="s">
        <v>312</v>
      </c>
      <c r="B128" s="46" t="s">
        <v>313</v>
      </c>
      <c r="C128" s="46" t="s">
        <v>631</v>
      </c>
      <c r="D128" s="46"/>
      <c r="E128" s="46" t="s">
        <v>632</v>
      </c>
      <c r="F128" s="46" t="s">
        <v>365</v>
      </c>
      <c r="G128" s="46"/>
      <c r="H128" s="46" t="s">
        <v>366</v>
      </c>
      <c r="I128" s="46" t="s">
        <v>633</v>
      </c>
      <c r="J128" s="46"/>
      <c r="K128" s="46" t="s">
        <v>634</v>
      </c>
      <c r="L128" s="46"/>
      <c r="M128" s="46" t="s">
        <v>635</v>
      </c>
      <c r="N128" s="46"/>
      <c r="O128" s="46" t="s">
        <v>636</v>
      </c>
      <c r="P128" s="46" t="s">
        <v>107</v>
      </c>
      <c r="Q128" s="46">
        <v>752305235</v>
      </c>
      <c r="R128" s="46" t="s">
        <v>371</v>
      </c>
      <c r="S128" s="46" t="s">
        <v>637</v>
      </c>
      <c r="T128" s="46" t="s">
        <v>631</v>
      </c>
      <c r="U128" s="46" t="s">
        <v>428</v>
      </c>
      <c r="V128" s="46" t="s">
        <v>429</v>
      </c>
      <c r="W128" s="46" t="s">
        <v>638</v>
      </c>
      <c r="X128" s="46"/>
      <c r="Y128" s="46"/>
      <c r="Z128" s="54">
        <v>44099</v>
      </c>
      <c r="AA128" s="46">
        <v>3000</v>
      </c>
      <c r="AB128" s="46">
        <v>3000</v>
      </c>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t="s">
        <v>132</v>
      </c>
      <c r="BC128" s="46" t="s">
        <v>326</v>
      </c>
      <c r="BD128" s="46" t="s">
        <v>327</v>
      </c>
      <c r="BE128" s="55">
        <v>44252.593871296296</v>
      </c>
      <c r="BF128" s="46"/>
      <c r="BG128" s="46"/>
      <c r="BH128" s="46"/>
      <c r="BI128" s="46" t="s">
        <v>328</v>
      </c>
      <c r="BJ128" s="46">
        <v>4.0125202121377597E+18</v>
      </c>
      <c r="BK128" s="46" t="s">
        <v>329</v>
      </c>
      <c r="BL128" s="46"/>
      <c r="BM128" s="46">
        <v>2020</v>
      </c>
      <c r="BN128" s="46" t="s">
        <v>331</v>
      </c>
      <c r="BO128" s="46"/>
      <c r="BP128" s="46">
        <v>4.0224202111880202E+18</v>
      </c>
      <c r="BQ128" s="46" t="s">
        <v>639</v>
      </c>
      <c r="BR128" s="46" t="s">
        <v>333</v>
      </c>
      <c r="BS128" s="51">
        <v>3000</v>
      </c>
      <c r="BT128" s="46" t="s">
        <v>3</v>
      </c>
      <c r="BU128" s="49">
        <v>3000</v>
      </c>
      <c r="BV128" s="49"/>
      <c r="BW128" s="46"/>
      <c r="BX128" s="53">
        <v>1</v>
      </c>
      <c r="BY128" s="53"/>
    </row>
    <row r="129" spans="1:77">
      <c r="A129" s="46" t="s">
        <v>312</v>
      </c>
      <c r="B129" s="46" t="s">
        <v>313</v>
      </c>
      <c r="C129" s="46"/>
      <c r="D129" s="46"/>
      <c r="E129" s="46" t="s">
        <v>640</v>
      </c>
      <c r="F129" s="46" t="s">
        <v>129</v>
      </c>
      <c r="G129" s="46"/>
      <c r="H129" s="46" t="s">
        <v>366</v>
      </c>
      <c r="I129" s="46" t="s">
        <v>450</v>
      </c>
      <c r="J129" s="46"/>
      <c r="K129" s="46" t="s">
        <v>594</v>
      </c>
      <c r="L129" s="46"/>
      <c r="M129" s="46" t="s">
        <v>641</v>
      </c>
      <c r="N129" s="46"/>
      <c r="O129" s="46" t="s">
        <v>636</v>
      </c>
      <c r="P129" s="46" t="s">
        <v>107</v>
      </c>
      <c r="Q129" s="46">
        <v>752304158</v>
      </c>
      <c r="R129" s="46" t="s">
        <v>642</v>
      </c>
      <c r="S129" s="46" t="s">
        <v>643</v>
      </c>
      <c r="T129" s="46"/>
      <c r="U129" s="46">
        <v>15</v>
      </c>
      <c r="V129" s="46" t="s">
        <v>324</v>
      </c>
      <c r="W129" s="46" t="s">
        <v>324</v>
      </c>
      <c r="X129" s="46"/>
      <c r="Y129" s="46"/>
      <c r="Z129" s="54">
        <v>43768</v>
      </c>
      <c r="AA129" s="46">
        <v>5000</v>
      </c>
      <c r="AB129" s="46">
        <v>5000</v>
      </c>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t="s">
        <v>47</v>
      </c>
      <c r="AY129" s="46"/>
      <c r="AZ129" s="46" t="s">
        <v>325</v>
      </c>
      <c r="BA129" s="46"/>
      <c r="BB129" s="46" t="s">
        <v>132</v>
      </c>
      <c r="BC129" s="46" t="s">
        <v>326</v>
      </c>
      <c r="BD129" s="46" t="s">
        <v>327</v>
      </c>
      <c r="BE129" s="55">
        <v>43793.087239016204</v>
      </c>
      <c r="BF129" s="46"/>
      <c r="BG129" s="46"/>
      <c r="BH129" s="46"/>
      <c r="BI129" s="46" t="s">
        <v>328</v>
      </c>
      <c r="BJ129" s="46">
        <v>4.1120201916795197E+18</v>
      </c>
      <c r="BK129" s="46" t="s">
        <v>329</v>
      </c>
      <c r="BL129" s="46"/>
      <c r="BM129" s="46">
        <v>2020</v>
      </c>
      <c r="BN129" s="46" t="s">
        <v>331</v>
      </c>
      <c r="BO129" s="46"/>
      <c r="BP129" s="46">
        <v>4.1123201916803999E+18</v>
      </c>
      <c r="BQ129" s="46" t="s">
        <v>644</v>
      </c>
      <c r="BR129" s="46" t="s">
        <v>333</v>
      </c>
      <c r="BS129" s="51">
        <v>5000</v>
      </c>
      <c r="BT129" s="46" t="s">
        <v>3</v>
      </c>
      <c r="BU129" s="49">
        <v>5000</v>
      </c>
      <c r="BV129" s="49"/>
      <c r="BW129" s="46"/>
      <c r="BX129" s="53">
        <v>1</v>
      </c>
      <c r="BY129" s="53"/>
    </row>
    <row r="130" spans="1:77">
      <c r="A130" s="46" t="s">
        <v>312</v>
      </c>
      <c r="B130" s="46" t="s">
        <v>313</v>
      </c>
      <c r="C130" s="46"/>
      <c r="D130" s="46"/>
      <c r="E130" s="46" t="s">
        <v>645</v>
      </c>
      <c r="F130" s="46" t="s">
        <v>315</v>
      </c>
      <c r="G130" s="46" t="s">
        <v>316</v>
      </c>
      <c r="H130" s="46" t="s">
        <v>127</v>
      </c>
      <c r="I130" s="46" t="s">
        <v>599</v>
      </c>
      <c r="J130" s="46"/>
      <c r="K130" s="46" t="s">
        <v>646</v>
      </c>
      <c r="L130" s="46"/>
      <c r="M130" s="46" t="s">
        <v>647</v>
      </c>
      <c r="N130" s="46"/>
      <c r="O130" s="46" t="s">
        <v>648</v>
      </c>
      <c r="P130" s="46" t="s">
        <v>535</v>
      </c>
      <c r="Q130" s="46">
        <v>33408</v>
      </c>
      <c r="R130" s="46" t="s">
        <v>322</v>
      </c>
      <c r="S130" s="46" t="s">
        <v>629</v>
      </c>
      <c r="T130" s="46"/>
      <c r="U130" s="46">
        <v>15</v>
      </c>
      <c r="V130" s="46" t="s">
        <v>324</v>
      </c>
      <c r="W130" s="46"/>
      <c r="X130" s="46"/>
      <c r="Y130" s="46"/>
      <c r="Z130" s="54">
        <v>44119</v>
      </c>
      <c r="AA130" s="46">
        <v>5000</v>
      </c>
      <c r="AB130" s="46">
        <v>5000</v>
      </c>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t="s">
        <v>47</v>
      </c>
      <c r="AY130" s="46"/>
      <c r="AZ130" s="46" t="s">
        <v>325</v>
      </c>
      <c r="BA130" s="46"/>
      <c r="BB130" s="46" t="s">
        <v>132</v>
      </c>
      <c r="BC130" s="46" t="s">
        <v>326</v>
      </c>
      <c r="BD130" s="46" t="s">
        <v>327</v>
      </c>
      <c r="BE130" s="55">
        <v>44176.213705405091</v>
      </c>
      <c r="BF130" s="46"/>
      <c r="BG130" s="46"/>
      <c r="BH130" s="46"/>
      <c r="BI130" s="46" t="s">
        <v>328</v>
      </c>
      <c r="BJ130" s="46">
        <v>4.1201202019626998E+18</v>
      </c>
      <c r="BK130" s="46" t="s">
        <v>329</v>
      </c>
      <c r="BL130" s="46"/>
      <c r="BM130" s="46">
        <v>2020</v>
      </c>
      <c r="BN130" s="46" t="s">
        <v>331</v>
      </c>
      <c r="BO130" s="46"/>
      <c r="BP130" s="46">
        <v>4.1211202019690399E+18</v>
      </c>
      <c r="BQ130" s="46" t="s">
        <v>649</v>
      </c>
      <c r="BR130" s="46" t="s">
        <v>333</v>
      </c>
      <c r="BS130" s="51">
        <v>5000</v>
      </c>
      <c r="BT130" s="52" t="s">
        <v>3</v>
      </c>
      <c r="BU130" s="49">
        <v>3904.4258581634435</v>
      </c>
      <c r="BV130" s="49">
        <v>1095.5741418365569</v>
      </c>
      <c r="BW130" s="46"/>
      <c r="BX130" s="53">
        <v>0.78088517163268867</v>
      </c>
      <c r="BY130" s="53">
        <v>0.21911482836731139</v>
      </c>
    </row>
    <row r="131" spans="1:77">
      <c r="A131" s="46" t="s">
        <v>312</v>
      </c>
      <c r="B131" s="46" t="s">
        <v>313</v>
      </c>
      <c r="C131" s="46"/>
      <c r="D131" s="46"/>
      <c r="E131" s="46" t="s">
        <v>650</v>
      </c>
      <c r="F131" s="46" t="s">
        <v>315</v>
      </c>
      <c r="G131" s="46" t="s">
        <v>316</v>
      </c>
      <c r="H131" s="46" t="s">
        <v>127</v>
      </c>
      <c r="I131" s="46" t="s">
        <v>651</v>
      </c>
      <c r="J131" s="46" t="s">
        <v>134</v>
      </c>
      <c r="K131" s="46" t="s">
        <v>652</v>
      </c>
      <c r="L131" s="46"/>
      <c r="M131" s="46"/>
      <c r="N131" s="46"/>
      <c r="O131" s="46"/>
      <c r="P131" s="46"/>
      <c r="Q131" s="46"/>
      <c r="R131" s="46" t="s">
        <v>653</v>
      </c>
      <c r="S131" s="46" t="s">
        <v>654</v>
      </c>
      <c r="T131" s="46"/>
      <c r="U131" s="46">
        <v>15</v>
      </c>
      <c r="V131" s="46" t="s">
        <v>324</v>
      </c>
      <c r="W131" s="46"/>
      <c r="X131" s="46"/>
      <c r="Y131" s="46"/>
      <c r="Z131" s="54">
        <v>44098</v>
      </c>
      <c r="AA131" s="46">
        <v>5000</v>
      </c>
      <c r="AB131" s="46">
        <v>5000</v>
      </c>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t="s">
        <v>47</v>
      </c>
      <c r="AY131" s="46"/>
      <c r="AZ131" s="46" t="s">
        <v>325</v>
      </c>
      <c r="BA131" s="46"/>
      <c r="BB131" s="46" t="s">
        <v>132</v>
      </c>
      <c r="BC131" s="46" t="s">
        <v>326</v>
      </c>
      <c r="BD131" s="46" t="s">
        <v>327</v>
      </c>
      <c r="BE131" s="55">
        <v>44121.755114143518</v>
      </c>
      <c r="BF131" s="46"/>
      <c r="BG131" s="46"/>
      <c r="BH131" s="46"/>
      <c r="BI131" s="46" t="s">
        <v>328</v>
      </c>
      <c r="BJ131" s="46">
        <v>4.1015202018575601E+18</v>
      </c>
      <c r="BK131" s="46" t="s">
        <v>329</v>
      </c>
      <c r="BL131" s="46"/>
      <c r="BM131" s="46">
        <v>2020</v>
      </c>
      <c r="BN131" s="46" t="s">
        <v>331</v>
      </c>
      <c r="BO131" s="46"/>
      <c r="BP131" s="46">
        <v>4.1016202018796498E+18</v>
      </c>
      <c r="BQ131" s="46" t="s">
        <v>655</v>
      </c>
      <c r="BR131" s="46" t="s">
        <v>333</v>
      </c>
      <c r="BS131" s="51">
        <v>5000</v>
      </c>
      <c r="BT131" s="52" t="s">
        <v>3</v>
      </c>
      <c r="BU131" s="49">
        <v>3904.4258581634435</v>
      </c>
      <c r="BV131" s="49">
        <v>1095.5741418365569</v>
      </c>
      <c r="BW131" s="46"/>
      <c r="BX131" s="53">
        <v>0.78088517163268867</v>
      </c>
      <c r="BY131" s="53">
        <v>0.21911482836731139</v>
      </c>
    </row>
    <row r="132" spans="1:77">
      <c r="A132" s="46" t="s">
        <v>312</v>
      </c>
      <c r="B132" s="46" t="s">
        <v>313</v>
      </c>
      <c r="C132" s="46" t="s">
        <v>631</v>
      </c>
      <c r="D132" s="46"/>
      <c r="E132" s="46" t="s">
        <v>656</v>
      </c>
      <c r="F132" s="46" t="s">
        <v>365</v>
      </c>
      <c r="G132" s="46"/>
      <c r="H132" s="46" t="s">
        <v>366</v>
      </c>
      <c r="I132" s="46" t="s">
        <v>657</v>
      </c>
      <c r="J132" s="46"/>
      <c r="K132" s="46" t="s">
        <v>658</v>
      </c>
      <c r="L132" s="46"/>
      <c r="M132" s="46" t="s">
        <v>659</v>
      </c>
      <c r="N132" s="46"/>
      <c r="O132" s="46" t="s">
        <v>636</v>
      </c>
      <c r="P132" s="46" t="s">
        <v>107</v>
      </c>
      <c r="Q132" s="46">
        <v>752305106</v>
      </c>
      <c r="R132" s="46" t="s">
        <v>322</v>
      </c>
      <c r="S132" s="46" t="s">
        <v>660</v>
      </c>
      <c r="T132" s="46" t="s">
        <v>631</v>
      </c>
      <c r="U132" s="46" t="s">
        <v>428</v>
      </c>
      <c r="V132" s="46" t="s">
        <v>429</v>
      </c>
      <c r="W132" s="46" t="s">
        <v>638</v>
      </c>
      <c r="X132" s="46"/>
      <c r="Y132" s="46"/>
      <c r="Z132" s="54">
        <v>44083</v>
      </c>
      <c r="AA132" s="46">
        <v>3000</v>
      </c>
      <c r="AB132" s="46">
        <v>3000</v>
      </c>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t="s">
        <v>132</v>
      </c>
      <c r="BC132" s="46" t="s">
        <v>326</v>
      </c>
      <c r="BD132" s="46" t="s">
        <v>327</v>
      </c>
      <c r="BE132" s="55">
        <v>44252.588967303243</v>
      </c>
      <c r="BF132" s="46"/>
      <c r="BG132" s="46"/>
      <c r="BH132" s="46"/>
      <c r="BI132" s="46" t="s">
        <v>328</v>
      </c>
      <c r="BJ132" s="46">
        <v>4.0125202121377597E+18</v>
      </c>
      <c r="BK132" s="46" t="s">
        <v>329</v>
      </c>
      <c r="BL132" s="46"/>
      <c r="BM132" s="46">
        <v>2020</v>
      </c>
      <c r="BN132" s="46" t="s">
        <v>331</v>
      </c>
      <c r="BO132" s="46"/>
      <c r="BP132" s="46">
        <v>4.0224202111867402E+18</v>
      </c>
      <c r="BQ132" s="46" t="s">
        <v>661</v>
      </c>
      <c r="BR132" s="46" t="s">
        <v>333</v>
      </c>
      <c r="BS132" s="51">
        <v>3000</v>
      </c>
      <c r="BT132" s="46" t="s">
        <v>3</v>
      </c>
      <c r="BU132" s="49">
        <v>3000</v>
      </c>
      <c r="BV132" s="49"/>
      <c r="BW132" s="46"/>
      <c r="BX132" s="53">
        <v>1</v>
      </c>
      <c r="BY132" s="53"/>
    </row>
    <row r="133" spans="1:77">
      <c r="A133" s="46" t="s">
        <v>312</v>
      </c>
      <c r="B133" s="46" t="s">
        <v>313</v>
      </c>
      <c r="C133" s="46"/>
      <c r="D133" s="46"/>
      <c r="E133" s="46" t="s">
        <v>662</v>
      </c>
      <c r="F133" s="46" t="s">
        <v>315</v>
      </c>
      <c r="G133" s="46" t="s">
        <v>316</v>
      </c>
      <c r="H133" s="46" t="s">
        <v>127</v>
      </c>
      <c r="I133" s="46" t="s">
        <v>434</v>
      </c>
      <c r="J133" s="46" t="s">
        <v>128</v>
      </c>
      <c r="K133" s="46" t="s">
        <v>663</v>
      </c>
      <c r="L133" s="46"/>
      <c r="M133" s="46" t="s">
        <v>664</v>
      </c>
      <c r="N133" s="46" t="s">
        <v>665</v>
      </c>
      <c r="O133" s="46" t="s">
        <v>370</v>
      </c>
      <c r="P133" s="46" t="s">
        <v>107</v>
      </c>
      <c r="Q133" s="46">
        <v>770560000</v>
      </c>
      <c r="R133" s="46" t="s">
        <v>322</v>
      </c>
      <c r="S133" s="46" t="s">
        <v>28</v>
      </c>
      <c r="T133" s="46"/>
      <c r="U133" s="46">
        <v>15</v>
      </c>
      <c r="V133" s="46" t="s">
        <v>324</v>
      </c>
      <c r="W133" s="46"/>
      <c r="X133" s="46"/>
      <c r="Y133" s="46"/>
      <c r="Z133" s="54">
        <v>44119</v>
      </c>
      <c r="AA133" s="46">
        <v>2000</v>
      </c>
      <c r="AB133" s="46">
        <v>2000</v>
      </c>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t="s">
        <v>47</v>
      </c>
      <c r="AY133" s="46"/>
      <c r="AZ133" s="46" t="s">
        <v>325</v>
      </c>
      <c r="BA133" s="46"/>
      <c r="BB133" s="46" t="s">
        <v>132</v>
      </c>
      <c r="BC133" s="46" t="s">
        <v>326</v>
      </c>
      <c r="BD133" s="46" t="s">
        <v>327</v>
      </c>
      <c r="BE133" s="55">
        <v>44176.213704259259</v>
      </c>
      <c r="BF133" s="46"/>
      <c r="BG133" s="46"/>
      <c r="BH133" s="46"/>
      <c r="BI133" s="46" t="s">
        <v>328</v>
      </c>
      <c r="BJ133" s="46">
        <v>4.1201202019626998E+18</v>
      </c>
      <c r="BK133" s="46" t="s">
        <v>329</v>
      </c>
      <c r="BL133" s="46"/>
      <c r="BM133" s="46">
        <v>2020</v>
      </c>
      <c r="BN133" s="46" t="s">
        <v>331</v>
      </c>
      <c r="BO133" s="46"/>
      <c r="BP133" s="46">
        <v>4.1211202019690399E+18</v>
      </c>
      <c r="BQ133" s="46" t="s">
        <v>666</v>
      </c>
      <c r="BR133" s="46" t="s">
        <v>333</v>
      </c>
      <c r="BS133" s="51">
        <v>2000</v>
      </c>
      <c r="BT133" s="52" t="s">
        <v>3</v>
      </c>
      <c r="BU133" s="49">
        <v>1561.7703432653773</v>
      </c>
      <c r="BV133" s="49">
        <v>438.22965673462278</v>
      </c>
      <c r="BW133" s="46"/>
      <c r="BX133" s="53">
        <v>0.78088517163268867</v>
      </c>
      <c r="BY133" s="53">
        <v>0.21911482836731139</v>
      </c>
    </row>
    <row r="134" spans="1:77">
      <c r="A134" s="46" t="s">
        <v>312</v>
      </c>
      <c r="B134" s="46" t="s">
        <v>313</v>
      </c>
      <c r="C134" s="46"/>
      <c r="D134" s="46"/>
      <c r="E134" s="46" t="s">
        <v>667</v>
      </c>
      <c r="F134" s="46" t="s">
        <v>315</v>
      </c>
      <c r="G134" s="46" t="s">
        <v>316</v>
      </c>
      <c r="H134" s="46" t="s">
        <v>127</v>
      </c>
      <c r="I134" s="46" t="s">
        <v>668</v>
      </c>
      <c r="J134" s="46"/>
      <c r="K134" s="46" t="s">
        <v>669</v>
      </c>
      <c r="L134" s="46"/>
      <c r="M134" s="46" t="s">
        <v>670</v>
      </c>
      <c r="N134" s="46"/>
      <c r="O134" s="46" t="s">
        <v>648</v>
      </c>
      <c r="P134" s="46" t="s">
        <v>535</v>
      </c>
      <c r="Q134" s="46">
        <v>33408</v>
      </c>
      <c r="R134" s="46" t="s">
        <v>322</v>
      </c>
      <c r="S134" s="46" t="s">
        <v>629</v>
      </c>
      <c r="T134" s="46"/>
      <c r="U134" s="46">
        <v>15</v>
      </c>
      <c r="V134" s="46" t="s">
        <v>324</v>
      </c>
      <c r="W134" s="46"/>
      <c r="X134" s="46"/>
      <c r="Y134" s="46"/>
      <c r="Z134" s="54">
        <v>44084</v>
      </c>
      <c r="AA134" s="46">
        <v>5000</v>
      </c>
      <c r="AB134" s="46">
        <v>5000</v>
      </c>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t="s">
        <v>47</v>
      </c>
      <c r="AY134" s="46"/>
      <c r="AZ134" s="46" t="s">
        <v>325</v>
      </c>
      <c r="BA134" s="46"/>
      <c r="BB134" s="46" t="s">
        <v>132</v>
      </c>
      <c r="BC134" s="46" t="s">
        <v>326</v>
      </c>
      <c r="BD134" s="46" t="s">
        <v>327</v>
      </c>
      <c r="BE134" s="55">
        <v>44121.714626122688</v>
      </c>
      <c r="BF134" s="46"/>
      <c r="BG134" s="46"/>
      <c r="BH134" s="46"/>
      <c r="BI134" s="46" t="s">
        <v>328</v>
      </c>
      <c r="BJ134" s="46">
        <v>4.1015202018575601E+18</v>
      </c>
      <c r="BK134" s="46" t="s">
        <v>329</v>
      </c>
      <c r="BL134" s="46"/>
      <c r="BM134" s="46">
        <v>2020</v>
      </c>
      <c r="BN134" s="46" t="s">
        <v>331</v>
      </c>
      <c r="BO134" s="46"/>
      <c r="BP134" s="46">
        <v>4.1016202018796498E+18</v>
      </c>
      <c r="BQ134" s="46" t="s">
        <v>671</v>
      </c>
      <c r="BR134" s="46" t="s">
        <v>333</v>
      </c>
      <c r="BS134" s="51">
        <v>5000</v>
      </c>
      <c r="BT134" s="52" t="s">
        <v>3</v>
      </c>
      <c r="BU134" s="49">
        <v>3904.4258581634435</v>
      </c>
      <c r="BV134" s="49">
        <v>1095.5741418365569</v>
      </c>
      <c r="BW134" s="46"/>
      <c r="BX134" s="53">
        <v>0.78088517163268867</v>
      </c>
      <c r="BY134" s="53">
        <v>0.21911482836731139</v>
      </c>
    </row>
    <row r="135" spans="1:77">
      <c r="A135" s="46" t="s">
        <v>312</v>
      </c>
      <c r="B135" s="46" t="s">
        <v>313</v>
      </c>
      <c r="C135" s="46"/>
      <c r="D135" s="46"/>
      <c r="E135" s="46" t="s">
        <v>672</v>
      </c>
      <c r="F135" s="46" t="s">
        <v>47</v>
      </c>
      <c r="G135" s="46"/>
      <c r="H135" s="46" t="s">
        <v>47</v>
      </c>
      <c r="I135" s="46" t="s">
        <v>673</v>
      </c>
      <c r="J135" s="46"/>
      <c r="K135" s="46" t="s">
        <v>674</v>
      </c>
      <c r="L135" s="46"/>
      <c r="M135" s="46" t="s">
        <v>675</v>
      </c>
      <c r="N135" s="46" t="s">
        <v>676</v>
      </c>
      <c r="O135" s="46" t="s">
        <v>677</v>
      </c>
      <c r="P135" s="46" t="s">
        <v>107</v>
      </c>
      <c r="Q135" s="46">
        <v>77550</v>
      </c>
      <c r="R135" s="46" t="s">
        <v>322</v>
      </c>
      <c r="S135" s="46" t="s">
        <v>678</v>
      </c>
      <c r="T135" s="46"/>
      <c r="U135" s="46">
        <v>15</v>
      </c>
      <c r="V135" s="46" t="s">
        <v>324</v>
      </c>
      <c r="W135" s="46"/>
      <c r="X135" s="46"/>
      <c r="Y135" s="46"/>
      <c r="Z135" s="54">
        <v>43821</v>
      </c>
      <c r="AA135" s="46">
        <v>2800</v>
      </c>
      <c r="AB135" s="46">
        <v>2800</v>
      </c>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t="s">
        <v>549</v>
      </c>
      <c r="AY135" s="46" t="s">
        <v>325</v>
      </c>
      <c r="AZ135" s="46" t="s">
        <v>325</v>
      </c>
      <c r="BA135" s="46">
        <v>2020</v>
      </c>
      <c r="BB135" s="46" t="s">
        <v>132</v>
      </c>
      <c r="BC135" s="46" t="s">
        <v>326</v>
      </c>
      <c r="BD135" s="46" t="s">
        <v>327</v>
      </c>
      <c r="BE135" s="55">
        <v>43948.055327002316</v>
      </c>
      <c r="BF135" s="46"/>
      <c r="BG135" s="46"/>
      <c r="BH135" s="46"/>
      <c r="BI135" s="46" t="s">
        <v>471</v>
      </c>
      <c r="BJ135" s="46">
        <v>4.0320202017039401E+18</v>
      </c>
      <c r="BK135" s="46" t="s">
        <v>329</v>
      </c>
      <c r="BL135" s="46"/>
      <c r="BM135" s="46">
        <v>2020</v>
      </c>
      <c r="BN135" s="46" t="s">
        <v>331</v>
      </c>
      <c r="BO135" s="46"/>
      <c r="BP135" s="46">
        <v>4.0322202017042202E+18</v>
      </c>
      <c r="BQ135" s="46" t="s">
        <v>679</v>
      </c>
      <c r="BR135" s="46" t="s">
        <v>333</v>
      </c>
      <c r="BS135" s="51">
        <v>2800</v>
      </c>
      <c r="BT135" s="46" t="s">
        <v>2</v>
      </c>
      <c r="BU135" s="49"/>
      <c r="BV135" s="49">
        <v>2800</v>
      </c>
      <c r="BW135" s="46"/>
      <c r="BX135" s="53"/>
      <c r="BY135" s="53">
        <v>1</v>
      </c>
    </row>
    <row r="136" spans="1:77">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59"/>
      <c r="BG136" s="59"/>
      <c r="BH136" s="59"/>
      <c r="BI136" s="59"/>
      <c r="BJ136" s="59"/>
      <c r="BK136" s="59"/>
      <c r="BL136" s="59"/>
      <c r="BM136" s="59"/>
      <c r="BN136" s="59"/>
      <c r="BO136" s="59"/>
      <c r="BP136" s="59"/>
      <c r="BQ136" s="59"/>
      <c r="BR136" s="59"/>
      <c r="BS136" s="51"/>
      <c r="BT136" s="59"/>
      <c r="BU136" s="60"/>
      <c r="BV136" s="60"/>
      <c r="BW136" s="59"/>
      <c r="BX136" s="61"/>
      <c r="BY136" s="61"/>
    </row>
    <row r="137" spans="1:77">
      <c r="A137" s="46" t="s">
        <v>312</v>
      </c>
      <c r="B137" s="46" t="s">
        <v>313</v>
      </c>
      <c r="C137" s="46"/>
      <c r="D137" s="46"/>
      <c r="E137" s="46" t="s">
        <v>680</v>
      </c>
      <c r="F137" s="46" t="s">
        <v>129</v>
      </c>
      <c r="G137" s="46"/>
      <c r="H137" s="46" t="s">
        <v>366</v>
      </c>
      <c r="I137" s="46" t="s">
        <v>681</v>
      </c>
      <c r="J137" s="46"/>
      <c r="K137" s="46" t="s">
        <v>682</v>
      </c>
      <c r="L137" s="46"/>
      <c r="M137" s="46" t="s">
        <v>683</v>
      </c>
      <c r="N137" s="46"/>
      <c r="O137" s="46" t="s">
        <v>419</v>
      </c>
      <c r="P137" s="46" t="s">
        <v>107</v>
      </c>
      <c r="Q137" s="46">
        <v>750394202</v>
      </c>
      <c r="R137" s="46" t="s">
        <v>371</v>
      </c>
      <c r="S137" s="46" t="s">
        <v>684</v>
      </c>
      <c r="T137" s="46"/>
      <c r="U137" s="46">
        <v>15</v>
      </c>
      <c r="V137" s="46" t="s">
        <v>324</v>
      </c>
      <c r="W137" s="46" t="s">
        <v>324</v>
      </c>
      <c r="X137" s="46"/>
      <c r="Y137" s="46"/>
      <c r="Z137" s="54">
        <v>44084</v>
      </c>
      <c r="AA137" s="46">
        <v>10000</v>
      </c>
      <c r="AB137" s="46">
        <v>10000</v>
      </c>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t="s">
        <v>47</v>
      </c>
      <c r="AY137" s="46"/>
      <c r="AZ137" s="46" t="s">
        <v>325</v>
      </c>
      <c r="BA137" s="46"/>
      <c r="BB137" s="46" t="s">
        <v>132</v>
      </c>
      <c r="BC137" s="46" t="s">
        <v>326</v>
      </c>
      <c r="BD137" s="46" t="s">
        <v>327</v>
      </c>
      <c r="BE137" s="55">
        <v>44225.154229525462</v>
      </c>
      <c r="BF137" s="46"/>
      <c r="BG137" s="46"/>
      <c r="BH137" s="46"/>
      <c r="BI137" s="46" t="s">
        <v>328</v>
      </c>
      <c r="BJ137" s="46">
        <v>4.0111202120681999E+18</v>
      </c>
      <c r="BK137" s="46" t="s">
        <v>329</v>
      </c>
      <c r="BL137" s="46"/>
      <c r="BM137" s="46">
        <v>2020</v>
      </c>
      <c r="BN137" s="46" t="s">
        <v>331</v>
      </c>
      <c r="BO137" s="46"/>
      <c r="BP137" s="46">
        <v>4.0129202121382902E+18</v>
      </c>
      <c r="BQ137" s="46" t="s">
        <v>685</v>
      </c>
      <c r="BR137" s="46" t="s">
        <v>333</v>
      </c>
      <c r="BS137" s="51">
        <v>10000</v>
      </c>
      <c r="BT137" s="46" t="s">
        <v>3</v>
      </c>
      <c r="BU137" s="49">
        <v>10000</v>
      </c>
      <c r="BV137" s="49"/>
      <c r="BW137" s="46"/>
      <c r="BX137" s="53">
        <v>1</v>
      </c>
      <c r="BY137" s="53"/>
    </row>
    <row r="138" spans="1:77">
      <c r="A138" s="46" t="s">
        <v>312</v>
      </c>
      <c r="B138" s="46" t="s">
        <v>313</v>
      </c>
      <c r="C138" s="46"/>
      <c r="D138" s="46"/>
      <c r="E138" s="46" t="s">
        <v>686</v>
      </c>
      <c r="F138" s="46" t="s">
        <v>129</v>
      </c>
      <c r="G138" s="46"/>
      <c r="H138" s="46" t="s">
        <v>366</v>
      </c>
      <c r="I138" s="46" t="s">
        <v>687</v>
      </c>
      <c r="J138" s="46" t="s">
        <v>688</v>
      </c>
      <c r="K138" s="46" t="s">
        <v>634</v>
      </c>
      <c r="L138" s="46" t="s">
        <v>689</v>
      </c>
      <c r="M138" s="46" t="s">
        <v>690</v>
      </c>
      <c r="N138" s="46"/>
      <c r="O138" s="46" t="s">
        <v>636</v>
      </c>
      <c r="P138" s="46" t="s">
        <v>107</v>
      </c>
      <c r="Q138" s="46">
        <v>752305235</v>
      </c>
      <c r="R138" s="46" t="s">
        <v>322</v>
      </c>
      <c r="S138" s="46" t="s">
        <v>637</v>
      </c>
      <c r="T138" s="46"/>
      <c r="U138" s="46">
        <v>15</v>
      </c>
      <c r="V138" s="46" t="s">
        <v>324</v>
      </c>
      <c r="W138" s="46" t="s">
        <v>324</v>
      </c>
      <c r="X138" s="46"/>
      <c r="Y138" s="46"/>
      <c r="Z138" s="54">
        <v>43818</v>
      </c>
      <c r="AA138" s="46">
        <v>6500</v>
      </c>
      <c r="AB138" s="46">
        <v>6500</v>
      </c>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t="s">
        <v>47</v>
      </c>
      <c r="AY138" s="46"/>
      <c r="AZ138" s="46" t="s">
        <v>325</v>
      </c>
      <c r="BA138" s="46"/>
      <c r="BB138" s="46" t="s">
        <v>132</v>
      </c>
      <c r="BC138" s="46" t="s">
        <v>326</v>
      </c>
      <c r="BD138" s="46" t="s">
        <v>327</v>
      </c>
      <c r="BE138" s="55">
        <v>43869.069224108796</v>
      </c>
      <c r="BF138" s="46"/>
      <c r="BG138" s="46"/>
      <c r="BH138" s="46"/>
      <c r="BI138" s="46" t="s">
        <v>328</v>
      </c>
      <c r="BJ138" s="46">
        <v>4.0131202016861901E+18</v>
      </c>
      <c r="BK138" s="46" t="s">
        <v>329</v>
      </c>
      <c r="BL138" s="46"/>
      <c r="BM138" s="46">
        <v>2020</v>
      </c>
      <c r="BN138" s="46" t="s">
        <v>331</v>
      </c>
      <c r="BO138" s="46"/>
      <c r="BP138" s="46">
        <v>4.0207202016876298E+18</v>
      </c>
      <c r="BQ138" s="46" t="s">
        <v>691</v>
      </c>
      <c r="BR138" s="46" t="s">
        <v>333</v>
      </c>
      <c r="BS138" s="51">
        <v>6500</v>
      </c>
      <c r="BT138" s="46" t="s">
        <v>3</v>
      </c>
      <c r="BU138" s="49">
        <v>6500</v>
      </c>
      <c r="BV138" s="49"/>
      <c r="BW138" s="46"/>
      <c r="BX138" s="53">
        <v>1</v>
      </c>
      <c r="BY138" s="53"/>
    </row>
    <row r="139" spans="1:77">
      <c r="A139" s="46" t="s">
        <v>312</v>
      </c>
      <c r="B139" s="46" t="s">
        <v>313</v>
      </c>
      <c r="C139" s="46"/>
      <c r="D139" s="46"/>
      <c r="E139" s="46" t="s">
        <v>692</v>
      </c>
      <c r="F139" s="46" t="s">
        <v>129</v>
      </c>
      <c r="G139" s="46"/>
      <c r="H139" s="46" t="s">
        <v>366</v>
      </c>
      <c r="I139" s="46" t="s">
        <v>687</v>
      </c>
      <c r="J139" s="46" t="s">
        <v>128</v>
      </c>
      <c r="K139" s="46" t="s">
        <v>634</v>
      </c>
      <c r="L139" s="46" t="s">
        <v>689</v>
      </c>
      <c r="M139" s="46" t="s">
        <v>690</v>
      </c>
      <c r="N139" s="46"/>
      <c r="O139" s="46" t="s">
        <v>636</v>
      </c>
      <c r="P139" s="46" t="s">
        <v>107</v>
      </c>
      <c r="Q139" s="46">
        <v>752305235</v>
      </c>
      <c r="R139" s="46" t="s">
        <v>322</v>
      </c>
      <c r="S139" s="46" t="s">
        <v>637</v>
      </c>
      <c r="T139" s="46"/>
      <c r="U139" s="46">
        <v>15</v>
      </c>
      <c r="V139" s="46" t="s">
        <v>324</v>
      </c>
      <c r="W139" s="46" t="s">
        <v>324</v>
      </c>
      <c r="X139" s="46"/>
      <c r="Y139" s="46"/>
      <c r="Z139" s="54">
        <v>44099</v>
      </c>
      <c r="AA139" s="46">
        <v>10000</v>
      </c>
      <c r="AB139" s="46">
        <v>10000</v>
      </c>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t="s">
        <v>47</v>
      </c>
      <c r="AY139" s="46"/>
      <c r="AZ139" s="46" t="s">
        <v>325</v>
      </c>
      <c r="BA139" s="46"/>
      <c r="BB139" s="46" t="s">
        <v>132</v>
      </c>
      <c r="BC139" s="46" t="s">
        <v>326</v>
      </c>
      <c r="BD139" s="46" t="s">
        <v>327</v>
      </c>
      <c r="BE139" s="55">
        <v>44141.541442835645</v>
      </c>
      <c r="BF139" s="46"/>
      <c r="BG139" s="46"/>
      <c r="BH139" s="46"/>
      <c r="BI139" s="46" t="s">
        <v>328</v>
      </c>
      <c r="BJ139" s="46">
        <v>4.1021202018822298E+18</v>
      </c>
      <c r="BK139" s="46" t="s">
        <v>329</v>
      </c>
      <c r="BL139" s="46"/>
      <c r="BM139" s="46">
        <v>2020</v>
      </c>
      <c r="BN139" s="46" t="s">
        <v>331</v>
      </c>
      <c r="BO139" s="46"/>
      <c r="BP139" s="46">
        <v>4.1105202018912701E+18</v>
      </c>
      <c r="BQ139" s="46" t="s">
        <v>693</v>
      </c>
      <c r="BR139" s="46" t="s">
        <v>333</v>
      </c>
      <c r="BS139" s="51">
        <v>10000</v>
      </c>
      <c r="BT139" s="46" t="s">
        <v>3</v>
      </c>
      <c r="BU139" s="49">
        <v>10000</v>
      </c>
      <c r="BV139" s="49"/>
      <c r="BW139" s="46"/>
      <c r="BX139" s="53">
        <v>1</v>
      </c>
      <c r="BY139" s="53"/>
    </row>
    <row r="140" spans="1:77">
      <c r="A140" s="46" t="s">
        <v>312</v>
      </c>
      <c r="B140" s="46" t="s">
        <v>313</v>
      </c>
      <c r="C140" s="46"/>
      <c r="D140" s="46"/>
      <c r="E140" s="46" t="s">
        <v>694</v>
      </c>
      <c r="F140" s="46" t="s">
        <v>129</v>
      </c>
      <c r="G140" s="46"/>
      <c r="H140" s="46" t="s">
        <v>366</v>
      </c>
      <c r="I140" s="46" t="s">
        <v>695</v>
      </c>
      <c r="J140" s="46"/>
      <c r="K140" s="46" t="s">
        <v>696</v>
      </c>
      <c r="L140" s="46"/>
      <c r="M140" s="46" t="s">
        <v>697</v>
      </c>
      <c r="N140" s="46"/>
      <c r="O140" s="46" t="s">
        <v>698</v>
      </c>
      <c r="P140" s="46" t="s">
        <v>107</v>
      </c>
      <c r="Q140" s="46">
        <v>761094858</v>
      </c>
      <c r="R140" s="46" t="s">
        <v>699</v>
      </c>
      <c r="S140" s="46" t="s">
        <v>700</v>
      </c>
      <c r="T140" s="46"/>
      <c r="U140" s="46">
        <v>15</v>
      </c>
      <c r="V140" s="46" t="s">
        <v>324</v>
      </c>
      <c r="W140" s="46" t="s">
        <v>324</v>
      </c>
      <c r="X140" s="46"/>
      <c r="Y140" s="46"/>
      <c r="Z140" s="54">
        <v>44061</v>
      </c>
      <c r="AA140" s="46">
        <v>25000</v>
      </c>
      <c r="AB140" s="46">
        <v>25000</v>
      </c>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t="s">
        <v>47</v>
      </c>
      <c r="AY140" s="46"/>
      <c r="AZ140" s="46" t="s">
        <v>325</v>
      </c>
      <c r="BA140" s="46"/>
      <c r="BB140" s="46" t="s">
        <v>132</v>
      </c>
      <c r="BC140" s="46" t="s">
        <v>326</v>
      </c>
      <c r="BD140" s="46" t="s">
        <v>327</v>
      </c>
      <c r="BE140" s="55">
        <v>44331.163317847226</v>
      </c>
      <c r="BF140" s="46"/>
      <c r="BG140" s="46"/>
      <c r="BH140" s="46"/>
      <c r="BI140" s="46" t="s">
        <v>328</v>
      </c>
      <c r="BJ140" s="46">
        <v>4.0421202112784799E+18</v>
      </c>
      <c r="BK140" s="46" t="s">
        <v>329</v>
      </c>
      <c r="BL140" s="46"/>
      <c r="BM140" s="46">
        <v>2020</v>
      </c>
      <c r="BN140" s="46" t="s">
        <v>331</v>
      </c>
      <c r="BO140" s="46"/>
      <c r="BP140" s="46">
        <v>4.0515202112937702E+18</v>
      </c>
      <c r="BQ140" s="46" t="s">
        <v>701</v>
      </c>
      <c r="BR140" s="46" t="s">
        <v>333</v>
      </c>
      <c r="BS140" s="51">
        <v>25000</v>
      </c>
      <c r="BT140" s="46" t="s">
        <v>3</v>
      </c>
      <c r="BU140" s="49">
        <v>25000</v>
      </c>
      <c r="BV140" s="49"/>
      <c r="BW140" s="46"/>
      <c r="BX140" s="53">
        <v>1</v>
      </c>
      <c r="BY140" s="53"/>
    </row>
    <row r="141" spans="1:77">
      <c r="A141" s="46" t="s">
        <v>312</v>
      </c>
      <c r="B141" s="46" t="s">
        <v>313</v>
      </c>
      <c r="C141" s="46"/>
      <c r="D141" s="46" t="s">
        <v>486</v>
      </c>
      <c r="E141" s="46" t="s">
        <v>702</v>
      </c>
      <c r="F141" s="46" t="s">
        <v>129</v>
      </c>
      <c r="G141" s="46"/>
      <c r="H141" s="46" t="s">
        <v>366</v>
      </c>
      <c r="I141" s="46" t="s">
        <v>703</v>
      </c>
      <c r="J141" s="46"/>
      <c r="K141" s="46" t="s">
        <v>582</v>
      </c>
      <c r="L141" s="46"/>
      <c r="M141" s="46" t="s">
        <v>704</v>
      </c>
      <c r="N141" s="46" t="s">
        <v>705</v>
      </c>
      <c r="O141" s="46" t="s">
        <v>636</v>
      </c>
      <c r="P141" s="46" t="s">
        <v>107</v>
      </c>
      <c r="Q141" s="46">
        <v>752017055</v>
      </c>
      <c r="R141" s="46" t="s">
        <v>371</v>
      </c>
      <c r="S141" s="46" t="s">
        <v>706</v>
      </c>
      <c r="T141" s="46"/>
      <c r="U141" s="46">
        <v>15</v>
      </c>
      <c r="V141" s="46" t="s">
        <v>324</v>
      </c>
      <c r="W141" s="46" t="s">
        <v>324</v>
      </c>
      <c r="X141" s="46"/>
      <c r="Y141" s="46"/>
      <c r="Z141" s="54">
        <v>43787</v>
      </c>
      <c r="AA141" s="46">
        <v>6500</v>
      </c>
      <c r="AB141" s="46">
        <v>6500</v>
      </c>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t="s">
        <v>47</v>
      </c>
      <c r="AY141" s="46"/>
      <c r="AZ141" s="46" t="s">
        <v>325</v>
      </c>
      <c r="BA141" s="46"/>
      <c r="BB141" s="46" t="s">
        <v>132</v>
      </c>
      <c r="BC141" s="46" t="s">
        <v>326</v>
      </c>
      <c r="BD141" s="46" t="s">
        <v>327</v>
      </c>
      <c r="BE141" s="55">
        <v>43833.068949814813</v>
      </c>
      <c r="BF141" s="46"/>
      <c r="BG141" s="46"/>
      <c r="BH141" s="46"/>
      <c r="BI141" s="46" t="s">
        <v>328</v>
      </c>
      <c r="BJ141" s="46">
        <v>4.1220201916818601E+18</v>
      </c>
      <c r="BK141" s="46" t="s">
        <v>329</v>
      </c>
      <c r="BL141" s="46"/>
      <c r="BM141" s="46">
        <v>2020</v>
      </c>
      <c r="BN141" s="46" t="s">
        <v>331</v>
      </c>
      <c r="BO141" s="46"/>
      <c r="BP141" s="46">
        <v>4.0102202016828099E+18</v>
      </c>
      <c r="BQ141" s="46" t="s">
        <v>707</v>
      </c>
      <c r="BR141" s="46" t="s">
        <v>333</v>
      </c>
      <c r="BS141" s="51">
        <v>6500</v>
      </c>
      <c r="BT141" s="46" t="s">
        <v>3</v>
      </c>
      <c r="BU141" s="49">
        <v>6500</v>
      </c>
      <c r="BV141" s="49"/>
      <c r="BW141" s="46"/>
      <c r="BX141" s="53">
        <v>1</v>
      </c>
      <c r="BY141" s="53"/>
    </row>
    <row r="142" spans="1:77">
      <c r="A142" s="46" t="s">
        <v>312</v>
      </c>
      <c r="B142" s="46" t="s">
        <v>313</v>
      </c>
      <c r="C142" s="46"/>
      <c r="D142" s="46"/>
      <c r="E142" s="46" t="s">
        <v>708</v>
      </c>
      <c r="F142" s="46" t="s">
        <v>129</v>
      </c>
      <c r="G142" s="46"/>
      <c r="H142" s="46" t="s">
        <v>366</v>
      </c>
      <c r="I142" s="46" t="s">
        <v>709</v>
      </c>
      <c r="J142" s="46"/>
      <c r="K142" s="46" t="s">
        <v>710</v>
      </c>
      <c r="L142" s="46"/>
      <c r="M142" s="46" t="s">
        <v>711</v>
      </c>
      <c r="N142" s="46"/>
      <c r="O142" s="46" t="s">
        <v>370</v>
      </c>
      <c r="P142" s="46" t="s">
        <v>107</v>
      </c>
      <c r="Q142" s="46">
        <v>770196025</v>
      </c>
      <c r="R142" s="46" t="s">
        <v>642</v>
      </c>
      <c r="S142" s="46" t="s">
        <v>712</v>
      </c>
      <c r="T142" s="46"/>
      <c r="U142" s="46">
        <v>15</v>
      </c>
      <c r="V142" s="46" t="s">
        <v>324</v>
      </c>
      <c r="W142" s="46" t="s">
        <v>324</v>
      </c>
      <c r="X142" s="46"/>
      <c r="Y142" s="46"/>
      <c r="Z142" s="54">
        <v>44113</v>
      </c>
      <c r="AA142" s="46">
        <v>20000</v>
      </c>
      <c r="AB142" s="46">
        <v>20000</v>
      </c>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t="s">
        <v>47</v>
      </c>
      <c r="AY142" s="46"/>
      <c r="AZ142" s="46" t="s">
        <v>325</v>
      </c>
      <c r="BA142" s="46"/>
      <c r="BB142" s="46" t="s">
        <v>132</v>
      </c>
      <c r="BC142" s="46" t="s">
        <v>326</v>
      </c>
      <c r="BD142" s="46" t="s">
        <v>327</v>
      </c>
      <c r="BE142" s="55">
        <v>44324.20561041667</v>
      </c>
      <c r="BF142" s="46"/>
      <c r="BG142" s="46"/>
      <c r="BH142" s="46"/>
      <c r="BI142" s="46" t="s">
        <v>328</v>
      </c>
      <c r="BJ142" s="46">
        <v>4.0421202112784799E+18</v>
      </c>
      <c r="BK142" s="46" t="s">
        <v>329</v>
      </c>
      <c r="BL142" s="46"/>
      <c r="BM142" s="46">
        <v>2020</v>
      </c>
      <c r="BN142" s="46" t="s">
        <v>331</v>
      </c>
      <c r="BO142" s="46"/>
      <c r="BP142" s="46">
        <v>4.0508202112898601E+18</v>
      </c>
      <c r="BQ142" s="46" t="s">
        <v>713</v>
      </c>
      <c r="BR142" s="46" t="s">
        <v>333</v>
      </c>
      <c r="BS142" s="51">
        <v>20000</v>
      </c>
      <c r="BT142" s="46" t="s">
        <v>3</v>
      </c>
      <c r="BU142" s="49">
        <v>20000</v>
      </c>
      <c r="BV142" s="49"/>
      <c r="BW142" s="46"/>
      <c r="BX142" s="53">
        <v>1</v>
      </c>
      <c r="BY142" s="53"/>
    </row>
    <row r="143" spans="1:77">
      <c r="A143" s="46" t="s">
        <v>312</v>
      </c>
      <c r="B143" s="46" t="s">
        <v>313</v>
      </c>
      <c r="C143" s="46"/>
      <c r="D143" s="46"/>
      <c r="E143" s="46" t="s">
        <v>656</v>
      </c>
      <c r="F143" s="46" t="s">
        <v>129</v>
      </c>
      <c r="G143" s="46"/>
      <c r="H143" s="46" t="s">
        <v>366</v>
      </c>
      <c r="I143" s="46" t="s">
        <v>657</v>
      </c>
      <c r="J143" s="46"/>
      <c r="K143" s="46" t="s">
        <v>658</v>
      </c>
      <c r="L143" s="46"/>
      <c r="M143" s="46" t="s">
        <v>659</v>
      </c>
      <c r="N143" s="46"/>
      <c r="O143" s="46" t="s">
        <v>636</v>
      </c>
      <c r="P143" s="46" t="s">
        <v>107</v>
      </c>
      <c r="Q143" s="46">
        <v>752305106</v>
      </c>
      <c r="R143" s="46" t="s">
        <v>322</v>
      </c>
      <c r="S143" s="46" t="s">
        <v>714</v>
      </c>
      <c r="T143" s="46"/>
      <c r="U143" s="46">
        <v>15</v>
      </c>
      <c r="V143" s="46" t="s">
        <v>324</v>
      </c>
      <c r="W143" s="46" t="s">
        <v>324</v>
      </c>
      <c r="X143" s="46"/>
      <c r="Y143" s="46"/>
      <c r="Z143" s="54">
        <v>44082</v>
      </c>
      <c r="AA143" s="46">
        <v>10000</v>
      </c>
      <c r="AB143" s="46">
        <v>10000</v>
      </c>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t="s">
        <v>47</v>
      </c>
      <c r="AY143" s="46"/>
      <c r="AZ143" s="46" t="s">
        <v>325</v>
      </c>
      <c r="BA143" s="46"/>
      <c r="BB143" s="46" t="s">
        <v>132</v>
      </c>
      <c r="BC143" s="46" t="s">
        <v>326</v>
      </c>
      <c r="BD143" s="46" t="s">
        <v>327</v>
      </c>
      <c r="BE143" s="55">
        <v>44141.541398275462</v>
      </c>
      <c r="BF143" s="46"/>
      <c r="BG143" s="46"/>
      <c r="BH143" s="46"/>
      <c r="BI143" s="46" t="s">
        <v>328</v>
      </c>
      <c r="BJ143" s="46">
        <v>4.1021202018822298E+18</v>
      </c>
      <c r="BK143" s="46" t="s">
        <v>329</v>
      </c>
      <c r="BL143" s="46"/>
      <c r="BM143" s="46">
        <v>2020</v>
      </c>
      <c r="BN143" s="46" t="s">
        <v>331</v>
      </c>
      <c r="BO143" s="46"/>
      <c r="BP143" s="46">
        <v>4.1105202018912701E+18</v>
      </c>
      <c r="BQ143" s="46" t="s">
        <v>715</v>
      </c>
      <c r="BR143" s="46" t="s">
        <v>333</v>
      </c>
      <c r="BS143" s="51">
        <v>10000</v>
      </c>
      <c r="BT143" s="46" t="s">
        <v>3</v>
      </c>
      <c r="BU143" s="49">
        <v>10000</v>
      </c>
      <c r="BV143" s="49"/>
      <c r="BW143" s="46"/>
      <c r="BX143" s="53">
        <v>1</v>
      </c>
      <c r="BY143" s="53"/>
    </row>
    <row r="144" spans="1:77">
      <c r="A144" s="46" t="s">
        <v>312</v>
      </c>
      <c r="B144" s="46" t="s">
        <v>313</v>
      </c>
      <c r="C144" s="46"/>
      <c r="D144" s="46"/>
      <c r="E144" s="46" t="s">
        <v>716</v>
      </c>
      <c r="F144" s="46" t="s">
        <v>129</v>
      </c>
      <c r="G144" s="46"/>
      <c r="H144" s="46" t="s">
        <v>366</v>
      </c>
      <c r="I144" s="46" t="s">
        <v>717</v>
      </c>
      <c r="J144" s="46"/>
      <c r="K144" s="46" t="s">
        <v>718</v>
      </c>
      <c r="L144" s="46"/>
      <c r="M144" s="46" t="s">
        <v>683</v>
      </c>
      <c r="N144" s="46"/>
      <c r="O144" s="46" t="s">
        <v>419</v>
      </c>
      <c r="P144" s="46" t="s">
        <v>107</v>
      </c>
      <c r="Q144" s="46">
        <v>750394202</v>
      </c>
      <c r="R144" s="46" t="s">
        <v>371</v>
      </c>
      <c r="S144" s="46" t="s">
        <v>700</v>
      </c>
      <c r="T144" s="46"/>
      <c r="U144" s="46">
        <v>15</v>
      </c>
      <c r="V144" s="46" t="s">
        <v>324</v>
      </c>
      <c r="W144" s="46" t="s">
        <v>324</v>
      </c>
      <c r="X144" s="46"/>
      <c r="Y144" s="46"/>
      <c r="Z144" s="54">
        <v>44078</v>
      </c>
      <c r="AA144" s="46">
        <v>10000</v>
      </c>
      <c r="AB144" s="46">
        <v>10000</v>
      </c>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t="s">
        <v>47</v>
      </c>
      <c r="AY144" s="46"/>
      <c r="AZ144" s="46" t="s">
        <v>325</v>
      </c>
      <c r="BA144" s="46"/>
      <c r="BB144" s="46" t="s">
        <v>132</v>
      </c>
      <c r="BC144" s="46" t="s">
        <v>326</v>
      </c>
      <c r="BD144" s="46" t="s">
        <v>327</v>
      </c>
      <c r="BE144" s="55">
        <v>44225.154230902779</v>
      </c>
      <c r="BF144" s="46"/>
      <c r="BG144" s="46"/>
      <c r="BH144" s="46"/>
      <c r="BI144" s="46" t="s">
        <v>328</v>
      </c>
      <c r="BJ144" s="46">
        <v>4.0111202120681999E+18</v>
      </c>
      <c r="BK144" s="46" t="s">
        <v>329</v>
      </c>
      <c r="BL144" s="46"/>
      <c r="BM144" s="46">
        <v>2020</v>
      </c>
      <c r="BN144" s="46" t="s">
        <v>331</v>
      </c>
      <c r="BO144" s="46"/>
      <c r="BP144" s="46">
        <v>4.0129202121382902E+18</v>
      </c>
      <c r="BQ144" s="46" t="s">
        <v>719</v>
      </c>
      <c r="BR144" s="46" t="s">
        <v>333</v>
      </c>
      <c r="BS144" s="51">
        <v>10000</v>
      </c>
      <c r="BT144" s="46" t="s">
        <v>3</v>
      </c>
      <c r="BU144" s="49">
        <v>10000</v>
      </c>
      <c r="BV144" s="49"/>
      <c r="BW144" s="46"/>
      <c r="BX144" s="53">
        <v>1</v>
      </c>
      <c r="BY144" s="53"/>
    </row>
    <row r="145" spans="1:77">
      <c r="A145" s="46" t="s">
        <v>312</v>
      </c>
      <c r="B145" s="46" t="s">
        <v>313</v>
      </c>
      <c r="C145" s="46"/>
      <c r="D145" s="46"/>
      <c r="E145" s="46" t="s">
        <v>720</v>
      </c>
      <c r="F145" s="46" t="s">
        <v>129</v>
      </c>
      <c r="G145" s="46"/>
      <c r="H145" s="46" t="s">
        <v>366</v>
      </c>
      <c r="I145" s="46" t="s">
        <v>695</v>
      </c>
      <c r="J145" s="46" t="s">
        <v>721</v>
      </c>
      <c r="K145" s="46" t="s">
        <v>696</v>
      </c>
      <c r="L145" s="46" t="s">
        <v>689</v>
      </c>
      <c r="M145" s="46" t="s">
        <v>697</v>
      </c>
      <c r="N145" s="46"/>
      <c r="O145" s="46" t="s">
        <v>698</v>
      </c>
      <c r="P145" s="46" t="s">
        <v>107</v>
      </c>
      <c r="Q145" s="46">
        <v>761094858</v>
      </c>
      <c r="R145" s="46" t="s">
        <v>699</v>
      </c>
      <c r="S145" s="46" t="s">
        <v>700</v>
      </c>
      <c r="T145" s="46"/>
      <c r="U145" s="46">
        <v>15</v>
      </c>
      <c r="V145" s="46" t="s">
        <v>324</v>
      </c>
      <c r="W145" s="46" t="s">
        <v>324</v>
      </c>
      <c r="X145" s="46"/>
      <c r="Y145" s="46"/>
      <c r="Z145" s="54">
        <v>43801</v>
      </c>
      <c r="AA145" s="46">
        <v>10000</v>
      </c>
      <c r="AB145" s="46">
        <v>10000</v>
      </c>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t="s">
        <v>47</v>
      </c>
      <c r="AY145" s="46"/>
      <c r="AZ145" s="46" t="s">
        <v>325</v>
      </c>
      <c r="BA145" s="46"/>
      <c r="BB145" s="46" t="s">
        <v>132</v>
      </c>
      <c r="BC145" s="46" t="s">
        <v>326</v>
      </c>
      <c r="BD145" s="46" t="s">
        <v>327</v>
      </c>
      <c r="BE145" s="55">
        <v>43869.069246377316</v>
      </c>
      <c r="BF145" s="46"/>
      <c r="BG145" s="46"/>
      <c r="BH145" s="46"/>
      <c r="BI145" s="46" t="s">
        <v>328</v>
      </c>
      <c r="BJ145" s="46">
        <v>4.0131202016861901E+18</v>
      </c>
      <c r="BK145" s="46" t="s">
        <v>329</v>
      </c>
      <c r="BL145" s="46"/>
      <c r="BM145" s="46">
        <v>2020</v>
      </c>
      <c r="BN145" s="46" t="s">
        <v>331</v>
      </c>
      <c r="BO145" s="46"/>
      <c r="BP145" s="46">
        <v>4.0207202016876298E+18</v>
      </c>
      <c r="BQ145" s="46" t="s">
        <v>722</v>
      </c>
      <c r="BR145" s="46" t="s">
        <v>333</v>
      </c>
      <c r="BS145" s="51">
        <v>10000</v>
      </c>
      <c r="BT145" s="46" t="s">
        <v>3</v>
      </c>
      <c r="BU145" s="49">
        <v>10000</v>
      </c>
      <c r="BV145" s="49"/>
      <c r="BW145" s="46"/>
      <c r="BX145" s="53">
        <v>1</v>
      </c>
      <c r="BY145" s="53"/>
    </row>
    <row r="146" spans="1:77">
      <c r="A146" s="46" t="s">
        <v>312</v>
      </c>
      <c r="B146" s="46" t="s">
        <v>313</v>
      </c>
      <c r="C146" s="46"/>
      <c r="D146" s="46" t="s">
        <v>486</v>
      </c>
      <c r="E146" s="46" t="s">
        <v>723</v>
      </c>
      <c r="F146" s="46" t="s">
        <v>1</v>
      </c>
      <c r="G146" s="46"/>
      <c r="H146" s="46" t="s">
        <v>130</v>
      </c>
      <c r="I146" s="46" t="s">
        <v>614</v>
      </c>
      <c r="J146" s="46" t="s">
        <v>724</v>
      </c>
      <c r="K146" s="46" t="s">
        <v>615</v>
      </c>
      <c r="L146" s="46"/>
      <c r="M146" s="46" t="s">
        <v>616</v>
      </c>
      <c r="N146" s="46"/>
      <c r="O146" s="46" t="s">
        <v>370</v>
      </c>
      <c r="P146" s="46" t="s">
        <v>107</v>
      </c>
      <c r="Q146" s="46">
        <v>77227</v>
      </c>
      <c r="R146" s="46" t="s">
        <v>371</v>
      </c>
      <c r="S146" s="46" t="s">
        <v>617</v>
      </c>
      <c r="T146" s="46"/>
      <c r="U146" s="46">
        <v>15</v>
      </c>
      <c r="V146" s="46" t="s">
        <v>324</v>
      </c>
      <c r="W146" s="46"/>
      <c r="X146" s="46"/>
      <c r="Y146" s="46"/>
      <c r="Z146" s="54">
        <v>43896</v>
      </c>
      <c r="AA146" s="46">
        <v>10000</v>
      </c>
      <c r="AB146" s="46">
        <v>10000</v>
      </c>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t="s">
        <v>47</v>
      </c>
      <c r="AY146" s="46"/>
      <c r="AZ146" s="46" t="s">
        <v>325</v>
      </c>
      <c r="BA146" s="46"/>
      <c r="BB146" s="46" t="s">
        <v>1</v>
      </c>
      <c r="BC146" s="46" t="s">
        <v>550</v>
      </c>
      <c r="BD146" s="46" t="s">
        <v>327</v>
      </c>
      <c r="BE146" s="55">
        <v>44005.094231215277</v>
      </c>
      <c r="BF146" s="46"/>
      <c r="BG146" s="46"/>
      <c r="BH146" s="46"/>
      <c r="BI146" s="46" t="s">
        <v>328</v>
      </c>
      <c r="BJ146" s="46">
        <v>4.0619202017759299E+18</v>
      </c>
      <c r="BK146" s="46" t="s">
        <v>329</v>
      </c>
      <c r="BL146" s="46"/>
      <c r="BM146" s="46">
        <v>2020</v>
      </c>
      <c r="BN146" s="46" t="s">
        <v>331</v>
      </c>
      <c r="BO146" s="46"/>
      <c r="BP146" s="46">
        <v>4.06222020177649E+18</v>
      </c>
      <c r="BQ146" s="46" t="s">
        <v>725</v>
      </c>
      <c r="BR146" s="46" t="s">
        <v>333</v>
      </c>
      <c r="BS146" s="51">
        <v>10000</v>
      </c>
      <c r="BT146" s="46" t="s">
        <v>3</v>
      </c>
      <c r="BU146" s="49">
        <v>10000</v>
      </c>
      <c r="BV146" s="49"/>
      <c r="BW146" s="46"/>
      <c r="BX146" s="53">
        <v>1</v>
      </c>
      <c r="BY146" s="53"/>
    </row>
    <row r="148" spans="1:77">
      <c r="BS148" s="62">
        <v>164710.49</v>
      </c>
      <c r="BT148" s="49"/>
      <c r="BU148" s="62">
        <v>155457.57692542253</v>
      </c>
      <c r="BV148" s="62">
        <v>9252.9130745774528</v>
      </c>
    </row>
    <row r="149" spans="1:77">
      <c r="BS149" s="47">
        <v>51</v>
      </c>
    </row>
    <row r="150" spans="1:77">
      <c r="BS150" s="47">
        <v>9</v>
      </c>
    </row>
    <row r="151" spans="1:77">
      <c r="BU151" s="53">
        <v>0.94382317073686406</v>
      </c>
      <c r="BV151" s="53">
        <v>5.61768292631359E-2</v>
      </c>
    </row>
    <row r="152" spans="1:77">
      <c r="BS152" s="47">
        <v>943259.17000000086</v>
      </c>
    </row>
    <row r="153" spans="1:77">
      <c r="BS153" s="53">
        <v>0.17461848793900392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35"/>
  <sheetViews>
    <sheetView workbookViewId="0">
      <selection activeCell="D9" sqref="D9"/>
    </sheetView>
  </sheetViews>
  <sheetFormatPr defaultRowHeight="15"/>
  <cols>
    <col min="7" max="7" width="8.85546875" style="2"/>
    <col min="8" max="8" width="15.28515625" customWidth="1"/>
    <col min="11" max="11" width="22.140625" customWidth="1"/>
    <col min="17" max="17" width="8.85546875" style="2"/>
    <col min="18" max="18" width="16" customWidth="1"/>
  </cols>
  <sheetData>
    <row r="1" spans="1:18">
      <c r="A1" t="s">
        <v>9</v>
      </c>
      <c r="D1">
        <v>2020</v>
      </c>
    </row>
    <row r="2" spans="1:18">
      <c r="A2" t="s">
        <v>15</v>
      </c>
      <c r="D2" s="12" t="s">
        <v>8</v>
      </c>
      <c r="E2" t="s">
        <v>4</v>
      </c>
      <c r="F2" s="2" t="s">
        <v>6</v>
      </c>
      <c r="G2" t="s">
        <v>5</v>
      </c>
      <c r="H2" s="12" t="s">
        <v>13</v>
      </c>
      <c r="I2" s="12" t="s">
        <v>14</v>
      </c>
      <c r="R2" s="1"/>
    </row>
    <row r="3" spans="1:18" ht="15.75">
      <c r="A3" t="s">
        <v>731</v>
      </c>
      <c r="B3" t="s">
        <v>777</v>
      </c>
      <c r="D3" t="s">
        <v>2</v>
      </c>
      <c r="E3">
        <v>1150000</v>
      </c>
      <c r="F3" s="2">
        <v>2180000</v>
      </c>
      <c r="G3"/>
      <c r="H3" s="7">
        <f>(+E3/(E3+F3))*100</f>
        <v>34.534534534534536</v>
      </c>
      <c r="I3" s="7">
        <f>(+F3/(E3+F3))*100</f>
        <v>65.465465465465471</v>
      </c>
      <c r="R3" s="1"/>
    </row>
    <row r="4" spans="1:18">
      <c r="H4" s="1"/>
      <c r="R4" s="1"/>
    </row>
    <row r="5" spans="1:18">
      <c r="H5" s="1"/>
      <c r="R5" s="1"/>
    </row>
    <row r="6" spans="1:18" ht="15.75">
      <c r="B6" s="9"/>
      <c r="C6" s="11"/>
      <c r="E6" s="7"/>
      <c r="F6" s="7"/>
      <c r="H6" s="1"/>
      <c r="R6" s="1"/>
    </row>
    <row r="7" spans="1:18">
      <c r="H7" s="1"/>
      <c r="R7" s="1"/>
    </row>
    <row r="8" spans="1:18">
      <c r="H8" s="1"/>
      <c r="R8" s="1"/>
    </row>
    <row r="9" spans="1:18">
      <c r="H9" s="1"/>
      <c r="R9" s="1"/>
    </row>
    <row r="10" spans="1:18">
      <c r="H10" s="1"/>
      <c r="R10" s="1"/>
    </row>
    <row r="11" spans="1:18">
      <c r="H11" s="1"/>
      <c r="R11" s="1"/>
    </row>
    <row r="12" spans="1:18">
      <c r="H12" s="1"/>
      <c r="R12" s="1"/>
    </row>
    <row r="13" spans="1:18">
      <c r="H13" s="1"/>
      <c r="R13" s="1"/>
    </row>
    <row r="14" spans="1:18">
      <c r="H14" s="1"/>
      <c r="R14" s="1"/>
    </row>
    <row r="15" spans="1:18">
      <c r="H15" s="1"/>
      <c r="R15" s="1"/>
    </row>
    <row r="16" spans="1:18">
      <c r="H16" s="1"/>
      <c r="R16" s="1"/>
    </row>
    <row r="17" spans="8:18">
      <c r="H17" s="1"/>
      <c r="R17" s="1"/>
    </row>
    <row r="18" spans="8:18">
      <c r="H18" s="1"/>
      <c r="R18" s="1"/>
    </row>
    <row r="19" spans="8:18">
      <c r="H19" s="1"/>
      <c r="R19" s="1"/>
    </row>
    <row r="20" spans="8:18">
      <c r="H20" s="1"/>
      <c r="R20" s="1"/>
    </row>
    <row r="21" spans="8:18">
      <c r="H21" s="1"/>
      <c r="R21" s="1"/>
    </row>
    <row r="22" spans="8:18">
      <c r="H22" s="1"/>
      <c r="R22" s="1"/>
    </row>
    <row r="23" spans="8:18">
      <c r="H23" s="1"/>
      <c r="R23" s="1"/>
    </row>
    <row r="24" spans="8:18">
      <c r="H24" s="1"/>
      <c r="R24" s="1"/>
    </row>
    <row r="25" spans="8:18">
      <c r="H25" s="1"/>
      <c r="R25" s="1"/>
    </row>
    <row r="26" spans="8:18">
      <c r="H26" s="1"/>
      <c r="R26" s="1"/>
    </row>
    <row r="27" spans="8:18">
      <c r="H27" s="1"/>
      <c r="R27" s="1"/>
    </row>
    <row r="28" spans="8:18">
      <c r="H28" s="1"/>
      <c r="R28" s="1"/>
    </row>
    <row r="29" spans="8:18">
      <c r="H29" s="1"/>
      <c r="R29" s="1"/>
    </row>
    <row r="30" spans="8:18">
      <c r="H30" s="1"/>
      <c r="R30" s="1"/>
    </row>
    <row r="31" spans="8:18">
      <c r="H31" s="1"/>
      <c r="R31" s="1"/>
    </row>
    <row r="32" spans="8:18">
      <c r="H32" s="1"/>
      <c r="R32" s="1"/>
    </row>
    <row r="33" spans="8:18">
      <c r="H33" s="1"/>
      <c r="R33" s="1"/>
    </row>
    <row r="34" spans="8:18">
      <c r="H34" s="1"/>
      <c r="R34" s="1"/>
    </row>
    <row r="35" spans="8:18">
      <c r="H35" s="1"/>
      <c r="R35" s="1"/>
    </row>
    <row r="36" spans="8:18">
      <c r="H36" s="1"/>
      <c r="R36" s="1"/>
    </row>
    <row r="37" spans="8:18">
      <c r="H37" s="1"/>
      <c r="R37" s="1"/>
    </row>
    <row r="38" spans="8:18">
      <c r="H38" s="1"/>
      <c r="R38" s="1"/>
    </row>
    <row r="39" spans="8:18">
      <c r="H39" s="1"/>
      <c r="R39" s="1"/>
    </row>
    <row r="40" spans="8:18">
      <c r="H40" s="1"/>
      <c r="R40" s="1"/>
    </row>
    <row r="41" spans="8:18">
      <c r="H41" s="1"/>
      <c r="R41" s="1"/>
    </row>
    <row r="42" spans="8:18">
      <c r="H42" s="1"/>
      <c r="R42" s="1"/>
    </row>
    <row r="43" spans="8:18">
      <c r="H43" s="1"/>
      <c r="R43" s="1"/>
    </row>
    <row r="44" spans="8:18">
      <c r="H44" s="1"/>
      <c r="R44" s="1"/>
    </row>
    <row r="45" spans="8:18">
      <c r="H45" s="1"/>
      <c r="R45" s="1"/>
    </row>
    <row r="46" spans="8:18">
      <c r="H46" s="1"/>
      <c r="R46" s="1"/>
    </row>
    <row r="47" spans="8:18">
      <c r="H47" s="1"/>
      <c r="R47" s="1"/>
    </row>
    <row r="48" spans="8:18">
      <c r="H48" s="1"/>
      <c r="R48" s="1"/>
    </row>
    <row r="49" spans="8:18">
      <c r="H49" s="1"/>
      <c r="R49" s="1"/>
    </row>
    <row r="50" spans="8:18">
      <c r="H50" s="1"/>
      <c r="R50" s="1"/>
    </row>
    <row r="51" spans="8:18">
      <c r="H51" s="1"/>
      <c r="R51" s="1"/>
    </row>
    <row r="52" spans="8:18">
      <c r="H52" s="1"/>
      <c r="R52" s="1"/>
    </row>
    <row r="53" spans="8:18">
      <c r="H53" s="1"/>
      <c r="R53" s="1"/>
    </row>
    <row r="54" spans="8:18">
      <c r="H54" s="1"/>
      <c r="R54" s="1"/>
    </row>
    <row r="55" spans="8:18">
      <c r="H55" s="1"/>
      <c r="R55" s="1"/>
    </row>
    <row r="56" spans="8:18">
      <c r="H56" s="1"/>
      <c r="R56" s="1"/>
    </row>
    <row r="57" spans="8:18">
      <c r="H57" s="1"/>
      <c r="R57" s="1"/>
    </row>
    <row r="58" spans="8:18">
      <c r="H58" s="1"/>
      <c r="R58" s="1"/>
    </row>
    <row r="59" spans="8:18">
      <c r="H59" s="1"/>
      <c r="R59" s="1"/>
    </row>
    <row r="60" spans="8:18">
      <c r="H60" s="1"/>
      <c r="R60" s="1"/>
    </row>
    <row r="61" spans="8:18">
      <c r="H61" s="1"/>
      <c r="R61" s="1"/>
    </row>
    <row r="62" spans="8:18">
      <c r="H62" s="1"/>
      <c r="R62" s="1"/>
    </row>
    <row r="63" spans="8:18">
      <c r="H63" s="1"/>
      <c r="R63" s="1"/>
    </row>
    <row r="64" spans="8:18">
      <c r="H64" s="1"/>
      <c r="R64" s="1"/>
    </row>
    <row r="65" spans="8:18">
      <c r="H65" s="1"/>
      <c r="R65" s="1"/>
    </row>
    <row r="66" spans="8:18">
      <c r="H66" s="1"/>
      <c r="R66" s="1"/>
    </row>
    <row r="67" spans="8:18">
      <c r="H67" s="1"/>
      <c r="R67" s="1"/>
    </row>
    <row r="68" spans="8:18">
      <c r="H68" s="1"/>
      <c r="R68" s="1"/>
    </row>
    <row r="69" spans="8:18">
      <c r="H69" s="1"/>
      <c r="R69" s="1"/>
    </row>
    <row r="70" spans="8:18">
      <c r="H70" s="1"/>
      <c r="R70" s="1"/>
    </row>
    <row r="71" spans="8:18">
      <c r="H71" s="1"/>
      <c r="R71" s="1"/>
    </row>
    <row r="72" spans="8:18">
      <c r="H72" s="1"/>
      <c r="R72" s="1"/>
    </row>
    <row r="73" spans="8:18">
      <c r="H73" s="1"/>
      <c r="R73" s="1"/>
    </row>
    <row r="74" spans="8:18">
      <c r="H74" s="1"/>
      <c r="R74" s="1"/>
    </row>
    <row r="75" spans="8:18">
      <c r="H75" s="1"/>
      <c r="R75" s="1"/>
    </row>
    <row r="76" spans="8:18">
      <c r="H76" s="1"/>
      <c r="R76" s="1"/>
    </row>
    <row r="77" spans="8:18">
      <c r="H77" s="1"/>
      <c r="R77" s="1"/>
    </row>
    <row r="78" spans="8:18">
      <c r="H78" s="1"/>
      <c r="R78" s="1"/>
    </row>
    <row r="79" spans="8:18">
      <c r="H79" s="1"/>
      <c r="R79" s="1"/>
    </row>
    <row r="80" spans="8:18">
      <c r="H80" s="1"/>
      <c r="R80" s="1"/>
    </row>
    <row r="81" spans="8:18">
      <c r="H81" s="1"/>
      <c r="R81" s="1"/>
    </row>
    <row r="82" spans="8:18">
      <c r="H82" s="1"/>
      <c r="R82" s="1"/>
    </row>
    <row r="83" spans="8:18">
      <c r="H83" s="1"/>
      <c r="R83" s="1"/>
    </row>
    <row r="84" spans="8:18">
      <c r="H84" s="1"/>
      <c r="R84" s="1"/>
    </row>
    <row r="85" spans="8:18">
      <c r="H85" s="1"/>
      <c r="R85" s="1"/>
    </row>
    <row r="86" spans="8:18">
      <c r="H86" s="1"/>
      <c r="R86" s="1"/>
    </row>
    <row r="87" spans="8:18">
      <c r="H87" s="1"/>
      <c r="R87" s="1"/>
    </row>
    <row r="88" spans="8:18">
      <c r="H88" s="1"/>
      <c r="R88" s="1"/>
    </row>
    <row r="89" spans="8:18">
      <c r="H89" s="1"/>
      <c r="R89" s="1"/>
    </row>
    <row r="90" spans="8:18">
      <c r="H90" s="1"/>
      <c r="R90" s="1"/>
    </row>
    <row r="91" spans="8:18">
      <c r="H91" s="1"/>
      <c r="R91" s="1"/>
    </row>
    <row r="92" spans="8:18">
      <c r="H92" s="1"/>
      <c r="R92" s="1"/>
    </row>
    <row r="93" spans="8:18">
      <c r="H93" s="1"/>
      <c r="R93" s="1"/>
    </row>
    <row r="94" spans="8:18">
      <c r="H94" s="1"/>
      <c r="R94" s="1"/>
    </row>
    <row r="95" spans="8:18">
      <c r="H95" s="1"/>
      <c r="R95" s="1"/>
    </row>
    <row r="96" spans="8:18">
      <c r="H96" s="1"/>
      <c r="R96" s="1"/>
    </row>
    <row r="97" spans="8:18">
      <c r="H97" s="1"/>
      <c r="R97" s="1"/>
    </row>
    <row r="98" spans="8:18">
      <c r="H98" s="1"/>
      <c r="R98" s="1"/>
    </row>
    <row r="99" spans="8:18">
      <c r="H99" s="1"/>
      <c r="R99" s="1"/>
    </row>
    <row r="100" spans="8:18">
      <c r="H100" s="1"/>
      <c r="R100" s="1"/>
    </row>
    <row r="101" spans="8:18">
      <c r="H101" s="1"/>
      <c r="R101" s="1"/>
    </row>
    <row r="102" spans="8:18">
      <c r="H102" s="1"/>
      <c r="R102" s="1"/>
    </row>
    <row r="103" spans="8:18">
      <c r="H103" s="1"/>
      <c r="R103" s="1"/>
    </row>
    <row r="104" spans="8:18">
      <c r="H104" s="1"/>
      <c r="R104" s="1"/>
    </row>
    <row r="105" spans="8:18">
      <c r="H105" s="1"/>
      <c r="R105" s="1"/>
    </row>
    <row r="106" spans="8:18">
      <c r="H106" s="1"/>
      <c r="R106" s="1"/>
    </row>
    <row r="107" spans="8:18">
      <c r="H107" s="1"/>
      <c r="R107" s="1"/>
    </row>
    <row r="108" spans="8:18">
      <c r="H108" s="1"/>
      <c r="R108" s="1"/>
    </row>
    <row r="109" spans="8:18">
      <c r="H109" s="1"/>
      <c r="R109" s="1"/>
    </row>
    <row r="110" spans="8:18">
      <c r="H110" s="1"/>
      <c r="R110" s="1"/>
    </row>
    <row r="111" spans="8:18">
      <c r="H111" s="1"/>
      <c r="R111" s="1"/>
    </row>
    <row r="112" spans="8:18">
      <c r="H112" s="1"/>
      <c r="R112" s="1"/>
    </row>
    <row r="113" spans="8:18">
      <c r="H113" s="1"/>
      <c r="R113" s="1"/>
    </row>
    <row r="114" spans="8:18">
      <c r="H114" s="1"/>
      <c r="R114" s="1"/>
    </row>
    <row r="115" spans="8:18">
      <c r="H115" s="1"/>
      <c r="R115" s="1"/>
    </row>
    <row r="116" spans="8:18">
      <c r="H116" s="1"/>
      <c r="R116" s="1"/>
    </row>
    <row r="117" spans="8:18">
      <c r="H117" s="1"/>
      <c r="R117" s="1"/>
    </row>
    <row r="118" spans="8:18">
      <c r="H118" s="1"/>
      <c r="R118" s="1"/>
    </row>
    <row r="119" spans="8:18">
      <c r="H119" s="1"/>
      <c r="R119" s="1"/>
    </row>
    <row r="120" spans="8:18">
      <c r="H120" s="1"/>
      <c r="R120" s="1"/>
    </row>
    <row r="121" spans="8:18">
      <c r="H121" s="1"/>
      <c r="R121" s="1"/>
    </row>
    <row r="122" spans="8:18">
      <c r="H122" s="1"/>
      <c r="R122" s="1"/>
    </row>
    <row r="123" spans="8:18">
      <c r="H123" s="1"/>
      <c r="R123" s="1"/>
    </row>
    <row r="124" spans="8:18">
      <c r="H124" s="1"/>
      <c r="R124" s="1"/>
    </row>
    <row r="125" spans="8:18">
      <c r="H125" s="1"/>
      <c r="R125" s="1"/>
    </row>
    <row r="126" spans="8:18">
      <c r="H126" s="1"/>
      <c r="R126" s="1"/>
    </row>
    <row r="127" spans="8:18">
      <c r="H127" s="1"/>
      <c r="R127" s="1"/>
    </row>
    <row r="128" spans="8:18">
      <c r="H128" s="1"/>
      <c r="R128" s="1"/>
    </row>
    <row r="129" spans="8:18">
      <c r="H129" s="1"/>
      <c r="R129" s="1"/>
    </row>
    <row r="130" spans="8:18">
      <c r="H130" s="1"/>
      <c r="R130" s="1"/>
    </row>
    <row r="131" spans="8:18">
      <c r="H131" s="1"/>
      <c r="R131" s="1"/>
    </row>
    <row r="132" spans="8:18">
      <c r="H132" s="1"/>
      <c r="R132" s="1"/>
    </row>
    <row r="133" spans="8:18">
      <c r="H133" s="1"/>
      <c r="R133" s="1"/>
    </row>
    <row r="134" spans="8:18">
      <c r="H134" s="1"/>
      <c r="R134" s="1"/>
    </row>
    <row r="135" spans="8:18">
      <c r="H135" s="1"/>
      <c r="R135" s="1"/>
    </row>
    <row r="136" spans="8:18">
      <c r="H136" s="1"/>
      <c r="R136" s="1"/>
    </row>
    <row r="137" spans="8:18">
      <c r="H137" s="1"/>
      <c r="R137" s="1"/>
    </row>
    <row r="138" spans="8:18">
      <c r="H138" s="1"/>
      <c r="R138" s="1"/>
    </row>
    <row r="139" spans="8:18">
      <c r="H139" s="1"/>
      <c r="R139" s="1"/>
    </row>
    <row r="140" spans="8:18">
      <c r="H140" s="1"/>
      <c r="R140" s="1"/>
    </row>
    <row r="141" spans="8:18">
      <c r="H141" s="1"/>
      <c r="R141" s="1"/>
    </row>
    <row r="142" spans="8:18">
      <c r="H142" s="1"/>
      <c r="R142" s="1"/>
    </row>
    <row r="143" spans="8:18">
      <c r="H143" s="1"/>
      <c r="R143" s="1"/>
    </row>
    <row r="144" spans="8:18">
      <c r="H144" s="1"/>
      <c r="R144" s="1"/>
    </row>
    <row r="145" spans="8:18">
      <c r="H145" s="1"/>
      <c r="R145" s="1"/>
    </row>
    <row r="146" spans="8:18">
      <c r="H146" s="1"/>
      <c r="R146" s="1"/>
    </row>
    <row r="147" spans="8:18">
      <c r="H147" s="1"/>
      <c r="R147" s="1"/>
    </row>
    <row r="148" spans="8:18">
      <c r="H148" s="1"/>
      <c r="R148" s="1"/>
    </row>
    <row r="149" spans="8:18">
      <c r="H149" s="1"/>
      <c r="R149" s="1"/>
    </row>
    <row r="150" spans="8:18">
      <c r="H150" s="1"/>
      <c r="R150" s="1"/>
    </row>
    <row r="151" spans="8:18">
      <c r="H151" s="1"/>
      <c r="R151" s="1"/>
    </row>
    <row r="152" spans="8:18">
      <c r="H152" s="1"/>
      <c r="R152" s="1"/>
    </row>
    <row r="153" spans="8:18">
      <c r="H153" s="1"/>
      <c r="R153" s="1"/>
    </row>
    <row r="154" spans="8:18">
      <c r="H154" s="1"/>
      <c r="R154" s="1"/>
    </row>
    <row r="155" spans="8:18">
      <c r="H155" s="1"/>
      <c r="R155" s="1"/>
    </row>
    <row r="156" spans="8:18">
      <c r="H156" s="1"/>
      <c r="R156" s="1"/>
    </row>
    <row r="157" spans="8:18">
      <c r="H157" s="1"/>
      <c r="R157" s="1"/>
    </row>
    <row r="158" spans="8:18">
      <c r="H158" s="1"/>
      <c r="R158" s="1"/>
    </row>
    <row r="159" spans="8:18">
      <c r="H159" s="1"/>
      <c r="R159" s="1"/>
    </row>
    <row r="160" spans="8:18">
      <c r="H160" s="1"/>
      <c r="R160" s="1"/>
    </row>
    <row r="161" spans="8:18">
      <c r="H161" s="1"/>
      <c r="R161" s="1"/>
    </row>
    <row r="162" spans="8:18">
      <c r="H162" s="1"/>
      <c r="R162" s="1"/>
    </row>
    <row r="163" spans="8:18">
      <c r="H163" s="1"/>
      <c r="R163" s="1"/>
    </row>
    <row r="164" spans="8:18">
      <c r="H164" s="1"/>
      <c r="R164" s="1"/>
    </row>
    <row r="165" spans="8:18">
      <c r="H165" s="1"/>
      <c r="R165" s="1"/>
    </row>
    <row r="166" spans="8:18">
      <c r="H166" s="1"/>
      <c r="R166" s="1"/>
    </row>
    <row r="167" spans="8:18">
      <c r="H167" s="1"/>
      <c r="R167" s="1"/>
    </row>
    <row r="168" spans="8:18">
      <c r="H168" s="1"/>
      <c r="R168" s="1"/>
    </row>
    <row r="169" spans="8:18">
      <c r="H169" s="1"/>
      <c r="R169" s="1"/>
    </row>
    <row r="170" spans="8:18">
      <c r="H170" s="1"/>
      <c r="R170" s="1"/>
    </row>
    <row r="171" spans="8:18">
      <c r="H171" s="1"/>
      <c r="R171" s="1"/>
    </row>
    <row r="172" spans="8:18">
      <c r="H172" s="1"/>
      <c r="R172" s="1"/>
    </row>
    <row r="173" spans="8:18">
      <c r="H173" s="1"/>
      <c r="R173" s="1"/>
    </row>
    <row r="174" spans="8:18">
      <c r="H174" s="1"/>
      <c r="R174" s="1"/>
    </row>
    <row r="175" spans="8:18">
      <c r="H175" s="1"/>
      <c r="R175" s="1"/>
    </row>
    <row r="176" spans="8:18">
      <c r="H176" s="1"/>
      <c r="R176" s="1"/>
    </row>
    <row r="177" spans="8:18">
      <c r="H177" s="1"/>
      <c r="R177" s="1"/>
    </row>
    <row r="178" spans="8:18">
      <c r="H178" s="1"/>
      <c r="R178" s="1"/>
    </row>
    <row r="179" spans="8:18">
      <c r="H179" s="1"/>
      <c r="R179" s="1"/>
    </row>
    <row r="180" spans="8:18">
      <c r="H180" s="1"/>
      <c r="R180" s="1"/>
    </row>
    <row r="181" spans="8:18">
      <c r="H181" s="1"/>
      <c r="R181" s="1"/>
    </row>
    <row r="182" spans="8:18">
      <c r="H182" s="1"/>
      <c r="R182" s="1"/>
    </row>
    <row r="183" spans="8:18">
      <c r="H183" s="1"/>
      <c r="R183" s="1"/>
    </row>
    <row r="184" spans="8:18">
      <c r="H184" s="1"/>
      <c r="R184" s="1"/>
    </row>
    <row r="185" spans="8:18">
      <c r="H185" s="1"/>
      <c r="R185" s="1"/>
    </row>
    <row r="186" spans="8:18">
      <c r="H186" s="1"/>
      <c r="R186" s="1"/>
    </row>
    <row r="187" spans="8:18">
      <c r="H187" s="1"/>
      <c r="R187" s="1"/>
    </row>
    <row r="188" spans="8:18">
      <c r="H188" s="1"/>
      <c r="R188" s="1"/>
    </row>
    <row r="189" spans="8:18">
      <c r="H189" s="1"/>
      <c r="R189" s="1"/>
    </row>
    <row r="190" spans="8:18">
      <c r="H190" s="1"/>
      <c r="R190" s="1"/>
    </row>
    <row r="191" spans="8:18">
      <c r="H191" s="1"/>
      <c r="R191" s="1"/>
    </row>
    <row r="192" spans="8:18">
      <c r="H192" s="1"/>
      <c r="R192" s="1"/>
    </row>
    <row r="193" spans="8:18">
      <c r="H193" s="1"/>
      <c r="R193" s="1"/>
    </row>
    <row r="194" spans="8:18">
      <c r="H194" s="1"/>
      <c r="R194" s="1"/>
    </row>
    <row r="195" spans="8:18">
      <c r="H195" s="1"/>
      <c r="R195" s="1"/>
    </row>
    <row r="196" spans="8:18">
      <c r="H196" s="1"/>
      <c r="R196" s="1"/>
    </row>
    <row r="197" spans="8:18">
      <c r="H197" s="1"/>
      <c r="R197" s="1"/>
    </row>
    <row r="198" spans="8:18">
      <c r="H198" s="1"/>
      <c r="R198" s="1"/>
    </row>
    <row r="199" spans="8:18">
      <c r="H199" s="1"/>
      <c r="R199" s="1"/>
    </row>
    <row r="200" spans="8:18">
      <c r="H200" s="1"/>
      <c r="R200" s="1"/>
    </row>
    <row r="201" spans="8:18">
      <c r="H201" s="1"/>
      <c r="R201" s="1"/>
    </row>
    <row r="202" spans="8:18">
      <c r="H202" s="1"/>
      <c r="R202" s="1"/>
    </row>
    <row r="203" spans="8:18">
      <c r="H203" s="1"/>
      <c r="R203" s="1"/>
    </row>
    <row r="204" spans="8:18">
      <c r="H204" s="1"/>
      <c r="R204" s="1"/>
    </row>
    <row r="205" spans="8:18">
      <c r="H205" s="1"/>
      <c r="R205" s="1"/>
    </row>
    <row r="206" spans="8:18">
      <c r="H206" s="1"/>
      <c r="R206" s="1"/>
    </row>
    <row r="207" spans="8:18">
      <c r="H207" s="1"/>
      <c r="R207" s="1"/>
    </row>
    <row r="208" spans="8:18">
      <c r="H208" s="1"/>
      <c r="R208" s="1"/>
    </row>
    <row r="209" spans="8:18">
      <c r="H209" s="1"/>
      <c r="R209" s="1"/>
    </row>
    <row r="210" spans="8:18">
      <c r="H210" s="1"/>
      <c r="R210" s="1"/>
    </row>
    <row r="211" spans="8:18">
      <c r="H211" s="1"/>
      <c r="R211" s="1"/>
    </row>
    <row r="212" spans="8:18">
      <c r="H212" s="1"/>
      <c r="R212" s="1"/>
    </row>
    <row r="213" spans="8:18">
      <c r="H213" s="1"/>
      <c r="R213" s="1"/>
    </row>
    <row r="214" spans="8:18">
      <c r="H214" s="1"/>
      <c r="R214" s="1"/>
    </row>
    <row r="215" spans="8:18">
      <c r="H215" s="1"/>
      <c r="R215" s="1"/>
    </row>
    <row r="216" spans="8:18">
      <c r="H216" s="1"/>
      <c r="R216" s="1"/>
    </row>
    <row r="217" spans="8:18">
      <c r="H217" s="1"/>
      <c r="R217" s="1"/>
    </row>
    <row r="218" spans="8:18">
      <c r="H218" s="1"/>
      <c r="R218" s="1"/>
    </row>
    <row r="219" spans="8:18">
      <c r="H219" s="1"/>
      <c r="R219" s="1"/>
    </row>
    <row r="220" spans="8:18">
      <c r="H220" s="1"/>
      <c r="R220" s="1"/>
    </row>
    <row r="221" spans="8:18">
      <c r="H221" s="1"/>
      <c r="R221" s="1"/>
    </row>
    <row r="222" spans="8:18">
      <c r="H222" s="1"/>
      <c r="R222" s="1"/>
    </row>
    <row r="223" spans="8:18">
      <c r="H223" s="1"/>
      <c r="R223" s="1"/>
    </row>
    <row r="224" spans="8:18">
      <c r="H224" s="1"/>
      <c r="R224" s="1"/>
    </row>
    <row r="225" spans="8:18">
      <c r="H225" s="1"/>
      <c r="R225" s="1"/>
    </row>
    <row r="226" spans="8:18">
      <c r="H226" s="1"/>
      <c r="R226" s="1"/>
    </row>
    <row r="227" spans="8:18">
      <c r="H227" s="1"/>
      <c r="R227" s="1"/>
    </row>
    <row r="228" spans="8:18">
      <c r="H228" s="1"/>
      <c r="R228" s="1"/>
    </row>
    <row r="229" spans="8:18">
      <c r="H229" s="1"/>
      <c r="R229" s="1"/>
    </row>
    <row r="230" spans="8:18">
      <c r="H230" s="1"/>
      <c r="R230" s="1"/>
    </row>
    <row r="231" spans="8:18">
      <c r="H231" s="1"/>
      <c r="R231" s="1"/>
    </row>
    <row r="232" spans="8:18">
      <c r="H232" s="1"/>
      <c r="R232" s="1"/>
    </row>
    <row r="233" spans="8:18">
      <c r="H233" s="1"/>
      <c r="R233" s="1"/>
    </row>
    <row r="234" spans="8:18">
      <c r="H234" s="1"/>
      <c r="R234" s="1"/>
    </row>
    <row r="235" spans="8:18">
      <c r="H235" s="1"/>
      <c r="R235" s="1"/>
    </row>
    <row r="236" spans="8:18">
      <c r="H236" s="1"/>
      <c r="R236" s="1"/>
    </row>
    <row r="237" spans="8:18">
      <c r="H237" s="1"/>
      <c r="R237" s="1"/>
    </row>
    <row r="238" spans="8:18">
      <c r="H238" s="1"/>
      <c r="R238" s="1"/>
    </row>
    <row r="239" spans="8:18">
      <c r="H239" s="1"/>
      <c r="R239" s="1"/>
    </row>
    <row r="240" spans="8:18">
      <c r="H240" s="1"/>
      <c r="R240" s="1"/>
    </row>
    <row r="241" spans="8:18">
      <c r="H241" s="1"/>
      <c r="R241" s="1"/>
    </row>
    <row r="242" spans="8:18">
      <c r="H242" s="1"/>
      <c r="R242" s="1"/>
    </row>
    <row r="243" spans="8:18">
      <c r="H243" s="1"/>
      <c r="R243" s="1"/>
    </row>
    <row r="244" spans="8:18">
      <c r="H244" s="1"/>
      <c r="R244" s="1"/>
    </row>
    <row r="245" spans="8:18">
      <c r="H245" s="1"/>
      <c r="R245" s="1"/>
    </row>
    <row r="246" spans="8:18">
      <c r="H246" s="1"/>
      <c r="R246" s="1"/>
    </row>
    <row r="247" spans="8:18">
      <c r="H247" s="1"/>
      <c r="R247" s="1"/>
    </row>
    <row r="248" spans="8:18">
      <c r="H248" s="1"/>
      <c r="R248" s="1"/>
    </row>
    <row r="249" spans="8:18">
      <c r="H249" s="1"/>
      <c r="R249" s="1"/>
    </row>
    <row r="250" spans="8:18">
      <c r="H250" s="1"/>
      <c r="R250" s="1"/>
    </row>
    <row r="251" spans="8:18">
      <c r="H251" s="1"/>
      <c r="R251" s="1"/>
    </row>
    <row r="252" spans="8:18">
      <c r="H252" s="1"/>
      <c r="R252" s="1"/>
    </row>
    <row r="253" spans="8:18">
      <c r="H253" s="1"/>
      <c r="R253" s="1"/>
    </row>
    <row r="254" spans="8:18">
      <c r="H254" s="1"/>
      <c r="R254" s="1"/>
    </row>
    <row r="255" spans="8:18">
      <c r="H255" s="1"/>
      <c r="R255" s="1"/>
    </row>
    <row r="256" spans="8:18">
      <c r="H256" s="1"/>
      <c r="R256" s="1"/>
    </row>
    <row r="257" spans="8:18">
      <c r="H257" s="1"/>
      <c r="R257" s="1"/>
    </row>
    <row r="258" spans="8:18">
      <c r="H258" s="1"/>
      <c r="R258" s="1"/>
    </row>
    <row r="259" spans="8:18">
      <c r="H259" s="1"/>
      <c r="R259" s="1"/>
    </row>
    <row r="260" spans="8:18">
      <c r="H260" s="1"/>
      <c r="R260" s="1"/>
    </row>
    <row r="261" spans="8:18">
      <c r="H261" s="1"/>
      <c r="R261" s="1"/>
    </row>
    <row r="262" spans="8:18">
      <c r="H262" s="1"/>
      <c r="R262" s="1"/>
    </row>
    <row r="263" spans="8:18">
      <c r="H263" s="1"/>
      <c r="R263" s="1"/>
    </row>
    <row r="264" spans="8:18">
      <c r="H264" s="1"/>
      <c r="R264" s="1"/>
    </row>
    <row r="265" spans="8:18">
      <c r="H265" s="1"/>
      <c r="R265" s="1"/>
    </row>
    <row r="266" spans="8:18">
      <c r="H266" s="1"/>
      <c r="R266" s="1"/>
    </row>
    <row r="267" spans="8:18">
      <c r="H267" s="1"/>
      <c r="R267" s="1"/>
    </row>
    <row r="268" spans="8:18">
      <c r="H268" s="1"/>
      <c r="R268" s="1"/>
    </row>
    <row r="269" spans="8:18">
      <c r="H269" s="1"/>
      <c r="R269" s="1"/>
    </row>
    <row r="270" spans="8:18">
      <c r="H270" s="1"/>
      <c r="R270" s="1"/>
    </row>
    <row r="271" spans="8:18">
      <c r="H271" s="1"/>
      <c r="R271" s="1"/>
    </row>
    <row r="272" spans="8:18">
      <c r="H272" s="1"/>
      <c r="R272" s="1"/>
    </row>
    <row r="273" spans="8:18">
      <c r="H273" s="1"/>
      <c r="R273" s="1"/>
    </row>
    <row r="274" spans="8:18">
      <c r="H274" s="1"/>
      <c r="R274" s="1"/>
    </row>
    <row r="275" spans="8:18">
      <c r="H275" s="1"/>
      <c r="R275" s="1"/>
    </row>
    <row r="276" spans="8:18">
      <c r="H276" s="1"/>
      <c r="R276" s="1"/>
    </row>
    <row r="277" spans="8:18">
      <c r="H277" s="1"/>
      <c r="R277" s="1"/>
    </row>
    <row r="278" spans="8:18">
      <c r="H278" s="1"/>
      <c r="R278" s="1"/>
    </row>
    <row r="279" spans="8:18">
      <c r="H279" s="1"/>
      <c r="R279" s="1"/>
    </row>
    <row r="280" spans="8:18">
      <c r="H280" s="1"/>
      <c r="R280" s="1"/>
    </row>
    <row r="281" spans="8:18">
      <c r="H281" s="1"/>
      <c r="R281" s="1"/>
    </row>
    <row r="282" spans="8:18">
      <c r="H282" s="1"/>
      <c r="R282" s="1"/>
    </row>
    <row r="283" spans="8:18">
      <c r="H283" s="1"/>
      <c r="R283" s="1"/>
    </row>
    <row r="284" spans="8:18">
      <c r="H284" s="1"/>
      <c r="R284" s="1"/>
    </row>
    <row r="285" spans="8:18">
      <c r="H285" s="1"/>
      <c r="R285" s="1"/>
    </row>
    <row r="286" spans="8:18">
      <c r="H286" s="1"/>
      <c r="R286" s="1"/>
    </row>
    <row r="287" spans="8:18">
      <c r="H287" s="1"/>
      <c r="R287" s="1"/>
    </row>
    <row r="288" spans="8:18">
      <c r="H288" s="1"/>
      <c r="R288" s="1"/>
    </row>
    <row r="289" spans="8:18">
      <c r="H289" s="1"/>
      <c r="R289" s="1"/>
    </row>
    <row r="290" spans="8:18">
      <c r="H290" s="1"/>
      <c r="R290" s="1"/>
    </row>
    <row r="291" spans="8:18">
      <c r="H291" s="1"/>
      <c r="R291" s="1"/>
    </row>
    <row r="292" spans="8:18">
      <c r="H292" s="1"/>
      <c r="R292" s="1"/>
    </row>
    <row r="293" spans="8:18">
      <c r="H293" s="1"/>
      <c r="R293" s="1"/>
    </row>
    <row r="294" spans="8:18">
      <c r="H294" s="1"/>
      <c r="R294" s="1"/>
    </row>
    <row r="295" spans="8:18">
      <c r="H295" s="1"/>
      <c r="R295" s="1"/>
    </row>
    <row r="296" spans="8:18">
      <c r="H296" s="1"/>
      <c r="R296" s="1"/>
    </row>
    <row r="297" spans="8:18">
      <c r="H297" s="1"/>
      <c r="R297" s="1"/>
    </row>
    <row r="298" spans="8:18">
      <c r="H298" s="1"/>
      <c r="R298" s="1"/>
    </row>
    <row r="299" spans="8:18">
      <c r="H299" s="1"/>
      <c r="R299" s="1"/>
    </row>
    <row r="300" spans="8:18">
      <c r="H300" s="1"/>
      <c r="R300" s="1"/>
    </row>
    <row r="301" spans="8:18">
      <c r="H301" s="1"/>
      <c r="R301" s="1"/>
    </row>
    <row r="302" spans="8:18">
      <c r="H302" s="1"/>
      <c r="R302" s="1"/>
    </row>
    <row r="303" spans="8:18">
      <c r="H303" s="1"/>
      <c r="R303" s="1"/>
    </row>
    <row r="304" spans="8:18">
      <c r="H304" s="1"/>
      <c r="R304" s="1"/>
    </row>
    <row r="305" spans="8:18">
      <c r="H305" s="1"/>
      <c r="R305" s="1"/>
    </row>
    <row r="306" spans="8:18">
      <c r="H306" s="1"/>
      <c r="R306" s="1"/>
    </row>
    <row r="307" spans="8:18">
      <c r="H307" s="1"/>
      <c r="R307" s="1"/>
    </row>
    <row r="308" spans="8:18">
      <c r="H308" s="1"/>
      <c r="R308" s="1"/>
    </row>
    <row r="309" spans="8:18">
      <c r="H309" s="1"/>
      <c r="R309" s="1"/>
    </row>
    <row r="310" spans="8:18">
      <c r="H310" s="1"/>
      <c r="R310" s="1"/>
    </row>
    <row r="311" spans="8:18">
      <c r="H311" s="1"/>
      <c r="R311" s="1"/>
    </row>
    <row r="312" spans="8:18">
      <c r="H312" s="1"/>
      <c r="R312" s="1"/>
    </row>
    <row r="313" spans="8:18">
      <c r="H313" s="1"/>
      <c r="R313" s="1"/>
    </row>
    <row r="314" spans="8:18">
      <c r="H314" s="1"/>
      <c r="R314" s="1"/>
    </row>
    <row r="315" spans="8:18">
      <c r="H315" s="1"/>
      <c r="R315" s="1"/>
    </row>
    <row r="316" spans="8:18">
      <c r="H316" s="1"/>
      <c r="R316" s="1"/>
    </row>
    <row r="317" spans="8:18">
      <c r="H317" s="1"/>
      <c r="R317" s="1"/>
    </row>
    <row r="318" spans="8:18">
      <c r="H318" s="1"/>
      <c r="R318" s="1"/>
    </row>
    <row r="319" spans="8:18">
      <c r="H319" s="1"/>
      <c r="R319" s="1"/>
    </row>
    <row r="320" spans="8:18">
      <c r="H320" s="1"/>
      <c r="R320" s="1"/>
    </row>
    <row r="321" spans="8:18">
      <c r="H321" s="1"/>
      <c r="R321" s="1"/>
    </row>
    <row r="322" spans="8:18">
      <c r="H322" s="1"/>
      <c r="R322" s="1"/>
    </row>
    <row r="323" spans="8:18">
      <c r="H323" s="1"/>
      <c r="R323" s="1"/>
    </row>
    <row r="324" spans="8:18">
      <c r="H324" s="1"/>
      <c r="R324" s="1"/>
    </row>
    <row r="325" spans="8:18">
      <c r="H325" s="1"/>
      <c r="R325" s="1"/>
    </row>
    <row r="326" spans="8:18">
      <c r="H326" s="1"/>
      <c r="R326" s="1"/>
    </row>
    <row r="327" spans="8:18">
      <c r="H327" s="1"/>
      <c r="R327" s="1"/>
    </row>
    <row r="328" spans="8:18">
      <c r="H328" s="1"/>
      <c r="R328" s="1"/>
    </row>
    <row r="329" spans="8:18">
      <c r="H329" s="1"/>
      <c r="R329" s="1"/>
    </row>
    <row r="330" spans="8:18">
      <c r="H330" s="1"/>
      <c r="R330" s="1"/>
    </row>
    <row r="331" spans="8:18">
      <c r="H331" s="1"/>
      <c r="R331" s="1"/>
    </row>
    <row r="332" spans="8:18">
      <c r="H332" s="1"/>
      <c r="R332" s="1"/>
    </row>
    <row r="333" spans="8:18">
      <c r="H333" s="1"/>
      <c r="R333" s="1"/>
    </row>
    <row r="334" spans="8:18">
      <c r="H334" s="1"/>
      <c r="R334" s="1"/>
    </row>
    <row r="335" spans="8:18">
      <c r="H335" s="1"/>
      <c r="R335" s="1"/>
    </row>
    <row r="336" spans="8:18">
      <c r="H336" s="1"/>
      <c r="R336" s="1"/>
    </row>
    <row r="337" spans="8:18">
      <c r="H337" s="1"/>
      <c r="R337" s="1"/>
    </row>
    <row r="338" spans="8:18">
      <c r="H338" s="1"/>
      <c r="R338" s="1"/>
    </row>
    <row r="339" spans="8:18">
      <c r="H339" s="1"/>
      <c r="R339" s="1"/>
    </row>
    <row r="340" spans="8:18">
      <c r="H340" s="1"/>
      <c r="R340" s="1"/>
    </row>
    <row r="341" spans="8:18">
      <c r="H341" s="1"/>
      <c r="R341" s="1"/>
    </row>
    <row r="342" spans="8:18">
      <c r="H342" s="1"/>
      <c r="R342" s="1"/>
    </row>
    <row r="343" spans="8:18">
      <c r="H343" s="1"/>
      <c r="R343" s="1"/>
    </row>
    <row r="344" spans="8:18">
      <c r="H344" s="1"/>
      <c r="R344" s="1"/>
    </row>
    <row r="345" spans="8:18">
      <c r="H345" s="1"/>
      <c r="R345" s="1"/>
    </row>
    <row r="346" spans="8:18">
      <c r="H346" s="1"/>
      <c r="R346" s="1"/>
    </row>
    <row r="347" spans="8:18">
      <c r="H347" s="1"/>
      <c r="R347" s="1"/>
    </row>
    <row r="348" spans="8:18">
      <c r="H348" s="1"/>
      <c r="R348" s="1"/>
    </row>
    <row r="349" spans="8:18">
      <c r="H349" s="1"/>
      <c r="R349" s="1"/>
    </row>
    <row r="350" spans="8:18">
      <c r="H350" s="1"/>
      <c r="R350" s="1"/>
    </row>
    <row r="351" spans="8:18">
      <c r="H351" s="1"/>
      <c r="R351" s="1"/>
    </row>
    <row r="352" spans="8:18">
      <c r="H352" s="1"/>
      <c r="R352" s="1"/>
    </row>
    <row r="353" spans="8:18">
      <c r="H353" s="1"/>
      <c r="R353" s="1"/>
    </row>
    <row r="354" spans="8:18">
      <c r="H354" s="1"/>
      <c r="R354" s="1"/>
    </row>
    <row r="355" spans="8:18">
      <c r="H355" s="1"/>
      <c r="R355" s="1"/>
    </row>
    <row r="356" spans="8:18">
      <c r="H356" s="1"/>
      <c r="R356" s="1"/>
    </row>
    <row r="357" spans="8:18">
      <c r="H357" s="1"/>
      <c r="R357" s="1"/>
    </row>
    <row r="358" spans="8:18">
      <c r="H358" s="1"/>
      <c r="R358" s="1"/>
    </row>
    <row r="359" spans="8:18">
      <c r="H359" s="1"/>
      <c r="R359" s="1"/>
    </row>
    <row r="360" spans="8:18">
      <c r="H360" s="1"/>
      <c r="R360" s="1"/>
    </row>
    <row r="361" spans="8:18">
      <c r="H361" s="1"/>
      <c r="R361" s="1"/>
    </row>
    <row r="362" spans="8:18">
      <c r="H362" s="1"/>
      <c r="R362" s="1"/>
    </row>
    <row r="363" spans="8:18">
      <c r="H363" s="1"/>
      <c r="R363" s="1"/>
    </row>
    <row r="364" spans="8:18">
      <c r="H364" s="1"/>
      <c r="R364" s="1"/>
    </row>
    <row r="365" spans="8:18">
      <c r="H365" s="1"/>
      <c r="R365" s="1"/>
    </row>
    <row r="366" spans="8:18">
      <c r="H366" s="1"/>
      <c r="R366" s="1"/>
    </row>
    <row r="367" spans="8:18">
      <c r="H367" s="1"/>
      <c r="R367" s="1"/>
    </row>
    <row r="368" spans="8:18">
      <c r="H368" s="1"/>
      <c r="R368" s="1"/>
    </row>
    <row r="369" spans="8:18">
      <c r="H369" s="1"/>
      <c r="R369" s="1"/>
    </row>
    <row r="370" spans="8:18">
      <c r="H370" s="1"/>
      <c r="R370" s="1"/>
    </row>
    <row r="371" spans="8:18">
      <c r="H371" s="1"/>
      <c r="R371" s="1"/>
    </row>
    <row r="372" spans="8:18">
      <c r="H372" s="1"/>
      <c r="R372" s="1"/>
    </row>
    <row r="373" spans="8:18">
      <c r="H373" s="1"/>
      <c r="R373" s="1"/>
    </row>
    <row r="374" spans="8:18">
      <c r="H374" s="1"/>
      <c r="R374" s="1"/>
    </row>
    <row r="375" spans="8:18">
      <c r="H375" s="1"/>
      <c r="R375" s="1"/>
    </row>
    <row r="376" spans="8:18">
      <c r="H376" s="1"/>
      <c r="R376" s="1"/>
    </row>
    <row r="377" spans="8:18">
      <c r="H377" s="1"/>
      <c r="R377" s="1"/>
    </row>
    <row r="378" spans="8:18">
      <c r="H378" s="1"/>
      <c r="R378" s="1"/>
    </row>
    <row r="379" spans="8:18">
      <c r="H379" s="1"/>
      <c r="R379" s="1"/>
    </row>
    <row r="380" spans="8:18">
      <c r="H380" s="1"/>
      <c r="R380" s="1"/>
    </row>
    <row r="381" spans="8:18">
      <c r="H381" s="1"/>
      <c r="R381" s="1"/>
    </row>
    <row r="382" spans="8:18">
      <c r="H382" s="1"/>
      <c r="R382" s="1"/>
    </row>
    <row r="383" spans="8:18">
      <c r="H383" s="1"/>
      <c r="R383" s="1"/>
    </row>
    <row r="384" spans="8:18">
      <c r="H384" s="1"/>
      <c r="R384" s="1"/>
    </row>
    <row r="385" spans="8:18">
      <c r="H385" s="1"/>
      <c r="R385" s="1"/>
    </row>
    <row r="386" spans="8:18">
      <c r="H386" s="1"/>
      <c r="R386" s="1"/>
    </row>
    <row r="387" spans="8:18">
      <c r="H387" s="1"/>
      <c r="R387" s="1"/>
    </row>
    <row r="388" spans="8:18">
      <c r="H388" s="1"/>
      <c r="R388" s="1"/>
    </row>
    <row r="389" spans="8:18">
      <c r="H389" s="1"/>
      <c r="R389" s="1"/>
    </row>
    <row r="390" spans="8:18">
      <c r="H390" s="1"/>
      <c r="R390" s="1"/>
    </row>
    <row r="391" spans="8:18">
      <c r="H391" s="1"/>
      <c r="R391" s="1"/>
    </row>
    <row r="392" spans="8:18">
      <c r="H392" s="1"/>
      <c r="R392" s="1"/>
    </row>
    <row r="393" spans="8:18">
      <c r="H393" s="1"/>
      <c r="R393" s="1"/>
    </row>
    <row r="394" spans="8:18">
      <c r="H394" s="1"/>
      <c r="R394" s="1"/>
    </row>
    <row r="395" spans="8:18">
      <c r="H395" s="1"/>
      <c r="R395" s="1"/>
    </row>
    <row r="396" spans="8:18">
      <c r="H396" s="1"/>
      <c r="R396" s="1"/>
    </row>
    <row r="397" spans="8:18">
      <c r="H397" s="1"/>
      <c r="R397" s="1"/>
    </row>
    <row r="398" spans="8:18">
      <c r="H398" s="1"/>
      <c r="R398" s="1"/>
    </row>
    <row r="399" spans="8:18">
      <c r="H399" s="1"/>
      <c r="R399" s="1"/>
    </row>
    <row r="400" spans="8:18">
      <c r="H400" s="1"/>
      <c r="R400" s="1"/>
    </row>
    <row r="401" spans="8:18">
      <c r="H401" s="1"/>
      <c r="R401" s="1"/>
    </row>
    <row r="402" spans="8:18">
      <c r="H402" s="1"/>
      <c r="R402" s="1"/>
    </row>
    <row r="403" spans="8:18">
      <c r="H403" s="1"/>
      <c r="R403" s="1"/>
    </row>
    <row r="404" spans="8:18">
      <c r="H404" s="1"/>
      <c r="R404" s="1"/>
    </row>
    <row r="405" spans="8:18">
      <c r="H405" s="1"/>
      <c r="R405" s="1"/>
    </row>
    <row r="406" spans="8:18">
      <c r="H406" s="1"/>
      <c r="R406" s="1"/>
    </row>
    <row r="407" spans="8:18">
      <c r="H407" s="1"/>
      <c r="R407" s="1"/>
    </row>
    <row r="408" spans="8:18">
      <c r="H408" s="1"/>
      <c r="R408" s="1"/>
    </row>
    <row r="409" spans="8:18">
      <c r="H409" s="1"/>
      <c r="R409" s="1"/>
    </row>
    <row r="410" spans="8:18">
      <c r="H410" s="1"/>
      <c r="R410" s="1"/>
    </row>
    <row r="411" spans="8:18">
      <c r="H411" s="1"/>
      <c r="R411" s="1"/>
    </row>
    <row r="412" spans="8:18">
      <c r="H412" s="1"/>
      <c r="R412" s="1"/>
    </row>
    <row r="413" spans="8:18">
      <c r="H413" s="1"/>
      <c r="R413" s="1"/>
    </row>
    <row r="414" spans="8:18">
      <c r="H414" s="1"/>
      <c r="R414" s="1"/>
    </row>
    <row r="415" spans="8:18">
      <c r="H415" s="1"/>
      <c r="R415" s="1"/>
    </row>
    <row r="416" spans="8:18">
      <c r="H416" s="1"/>
      <c r="R416" s="1"/>
    </row>
    <row r="417" spans="8:18">
      <c r="H417" s="1"/>
      <c r="R417" s="1"/>
    </row>
    <row r="418" spans="8:18">
      <c r="H418" s="1"/>
      <c r="R418" s="1"/>
    </row>
    <row r="419" spans="8:18">
      <c r="H419" s="1"/>
      <c r="R419" s="1"/>
    </row>
    <row r="420" spans="8:18">
      <c r="H420" s="1"/>
      <c r="R420" s="1"/>
    </row>
    <row r="421" spans="8:18">
      <c r="H421" s="1"/>
      <c r="R421" s="1"/>
    </row>
    <row r="422" spans="8:18">
      <c r="H422" s="1"/>
      <c r="R422" s="1"/>
    </row>
    <row r="423" spans="8:18">
      <c r="H423" s="1"/>
      <c r="R423" s="1"/>
    </row>
    <row r="424" spans="8:18">
      <c r="H424" s="1"/>
      <c r="R424" s="1"/>
    </row>
    <row r="425" spans="8:18">
      <c r="H425" s="1"/>
      <c r="R425" s="1"/>
    </row>
    <row r="426" spans="8:18">
      <c r="H426" s="1"/>
      <c r="R426" s="1"/>
    </row>
    <row r="427" spans="8:18">
      <c r="H427" s="1"/>
      <c r="R427" s="1"/>
    </row>
    <row r="428" spans="8:18">
      <c r="H428" s="1"/>
      <c r="R428" s="1"/>
    </row>
    <row r="429" spans="8:18">
      <c r="H429" s="1"/>
      <c r="R429" s="1"/>
    </row>
    <row r="430" spans="8:18">
      <c r="H430" s="1"/>
      <c r="R430" s="1"/>
    </row>
    <row r="431" spans="8:18">
      <c r="H431" s="1"/>
      <c r="R431" s="1"/>
    </row>
    <row r="432" spans="8:18">
      <c r="H432" s="1"/>
      <c r="R432" s="1"/>
    </row>
    <row r="433" spans="8:18">
      <c r="H433" s="1"/>
      <c r="R433" s="1"/>
    </row>
    <row r="434" spans="8:18">
      <c r="H434" s="1"/>
      <c r="R434" s="1"/>
    </row>
    <row r="435" spans="8:18">
      <c r="H435" s="1"/>
      <c r="R435" s="1"/>
    </row>
    <row r="436" spans="8:18">
      <c r="H436" s="1"/>
      <c r="R436" s="1"/>
    </row>
    <row r="437" spans="8:18">
      <c r="H437" s="1"/>
      <c r="R437" s="1"/>
    </row>
    <row r="438" spans="8:18">
      <c r="H438" s="1"/>
      <c r="R438" s="1"/>
    </row>
    <row r="439" spans="8:18">
      <c r="H439" s="1"/>
      <c r="R439" s="1"/>
    </row>
    <row r="440" spans="8:18">
      <c r="H440" s="1"/>
      <c r="R440" s="1"/>
    </row>
    <row r="441" spans="8:18">
      <c r="H441" s="1"/>
      <c r="R441" s="1"/>
    </row>
    <row r="442" spans="8:18">
      <c r="H442" s="1"/>
      <c r="R442" s="1"/>
    </row>
    <row r="443" spans="8:18">
      <c r="H443" s="1"/>
      <c r="R443" s="1"/>
    </row>
    <row r="444" spans="8:18">
      <c r="H444" s="1"/>
      <c r="R444" s="1"/>
    </row>
    <row r="445" spans="8:18">
      <c r="H445" s="1"/>
      <c r="R445" s="1"/>
    </row>
    <row r="446" spans="8:18">
      <c r="H446" s="1"/>
      <c r="R446" s="1"/>
    </row>
    <row r="447" spans="8:18">
      <c r="H447" s="1"/>
      <c r="R447" s="1"/>
    </row>
    <row r="448" spans="8:18">
      <c r="H448" s="1"/>
      <c r="R448" s="1"/>
    </row>
    <row r="449" spans="8:18">
      <c r="H449" s="1"/>
      <c r="R449" s="1"/>
    </row>
    <row r="450" spans="8:18">
      <c r="H450" s="1"/>
      <c r="R450" s="1"/>
    </row>
    <row r="451" spans="8:18">
      <c r="H451" s="1"/>
      <c r="R451" s="1"/>
    </row>
    <row r="452" spans="8:18">
      <c r="H452" s="1"/>
      <c r="R452" s="1"/>
    </row>
    <row r="453" spans="8:18">
      <c r="H453" s="1"/>
      <c r="R453" s="1"/>
    </row>
    <row r="454" spans="8:18">
      <c r="H454" s="1"/>
      <c r="R454" s="1"/>
    </row>
    <row r="455" spans="8:18">
      <c r="H455" s="1"/>
      <c r="R455" s="1"/>
    </row>
    <row r="456" spans="8:18">
      <c r="H456" s="1"/>
      <c r="R456" s="1"/>
    </row>
    <row r="457" spans="8:18">
      <c r="H457" s="1"/>
      <c r="R457" s="1"/>
    </row>
    <row r="458" spans="8:18">
      <c r="H458" s="1"/>
      <c r="R458" s="1"/>
    </row>
    <row r="459" spans="8:18">
      <c r="H459" s="1"/>
      <c r="R459" s="1"/>
    </row>
    <row r="460" spans="8:18">
      <c r="H460" s="1"/>
      <c r="R460" s="1"/>
    </row>
    <row r="461" spans="8:18">
      <c r="H461" s="1"/>
      <c r="R461" s="1"/>
    </row>
    <row r="462" spans="8:18">
      <c r="H462" s="1"/>
      <c r="R462" s="1"/>
    </row>
    <row r="463" spans="8:18">
      <c r="H463" s="1"/>
      <c r="R463" s="1"/>
    </row>
    <row r="464" spans="8:18">
      <c r="H464" s="1"/>
      <c r="R464" s="1"/>
    </row>
    <row r="465" spans="8:18">
      <c r="H465" s="1"/>
      <c r="R465" s="1"/>
    </row>
    <row r="466" spans="8:18">
      <c r="H466" s="1"/>
      <c r="R466" s="1"/>
    </row>
    <row r="467" spans="8:18">
      <c r="H467" s="1"/>
      <c r="R467" s="1"/>
    </row>
    <row r="468" spans="8:18">
      <c r="H468" s="1"/>
      <c r="R468" s="1"/>
    </row>
    <row r="469" spans="8:18">
      <c r="H469" s="1"/>
      <c r="R469" s="1"/>
    </row>
    <row r="470" spans="8:18">
      <c r="H470" s="1"/>
      <c r="R470" s="1"/>
    </row>
    <row r="471" spans="8:18">
      <c r="H471" s="1"/>
      <c r="R471" s="1"/>
    </row>
    <row r="472" spans="8:18">
      <c r="H472" s="1"/>
      <c r="R472" s="1"/>
    </row>
    <row r="473" spans="8:18">
      <c r="H473" s="1"/>
      <c r="R473" s="1"/>
    </row>
    <row r="474" spans="8:18">
      <c r="H474" s="1"/>
      <c r="R474" s="1"/>
    </row>
    <row r="475" spans="8:18">
      <c r="H475" s="1"/>
      <c r="R475" s="1"/>
    </row>
    <row r="476" spans="8:18">
      <c r="H476" s="1"/>
      <c r="R476" s="1"/>
    </row>
    <row r="477" spans="8:18">
      <c r="H477" s="1"/>
      <c r="R477" s="1"/>
    </row>
    <row r="478" spans="8:18">
      <c r="H478" s="1"/>
      <c r="R478" s="1"/>
    </row>
    <row r="479" spans="8:18">
      <c r="H479" s="1"/>
      <c r="R479" s="1"/>
    </row>
    <row r="480" spans="8:18">
      <c r="H480" s="1"/>
      <c r="R480" s="1"/>
    </row>
    <row r="481" spans="8:18">
      <c r="H481" s="1"/>
      <c r="R481" s="1"/>
    </row>
    <row r="482" spans="8:18">
      <c r="H482" s="1"/>
      <c r="R482" s="1"/>
    </row>
    <row r="483" spans="8:18">
      <c r="H483" s="1"/>
      <c r="R483" s="1"/>
    </row>
    <row r="484" spans="8:18">
      <c r="H484" s="1"/>
      <c r="R484" s="1"/>
    </row>
    <row r="485" spans="8:18">
      <c r="H485" s="1"/>
      <c r="R485" s="1"/>
    </row>
    <row r="486" spans="8:18">
      <c r="H486" s="1"/>
      <c r="R486" s="1"/>
    </row>
    <row r="487" spans="8:18">
      <c r="H487" s="1"/>
      <c r="R487" s="1"/>
    </row>
    <row r="488" spans="8:18">
      <c r="H488" s="1"/>
      <c r="R488" s="1"/>
    </row>
    <row r="489" spans="8:18">
      <c r="H489" s="1"/>
      <c r="R489" s="1"/>
    </row>
    <row r="490" spans="8:18">
      <c r="H490" s="1"/>
      <c r="R490" s="1"/>
    </row>
    <row r="491" spans="8:18">
      <c r="H491" s="1"/>
      <c r="R491" s="1"/>
    </row>
    <row r="492" spans="8:18">
      <c r="H492" s="1"/>
      <c r="R492" s="1"/>
    </row>
    <row r="493" spans="8:18">
      <c r="H493" s="1"/>
      <c r="R493" s="1"/>
    </row>
    <row r="494" spans="8:18">
      <c r="H494" s="1"/>
      <c r="R494" s="1"/>
    </row>
    <row r="495" spans="8:18">
      <c r="H495" s="1"/>
      <c r="R495" s="1"/>
    </row>
    <row r="496" spans="8:18">
      <c r="H496" s="1"/>
      <c r="R496" s="1"/>
    </row>
    <row r="497" spans="8:18">
      <c r="H497" s="1"/>
      <c r="R497" s="1"/>
    </row>
    <row r="498" spans="8:18">
      <c r="H498" s="1"/>
      <c r="R498" s="1"/>
    </row>
    <row r="499" spans="8:18">
      <c r="H499" s="1"/>
      <c r="R499" s="1"/>
    </row>
    <row r="500" spans="8:18">
      <c r="H500" s="1"/>
      <c r="R500" s="1"/>
    </row>
    <row r="501" spans="8:18">
      <c r="H501" s="1"/>
      <c r="R501" s="1"/>
    </row>
    <row r="502" spans="8:18">
      <c r="H502" s="1"/>
      <c r="R502" s="1"/>
    </row>
    <row r="503" spans="8:18">
      <c r="H503" s="1"/>
      <c r="R503" s="1"/>
    </row>
    <row r="504" spans="8:18">
      <c r="H504" s="1"/>
      <c r="R504" s="1"/>
    </row>
    <row r="505" spans="8:18">
      <c r="H505" s="1"/>
      <c r="R505" s="1"/>
    </row>
    <row r="506" spans="8:18">
      <c r="H506" s="1"/>
      <c r="R506" s="1"/>
    </row>
    <row r="507" spans="8:18">
      <c r="H507" s="1"/>
      <c r="R507" s="1"/>
    </row>
    <row r="508" spans="8:18">
      <c r="H508" s="1"/>
      <c r="R508" s="1"/>
    </row>
    <row r="509" spans="8:18">
      <c r="H509" s="1"/>
      <c r="R509" s="1"/>
    </row>
    <row r="510" spans="8:18">
      <c r="H510" s="1"/>
      <c r="R510" s="1"/>
    </row>
    <row r="511" spans="8:18">
      <c r="H511" s="1"/>
      <c r="R511" s="1"/>
    </row>
    <row r="512" spans="8:18">
      <c r="H512" s="1"/>
      <c r="R512" s="1"/>
    </row>
    <row r="513" spans="8:18">
      <c r="H513" s="1"/>
      <c r="R513" s="1"/>
    </row>
    <row r="514" spans="8:18">
      <c r="H514" s="1"/>
      <c r="R514" s="1"/>
    </row>
    <row r="515" spans="8:18">
      <c r="H515" s="1"/>
      <c r="R515" s="1"/>
    </row>
    <row r="516" spans="8:18">
      <c r="H516" s="1"/>
      <c r="R516" s="1"/>
    </row>
    <row r="517" spans="8:18">
      <c r="H517" s="1"/>
      <c r="R517" s="1"/>
    </row>
    <row r="518" spans="8:18">
      <c r="H518" s="1"/>
      <c r="R518" s="1"/>
    </row>
    <row r="519" spans="8:18">
      <c r="H519" s="1"/>
      <c r="R519" s="1"/>
    </row>
    <row r="520" spans="8:18">
      <c r="H520" s="1"/>
      <c r="R520" s="1"/>
    </row>
    <row r="521" spans="8:18">
      <c r="H521" s="1"/>
      <c r="R521" s="1"/>
    </row>
    <row r="522" spans="8:18">
      <c r="H522" s="1"/>
      <c r="R522" s="1"/>
    </row>
    <row r="523" spans="8:18">
      <c r="H523" s="1"/>
      <c r="R523" s="1"/>
    </row>
    <row r="524" spans="8:18">
      <c r="H524" s="1"/>
      <c r="R524" s="1"/>
    </row>
    <row r="525" spans="8:18">
      <c r="H525" s="1"/>
      <c r="R525" s="1"/>
    </row>
    <row r="526" spans="8:18">
      <c r="H526" s="1"/>
      <c r="R526" s="1"/>
    </row>
    <row r="527" spans="8:18">
      <c r="H527" s="1"/>
      <c r="R527" s="1"/>
    </row>
    <row r="528" spans="8:18">
      <c r="H528" s="1"/>
      <c r="R528" s="1"/>
    </row>
    <row r="529" spans="8:18">
      <c r="H529" s="1"/>
      <c r="R529" s="1"/>
    </row>
    <row r="530" spans="8:18">
      <c r="H530" s="1"/>
      <c r="R530" s="1"/>
    </row>
    <row r="531" spans="8:18">
      <c r="H531" s="1"/>
      <c r="R531" s="1"/>
    </row>
    <row r="532" spans="8:18">
      <c r="H532" s="1"/>
      <c r="R532" s="1"/>
    </row>
    <row r="533" spans="8:18">
      <c r="H533" s="1"/>
      <c r="R533" s="1"/>
    </row>
    <row r="534" spans="8:18">
      <c r="H534" s="1"/>
      <c r="R534" s="1"/>
    </row>
    <row r="535" spans="8:18">
      <c r="H535" s="1"/>
      <c r="R535" s="1"/>
    </row>
    <row r="536" spans="8:18">
      <c r="H536" s="1"/>
      <c r="R536" s="1"/>
    </row>
    <row r="537" spans="8:18">
      <c r="H537" s="1"/>
      <c r="R537" s="1"/>
    </row>
    <row r="538" spans="8:18">
      <c r="H538" s="1"/>
      <c r="R538" s="1"/>
    </row>
    <row r="539" spans="8:18">
      <c r="H539" s="1"/>
      <c r="R539" s="1"/>
    </row>
    <row r="540" spans="8:18">
      <c r="H540" s="1"/>
      <c r="R540" s="1"/>
    </row>
    <row r="541" spans="8:18">
      <c r="H541" s="1"/>
      <c r="R541" s="1"/>
    </row>
    <row r="542" spans="8:18">
      <c r="H542" s="1"/>
      <c r="R542" s="1"/>
    </row>
    <row r="543" spans="8:18">
      <c r="H543" s="1"/>
      <c r="R543" s="1"/>
    </row>
    <row r="544" spans="8:18">
      <c r="H544" s="1"/>
      <c r="R544" s="1"/>
    </row>
    <row r="545" spans="8:18">
      <c r="H545" s="1"/>
      <c r="R545" s="1"/>
    </row>
    <row r="546" spans="8:18">
      <c r="H546" s="1"/>
      <c r="R546" s="1"/>
    </row>
    <row r="547" spans="8:18">
      <c r="H547" s="1"/>
      <c r="R547" s="1"/>
    </row>
    <row r="548" spans="8:18">
      <c r="H548" s="1"/>
      <c r="R548" s="1"/>
    </row>
    <row r="549" spans="8:18">
      <c r="H549" s="1"/>
      <c r="R549" s="1"/>
    </row>
    <row r="550" spans="8:18">
      <c r="H550" s="1"/>
      <c r="R550" s="1"/>
    </row>
    <row r="551" spans="8:18">
      <c r="H551" s="1"/>
      <c r="R551" s="1"/>
    </row>
    <row r="552" spans="8:18">
      <c r="H552" s="1"/>
      <c r="R552" s="1"/>
    </row>
    <row r="553" spans="8:18">
      <c r="H553" s="1"/>
      <c r="R553" s="1"/>
    </row>
    <row r="554" spans="8:18">
      <c r="H554" s="1"/>
      <c r="R554" s="1"/>
    </row>
    <row r="555" spans="8:18">
      <c r="H555" s="1"/>
      <c r="R555" s="1"/>
    </row>
    <row r="556" spans="8:18">
      <c r="H556" s="1"/>
      <c r="R556" s="1"/>
    </row>
    <row r="557" spans="8:18">
      <c r="H557" s="1"/>
      <c r="R557" s="1"/>
    </row>
    <row r="558" spans="8:18">
      <c r="H558" s="1"/>
      <c r="R558" s="1"/>
    </row>
    <row r="559" spans="8:18">
      <c r="H559" s="1"/>
      <c r="R559" s="1"/>
    </row>
    <row r="560" spans="8:18">
      <c r="H560" s="1"/>
      <c r="R560" s="1"/>
    </row>
    <row r="561" spans="8:18">
      <c r="H561" s="1"/>
      <c r="R561" s="1"/>
    </row>
    <row r="562" spans="8:18">
      <c r="H562" s="1"/>
      <c r="R562" s="1"/>
    </row>
    <row r="563" spans="8:18">
      <c r="H563" s="1"/>
      <c r="R563" s="1"/>
    </row>
    <row r="564" spans="8:18">
      <c r="H564" s="1"/>
      <c r="R564" s="1"/>
    </row>
    <row r="565" spans="8:18">
      <c r="H565" s="1"/>
      <c r="R565" s="1"/>
    </row>
    <row r="566" spans="8:18">
      <c r="H566" s="1"/>
      <c r="R566" s="1"/>
    </row>
    <row r="567" spans="8:18">
      <c r="H567" s="1"/>
      <c r="R567" s="1"/>
    </row>
    <row r="568" spans="8:18">
      <c r="H568" s="1"/>
      <c r="R568" s="1"/>
    </row>
    <row r="569" spans="8:18">
      <c r="H569" s="1"/>
      <c r="R569" s="1"/>
    </row>
    <row r="570" spans="8:18">
      <c r="H570" s="1"/>
      <c r="R570" s="1"/>
    </row>
    <row r="571" spans="8:18">
      <c r="H571" s="1"/>
      <c r="R571" s="1"/>
    </row>
    <row r="572" spans="8:18">
      <c r="H572" s="1"/>
      <c r="R572" s="1"/>
    </row>
    <row r="573" spans="8:18">
      <c r="H573" s="1"/>
      <c r="R573" s="1"/>
    </row>
    <row r="574" spans="8:18">
      <c r="H574" s="1"/>
      <c r="R574" s="1"/>
    </row>
    <row r="575" spans="8:18">
      <c r="H575" s="1"/>
      <c r="R575" s="1"/>
    </row>
    <row r="576" spans="8:18">
      <c r="H576" s="1"/>
      <c r="R576" s="1"/>
    </row>
    <row r="577" spans="8:18">
      <c r="H577" s="1"/>
      <c r="R577" s="1"/>
    </row>
    <row r="578" spans="8:18">
      <c r="H578" s="1"/>
      <c r="R578" s="1"/>
    </row>
    <row r="579" spans="8:18">
      <c r="H579" s="1"/>
      <c r="R579" s="1"/>
    </row>
    <row r="580" spans="8:18">
      <c r="H580" s="1"/>
      <c r="R580" s="1"/>
    </row>
    <row r="581" spans="8:18">
      <c r="H581" s="1"/>
      <c r="R581" s="1"/>
    </row>
    <row r="582" spans="8:18">
      <c r="H582" s="1"/>
      <c r="R582" s="1"/>
    </row>
    <row r="583" spans="8:18">
      <c r="H583" s="1"/>
      <c r="R583" s="1"/>
    </row>
    <row r="584" spans="8:18">
      <c r="H584" s="1"/>
      <c r="R584" s="1"/>
    </row>
    <row r="585" spans="8:18">
      <c r="H585" s="1"/>
      <c r="R585" s="1"/>
    </row>
    <row r="586" spans="8:18">
      <c r="H586" s="1"/>
      <c r="R586" s="1"/>
    </row>
    <row r="587" spans="8:18">
      <c r="H587" s="1"/>
      <c r="R587" s="1"/>
    </row>
    <row r="588" spans="8:18">
      <c r="H588" s="1"/>
      <c r="R588" s="1"/>
    </row>
    <row r="589" spans="8:18">
      <c r="H589" s="1"/>
      <c r="R589" s="1"/>
    </row>
    <row r="590" spans="8:18">
      <c r="H590" s="1"/>
      <c r="R590" s="1"/>
    </row>
    <row r="591" spans="8:18">
      <c r="H591" s="1"/>
      <c r="R591" s="1"/>
    </row>
    <row r="592" spans="8:18">
      <c r="H592" s="1"/>
      <c r="R592" s="1"/>
    </row>
    <row r="593" spans="8:18">
      <c r="H593" s="1"/>
      <c r="R593" s="1"/>
    </row>
    <row r="594" spans="8:18">
      <c r="H594" s="1"/>
      <c r="R594" s="1"/>
    </row>
    <row r="595" spans="8:18">
      <c r="H595" s="1"/>
      <c r="R595" s="1"/>
    </row>
    <row r="596" spans="8:18">
      <c r="H596" s="1"/>
      <c r="R596" s="1"/>
    </row>
    <row r="597" spans="8:18">
      <c r="H597" s="1"/>
    </row>
    <row r="598" spans="8:18">
      <c r="H598" s="1"/>
    </row>
    <row r="599" spans="8:18">
      <c r="H599" s="1"/>
    </row>
    <row r="600" spans="8:18">
      <c r="H600" s="1"/>
    </row>
    <row r="601" spans="8:18">
      <c r="H601" s="1"/>
    </row>
    <row r="602" spans="8:18">
      <c r="H602" s="1"/>
    </row>
    <row r="603" spans="8:18">
      <c r="H603" s="1"/>
    </row>
    <row r="604" spans="8:18">
      <c r="H604" s="1"/>
    </row>
    <row r="605" spans="8:18">
      <c r="H605" s="1"/>
    </row>
    <row r="606" spans="8:18">
      <c r="H606" s="1"/>
    </row>
    <row r="607" spans="8:18">
      <c r="H607" s="1"/>
    </row>
    <row r="608" spans="8:18">
      <c r="H608" s="1"/>
    </row>
    <row r="609" spans="8:8">
      <c r="H609" s="1"/>
    </row>
    <row r="610" spans="8:8">
      <c r="H610" s="1"/>
    </row>
    <row r="611" spans="8:8">
      <c r="H611" s="1"/>
    </row>
    <row r="612" spans="8:8">
      <c r="H612" s="1"/>
    </row>
    <row r="613" spans="8:8">
      <c r="H613" s="1"/>
    </row>
    <row r="614" spans="8:8">
      <c r="H614" s="1"/>
    </row>
    <row r="615" spans="8:8">
      <c r="H615" s="1"/>
    </row>
    <row r="616" spans="8:8">
      <c r="H616" s="1"/>
    </row>
    <row r="617" spans="8:8">
      <c r="H617" s="1"/>
    </row>
    <row r="618" spans="8:8">
      <c r="H618" s="1"/>
    </row>
    <row r="619" spans="8:8">
      <c r="H619" s="1"/>
    </row>
    <row r="620" spans="8:8">
      <c r="H620" s="1"/>
    </row>
    <row r="621" spans="8:8">
      <c r="H621" s="1"/>
    </row>
    <row r="622" spans="8:8">
      <c r="H622" s="1"/>
    </row>
    <row r="623" spans="8:8">
      <c r="H623" s="1"/>
    </row>
    <row r="624" spans="8:8">
      <c r="H624" s="1"/>
    </row>
    <row r="625" spans="8:8">
      <c r="H625" s="1"/>
    </row>
    <row r="626" spans="8:8">
      <c r="H626" s="1"/>
    </row>
    <row r="627" spans="8:8">
      <c r="H627" s="1"/>
    </row>
    <row r="628" spans="8:8">
      <c r="H628" s="1"/>
    </row>
    <row r="629" spans="8:8">
      <c r="H629" s="1"/>
    </row>
    <row r="630" spans="8:8">
      <c r="H630" s="1"/>
    </row>
    <row r="631" spans="8:8">
      <c r="H631" s="1"/>
    </row>
    <row r="632" spans="8:8">
      <c r="H632" s="1"/>
    </row>
    <row r="633" spans="8:8">
      <c r="H633" s="1"/>
    </row>
    <row r="634" spans="8:8">
      <c r="H634" s="1"/>
    </row>
    <row r="635" spans="8:8">
      <c r="H635" s="1"/>
    </row>
    <row r="636" spans="8:8">
      <c r="H636" s="1"/>
    </row>
    <row r="637" spans="8:8">
      <c r="H637" s="1"/>
    </row>
    <row r="638" spans="8:8">
      <c r="H638" s="1"/>
    </row>
    <row r="639" spans="8:8">
      <c r="H639" s="1"/>
    </row>
    <row r="640" spans="8:8">
      <c r="H640" s="1"/>
    </row>
    <row r="641" spans="8:8">
      <c r="H641" s="1"/>
    </row>
    <row r="642" spans="8:8">
      <c r="H642" s="1"/>
    </row>
    <row r="643" spans="8:8">
      <c r="H643" s="1"/>
    </row>
    <row r="644" spans="8:8">
      <c r="H644" s="1"/>
    </row>
    <row r="645" spans="8:8">
      <c r="H645" s="1"/>
    </row>
    <row r="646" spans="8:8">
      <c r="H646" s="1"/>
    </row>
    <row r="647" spans="8:8">
      <c r="H647" s="1"/>
    </row>
    <row r="648" spans="8:8">
      <c r="H648" s="1"/>
    </row>
    <row r="649" spans="8:8">
      <c r="H649" s="1"/>
    </row>
    <row r="650" spans="8:8">
      <c r="H650" s="1"/>
    </row>
    <row r="651" spans="8:8">
      <c r="H651" s="1"/>
    </row>
    <row r="652" spans="8:8">
      <c r="H652" s="1"/>
    </row>
    <row r="653" spans="8:8">
      <c r="H653" s="1"/>
    </row>
    <row r="654" spans="8:8">
      <c r="H654" s="1"/>
    </row>
    <row r="655" spans="8:8">
      <c r="H655" s="1"/>
    </row>
    <row r="656" spans="8:8">
      <c r="H656" s="1"/>
    </row>
    <row r="657" spans="8:8">
      <c r="H657" s="1"/>
    </row>
    <row r="658" spans="8:8">
      <c r="H658" s="1"/>
    </row>
    <row r="659" spans="8:8">
      <c r="H659" s="1"/>
    </row>
    <row r="660" spans="8:8">
      <c r="H660" s="1"/>
    </row>
    <row r="661" spans="8:8">
      <c r="H661" s="1"/>
    </row>
    <row r="662" spans="8:8">
      <c r="H662" s="1"/>
    </row>
    <row r="663" spans="8:8">
      <c r="H663" s="1"/>
    </row>
    <row r="664" spans="8:8">
      <c r="H664" s="1"/>
    </row>
    <row r="665" spans="8:8">
      <c r="H665" s="1"/>
    </row>
    <row r="666" spans="8:8">
      <c r="H666" s="1"/>
    </row>
    <row r="667" spans="8:8">
      <c r="H667" s="1"/>
    </row>
    <row r="668" spans="8:8">
      <c r="H668" s="1"/>
    </row>
    <row r="669" spans="8:8">
      <c r="H669" s="1"/>
    </row>
    <row r="670" spans="8:8">
      <c r="H670" s="1"/>
    </row>
    <row r="671" spans="8:8">
      <c r="H671" s="1"/>
    </row>
    <row r="672" spans="8:8">
      <c r="H672" s="1"/>
    </row>
    <row r="673" spans="8:8">
      <c r="H673" s="1"/>
    </row>
    <row r="674" spans="8:8">
      <c r="H674" s="1"/>
    </row>
    <row r="675" spans="8:8">
      <c r="H675" s="1"/>
    </row>
    <row r="676" spans="8:8">
      <c r="H676" s="1"/>
    </row>
    <row r="677" spans="8:8">
      <c r="H677" s="1"/>
    </row>
    <row r="678" spans="8:8">
      <c r="H678" s="1"/>
    </row>
    <row r="679" spans="8:8">
      <c r="H679" s="1"/>
    </row>
    <row r="680" spans="8:8">
      <c r="H680" s="1"/>
    </row>
    <row r="681" spans="8:8">
      <c r="H681" s="1"/>
    </row>
    <row r="682" spans="8:8">
      <c r="H682" s="1"/>
    </row>
    <row r="683" spans="8:8">
      <c r="H683" s="1"/>
    </row>
    <row r="684" spans="8:8">
      <c r="H684" s="1"/>
    </row>
    <row r="685" spans="8:8">
      <c r="H685" s="1"/>
    </row>
    <row r="686" spans="8:8">
      <c r="H686" s="1"/>
    </row>
    <row r="687" spans="8:8">
      <c r="H687" s="1"/>
    </row>
    <row r="688" spans="8:8">
      <c r="H688" s="1"/>
    </row>
    <row r="689" spans="8:8">
      <c r="H689" s="1"/>
    </row>
    <row r="690" spans="8:8">
      <c r="H690" s="1"/>
    </row>
    <row r="691" spans="8:8">
      <c r="H691" s="1"/>
    </row>
    <row r="692" spans="8:8">
      <c r="H692" s="1"/>
    </row>
    <row r="693" spans="8:8">
      <c r="H693" s="1"/>
    </row>
    <row r="694" spans="8:8">
      <c r="H694" s="1"/>
    </row>
    <row r="695" spans="8:8">
      <c r="H695" s="1"/>
    </row>
    <row r="696" spans="8:8">
      <c r="H696" s="1"/>
    </row>
    <row r="697" spans="8:8">
      <c r="H697" s="1"/>
    </row>
    <row r="698" spans="8:8">
      <c r="H698" s="1"/>
    </row>
    <row r="699" spans="8:8">
      <c r="H699" s="1"/>
    </row>
    <row r="700" spans="8:8">
      <c r="H700" s="1"/>
    </row>
    <row r="701" spans="8:8">
      <c r="H701" s="1"/>
    </row>
    <row r="702" spans="8:8">
      <c r="H702" s="1"/>
    </row>
    <row r="703" spans="8:8">
      <c r="H703" s="1"/>
    </row>
    <row r="704" spans="8:8">
      <c r="H704" s="1"/>
    </row>
    <row r="705" spans="8:8">
      <c r="H705" s="1"/>
    </row>
    <row r="706" spans="8:8">
      <c r="H706" s="1"/>
    </row>
    <row r="707" spans="8:8">
      <c r="H707" s="1"/>
    </row>
    <row r="708" spans="8:8">
      <c r="H708" s="1"/>
    </row>
    <row r="709" spans="8:8">
      <c r="H709" s="1"/>
    </row>
    <row r="710" spans="8:8">
      <c r="H710" s="1"/>
    </row>
    <row r="711" spans="8:8">
      <c r="H711" s="1"/>
    </row>
    <row r="712" spans="8:8">
      <c r="H712" s="1"/>
    </row>
    <row r="713" spans="8:8">
      <c r="H713" s="1"/>
    </row>
    <row r="714" spans="8:8">
      <c r="H714" s="1"/>
    </row>
    <row r="715" spans="8:8">
      <c r="H715" s="1"/>
    </row>
    <row r="716" spans="8:8">
      <c r="H716" s="1"/>
    </row>
    <row r="717" spans="8:8">
      <c r="H717" s="1"/>
    </row>
    <row r="718" spans="8:8">
      <c r="H718" s="1"/>
    </row>
    <row r="719" spans="8:8">
      <c r="H719" s="1"/>
    </row>
    <row r="720" spans="8:8">
      <c r="H720" s="1"/>
    </row>
    <row r="721" spans="8:8">
      <c r="H721" s="1"/>
    </row>
    <row r="722" spans="8:8">
      <c r="H722" s="1"/>
    </row>
    <row r="723" spans="8:8">
      <c r="H723" s="1"/>
    </row>
    <row r="724" spans="8:8">
      <c r="H724" s="1"/>
    </row>
    <row r="725" spans="8:8">
      <c r="H725" s="1"/>
    </row>
    <row r="726" spans="8:8">
      <c r="H726" s="1"/>
    </row>
    <row r="727" spans="8:8">
      <c r="H727" s="1"/>
    </row>
    <row r="728" spans="8:8">
      <c r="H728" s="1"/>
    </row>
    <row r="729" spans="8:8">
      <c r="H729" s="1"/>
    </row>
    <row r="730" spans="8:8">
      <c r="H730" s="1"/>
    </row>
    <row r="731" spans="8:8">
      <c r="H731" s="1"/>
    </row>
    <row r="732" spans="8:8">
      <c r="H732" s="1"/>
    </row>
    <row r="733" spans="8:8">
      <c r="H733" s="1"/>
    </row>
    <row r="734" spans="8:8">
      <c r="H734" s="1"/>
    </row>
    <row r="735" spans="8:8">
      <c r="H735" s="1"/>
    </row>
    <row r="736" spans="8:8">
      <c r="H736" s="1"/>
    </row>
    <row r="737" spans="8:8">
      <c r="H737" s="1"/>
    </row>
    <row r="738" spans="8:8">
      <c r="H738" s="1"/>
    </row>
    <row r="739" spans="8:8">
      <c r="H739" s="1"/>
    </row>
    <row r="740" spans="8:8">
      <c r="H740" s="1"/>
    </row>
    <row r="741" spans="8:8">
      <c r="H741" s="1"/>
    </row>
    <row r="742" spans="8:8">
      <c r="H742" s="1"/>
    </row>
    <row r="743" spans="8:8">
      <c r="H743" s="1"/>
    </row>
    <row r="744" spans="8:8">
      <c r="H744" s="1"/>
    </row>
    <row r="745" spans="8:8">
      <c r="H745" s="1"/>
    </row>
    <row r="746" spans="8:8">
      <c r="H746" s="1"/>
    </row>
    <row r="747" spans="8:8">
      <c r="H747" s="1"/>
    </row>
    <row r="748" spans="8:8">
      <c r="H748" s="1"/>
    </row>
    <row r="749" spans="8:8">
      <c r="H749" s="1"/>
    </row>
    <row r="750" spans="8:8">
      <c r="H750" s="1"/>
    </row>
    <row r="751" spans="8:8">
      <c r="H751" s="1"/>
    </row>
    <row r="752" spans="8:8">
      <c r="H752" s="1"/>
    </row>
    <row r="753" spans="8:8">
      <c r="H753" s="1"/>
    </row>
    <row r="754" spans="8:8">
      <c r="H754" s="1"/>
    </row>
    <row r="755" spans="8:8">
      <c r="H755" s="1"/>
    </row>
    <row r="756" spans="8:8">
      <c r="H756" s="1"/>
    </row>
    <row r="757" spans="8:8">
      <c r="H757" s="1"/>
    </row>
    <row r="758" spans="8:8">
      <c r="H758" s="1"/>
    </row>
    <row r="759" spans="8:8">
      <c r="H759" s="1"/>
    </row>
    <row r="760" spans="8:8">
      <c r="H760" s="1"/>
    </row>
    <row r="761" spans="8:8">
      <c r="H761" s="1"/>
    </row>
    <row r="762" spans="8:8">
      <c r="H762" s="1"/>
    </row>
    <row r="763" spans="8:8">
      <c r="H763" s="1"/>
    </row>
    <row r="764" spans="8:8">
      <c r="H764" s="1"/>
    </row>
    <row r="765" spans="8:8">
      <c r="H765" s="1"/>
    </row>
    <row r="766" spans="8:8">
      <c r="H766" s="1"/>
    </row>
    <row r="767" spans="8:8">
      <c r="H767" s="1"/>
    </row>
    <row r="768" spans="8:8">
      <c r="H768" s="1"/>
    </row>
    <row r="769" spans="8:8">
      <c r="H769" s="1"/>
    </row>
    <row r="770" spans="8:8">
      <c r="H770" s="1"/>
    </row>
    <row r="771" spans="8:8">
      <c r="H771" s="1"/>
    </row>
    <row r="772" spans="8:8">
      <c r="H772" s="1"/>
    </row>
    <row r="773" spans="8:8">
      <c r="H773" s="1"/>
    </row>
    <row r="774" spans="8:8">
      <c r="H774" s="1"/>
    </row>
    <row r="775" spans="8:8">
      <c r="H775" s="1"/>
    </row>
    <row r="776" spans="8:8">
      <c r="H776" s="1"/>
    </row>
    <row r="777" spans="8:8">
      <c r="H777" s="1"/>
    </row>
    <row r="778" spans="8:8">
      <c r="H778" s="1"/>
    </row>
    <row r="779" spans="8:8">
      <c r="H779" s="1"/>
    </row>
    <row r="780" spans="8:8">
      <c r="H780" s="1"/>
    </row>
    <row r="781" spans="8:8">
      <c r="H781" s="1"/>
    </row>
    <row r="782" spans="8:8">
      <c r="H782" s="1"/>
    </row>
    <row r="783" spans="8:8">
      <c r="H783" s="1"/>
    </row>
    <row r="784" spans="8:8">
      <c r="H784" s="1"/>
    </row>
    <row r="785" spans="8:8">
      <c r="H785" s="1"/>
    </row>
    <row r="786" spans="8:8">
      <c r="H786" s="1"/>
    </row>
    <row r="787" spans="8:8">
      <c r="H787" s="1"/>
    </row>
    <row r="788" spans="8:8">
      <c r="H788" s="1"/>
    </row>
    <row r="789" spans="8:8">
      <c r="H789" s="1"/>
    </row>
    <row r="790" spans="8:8">
      <c r="H790" s="1"/>
    </row>
    <row r="791" spans="8:8">
      <c r="H791" s="1"/>
    </row>
    <row r="792" spans="8:8">
      <c r="H792" s="1"/>
    </row>
    <row r="793" spans="8:8">
      <c r="H793" s="1"/>
    </row>
    <row r="794" spans="8:8">
      <c r="H794" s="1"/>
    </row>
    <row r="795" spans="8:8">
      <c r="H795" s="1"/>
    </row>
    <row r="796" spans="8:8">
      <c r="H796" s="1"/>
    </row>
    <row r="797" spans="8:8">
      <c r="H797" s="1"/>
    </row>
    <row r="798" spans="8:8">
      <c r="H798" s="1"/>
    </row>
    <row r="799" spans="8:8">
      <c r="H799" s="1"/>
    </row>
    <row r="800" spans="8:8">
      <c r="H800" s="1"/>
    </row>
    <row r="801" spans="8:8">
      <c r="H801" s="1"/>
    </row>
    <row r="802" spans="8:8">
      <c r="H802" s="1"/>
    </row>
    <row r="803" spans="8:8">
      <c r="H803" s="1"/>
    </row>
    <row r="804" spans="8:8">
      <c r="H804" s="1"/>
    </row>
    <row r="805" spans="8:8">
      <c r="H805" s="1"/>
    </row>
    <row r="806" spans="8:8">
      <c r="H806" s="1"/>
    </row>
    <row r="807" spans="8:8">
      <c r="H807" s="1"/>
    </row>
    <row r="808" spans="8:8">
      <c r="H808" s="1"/>
    </row>
    <row r="809" spans="8:8">
      <c r="H809" s="1"/>
    </row>
    <row r="810" spans="8:8">
      <c r="H810" s="1"/>
    </row>
    <row r="811" spans="8:8">
      <c r="H811" s="1"/>
    </row>
    <row r="812" spans="8:8">
      <c r="H812" s="1"/>
    </row>
    <row r="813" spans="8:8">
      <c r="H813" s="1"/>
    </row>
    <row r="814" spans="8:8">
      <c r="H814" s="1"/>
    </row>
    <row r="815" spans="8:8">
      <c r="H815" s="1"/>
    </row>
    <row r="816" spans="8:8">
      <c r="H816" s="1"/>
    </row>
    <row r="817" spans="8:8">
      <c r="H817" s="1"/>
    </row>
    <row r="818" spans="8:8">
      <c r="H818" s="1"/>
    </row>
    <row r="819" spans="8:8">
      <c r="H819" s="1"/>
    </row>
    <row r="820" spans="8:8">
      <c r="H820" s="1"/>
    </row>
    <row r="821" spans="8:8">
      <c r="H821" s="1"/>
    </row>
    <row r="822" spans="8:8">
      <c r="H822" s="1"/>
    </row>
    <row r="823" spans="8:8">
      <c r="H823" s="1"/>
    </row>
    <row r="824" spans="8:8">
      <c r="H824" s="1"/>
    </row>
    <row r="825" spans="8:8">
      <c r="H825" s="1"/>
    </row>
    <row r="826" spans="8:8">
      <c r="H826" s="1"/>
    </row>
    <row r="827" spans="8:8">
      <c r="H827" s="1"/>
    </row>
    <row r="828" spans="8:8">
      <c r="H828" s="1"/>
    </row>
    <row r="829" spans="8:8">
      <c r="H829" s="1"/>
    </row>
    <row r="830" spans="8:8">
      <c r="H830" s="1"/>
    </row>
    <row r="831" spans="8:8">
      <c r="H831" s="1"/>
    </row>
    <row r="832" spans="8:8">
      <c r="H832" s="1"/>
    </row>
    <row r="833" spans="8:8">
      <c r="H833" s="1"/>
    </row>
    <row r="834" spans="8:8">
      <c r="H834" s="1"/>
    </row>
    <row r="835" spans="8:8">
      <c r="H835" s="1"/>
    </row>
    <row r="836" spans="8:8">
      <c r="H836" s="1"/>
    </row>
    <row r="837" spans="8:8">
      <c r="H837" s="1"/>
    </row>
    <row r="838" spans="8:8">
      <c r="H838" s="1"/>
    </row>
    <row r="839" spans="8:8">
      <c r="H839" s="1"/>
    </row>
    <row r="840" spans="8:8">
      <c r="H840" s="1"/>
    </row>
    <row r="841" spans="8:8">
      <c r="H841" s="1"/>
    </row>
    <row r="842" spans="8:8">
      <c r="H842" s="1"/>
    </row>
    <row r="843" spans="8:8">
      <c r="H843" s="1"/>
    </row>
    <row r="844" spans="8:8">
      <c r="H844" s="1"/>
    </row>
    <row r="845" spans="8:8">
      <c r="H845" s="1"/>
    </row>
    <row r="846" spans="8:8">
      <c r="H846" s="1"/>
    </row>
    <row r="847" spans="8:8">
      <c r="H847" s="1"/>
    </row>
    <row r="848" spans="8:8">
      <c r="H848" s="1"/>
    </row>
    <row r="849" spans="8:8">
      <c r="H849" s="1"/>
    </row>
    <row r="850" spans="8:8">
      <c r="H850" s="1"/>
    </row>
    <row r="851" spans="8:8">
      <c r="H851" s="1"/>
    </row>
    <row r="852" spans="8:8">
      <c r="H852" s="1"/>
    </row>
    <row r="853" spans="8:8">
      <c r="H853" s="1"/>
    </row>
    <row r="854" spans="8:8">
      <c r="H854" s="1"/>
    </row>
    <row r="855" spans="8:8">
      <c r="H855" s="1"/>
    </row>
    <row r="856" spans="8:8">
      <c r="H856" s="1"/>
    </row>
    <row r="857" spans="8:8">
      <c r="H857" s="1"/>
    </row>
    <row r="858" spans="8:8">
      <c r="H858" s="1"/>
    </row>
    <row r="859" spans="8:8">
      <c r="H859" s="1"/>
    </row>
    <row r="860" spans="8:8">
      <c r="H860" s="1"/>
    </row>
    <row r="861" spans="8:8">
      <c r="H861" s="1"/>
    </row>
    <row r="862" spans="8:8">
      <c r="H862" s="1"/>
    </row>
    <row r="863" spans="8:8">
      <c r="H863" s="1"/>
    </row>
    <row r="864" spans="8:8">
      <c r="H864" s="1"/>
    </row>
    <row r="865" spans="8:8">
      <c r="H865" s="1"/>
    </row>
    <row r="866" spans="8:8">
      <c r="H866" s="1"/>
    </row>
    <row r="867" spans="8:8">
      <c r="H867" s="1"/>
    </row>
    <row r="868" spans="8:8">
      <c r="H868" s="1"/>
    </row>
    <row r="869" spans="8:8">
      <c r="H869" s="1"/>
    </row>
    <row r="870" spans="8:8">
      <c r="H870" s="1"/>
    </row>
    <row r="871" spans="8:8">
      <c r="H871" s="1"/>
    </row>
    <row r="872" spans="8:8">
      <c r="H872" s="1"/>
    </row>
    <row r="873" spans="8:8">
      <c r="H873" s="1"/>
    </row>
    <row r="874" spans="8:8">
      <c r="H874" s="1"/>
    </row>
    <row r="875" spans="8:8">
      <c r="H875" s="1"/>
    </row>
    <row r="876" spans="8:8">
      <c r="H876" s="1"/>
    </row>
    <row r="877" spans="8:8">
      <c r="H877" s="1"/>
    </row>
    <row r="878" spans="8:8">
      <c r="H878" s="1"/>
    </row>
    <row r="879" spans="8:8">
      <c r="H879" s="1"/>
    </row>
    <row r="880" spans="8:8">
      <c r="H880" s="1"/>
    </row>
    <row r="881" spans="8:8">
      <c r="H881" s="1"/>
    </row>
    <row r="882" spans="8:8">
      <c r="H882" s="1"/>
    </row>
    <row r="883" spans="8:8">
      <c r="H883" s="1"/>
    </row>
    <row r="884" spans="8:8">
      <c r="H884" s="1"/>
    </row>
    <row r="885" spans="8:8">
      <c r="H885" s="1"/>
    </row>
    <row r="886" spans="8:8">
      <c r="H886" s="1"/>
    </row>
    <row r="887" spans="8:8">
      <c r="H887" s="1"/>
    </row>
    <row r="888" spans="8:8">
      <c r="H888" s="1"/>
    </row>
    <row r="889" spans="8:8">
      <c r="H889" s="1"/>
    </row>
    <row r="890" spans="8:8">
      <c r="H890" s="1"/>
    </row>
    <row r="891" spans="8:8">
      <c r="H891" s="1"/>
    </row>
    <row r="892" spans="8:8">
      <c r="H892" s="1"/>
    </row>
    <row r="893" spans="8:8">
      <c r="H893" s="1"/>
    </row>
    <row r="894" spans="8:8">
      <c r="H894" s="1"/>
    </row>
    <row r="895" spans="8:8">
      <c r="H895" s="1"/>
    </row>
    <row r="896" spans="8:8">
      <c r="H896" s="1"/>
    </row>
    <row r="897" spans="8:8">
      <c r="H897" s="1"/>
    </row>
    <row r="898" spans="8:8">
      <c r="H898" s="1"/>
    </row>
    <row r="899" spans="8:8">
      <c r="H899" s="1"/>
    </row>
    <row r="900" spans="8:8">
      <c r="H900" s="1"/>
    </row>
    <row r="901" spans="8:8">
      <c r="H901" s="1"/>
    </row>
    <row r="902" spans="8:8">
      <c r="H902" s="1"/>
    </row>
    <row r="903" spans="8:8">
      <c r="H903" s="1"/>
    </row>
    <row r="904" spans="8:8">
      <c r="H904" s="1"/>
    </row>
    <row r="905" spans="8:8">
      <c r="H905" s="1"/>
    </row>
    <row r="906" spans="8:8">
      <c r="H906" s="1"/>
    </row>
    <row r="907" spans="8:8">
      <c r="H907" s="1"/>
    </row>
    <row r="908" spans="8:8">
      <c r="H908" s="1"/>
    </row>
    <row r="909" spans="8:8">
      <c r="H909" s="1"/>
    </row>
    <row r="910" spans="8:8">
      <c r="H910" s="1"/>
    </row>
    <row r="911" spans="8:8">
      <c r="H911" s="1"/>
    </row>
    <row r="912" spans="8:8">
      <c r="H912" s="1"/>
    </row>
    <row r="913" spans="8:8">
      <c r="H913" s="1"/>
    </row>
    <row r="914" spans="8:8">
      <c r="H914" s="1"/>
    </row>
    <row r="915" spans="8:8">
      <c r="H915" s="1"/>
    </row>
    <row r="916" spans="8:8">
      <c r="H916" s="1"/>
    </row>
    <row r="917" spans="8:8">
      <c r="H917" s="1"/>
    </row>
    <row r="918" spans="8:8">
      <c r="H918" s="1"/>
    </row>
    <row r="919" spans="8:8">
      <c r="H919" s="1"/>
    </row>
    <row r="920" spans="8:8">
      <c r="H920" s="1"/>
    </row>
    <row r="921" spans="8:8">
      <c r="H921" s="1"/>
    </row>
    <row r="922" spans="8:8">
      <c r="H922" s="1"/>
    </row>
    <row r="923" spans="8:8">
      <c r="H923" s="1"/>
    </row>
    <row r="924" spans="8:8">
      <c r="H924" s="1"/>
    </row>
    <row r="925" spans="8:8">
      <c r="H925" s="1"/>
    </row>
    <row r="926" spans="8:8">
      <c r="H926" s="1"/>
    </row>
    <row r="927" spans="8:8">
      <c r="H927" s="1"/>
    </row>
    <row r="928" spans="8:8">
      <c r="H928" s="1"/>
    </row>
    <row r="929" spans="8:8">
      <c r="H929" s="1"/>
    </row>
    <row r="930" spans="8:8">
      <c r="H930" s="1"/>
    </row>
    <row r="931" spans="8:8">
      <c r="H931" s="1"/>
    </row>
    <row r="932" spans="8:8">
      <c r="H932" s="1"/>
    </row>
    <row r="933" spans="8:8">
      <c r="H933" s="1"/>
    </row>
    <row r="934" spans="8:8">
      <c r="H934" s="1"/>
    </row>
    <row r="935" spans="8:8">
      <c r="H935" s="1"/>
    </row>
  </sheetData>
  <sortState xmlns:xlrd2="http://schemas.microsoft.com/office/spreadsheetml/2017/richdata2" ref="K2:R594">
    <sortCondition ref="M2:M59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7"/>
  <sheetViews>
    <sheetView workbookViewId="0">
      <selection activeCell="J8" sqref="J8"/>
    </sheetView>
  </sheetViews>
  <sheetFormatPr defaultRowHeight="15"/>
  <cols>
    <col min="1" max="1" width="27.42578125" customWidth="1"/>
    <col min="2" max="2" width="23.140625" customWidth="1"/>
    <col min="3" max="3" width="8.28515625" customWidth="1"/>
    <col min="4" max="4" width="25.7109375" customWidth="1"/>
    <col min="5" max="5" width="11.28515625" customWidth="1"/>
    <col min="6" max="6" width="11.85546875" style="2" customWidth="1"/>
    <col min="7" max="7" width="11.85546875" customWidth="1"/>
    <col min="8" max="8" width="10.85546875" bestFit="1" customWidth="1"/>
    <col min="9" max="9" width="11.5703125" style="2" bestFit="1" customWidth="1"/>
    <col min="10" max="10" width="12.5703125" bestFit="1" customWidth="1"/>
    <col min="12" max="12" width="14.5703125" bestFit="1" customWidth="1"/>
    <col min="13" max="13" width="17.85546875" bestFit="1" customWidth="1"/>
  </cols>
  <sheetData>
    <row r="1" spans="1:14">
      <c r="A1" t="s">
        <v>16</v>
      </c>
      <c r="B1" t="s">
        <v>17</v>
      </c>
      <c r="C1" t="s">
        <v>11</v>
      </c>
      <c r="D1" t="s">
        <v>18</v>
      </c>
      <c r="E1" t="s">
        <v>19</v>
      </c>
      <c r="F1" t="s">
        <v>20</v>
      </c>
      <c r="G1" s="12" t="s">
        <v>24</v>
      </c>
      <c r="H1" t="s">
        <v>4</v>
      </c>
      <c r="I1" s="2" t="s">
        <v>6</v>
      </c>
      <c r="J1" t="s">
        <v>5</v>
      </c>
      <c r="K1" s="12" t="s">
        <v>13</v>
      </c>
      <c r="L1" s="12" t="s">
        <v>14</v>
      </c>
      <c r="M1" s="12" t="s">
        <v>25</v>
      </c>
    </row>
    <row r="2" spans="1:14" ht="16.5" thickBot="1">
      <c r="A2" s="64" t="s">
        <v>772</v>
      </c>
      <c r="B2" s="66" t="s">
        <v>773</v>
      </c>
      <c r="C2" s="65" t="s">
        <v>774</v>
      </c>
      <c r="D2" s="65" t="s">
        <v>775</v>
      </c>
      <c r="E2" s="67">
        <v>44104</v>
      </c>
      <c r="F2" s="68">
        <v>5000</v>
      </c>
      <c r="G2" s="63" t="s">
        <v>2</v>
      </c>
      <c r="H2">
        <v>1150000</v>
      </c>
      <c r="I2" s="2">
        <v>2180000</v>
      </c>
      <c r="K2" s="7">
        <f t="shared" ref="K2:K3" si="0">(+H2/(H2+I2))*100</f>
        <v>34.534534534534536</v>
      </c>
      <c r="L2" s="7">
        <f t="shared" ref="L2:L3" si="1">(+I2/(H2+I2))*100</f>
        <v>65.465465465465471</v>
      </c>
    </row>
    <row r="3" spans="1:14" ht="16.5" thickBot="1">
      <c r="A3" s="64" t="s">
        <v>772</v>
      </c>
      <c r="B3" s="66" t="s">
        <v>773</v>
      </c>
      <c r="C3" s="65" t="s">
        <v>535</v>
      </c>
      <c r="D3" s="65" t="s">
        <v>776</v>
      </c>
      <c r="E3" s="67">
        <v>43614</v>
      </c>
      <c r="F3" s="68">
        <v>5000</v>
      </c>
      <c r="G3" s="63" t="s">
        <v>2</v>
      </c>
      <c r="H3">
        <v>1150000</v>
      </c>
      <c r="I3" s="2">
        <v>2180000</v>
      </c>
      <c r="K3" s="7">
        <f t="shared" si="0"/>
        <v>34.534534534534536</v>
      </c>
      <c r="L3" s="7">
        <f t="shared" si="1"/>
        <v>65.465465465465471</v>
      </c>
    </row>
    <row r="4" spans="1:14" ht="15.75">
      <c r="D4" s="2"/>
      <c r="E4" s="1"/>
      <c r="F4" s="14">
        <f>SUM(F2:F3)</f>
        <v>10000</v>
      </c>
      <c r="K4" s="7"/>
      <c r="L4" s="7"/>
    </row>
    <row r="5" spans="1:14" ht="15.75">
      <c r="D5" s="2"/>
      <c r="E5" s="1"/>
      <c r="H5" s="9"/>
      <c r="I5" s="11"/>
      <c r="K5" s="7"/>
      <c r="L5" s="7"/>
    </row>
    <row r="6" spans="1:14" ht="15.75">
      <c r="D6" s="2"/>
      <c r="E6" s="1"/>
      <c r="K6" s="7"/>
      <c r="L6" s="7"/>
    </row>
    <row r="7" spans="1:14" ht="15.75">
      <c r="D7" s="2"/>
      <c r="E7" s="1"/>
      <c r="K7" s="7"/>
      <c r="L7" s="7"/>
    </row>
    <row r="8" spans="1:14" ht="15.75">
      <c r="D8" s="2"/>
      <c r="E8" s="1"/>
      <c r="K8" s="7"/>
      <c r="L8" s="7"/>
    </row>
    <row r="9" spans="1:14" ht="15.75">
      <c r="D9" s="2"/>
      <c r="E9" s="1"/>
      <c r="K9" s="7"/>
      <c r="L9" s="7"/>
    </row>
    <row r="10" spans="1:14" ht="15.75">
      <c r="E10" s="1"/>
      <c r="K10" s="7"/>
      <c r="L10" s="7"/>
    </row>
    <row r="11" spans="1:14" ht="15.75">
      <c r="E11" s="1"/>
      <c r="K11" s="7"/>
      <c r="L11" s="7"/>
      <c r="M11" s="9"/>
      <c r="N11" s="9"/>
    </row>
    <row r="12" spans="1:14" ht="15.75">
      <c r="D12" s="2"/>
      <c r="E12" s="1"/>
      <c r="K12" s="7"/>
      <c r="L12" s="7"/>
    </row>
    <row r="13" spans="1:14" ht="15.75">
      <c r="D13" s="2"/>
      <c r="E13" s="1"/>
      <c r="H13" s="13"/>
      <c r="I13" s="10"/>
      <c r="K13" s="7"/>
      <c r="L13" s="7"/>
    </row>
    <row r="14" spans="1:14" ht="15.75">
      <c r="D14" s="2"/>
      <c r="E14" s="1"/>
      <c r="K14" s="7"/>
      <c r="L14" s="7"/>
      <c r="N14" s="9"/>
    </row>
    <row r="15" spans="1:14" ht="15.75">
      <c r="E15" s="1"/>
      <c r="K15" s="7"/>
      <c r="L15" s="7"/>
    </row>
    <row r="16" spans="1:14" ht="15.75">
      <c r="E16" s="1"/>
      <c r="K16" s="7"/>
      <c r="L16" s="7"/>
    </row>
    <row r="17" spans="4:14" ht="15.75">
      <c r="D17" s="2"/>
      <c r="E17" s="1"/>
      <c r="H17" s="2"/>
      <c r="K17" s="7"/>
      <c r="L17" s="7"/>
      <c r="M17" s="8"/>
      <c r="N17" s="8"/>
    </row>
    <row r="18" spans="4:14">
      <c r="M18" s="8"/>
    </row>
    <row r="19" spans="4:14">
      <c r="M19" s="8"/>
    </row>
    <row r="20" spans="4:14">
      <c r="J20" s="6"/>
      <c r="M20" s="8"/>
    </row>
    <row r="22" spans="4:14">
      <c r="E22" s="2" t="s">
        <v>31</v>
      </c>
      <c r="F22" s="1"/>
      <c r="G22" s="14"/>
      <c r="H22" s="14"/>
    </row>
    <row r="23" spans="4:14">
      <c r="E23" s="1" t="s">
        <v>12</v>
      </c>
      <c r="F23" s="14"/>
      <c r="G23" s="14"/>
      <c r="H23" s="14"/>
    </row>
    <row r="24" spans="4:14">
      <c r="E24" s="1" t="s">
        <v>32</v>
      </c>
      <c r="F24" s="14"/>
      <c r="G24" s="14"/>
      <c r="H24" s="14"/>
    </row>
    <row r="25" spans="4:14">
      <c r="E25" s="1"/>
      <c r="F25" s="14"/>
      <c r="G25" s="14"/>
      <c r="H25" s="14"/>
    </row>
    <row r="26" spans="4:14">
      <c r="E26" s="1"/>
      <c r="F26" s="14"/>
      <c r="G26" s="14"/>
      <c r="H26" s="14"/>
    </row>
    <row r="27" spans="4:14">
      <c r="E27" s="1"/>
      <c r="F27" s="14"/>
      <c r="G27" s="14"/>
      <c r="H27" s="14"/>
    </row>
    <row r="28" spans="4:14">
      <c r="E28" s="1"/>
      <c r="F28" s="14"/>
      <c r="G28" s="14"/>
      <c r="H28" s="14"/>
    </row>
    <row r="29" spans="4:14">
      <c r="E29" s="1"/>
      <c r="F29" s="14"/>
      <c r="G29" s="14"/>
      <c r="H29" s="14"/>
    </row>
    <row r="30" spans="4:14">
      <c r="E30" s="1"/>
      <c r="F30" s="14"/>
      <c r="G30" s="14"/>
      <c r="H30" s="14"/>
    </row>
    <row r="31" spans="4:14">
      <c r="E31" s="1"/>
      <c r="F31" s="14"/>
      <c r="G31" s="14"/>
      <c r="H31" s="14"/>
    </row>
    <row r="32" spans="4:14">
      <c r="E32" s="1"/>
      <c r="F32" s="14"/>
      <c r="G32" s="14"/>
      <c r="H32" s="14"/>
    </row>
    <row r="33" spans="3:8">
      <c r="E33" s="1"/>
      <c r="F33" s="14"/>
      <c r="G33" s="14"/>
      <c r="H33" s="14"/>
    </row>
    <row r="34" spans="3:8">
      <c r="E34" s="1"/>
      <c r="F34" s="14"/>
      <c r="G34" s="14"/>
      <c r="H34" s="14"/>
    </row>
    <row r="35" spans="3:8">
      <c r="E35" s="1"/>
      <c r="F35" s="14"/>
      <c r="G35" s="14"/>
      <c r="H35" s="14"/>
    </row>
    <row r="36" spans="3:8">
      <c r="E36" s="1"/>
      <c r="F36" s="14"/>
    </row>
    <row r="37" spans="3:8">
      <c r="C37">
        <v>100</v>
      </c>
    </row>
  </sheetData>
  <sortState xmlns:xlrd2="http://schemas.microsoft.com/office/spreadsheetml/2017/richdata2" ref="A1:G14">
    <sortCondition ref="G1:G14"/>
  </sortState>
  <hyperlinks>
    <hyperlink ref="B2" r:id="rId1" tooltip="CVS HEALTH PAC" display="https://www.fec.gov/data/committee/C00384818/" xr:uid="{4168DA70-28E9-427E-B944-AE322FF2D6D9}"/>
    <hyperlink ref="B3" r:id="rId2" tooltip="CVS HEALTH PAC" display="https://www.fec.gov/data/committee/C00384818/" xr:uid="{56252BD1-D4C8-4B3B-A9F8-D9B66A0C2EB4}"/>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8"/>
  <sheetViews>
    <sheetView workbookViewId="0">
      <selection activeCell="I8" sqref="I8"/>
    </sheetView>
  </sheetViews>
  <sheetFormatPr defaultRowHeight="15"/>
  <cols>
    <col min="1" max="1" width="29.85546875" customWidth="1"/>
    <col min="2" max="2" width="19" customWidth="1"/>
    <col min="4" max="4" width="25.5703125" customWidth="1"/>
    <col min="5" max="5" width="17.42578125" customWidth="1"/>
    <col min="6" max="6" width="12.7109375" customWidth="1"/>
    <col min="7" max="7" width="18.42578125" customWidth="1"/>
  </cols>
  <sheetData>
    <row r="1" spans="1:13">
      <c r="A1" t="s">
        <v>16</v>
      </c>
      <c r="B1" t="s">
        <v>17</v>
      </c>
      <c r="C1" t="s">
        <v>11</v>
      </c>
      <c r="D1" t="s">
        <v>18</v>
      </c>
      <c r="E1" t="s">
        <v>19</v>
      </c>
      <c r="F1" t="s">
        <v>20</v>
      </c>
      <c r="G1" s="12" t="s">
        <v>24</v>
      </c>
      <c r="H1" t="s">
        <v>4</v>
      </c>
      <c r="I1" s="2" t="s">
        <v>6</v>
      </c>
      <c r="J1" t="s">
        <v>5</v>
      </c>
      <c r="K1" s="12" t="s">
        <v>13</v>
      </c>
      <c r="L1" s="12" t="s">
        <v>14</v>
      </c>
      <c r="M1" s="12" t="s">
        <v>25</v>
      </c>
    </row>
    <row r="2" spans="1:13" ht="16.5" thickBot="1">
      <c r="A2" s="64" t="s">
        <v>778</v>
      </c>
      <c r="B2" s="66" t="s">
        <v>773</v>
      </c>
      <c r="C2" s="65" t="s">
        <v>774</v>
      </c>
      <c r="D2" s="65" t="s">
        <v>775</v>
      </c>
      <c r="E2" s="67">
        <v>44104</v>
      </c>
      <c r="F2" s="68">
        <v>5000</v>
      </c>
      <c r="G2" s="63" t="s">
        <v>2</v>
      </c>
      <c r="H2">
        <v>1150000</v>
      </c>
      <c r="I2" s="2">
        <v>2180000</v>
      </c>
      <c r="K2" s="7">
        <f t="shared" ref="K2:K3" si="0">(+H2/(H2+I2))*100</f>
        <v>34.534534534534536</v>
      </c>
      <c r="L2" s="7">
        <f t="shared" ref="L2:L3" si="1">(+I2/(H2+I2))*100</f>
        <v>65.465465465465471</v>
      </c>
    </row>
    <row r="3" spans="1:13" ht="16.5" thickBot="1">
      <c r="A3" s="64" t="s">
        <v>778</v>
      </c>
      <c r="B3" s="66" t="s">
        <v>773</v>
      </c>
      <c r="C3" s="65" t="s">
        <v>535</v>
      </c>
      <c r="D3" s="65" t="s">
        <v>776</v>
      </c>
      <c r="E3" s="67">
        <v>43614</v>
      </c>
      <c r="F3" s="68">
        <v>5000</v>
      </c>
      <c r="G3" s="63" t="s">
        <v>2</v>
      </c>
      <c r="H3">
        <v>1150000</v>
      </c>
      <c r="I3" s="2">
        <v>2180000</v>
      </c>
      <c r="K3" s="7">
        <f t="shared" si="0"/>
        <v>34.534534534534536</v>
      </c>
      <c r="L3" s="7">
        <f t="shared" si="1"/>
        <v>65.465465465465471</v>
      </c>
    </row>
    <row r="4" spans="1:13" ht="15.75">
      <c r="E4" s="1"/>
      <c r="F4" s="14">
        <f>SUM(F2:F3)</f>
        <v>10000</v>
      </c>
      <c r="K4" s="7"/>
      <c r="L4" s="7"/>
    </row>
    <row r="5" spans="1:13" ht="15.75">
      <c r="E5" s="1"/>
      <c r="F5" s="14"/>
      <c r="K5" s="7"/>
      <c r="L5" s="7"/>
    </row>
    <row r="6" spans="1:13" ht="15.75">
      <c r="E6" s="1"/>
      <c r="F6" s="14"/>
      <c r="K6" s="7"/>
      <c r="L6" s="7"/>
    </row>
    <row r="7" spans="1:13" ht="15.75">
      <c r="E7" s="1"/>
      <c r="F7" s="14"/>
      <c r="K7" s="7"/>
      <c r="L7" s="7"/>
    </row>
    <row r="8" spans="1:13">
      <c r="E8" s="1"/>
      <c r="F8" s="14"/>
    </row>
    <row r="9" spans="1:13">
      <c r="E9" s="1"/>
      <c r="F9" s="14"/>
    </row>
    <row r="10" spans="1:13" ht="15.75">
      <c r="E10" s="1"/>
      <c r="F10" s="14"/>
      <c r="K10" s="7"/>
      <c r="L10" s="7"/>
    </row>
    <row r="11" spans="1:13" ht="15.75">
      <c r="E11" s="1"/>
      <c r="F11" s="14"/>
      <c r="K11" s="7"/>
      <c r="L11" s="7"/>
    </row>
    <row r="12" spans="1:13" ht="15.75">
      <c r="E12" s="1"/>
      <c r="F12" s="14"/>
      <c r="K12" s="7"/>
      <c r="L12" s="7"/>
    </row>
    <row r="13" spans="1:13" ht="15.75">
      <c r="D13" t="s">
        <v>803</v>
      </c>
      <c r="E13" s="1"/>
      <c r="F13" s="14"/>
      <c r="K13" s="7"/>
      <c r="L13" s="7"/>
    </row>
    <row r="14" spans="1:13" ht="15.75">
      <c r="E14" s="1"/>
      <c r="F14" s="14"/>
      <c r="K14" s="7"/>
      <c r="L14" s="7"/>
    </row>
    <row r="15" spans="1:13" ht="15.75">
      <c r="E15" s="1"/>
      <c r="F15" s="14"/>
      <c r="K15" s="7"/>
      <c r="L15" s="7"/>
    </row>
    <row r="16" spans="1:13" ht="15.75">
      <c r="E16" s="1"/>
      <c r="F16" s="14"/>
      <c r="K16" s="7"/>
      <c r="L16" s="7"/>
    </row>
    <row r="17" spans="1:12" ht="15.75">
      <c r="E17" s="1"/>
      <c r="F17" s="14"/>
      <c r="K17" s="7"/>
      <c r="L17" s="7"/>
    </row>
    <row r="18" spans="1:12" ht="15.75">
      <c r="E18" s="1"/>
      <c r="F18" s="14"/>
      <c r="K18" s="7"/>
      <c r="L18" s="7"/>
    </row>
    <row r="19" spans="1:12" ht="15.75">
      <c r="E19" s="1"/>
      <c r="F19" s="14"/>
      <c r="K19" s="7"/>
      <c r="L19" s="7"/>
    </row>
    <row r="20" spans="1:12">
      <c r="E20" s="1"/>
      <c r="F20" s="14"/>
    </row>
    <row r="22" spans="1:12">
      <c r="C22" t="s">
        <v>31</v>
      </c>
    </row>
    <row r="23" spans="1:12">
      <c r="A23" s="2" t="s">
        <v>33</v>
      </c>
      <c r="C23" s="19"/>
    </row>
    <row r="24" spans="1:12">
      <c r="A24" s="25" t="s">
        <v>37</v>
      </c>
    </row>
    <row r="25" spans="1:12">
      <c r="A25" s="83" t="s">
        <v>38</v>
      </c>
      <c r="B25" s="83" t="s">
        <v>39</v>
      </c>
      <c r="C25" s="27" t="s">
        <v>40</v>
      </c>
      <c r="D25" s="83" t="s">
        <v>41</v>
      </c>
      <c r="E25" s="26" t="s">
        <v>42</v>
      </c>
      <c r="F25" s="83" t="s">
        <v>44</v>
      </c>
    </row>
    <row r="26" spans="1:12">
      <c r="A26" s="83"/>
      <c r="B26" s="83"/>
      <c r="C26" s="27" t="s">
        <v>20</v>
      </c>
      <c r="D26" s="83"/>
      <c r="E26" s="26" t="s">
        <v>43</v>
      </c>
      <c r="F26" s="83"/>
    </row>
    <row r="27" spans="1:12" ht="129.6" customHeight="1">
      <c r="A27" s="28" t="s">
        <v>21</v>
      </c>
      <c r="B27" s="84" t="s">
        <v>46</v>
      </c>
      <c r="C27" s="85">
        <v>2500</v>
      </c>
      <c r="D27" s="86">
        <v>41949</v>
      </c>
      <c r="E27" s="84" t="s">
        <v>47</v>
      </c>
      <c r="F27" s="87" t="s">
        <v>48</v>
      </c>
    </row>
    <row r="28" spans="1:12">
      <c r="A28" s="29" t="s">
        <v>45</v>
      </c>
      <c r="B28" s="84"/>
      <c r="C28" s="85"/>
      <c r="D28" s="86"/>
      <c r="E28" s="84"/>
      <c r="F28" s="87"/>
    </row>
    <row r="29" spans="1:12">
      <c r="A29" s="29">
        <v>10112</v>
      </c>
      <c r="B29" s="84"/>
      <c r="C29" s="85"/>
      <c r="D29" s="86"/>
      <c r="E29" s="84"/>
      <c r="F29" s="87"/>
    </row>
    <row r="30" spans="1:12" ht="100.9" customHeight="1">
      <c r="A30" s="30" t="s">
        <v>21</v>
      </c>
      <c r="B30" s="88" t="s">
        <v>50</v>
      </c>
      <c r="C30" s="89">
        <v>208</v>
      </c>
      <c r="D30" s="90">
        <v>41530</v>
      </c>
      <c r="E30" s="88" t="s">
        <v>47</v>
      </c>
      <c r="F30" s="91" t="s">
        <v>51</v>
      </c>
    </row>
    <row r="31" spans="1:12">
      <c r="A31" s="31" t="s">
        <v>49</v>
      </c>
      <c r="B31" s="88"/>
      <c r="C31" s="89"/>
      <c r="D31" s="90"/>
      <c r="E31" s="88"/>
      <c r="F31" s="91"/>
    </row>
    <row r="32" spans="1:12">
      <c r="A32" s="31">
        <v>90045</v>
      </c>
      <c r="B32" s="88"/>
      <c r="C32" s="89"/>
      <c r="D32" s="90"/>
      <c r="E32" s="88"/>
      <c r="F32" s="91"/>
    </row>
    <row r="33" spans="1:6" ht="100.9" customHeight="1">
      <c r="A33" s="28" t="s">
        <v>21</v>
      </c>
      <c r="B33" s="84" t="s">
        <v>50</v>
      </c>
      <c r="C33" s="85">
        <v>208</v>
      </c>
      <c r="D33" s="86">
        <v>41516</v>
      </c>
      <c r="E33" s="84" t="s">
        <v>47</v>
      </c>
      <c r="F33" s="87" t="s">
        <v>51</v>
      </c>
    </row>
    <row r="34" spans="1:6">
      <c r="A34" s="29" t="s">
        <v>49</v>
      </c>
      <c r="B34" s="84"/>
      <c r="C34" s="85"/>
      <c r="D34" s="86"/>
      <c r="E34" s="84"/>
      <c r="F34" s="87"/>
    </row>
    <row r="35" spans="1:6">
      <c r="A35" s="29">
        <v>90045</v>
      </c>
      <c r="B35" s="84"/>
      <c r="C35" s="85"/>
      <c r="D35" s="86"/>
      <c r="E35" s="84"/>
      <c r="F35" s="87"/>
    </row>
    <row r="36" spans="1:6" ht="100.9" customHeight="1">
      <c r="A36" s="30" t="s">
        <v>21</v>
      </c>
      <c r="B36" s="88" t="s">
        <v>50</v>
      </c>
      <c r="C36" s="89">
        <v>208</v>
      </c>
      <c r="D36" s="90">
        <v>41501</v>
      </c>
      <c r="E36" s="88" t="s">
        <v>47</v>
      </c>
      <c r="F36" s="91" t="s">
        <v>51</v>
      </c>
    </row>
    <row r="37" spans="1:6">
      <c r="A37" s="31" t="s">
        <v>49</v>
      </c>
      <c r="B37" s="88"/>
      <c r="C37" s="89"/>
      <c r="D37" s="90"/>
      <c r="E37" s="88"/>
      <c r="F37" s="91"/>
    </row>
    <row r="38" spans="1:6">
      <c r="A38" s="31">
        <v>90045</v>
      </c>
      <c r="B38" s="88"/>
      <c r="C38" s="89"/>
      <c r="D38" s="90"/>
      <c r="E38" s="88"/>
      <c r="F38" s="91"/>
    </row>
    <row r="39" spans="1:6" ht="100.9" customHeight="1">
      <c r="A39" s="28" t="s">
        <v>21</v>
      </c>
      <c r="B39" s="84" t="s">
        <v>50</v>
      </c>
      <c r="C39" s="85">
        <v>208</v>
      </c>
      <c r="D39" s="86">
        <v>41486</v>
      </c>
      <c r="E39" s="84" t="s">
        <v>47</v>
      </c>
      <c r="F39" s="87" t="s">
        <v>51</v>
      </c>
    </row>
    <row r="40" spans="1:6">
      <c r="A40" s="29" t="s">
        <v>49</v>
      </c>
      <c r="B40" s="84"/>
      <c r="C40" s="85"/>
      <c r="D40" s="86"/>
      <c r="E40" s="84"/>
      <c r="F40" s="87"/>
    </row>
    <row r="41" spans="1:6">
      <c r="A41" s="29">
        <v>90045</v>
      </c>
      <c r="B41" s="84"/>
      <c r="C41" s="85"/>
      <c r="D41" s="86"/>
      <c r="E41" s="84"/>
      <c r="F41" s="87"/>
    </row>
    <row r="42" spans="1:6" ht="100.9" customHeight="1">
      <c r="A42" s="30" t="s">
        <v>21</v>
      </c>
      <c r="B42" s="88" t="s">
        <v>50</v>
      </c>
      <c r="C42" s="89">
        <v>208</v>
      </c>
      <c r="D42" s="90">
        <v>41470</v>
      </c>
      <c r="E42" s="88" t="s">
        <v>47</v>
      </c>
      <c r="F42" s="91" t="s">
        <v>51</v>
      </c>
    </row>
    <row r="43" spans="1:6">
      <c r="A43" s="31" t="s">
        <v>49</v>
      </c>
      <c r="B43" s="88"/>
      <c r="C43" s="89"/>
      <c r="D43" s="90"/>
      <c r="E43" s="88"/>
      <c r="F43" s="91"/>
    </row>
    <row r="44" spans="1:6">
      <c r="A44" s="31">
        <v>90045</v>
      </c>
      <c r="B44" s="88"/>
      <c r="C44" s="89"/>
      <c r="D44" s="90"/>
      <c r="E44" s="88"/>
      <c r="F44" s="91"/>
    </row>
    <row r="45" spans="1:6" ht="100.9" customHeight="1">
      <c r="A45" s="28" t="s">
        <v>21</v>
      </c>
      <c r="B45" s="84" t="s">
        <v>50</v>
      </c>
      <c r="C45" s="85">
        <v>208</v>
      </c>
      <c r="D45" s="86">
        <v>41453</v>
      </c>
      <c r="E45" s="84" t="s">
        <v>47</v>
      </c>
      <c r="F45" s="87" t="s">
        <v>51</v>
      </c>
    </row>
    <row r="46" spans="1:6">
      <c r="A46" s="29" t="s">
        <v>49</v>
      </c>
      <c r="B46" s="84"/>
      <c r="C46" s="85"/>
      <c r="D46" s="86"/>
      <c r="E46" s="84"/>
      <c r="F46" s="87"/>
    </row>
    <row r="47" spans="1:6">
      <c r="A47" s="29">
        <v>90045</v>
      </c>
      <c r="B47" s="84"/>
      <c r="C47" s="85"/>
      <c r="D47" s="86"/>
      <c r="E47" s="84"/>
      <c r="F47" s="87"/>
    </row>
    <row r="48" spans="1:6" ht="100.9" customHeight="1">
      <c r="A48" s="30" t="s">
        <v>21</v>
      </c>
      <c r="B48" s="88" t="s">
        <v>50</v>
      </c>
      <c r="C48" s="89">
        <v>208</v>
      </c>
      <c r="D48" s="90">
        <v>41439</v>
      </c>
      <c r="E48" s="88" t="s">
        <v>47</v>
      </c>
      <c r="F48" s="91" t="s">
        <v>51</v>
      </c>
    </row>
    <row r="49" spans="1:6">
      <c r="A49" s="31" t="s">
        <v>49</v>
      </c>
      <c r="B49" s="88"/>
      <c r="C49" s="89"/>
      <c r="D49" s="90"/>
      <c r="E49" s="88"/>
      <c r="F49" s="91"/>
    </row>
    <row r="50" spans="1:6">
      <c r="A50" s="31">
        <v>90045</v>
      </c>
      <c r="B50" s="88"/>
      <c r="C50" s="89"/>
      <c r="D50" s="90"/>
      <c r="E50" s="88"/>
      <c r="F50" s="91"/>
    </row>
    <row r="51" spans="1:6" ht="100.9" customHeight="1">
      <c r="A51" s="28" t="s">
        <v>21</v>
      </c>
      <c r="B51" s="84" t="s">
        <v>50</v>
      </c>
      <c r="C51" s="85">
        <v>208</v>
      </c>
      <c r="D51" s="86">
        <v>41425</v>
      </c>
      <c r="E51" s="84" t="s">
        <v>47</v>
      </c>
      <c r="F51" s="87" t="s">
        <v>51</v>
      </c>
    </row>
    <row r="52" spans="1:6">
      <c r="A52" s="29" t="s">
        <v>49</v>
      </c>
      <c r="B52" s="84"/>
      <c r="C52" s="85"/>
      <c r="D52" s="86"/>
      <c r="E52" s="84"/>
      <c r="F52" s="87"/>
    </row>
    <row r="53" spans="1:6">
      <c r="A53" s="29">
        <v>90045</v>
      </c>
      <c r="B53" s="84"/>
      <c r="C53" s="85"/>
      <c r="D53" s="86"/>
      <c r="E53" s="84"/>
      <c r="F53" s="87"/>
    </row>
    <row r="54" spans="1:6" ht="100.9" customHeight="1">
      <c r="A54" s="30" t="s">
        <v>21</v>
      </c>
      <c r="B54" s="88" t="s">
        <v>50</v>
      </c>
      <c r="C54" s="89">
        <v>208</v>
      </c>
      <c r="D54" s="90">
        <v>41409</v>
      </c>
      <c r="E54" s="88" t="s">
        <v>47</v>
      </c>
      <c r="F54" s="91" t="s">
        <v>51</v>
      </c>
    </row>
    <row r="55" spans="1:6">
      <c r="A55" s="31" t="s">
        <v>49</v>
      </c>
      <c r="B55" s="88"/>
      <c r="C55" s="89"/>
      <c r="D55" s="90"/>
      <c r="E55" s="88"/>
      <c r="F55" s="91"/>
    </row>
    <row r="56" spans="1:6">
      <c r="A56" s="31">
        <v>90045</v>
      </c>
      <c r="B56" s="88"/>
      <c r="C56" s="89"/>
      <c r="D56" s="90"/>
      <c r="E56" s="88"/>
      <c r="F56" s="91"/>
    </row>
    <row r="57" spans="1:6" ht="100.9" customHeight="1">
      <c r="A57" s="28" t="s">
        <v>21</v>
      </c>
      <c r="B57" s="84" t="s">
        <v>50</v>
      </c>
      <c r="C57" s="85">
        <v>208</v>
      </c>
      <c r="D57" s="86">
        <v>41394</v>
      </c>
      <c r="E57" s="84"/>
      <c r="F57" s="87" t="s">
        <v>51</v>
      </c>
    </row>
    <row r="58" spans="1:6">
      <c r="A58" s="29" t="s">
        <v>49</v>
      </c>
      <c r="B58" s="84"/>
      <c r="C58" s="85"/>
      <c r="D58" s="86"/>
      <c r="E58" s="84"/>
      <c r="F58" s="87"/>
    </row>
    <row r="59" spans="1:6">
      <c r="A59" s="29">
        <v>90045</v>
      </c>
      <c r="B59" s="84"/>
      <c r="C59" s="85"/>
      <c r="D59" s="86"/>
      <c r="E59" s="84"/>
      <c r="F59" s="87"/>
    </row>
    <row r="60" spans="1:6" ht="100.9" customHeight="1">
      <c r="A60" s="30" t="s">
        <v>21</v>
      </c>
      <c r="B60" s="88" t="s">
        <v>50</v>
      </c>
      <c r="C60" s="89">
        <v>208</v>
      </c>
      <c r="D60" s="90">
        <v>41379</v>
      </c>
      <c r="E60" s="88"/>
      <c r="F60" s="91" t="s">
        <v>51</v>
      </c>
    </row>
    <row r="61" spans="1:6">
      <c r="A61" s="31" t="s">
        <v>49</v>
      </c>
      <c r="B61" s="88"/>
      <c r="C61" s="89"/>
      <c r="D61" s="90"/>
      <c r="E61" s="88"/>
      <c r="F61" s="91"/>
    </row>
    <row r="62" spans="1:6">
      <c r="A62" s="31">
        <v>90045</v>
      </c>
      <c r="B62" s="88"/>
      <c r="C62" s="89"/>
      <c r="D62" s="90"/>
      <c r="E62" s="88"/>
      <c r="F62" s="91"/>
    </row>
    <row r="63" spans="1:6" ht="100.9" customHeight="1">
      <c r="A63" s="28" t="s">
        <v>21</v>
      </c>
      <c r="B63" s="84" t="s">
        <v>50</v>
      </c>
      <c r="C63" s="85">
        <v>208</v>
      </c>
      <c r="D63" s="86">
        <v>41362</v>
      </c>
      <c r="E63" s="84"/>
      <c r="F63" s="87" t="s">
        <v>51</v>
      </c>
    </row>
    <row r="64" spans="1:6">
      <c r="A64" s="29" t="s">
        <v>49</v>
      </c>
      <c r="B64" s="84"/>
      <c r="C64" s="85"/>
      <c r="D64" s="86"/>
      <c r="E64" s="84"/>
      <c r="F64" s="87"/>
    </row>
    <row r="65" spans="1:6">
      <c r="A65" s="29">
        <v>90045</v>
      </c>
      <c r="B65" s="84"/>
      <c r="C65" s="85"/>
      <c r="D65" s="86"/>
      <c r="E65" s="84"/>
      <c r="F65" s="87"/>
    </row>
    <row r="66" spans="1:6" ht="100.9" customHeight="1">
      <c r="A66" s="30" t="s">
        <v>21</v>
      </c>
      <c r="B66" s="88" t="s">
        <v>50</v>
      </c>
      <c r="C66" s="89">
        <v>208</v>
      </c>
      <c r="D66" s="90">
        <v>41348</v>
      </c>
      <c r="E66" s="88"/>
      <c r="F66" s="91" t="s">
        <v>51</v>
      </c>
    </row>
    <row r="67" spans="1:6">
      <c r="A67" s="31" t="s">
        <v>49</v>
      </c>
      <c r="B67" s="88"/>
      <c r="C67" s="89"/>
      <c r="D67" s="90"/>
      <c r="E67" s="88"/>
      <c r="F67" s="91"/>
    </row>
    <row r="68" spans="1:6">
      <c r="A68" s="31">
        <v>90045</v>
      </c>
      <c r="B68" s="88"/>
      <c r="C68" s="89"/>
      <c r="D68" s="90"/>
      <c r="E68" s="88"/>
      <c r="F68" s="91"/>
    </row>
    <row r="69" spans="1:6" ht="100.9" customHeight="1">
      <c r="A69" s="28" t="s">
        <v>21</v>
      </c>
      <c r="B69" s="84" t="s">
        <v>50</v>
      </c>
      <c r="C69" s="85">
        <v>208</v>
      </c>
      <c r="D69" s="86">
        <v>41333</v>
      </c>
      <c r="E69" s="84"/>
      <c r="F69" s="87" t="s">
        <v>51</v>
      </c>
    </row>
    <row r="70" spans="1:6">
      <c r="A70" s="29" t="s">
        <v>49</v>
      </c>
      <c r="B70" s="84"/>
      <c r="C70" s="85"/>
      <c r="D70" s="86"/>
      <c r="E70" s="84"/>
      <c r="F70" s="87"/>
    </row>
    <row r="71" spans="1:6">
      <c r="A71" s="29">
        <v>90045</v>
      </c>
      <c r="B71" s="84"/>
      <c r="C71" s="85"/>
      <c r="D71" s="86"/>
      <c r="E71" s="84"/>
      <c r="F71" s="87"/>
    </row>
    <row r="72" spans="1:6" ht="100.9" customHeight="1">
      <c r="A72" s="30" t="s">
        <v>21</v>
      </c>
      <c r="B72" s="88" t="s">
        <v>50</v>
      </c>
      <c r="C72" s="89">
        <v>208</v>
      </c>
      <c r="D72" s="90">
        <v>41320</v>
      </c>
      <c r="E72" s="88"/>
      <c r="F72" s="91" t="s">
        <v>51</v>
      </c>
    </row>
    <row r="73" spans="1:6">
      <c r="A73" s="31" t="s">
        <v>49</v>
      </c>
      <c r="B73" s="88"/>
      <c r="C73" s="89"/>
      <c r="D73" s="90"/>
      <c r="E73" s="88"/>
      <c r="F73" s="91"/>
    </row>
    <row r="74" spans="1:6">
      <c r="A74" s="31">
        <v>90045</v>
      </c>
      <c r="B74" s="88"/>
      <c r="C74" s="89"/>
      <c r="D74" s="90"/>
      <c r="E74" s="88"/>
      <c r="F74" s="91"/>
    </row>
    <row r="75" spans="1:6" ht="100.9" customHeight="1">
      <c r="A75" s="28" t="s">
        <v>21</v>
      </c>
      <c r="B75" s="84" t="s">
        <v>50</v>
      </c>
      <c r="C75" s="85">
        <v>208</v>
      </c>
      <c r="D75" s="86">
        <v>41305</v>
      </c>
      <c r="E75" s="84"/>
      <c r="F75" s="87" t="s">
        <v>51</v>
      </c>
    </row>
    <row r="76" spans="1:6">
      <c r="A76" s="29" t="s">
        <v>49</v>
      </c>
      <c r="B76" s="84"/>
      <c r="C76" s="85"/>
      <c r="D76" s="86"/>
      <c r="E76" s="84"/>
      <c r="F76" s="87"/>
    </row>
    <row r="77" spans="1:6">
      <c r="A77" s="29">
        <v>90045</v>
      </c>
      <c r="B77" s="84"/>
      <c r="C77" s="85"/>
      <c r="D77" s="86"/>
      <c r="E77" s="84"/>
      <c r="F77" s="87"/>
    </row>
    <row r="78" spans="1:6" ht="100.9" customHeight="1">
      <c r="A78" s="30" t="s">
        <v>21</v>
      </c>
      <c r="B78" s="88" t="s">
        <v>50</v>
      </c>
      <c r="C78" s="89">
        <v>208</v>
      </c>
      <c r="D78" s="90">
        <v>41289</v>
      </c>
      <c r="E78" s="88"/>
      <c r="F78" s="91" t="s">
        <v>51</v>
      </c>
    </row>
    <row r="79" spans="1:6">
      <c r="A79" s="31" t="s">
        <v>49</v>
      </c>
      <c r="B79" s="88"/>
      <c r="C79" s="89"/>
      <c r="D79" s="90"/>
      <c r="E79" s="88"/>
      <c r="F79" s="91"/>
    </row>
    <row r="80" spans="1:6">
      <c r="A80" s="31">
        <v>90045</v>
      </c>
      <c r="B80" s="88"/>
      <c r="C80" s="89"/>
      <c r="D80" s="90"/>
      <c r="E80" s="88"/>
      <c r="F80" s="91"/>
    </row>
    <row r="81" spans="1:6" ht="129.6" customHeight="1">
      <c r="A81" s="28" t="s">
        <v>21</v>
      </c>
      <c r="B81" s="84" t="s">
        <v>53</v>
      </c>
      <c r="C81" s="85">
        <v>2000</v>
      </c>
      <c r="D81" s="86">
        <v>42300</v>
      </c>
      <c r="E81" s="84" t="s">
        <v>47</v>
      </c>
      <c r="F81" s="87" t="s">
        <v>48</v>
      </c>
    </row>
    <row r="82" spans="1:6">
      <c r="A82" s="29" t="s">
        <v>52</v>
      </c>
      <c r="B82" s="84"/>
      <c r="C82" s="85"/>
      <c r="D82" s="86"/>
      <c r="E82" s="84"/>
      <c r="F82" s="87"/>
    </row>
    <row r="83" spans="1:6">
      <c r="A83" s="29">
        <v>33010</v>
      </c>
      <c r="B83" s="84"/>
      <c r="C83" s="85"/>
      <c r="D83" s="86"/>
      <c r="E83" s="84"/>
      <c r="F83" s="87"/>
    </row>
    <row r="84" spans="1:6" ht="100.9" customHeight="1">
      <c r="A84" s="28" t="s">
        <v>54</v>
      </c>
      <c r="B84" s="84" t="s">
        <v>55</v>
      </c>
      <c r="C84" s="85">
        <v>208</v>
      </c>
      <c r="D84" s="86">
        <v>40543</v>
      </c>
      <c r="E84" s="84" t="s">
        <v>47</v>
      </c>
      <c r="F84" s="87" t="s">
        <v>51</v>
      </c>
    </row>
    <row r="85" spans="1:6">
      <c r="A85" s="29" t="s">
        <v>49</v>
      </c>
      <c r="B85" s="84"/>
      <c r="C85" s="85"/>
      <c r="D85" s="86"/>
      <c r="E85" s="84"/>
      <c r="F85" s="87"/>
    </row>
    <row r="86" spans="1:6">
      <c r="A86" s="29">
        <v>90045</v>
      </c>
      <c r="B86" s="84"/>
      <c r="C86" s="85"/>
      <c r="D86" s="86"/>
      <c r="E86" s="84"/>
      <c r="F86" s="87"/>
    </row>
    <row r="87" spans="1:6" ht="100.9" customHeight="1">
      <c r="A87" s="30" t="s">
        <v>54</v>
      </c>
      <c r="B87" s="88" t="s">
        <v>55</v>
      </c>
      <c r="C87" s="89">
        <v>208</v>
      </c>
      <c r="D87" s="90">
        <v>40527</v>
      </c>
      <c r="E87" s="88" t="s">
        <v>47</v>
      </c>
      <c r="F87" s="91" t="s">
        <v>51</v>
      </c>
    </row>
    <row r="88" spans="1:6">
      <c r="A88" s="31" t="s">
        <v>49</v>
      </c>
      <c r="B88" s="88"/>
      <c r="C88" s="89"/>
      <c r="D88" s="90"/>
      <c r="E88" s="88"/>
      <c r="F88" s="91"/>
    </row>
    <row r="89" spans="1:6">
      <c r="A89" s="31">
        <v>90045</v>
      </c>
      <c r="B89" s="88"/>
      <c r="C89" s="89"/>
      <c r="D89" s="90"/>
      <c r="E89" s="88"/>
      <c r="F89" s="91"/>
    </row>
    <row r="90" spans="1:6" ht="100.9" customHeight="1">
      <c r="A90" s="28" t="s">
        <v>54</v>
      </c>
      <c r="B90" s="84" t="s">
        <v>55</v>
      </c>
      <c r="C90" s="85">
        <v>208</v>
      </c>
      <c r="D90" s="86">
        <v>40512</v>
      </c>
      <c r="E90" s="84" t="s">
        <v>47</v>
      </c>
      <c r="F90" s="87" t="s">
        <v>51</v>
      </c>
    </row>
    <row r="91" spans="1:6">
      <c r="A91" s="29" t="s">
        <v>49</v>
      </c>
      <c r="B91" s="84"/>
      <c r="C91" s="85"/>
      <c r="D91" s="86"/>
      <c r="E91" s="84"/>
      <c r="F91" s="87"/>
    </row>
    <row r="92" spans="1:6">
      <c r="A92" s="29">
        <v>90045</v>
      </c>
      <c r="B92" s="84"/>
      <c r="C92" s="85"/>
      <c r="D92" s="86"/>
      <c r="E92" s="84"/>
      <c r="F92" s="87"/>
    </row>
    <row r="93" spans="1:6" ht="100.9" customHeight="1">
      <c r="A93" s="30" t="s">
        <v>54</v>
      </c>
      <c r="B93" s="88" t="s">
        <v>56</v>
      </c>
      <c r="C93" s="89">
        <v>208</v>
      </c>
      <c r="D93" s="90">
        <v>40497</v>
      </c>
      <c r="E93" s="88" t="s">
        <v>47</v>
      </c>
      <c r="F93" s="91" t="s">
        <v>51</v>
      </c>
    </row>
    <row r="94" spans="1:6">
      <c r="A94" s="31" t="s">
        <v>49</v>
      </c>
      <c r="B94" s="88"/>
      <c r="C94" s="89"/>
      <c r="D94" s="90"/>
      <c r="E94" s="88"/>
      <c r="F94" s="91"/>
    </row>
    <row r="95" spans="1:6">
      <c r="A95" s="31">
        <v>90045</v>
      </c>
      <c r="B95" s="88"/>
      <c r="C95" s="89"/>
      <c r="D95" s="90"/>
      <c r="E95" s="88"/>
      <c r="F95" s="91"/>
    </row>
    <row r="96" spans="1:6" ht="100.9" customHeight="1">
      <c r="A96" s="28" t="s">
        <v>54</v>
      </c>
      <c r="B96" s="84" t="s">
        <v>56</v>
      </c>
      <c r="C96" s="85">
        <v>208</v>
      </c>
      <c r="D96" s="86">
        <v>40480</v>
      </c>
      <c r="E96" s="84" t="s">
        <v>47</v>
      </c>
      <c r="F96" s="87" t="s">
        <v>51</v>
      </c>
    </row>
    <row r="97" spans="1:6">
      <c r="A97" s="29" t="s">
        <v>49</v>
      </c>
      <c r="B97" s="84"/>
      <c r="C97" s="85"/>
      <c r="D97" s="86"/>
      <c r="E97" s="84"/>
      <c r="F97" s="87"/>
    </row>
    <row r="98" spans="1:6">
      <c r="A98" s="29">
        <v>90045</v>
      </c>
      <c r="B98" s="84"/>
      <c r="C98" s="85"/>
      <c r="D98" s="86"/>
      <c r="E98" s="84"/>
      <c r="F98" s="87"/>
    </row>
    <row r="99" spans="1:6" ht="100.9" customHeight="1">
      <c r="A99" s="30" t="s">
        <v>54</v>
      </c>
      <c r="B99" s="88" t="s">
        <v>56</v>
      </c>
      <c r="C99" s="89">
        <v>208</v>
      </c>
      <c r="D99" s="90">
        <v>40466</v>
      </c>
      <c r="E99" s="88" t="s">
        <v>47</v>
      </c>
      <c r="F99" s="91" t="s">
        <v>51</v>
      </c>
    </row>
    <row r="100" spans="1:6">
      <c r="A100" s="31" t="s">
        <v>49</v>
      </c>
      <c r="B100" s="88"/>
      <c r="C100" s="89"/>
      <c r="D100" s="90"/>
      <c r="E100" s="88"/>
      <c r="F100" s="91"/>
    </row>
    <row r="101" spans="1:6">
      <c r="A101" s="31">
        <v>90045</v>
      </c>
      <c r="B101" s="88"/>
      <c r="C101" s="89"/>
      <c r="D101" s="90"/>
      <c r="E101" s="88"/>
      <c r="F101" s="91"/>
    </row>
    <row r="102" spans="1:6" ht="100.9" customHeight="1">
      <c r="A102" s="28" t="s">
        <v>54</v>
      </c>
      <c r="B102" s="84" t="s">
        <v>56</v>
      </c>
      <c r="C102" s="85">
        <v>208</v>
      </c>
      <c r="D102" s="86">
        <v>40451</v>
      </c>
      <c r="E102" s="84" t="s">
        <v>47</v>
      </c>
      <c r="F102" s="87" t="s">
        <v>51</v>
      </c>
    </row>
    <row r="103" spans="1:6">
      <c r="A103" s="29" t="s">
        <v>49</v>
      </c>
      <c r="B103" s="84"/>
      <c r="C103" s="85"/>
      <c r="D103" s="86"/>
      <c r="E103" s="84"/>
      <c r="F103" s="87"/>
    </row>
    <row r="104" spans="1:6">
      <c r="A104" s="29">
        <v>90045</v>
      </c>
      <c r="B104" s="84"/>
      <c r="C104" s="85"/>
      <c r="D104" s="86"/>
      <c r="E104" s="84"/>
      <c r="F104" s="87"/>
    </row>
    <row r="105" spans="1:6" ht="100.9" customHeight="1">
      <c r="A105" s="30" t="s">
        <v>54</v>
      </c>
      <c r="B105" s="88" t="s">
        <v>56</v>
      </c>
      <c r="C105" s="89">
        <v>208</v>
      </c>
      <c r="D105" s="90">
        <v>40436</v>
      </c>
      <c r="E105" s="88" t="s">
        <v>47</v>
      </c>
      <c r="F105" s="91" t="s">
        <v>51</v>
      </c>
    </row>
    <row r="106" spans="1:6">
      <c r="A106" s="31" t="s">
        <v>49</v>
      </c>
      <c r="B106" s="88"/>
      <c r="C106" s="89"/>
      <c r="D106" s="90"/>
      <c r="E106" s="88"/>
      <c r="F106" s="91"/>
    </row>
    <row r="107" spans="1:6">
      <c r="A107" s="31">
        <v>90045</v>
      </c>
      <c r="B107" s="88"/>
      <c r="C107" s="89"/>
      <c r="D107" s="90"/>
      <c r="E107" s="88"/>
      <c r="F107" s="91"/>
    </row>
    <row r="108" spans="1:6" ht="100.9" customHeight="1">
      <c r="A108" s="28" t="s">
        <v>54</v>
      </c>
      <c r="B108" s="84" t="s">
        <v>56</v>
      </c>
      <c r="C108" s="85">
        <v>208</v>
      </c>
      <c r="D108" s="86">
        <v>40421</v>
      </c>
      <c r="E108" s="84" t="s">
        <v>47</v>
      </c>
      <c r="F108" s="87" t="s">
        <v>51</v>
      </c>
    </row>
    <row r="109" spans="1:6">
      <c r="A109" s="29" t="s">
        <v>49</v>
      </c>
      <c r="B109" s="84"/>
      <c r="C109" s="85"/>
      <c r="D109" s="86"/>
      <c r="E109" s="84"/>
      <c r="F109" s="87"/>
    </row>
    <row r="110" spans="1:6">
      <c r="A110" s="29">
        <v>90045</v>
      </c>
      <c r="B110" s="84"/>
      <c r="C110" s="85"/>
      <c r="D110" s="86"/>
      <c r="E110" s="84"/>
      <c r="F110" s="87"/>
    </row>
    <row r="111" spans="1:6" ht="100.9" customHeight="1">
      <c r="A111" s="30" t="s">
        <v>54</v>
      </c>
      <c r="B111" s="88" t="s">
        <v>56</v>
      </c>
      <c r="C111" s="89">
        <v>208</v>
      </c>
      <c r="D111" s="90">
        <v>40405</v>
      </c>
      <c r="E111" s="88" t="s">
        <v>47</v>
      </c>
      <c r="F111" s="91" t="s">
        <v>51</v>
      </c>
    </row>
    <row r="112" spans="1:6">
      <c r="A112" s="31" t="s">
        <v>49</v>
      </c>
      <c r="B112" s="88"/>
      <c r="C112" s="89"/>
      <c r="D112" s="90"/>
      <c r="E112" s="88"/>
      <c r="F112" s="91"/>
    </row>
    <row r="113" spans="1:6">
      <c r="A113" s="31">
        <v>90045</v>
      </c>
      <c r="B113" s="88"/>
      <c r="C113" s="89"/>
      <c r="D113" s="90"/>
      <c r="E113" s="88"/>
      <c r="F113" s="91"/>
    </row>
    <row r="114" spans="1:6" ht="100.9" customHeight="1">
      <c r="A114" s="28" t="s">
        <v>54</v>
      </c>
      <c r="B114" s="84" t="s">
        <v>56</v>
      </c>
      <c r="C114" s="85">
        <v>208</v>
      </c>
      <c r="D114" s="86">
        <v>40390</v>
      </c>
      <c r="E114" s="84" t="s">
        <v>47</v>
      </c>
      <c r="F114" s="87" t="s">
        <v>51</v>
      </c>
    </row>
    <row r="115" spans="1:6">
      <c r="A115" s="29" t="s">
        <v>49</v>
      </c>
      <c r="B115" s="84"/>
      <c r="C115" s="85"/>
      <c r="D115" s="86"/>
      <c r="E115" s="84"/>
      <c r="F115" s="87"/>
    </row>
    <row r="116" spans="1:6">
      <c r="A116" s="29">
        <v>90045</v>
      </c>
      <c r="B116" s="84"/>
      <c r="C116" s="85"/>
      <c r="D116" s="86"/>
      <c r="E116" s="84"/>
      <c r="F116" s="87"/>
    </row>
    <row r="117" spans="1:6" ht="100.9" customHeight="1">
      <c r="A117" s="30" t="s">
        <v>54</v>
      </c>
      <c r="B117" s="88" t="s">
        <v>56</v>
      </c>
      <c r="C117" s="89">
        <v>208</v>
      </c>
      <c r="D117" s="90">
        <v>40374</v>
      </c>
      <c r="E117" s="88" t="s">
        <v>47</v>
      </c>
      <c r="F117" s="91" t="s">
        <v>51</v>
      </c>
    </row>
    <row r="118" spans="1:6">
      <c r="A118" s="31" t="s">
        <v>49</v>
      </c>
      <c r="B118" s="88"/>
      <c r="C118" s="89"/>
      <c r="D118" s="90"/>
      <c r="E118" s="88"/>
      <c r="F118" s="91"/>
    </row>
    <row r="119" spans="1:6">
      <c r="A119" s="31">
        <v>90045</v>
      </c>
      <c r="B119" s="88"/>
      <c r="C119" s="89"/>
      <c r="D119" s="90"/>
      <c r="E119" s="88"/>
      <c r="F119" s="91"/>
    </row>
    <row r="120" spans="1:6" ht="100.9" customHeight="1">
      <c r="A120" s="28" t="s">
        <v>54</v>
      </c>
      <c r="B120" s="84" t="s">
        <v>56</v>
      </c>
      <c r="C120" s="85">
        <v>208</v>
      </c>
      <c r="D120" s="86">
        <v>40359</v>
      </c>
      <c r="E120" s="84" t="s">
        <v>47</v>
      </c>
      <c r="F120" s="87" t="s">
        <v>51</v>
      </c>
    </row>
    <row r="121" spans="1:6">
      <c r="A121" s="29" t="s">
        <v>49</v>
      </c>
      <c r="B121" s="84"/>
      <c r="C121" s="85"/>
      <c r="D121" s="86"/>
      <c r="E121" s="84"/>
      <c r="F121" s="87"/>
    </row>
    <row r="122" spans="1:6">
      <c r="A122" s="29">
        <v>90045</v>
      </c>
      <c r="B122" s="84"/>
      <c r="C122" s="85"/>
      <c r="D122" s="86"/>
      <c r="E122" s="84"/>
      <c r="F122" s="87"/>
    </row>
    <row r="123" spans="1:6" ht="100.9" customHeight="1">
      <c r="A123" s="30" t="s">
        <v>54</v>
      </c>
      <c r="B123" s="88" t="s">
        <v>56</v>
      </c>
      <c r="C123" s="89">
        <v>208</v>
      </c>
      <c r="D123" s="90">
        <v>40344</v>
      </c>
      <c r="E123" s="88" t="s">
        <v>47</v>
      </c>
      <c r="F123" s="91" t="s">
        <v>51</v>
      </c>
    </row>
    <row r="124" spans="1:6">
      <c r="A124" s="31" t="s">
        <v>49</v>
      </c>
      <c r="B124" s="88"/>
      <c r="C124" s="89"/>
      <c r="D124" s="90"/>
      <c r="E124" s="88"/>
      <c r="F124" s="91"/>
    </row>
    <row r="125" spans="1:6">
      <c r="A125" s="31">
        <v>90045</v>
      </c>
      <c r="B125" s="88"/>
      <c r="C125" s="89"/>
      <c r="D125" s="90"/>
      <c r="E125" s="88"/>
      <c r="F125" s="91"/>
    </row>
    <row r="126" spans="1:6" ht="100.9" customHeight="1">
      <c r="A126" s="28" t="s">
        <v>54</v>
      </c>
      <c r="B126" s="84" t="s">
        <v>56</v>
      </c>
      <c r="C126" s="85">
        <v>208</v>
      </c>
      <c r="D126" s="86">
        <v>40329</v>
      </c>
      <c r="E126" s="84" t="s">
        <v>47</v>
      </c>
      <c r="F126" s="87" t="s">
        <v>51</v>
      </c>
    </row>
    <row r="127" spans="1:6">
      <c r="A127" s="29" t="s">
        <v>49</v>
      </c>
      <c r="B127" s="84"/>
      <c r="C127" s="85"/>
      <c r="D127" s="86"/>
      <c r="E127" s="84"/>
      <c r="F127" s="87"/>
    </row>
    <row r="128" spans="1:6">
      <c r="A128" s="29">
        <v>90045</v>
      </c>
      <c r="B128" s="84"/>
      <c r="C128" s="85"/>
      <c r="D128" s="86"/>
      <c r="E128" s="84"/>
      <c r="F128" s="87"/>
    </row>
  </sheetData>
  <mergeCells count="174">
    <mergeCell ref="B126:B128"/>
    <mergeCell ref="C126:C128"/>
    <mergeCell ref="D126:D128"/>
    <mergeCell ref="E126:E128"/>
    <mergeCell ref="F126:F128"/>
    <mergeCell ref="B120:B122"/>
    <mergeCell ref="C120:C122"/>
    <mergeCell ref="D120:D122"/>
    <mergeCell ref="E120:E122"/>
    <mergeCell ref="F120:F122"/>
    <mergeCell ref="B123:B125"/>
    <mergeCell ref="C123:C125"/>
    <mergeCell ref="D123:D125"/>
    <mergeCell ref="E123:E125"/>
    <mergeCell ref="F123:F125"/>
    <mergeCell ref="B114:B116"/>
    <mergeCell ref="C114:C116"/>
    <mergeCell ref="D114:D116"/>
    <mergeCell ref="E114:E116"/>
    <mergeCell ref="F114:F116"/>
    <mergeCell ref="B117:B119"/>
    <mergeCell ref="C117:C119"/>
    <mergeCell ref="D117:D119"/>
    <mergeCell ref="E117:E119"/>
    <mergeCell ref="F117:F119"/>
    <mergeCell ref="B108:B110"/>
    <mergeCell ref="C108:C110"/>
    <mergeCell ref="D108:D110"/>
    <mergeCell ref="E108:E110"/>
    <mergeCell ref="F108:F110"/>
    <mergeCell ref="B111:B113"/>
    <mergeCell ref="C111:C113"/>
    <mergeCell ref="D111:D113"/>
    <mergeCell ref="E111:E113"/>
    <mergeCell ref="F111:F113"/>
    <mergeCell ref="B102:B104"/>
    <mergeCell ref="C102:C104"/>
    <mergeCell ref="D102:D104"/>
    <mergeCell ref="E102:E104"/>
    <mergeCell ref="F102:F104"/>
    <mergeCell ref="B105:B107"/>
    <mergeCell ref="C105:C107"/>
    <mergeCell ref="D105:D107"/>
    <mergeCell ref="E105:E107"/>
    <mergeCell ref="F105:F107"/>
    <mergeCell ref="B96:B98"/>
    <mergeCell ref="C96:C98"/>
    <mergeCell ref="D96:D98"/>
    <mergeCell ref="E96:E98"/>
    <mergeCell ref="F96:F98"/>
    <mergeCell ref="B99:B101"/>
    <mergeCell ref="C99:C101"/>
    <mergeCell ref="D99:D101"/>
    <mergeCell ref="E99:E101"/>
    <mergeCell ref="F99:F101"/>
    <mergeCell ref="B90:B92"/>
    <mergeCell ref="C90:C92"/>
    <mergeCell ref="D90:D92"/>
    <mergeCell ref="E90:E92"/>
    <mergeCell ref="F90:F92"/>
    <mergeCell ref="B93:B95"/>
    <mergeCell ref="C93:C95"/>
    <mergeCell ref="D93:D95"/>
    <mergeCell ref="E93:E95"/>
    <mergeCell ref="F93:F95"/>
    <mergeCell ref="B84:B86"/>
    <mergeCell ref="C84:C86"/>
    <mergeCell ref="D84:D86"/>
    <mergeCell ref="E84:E86"/>
    <mergeCell ref="F84:F86"/>
    <mergeCell ref="B87:B89"/>
    <mergeCell ref="C87:C89"/>
    <mergeCell ref="D87:D89"/>
    <mergeCell ref="E87:E89"/>
    <mergeCell ref="F87:F89"/>
    <mergeCell ref="B78:B80"/>
    <mergeCell ref="C78:C80"/>
    <mergeCell ref="D78:D80"/>
    <mergeCell ref="E78:E80"/>
    <mergeCell ref="F78:F80"/>
    <mergeCell ref="B81:B83"/>
    <mergeCell ref="C81:C83"/>
    <mergeCell ref="D81:D83"/>
    <mergeCell ref="E81:E83"/>
    <mergeCell ref="F81:F83"/>
    <mergeCell ref="B72:B74"/>
    <mergeCell ref="C72:C74"/>
    <mergeCell ref="D72:D74"/>
    <mergeCell ref="E72:E74"/>
    <mergeCell ref="F72:F74"/>
    <mergeCell ref="B75:B77"/>
    <mergeCell ref="C75:C77"/>
    <mergeCell ref="D75:D77"/>
    <mergeCell ref="E75:E77"/>
    <mergeCell ref="F75:F77"/>
    <mergeCell ref="B66:B68"/>
    <mergeCell ref="C66:C68"/>
    <mergeCell ref="D66:D68"/>
    <mergeCell ref="E66:E68"/>
    <mergeCell ref="F66:F68"/>
    <mergeCell ref="B69:B71"/>
    <mergeCell ref="C69:C71"/>
    <mergeCell ref="D69:D71"/>
    <mergeCell ref="E69:E71"/>
    <mergeCell ref="F69:F71"/>
    <mergeCell ref="B60:B62"/>
    <mergeCell ref="C60:C62"/>
    <mergeCell ref="D60:D62"/>
    <mergeCell ref="E60:E62"/>
    <mergeCell ref="F60:F62"/>
    <mergeCell ref="B63:B65"/>
    <mergeCell ref="C63:C65"/>
    <mergeCell ref="D63:D65"/>
    <mergeCell ref="E63:E65"/>
    <mergeCell ref="F63:F65"/>
    <mergeCell ref="B54:B56"/>
    <mergeCell ref="C54:C56"/>
    <mergeCell ref="D54:D56"/>
    <mergeCell ref="E54:E56"/>
    <mergeCell ref="F54:F56"/>
    <mergeCell ref="B57:B59"/>
    <mergeCell ref="C57:C59"/>
    <mergeCell ref="D57:D59"/>
    <mergeCell ref="E57:E59"/>
    <mergeCell ref="F57:F59"/>
    <mergeCell ref="B48:B50"/>
    <mergeCell ref="C48:C50"/>
    <mergeCell ref="D48:D50"/>
    <mergeCell ref="E48:E50"/>
    <mergeCell ref="F48:F50"/>
    <mergeCell ref="B51:B53"/>
    <mergeCell ref="C51:C53"/>
    <mergeCell ref="D51:D53"/>
    <mergeCell ref="E51:E53"/>
    <mergeCell ref="F51:F53"/>
    <mergeCell ref="B42:B44"/>
    <mergeCell ref="C42:C44"/>
    <mergeCell ref="D42:D44"/>
    <mergeCell ref="E42:E44"/>
    <mergeCell ref="F42:F44"/>
    <mergeCell ref="B45:B47"/>
    <mergeCell ref="C45:C47"/>
    <mergeCell ref="D45:D47"/>
    <mergeCell ref="E45:E47"/>
    <mergeCell ref="F45:F47"/>
    <mergeCell ref="B36:B38"/>
    <mergeCell ref="C36:C38"/>
    <mergeCell ref="D36:D38"/>
    <mergeCell ref="E36:E38"/>
    <mergeCell ref="F36:F38"/>
    <mergeCell ref="B39:B41"/>
    <mergeCell ref="C39:C41"/>
    <mergeCell ref="D39:D41"/>
    <mergeCell ref="E39:E41"/>
    <mergeCell ref="F39:F41"/>
    <mergeCell ref="B30:B32"/>
    <mergeCell ref="C30:C32"/>
    <mergeCell ref="D30:D32"/>
    <mergeCell ref="E30:E32"/>
    <mergeCell ref="F30:F32"/>
    <mergeCell ref="B33:B35"/>
    <mergeCell ref="C33:C35"/>
    <mergeCell ref="D33:D35"/>
    <mergeCell ref="E33:E35"/>
    <mergeCell ref="F33:F35"/>
    <mergeCell ref="A25:A26"/>
    <mergeCell ref="B25:B26"/>
    <mergeCell ref="D25:D26"/>
    <mergeCell ref="F25:F26"/>
    <mergeCell ref="B27:B29"/>
    <mergeCell ref="C27:C29"/>
    <mergeCell ref="D27:D29"/>
    <mergeCell ref="E27:E29"/>
    <mergeCell ref="F27:F29"/>
  </mergeCells>
  <hyperlinks>
    <hyperlink ref="A27" r:id="rId1" display="javascript:CenterPopup('http://docquery.fec.gov/cgi-bin/fecimg/?14952808283','700','800')" xr:uid="{00000000-0004-0000-0300-000000000000}"/>
    <hyperlink ref="F27" r:id="rId2" display="https://www.campaignmoney.com/political/committees/comcast-corporation-nbcuniversal-political-action-committee-federal.asp?cycle=14" xr:uid="{00000000-0004-0000-0300-000001000000}"/>
    <hyperlink ref="A30" r:id="rId3" display="javascript:CenterPopup('http://docquery.fec.gov/cgi-bin/fecimg/?13942117439','700','800')" xr:uid="{00000000-0004-0000-0300-000002000000}"/>
    <hyperlink ref="F30" r:id="rId4" display="https://www.campaignmoney.com/political/committees/univision-communications-inc-political-action-committee.asp?cycle=14" xr:uid="{00000000-0004-0000-0300-000003000000}"/>
    <hyperlink ref="A33" r:id="rId5" display="javascript:CenterPopup('http://docquery.fec.gov/cgi-bin/fecimg/?13941595877','700','800')" xr:uid="{00000000-0004-0000-0300-000004000000}"/>
    <hyperlink ref="F33" r:id="rId6" display="https://www.campaignmoney.com/political/committees/univision-communications-inc-political-action-committee.asp?cycle=14" xr:uid="{00000000-0004-0000-0300-000005000000}"/>
    <hyperlink ref="A36" r:id="rId7" display="javascript:CenterPopup('http://docquery.fec.gov/cgi-bin/fecimg/?13941595877','700','800')" xr:uid="{00000000-0004-0000-0300-000006000000}"/>
    <hyperlink ref="F36" r:id="rId8" display="https://www.campaignmoney.com/political/committees/univision-communications-inc-political-action-committee.asp?cycle=14" xr:uid="{00000000-0004-0000-0300-000007000000}"/>
    <hyperlink ref="A39" r:id="rId9" display="javascript:CenterPopup('http://docquery.fec.gov/cgi-bin/fecimg/?13964542711','700','800')" xr:uid="{00000000-0004-0000-0300-000008000000}"/>
    <hyperlink ref="F39" r:id="rId10" display="https://www.campaignmoney.com/political/committees/univision-communications-inc-political-action-committee.asp?cycle=14" xr:uid="{00000000-0004-0000-0300-000009000000}"/>
    <hyperlink ref="A42" r:id="rId11" display="javascript:CenterPopup('http://docquery.fec.gov/cgi-bin/fecimg/?13964542711','700','800')" xr:uid="{00000000-0004-0000-0300-00000A000000}"/>
    <hyperlink ref="F42" r:id="rId12" display="https://www.campaignmoney.com/political/committees/univision-communications-inc-political-action-committee.asp?cycle=14" xr:uid="{00000000-0004-0000-0300-00000B000000}"/>
    <hyperlink ref="A45" r:id="rId13" display="javascript:CenterPopup('http://docquery.fec.gov/cgi-bin/fecimg/?13941159738','700','800')" xr:uid="{00000000-0004-0000-0300-00000C000000}"/>
    <hyperlink ref="F45" r:id="rId14" display="https://www.campaignmoney.com/political/committees/univision-communications-inc-political-action-committee.asp?cycle=14" xr:uid="{00000000-0004-0000-0300-00000D000000}"/>
    <hyperlink ref="A48" r:id="rId15" display="javascript:CenterPopup('http://docquery.fec.gov/cgi-bin/fecimg/?13941159738','700','800')" xr:uid="{00000000-0004-0000-0300-00000E000000}"/>
    <hyperlink ref="F48" r:id="rId16" display="https://www.campaignmoney.com/political/committees/univision-communications-inc-political-action-committee.asp?cycle=14" xr:uid="{00000000-0004-0000-0300-00000F000000}"/>
    <hyperlink ref="A51" r:id="rId17" display="javascript:CenterPopup('http://docquery.fec.gov/cgi-bin/fecimg/?13940924169','700','800')" xr:uid="{00000000-0004-0000-0300-000010000000}"/>
    <hyperlink ref="F51" r:id="rId18" display="https://www.campaignmoney.com/political/committees/univision-communications-inc-political-action-committee.asp?cycle=14" xr:uid="{00000000-0004-0000-0300-000011000000}"/>
    <hyperlink ref="A54" r:id="rId19" display="javascript:CenterPopup('http://docquery.fec.gov/cgi-bin/fecimg/?13940924169','700','800')" xr:uid="{00000000-0004-0000-0300-000012000000}"/>
    <hyperlink ref="F54" r:id="rId20" display="https://www.campaignmoney.com/political/committees/univision-communications-inc-political-action-committee.asp?cycle=14" xr:uid="{00000000-0004-0000-0300-000013000000}"/>
    <hyperlink ref="A57" r:id="rId21" display="javascript:CenterPopup('http://docquery.fec.gov/cgi-bin/fecimg/?13962483617','700','800')" xr:uid="{00000000-0004-0000-0300-000014000000}"/>
    <hyperlink ref="F57" r:id="rId22" display="https://www.campaignmoney.com/political/committees/univision-communications-inc-political-action-committee.asp?cycle=14" xr:uid="{00000000-0004-0000-0300-000015000000}"/>
    <hyperlink ref="A60" r:id="rId23" display="javascript:CenterPopup('http://docquery.fec.gov/cgi-bin/fecimg/?13962483617','700','800')" xr:uid="{00000000-0004-0000-0300-000016000000}"/>
    <hyperlink ref="F60" r:id="rId24" display="https://www.campaignmoney.com/political/committees/univision-communications-inc-political-action-committee.asp?cycle=14" xr:uid="{00000000-0004-0000-0300-000017000000}"/>
    <hyperlink ref="A63" r:id="rId25" display="javascript:CenterPopup('http://docquery.fec.gov/cgi-bin/fecimg/?13940607831','700','800')" xr:uid="{00000000-0004-0000-0300-000018000000}"/>
    <hyperlink ref="F63" r:id="rId26" display="https://www.campaignmoney.com/political/committees/univision-communications-inc-political-action-committee.asp?cycle=14" xr:uid="{00000000-0004-0000-0300-000019000000}"/>
    <hyperlink ref="A66" r:id="rId27" display="javascript:CenterPopup('http://docquery.fec.gov/cgi-bin/fecimg/?13940607831','700','800')" xr:uid="{00000000-0004-0000-0300-00001A000000}"/>
    <hyperlink ref="F66" r:id="rId28" display="https://www.campaignmoney.com/political/committees/univision-communications-inc-political-action-committee.asp?cycle=14" xr:uid="{00000000-0004-0000-0300-00001B000000}"/>
    <hyperlink ref="A69" r:id="rId29" display="javascript:CenterPopup('http://docquery.fec.gov/cgi-bin/fecimg/?13940484198','700','800')" xr:uid="{00000000-0004-0000-0300-00001C000000}"/>
    <hyperlink ref="F69" r:id="rId30" display="https://www.campaignmoney.com/political/committees/univision-communications-inc-political-action-committee.asp?cycle=14" xr:uid="{00000000-0004-0000-0300-00001D000000}"/>
    <hyperlink ref="A72" r:id="rId31" display="javascript:CenterPopup('http://docquery.fec.gov/cgi-bin/fecimg/?13940484198','700','800')" xr:uid="{00000000-0004-0000-0300-00001E000000}"/>
    <hyperlink ref="F72" r:id="rId32" display="https://www.campaignmoney.com/political/committees/univision-communications-inc-political-action-committee.asp?cycle=14" xr:uid="{00000000-0004-0000-0300-00001F000000}"/>
    <hyperlink ref="A75" r:id="rId33" display="javascript:CenterPopup('http://docquery.fec.gov/cgi-bin/fecimg/?13960954630','700','800')" xr:uid="{00000000-0004-0000-0300-000020000000}"/>
    <hyperlink ref="F75" r:id="rId34" display="https://www.campaignmoney.com/political/committees/univision-communications-inc-political-action-committee.asp?cycle=14" xr:uid="{00000000-0004-0000-0300-000021000000}"/>
    <hyperlink ref="A78" r:id="rId35" display="javascript:CenterPopup('http://docquery.fec.gov/cgi-bin/fecimg/?13960954630','700','800')" xr:uid="{00000000-0004-0000-0300-000022000000}"/>
    <hyperlink ref="F78" r:id="rId36" display="https://www.campaignmoney.com/political/committees/univision-communications-inc-political-action-committee.asp?cycle=14" xr:uid="{00000000-0004-0000-0300-000023000000}"/>
    <hyperlink ref="A81" r:id="rId37" display="javascript:CenterPopup('http://docquery.fec.gov/cgi-bin/fecimg/?201511199003389894','700','800')" xr:uid="{00000000-0004-0000-0300-000024000000}"/>
    <hyperlink ref="F81" r:id="rId38" display="https://www.campaignmoney.com/political/committees/comcast-corporation-nbcuniversal-political-action-committee-federal.asp?cycle=16" xr:uid="{00000000-0004-0000-0300-000025000000}"/>
    <hyperlink ref="A84" r:id="rId39" display="javascript:CenterPopup('http://docquery.fec.gov/cgi-bin/fecimg/?11990095718','700','800')" xr:uid="{00000000-0004-0000-0300-000026000000}"/>
    <hyperlink ref="F84" r:id="rId40" display="https://www.campaignmoney.com/political/committees/univision-communications-inc-political-action-committee.asp?cycle=10" xr:uid="{00000000-0004-0000-0300-000027000000}"/>
    <hyperlink ref="A87" r:id="rId41" display="javascript:CenterPopup('http://docquery.fec.gov/cgi-bin/fecimg/?11990095718','700','800')" xr:uid="{00000000-0004-0000-0300-000028000000}"/>
    <hyperlink ref="F87" r:id="rId42" display="https://www.campaignmoney.com/political/committees/univision-communications-inc-political-action-committee.asp?cycle=10" xr:uid="{00000000-0004-0000-0300-000029000000}"/>
    <hyperlink ref="A90" r:id="rId43" display="javascript:CenterPopup('http://docquery.fec.gov/cgi-bin/fecimg/?11990095718','700','800')" xr:uid="{00000000-0004-0000-0300-00002A000000}"/>
    <hyperlink ref="F90" r:id="rId44" display="https://www.campaignmoney.com/political/committees/univision-communications-inc-political-action-committee.asp?cycle=10" xr:uid="{00000000-0004-0000-0300-00002B000000}"/>
    <hyperlink ref="A93" r:id="rId45" display="javascript:CenterPopup('http://docquery.fec.gov/cgi-bin/fecimg/?10992418308','700','800')" xr:uid="{00000000-0004-0000-0300-00002C000000}"/>
    <hyperlink ref="F93" r:id="rId46" display="https://www.campaignmoney.com/political/committees/univision-communications-inc-political-action-committee.asp?cycle=10" xr:uid="{00000000-0004-0000-0300-00002D000000}"/>
    <hyperlink ref="A96" r:id="rId47" display="javascript:CenterPopup('http://docquery.fec.gov/cgi-bin/fecimg/?10992418308','700','800')" xr:uid="{00000000-0004-0000-0300-00002E000000}"/>
    <hyperlink ref="F96" r:id="rId48" display="https://www.campaignmoney.com/political/committees/univision-communications-inc-political-action-committee.asp?cycle=10" xr:uid="{00000000-0004-0000-0300-00002F000000}"/>
    <hyperlink ref="A99" r:id="rId49" display="javascript:CenterPopup('http://docquery.fec.gov/cgi-bin/fecimg/?10992418308','700','800')" xr:uid="{00000000-0004-0000-0300-000030000000}"/>
    <hyperlink ref="F99" r:id="rId50" display="https://www.campaignmoney.com/political/committees/univision-communications-inc-political-action-committee.asp?cycle=10" xr:uid="{00000000-0004-0000-0300-000031000000}"/>
    <hyperlink ref="A102" r:id="rId51" display="javascript:CenterPopup('http://docquery.fec.gov/cgi-bin/fecimg/?10991466269','700','800')" xr:uid="{00000000-0004-0000-0300-000032000000}"/>
    <hyperlink ref="F102" r:id="rId52" display="https://www.campaignmoney.com/political/committees/univision-communications-inc-political-action-committee.asp?cycle=10" xr:uid="{00000000-0004-0000-0300-000033000000}"/>
    <hyperlink ref="A105" r:id="rId53" display="javascript:CenterPopup('http://docquery.fec.gov/cgi-bin/fecimg/?10991466269','700','800')" xr:uid="{00000000-0004-0000-0300-000034000000}"/>
    <hyperlink ref="F105" r:id="rId54" display="https://www.campaignmoney.com/political/committees/univision-communications-inc-political-action-committee.asp?cycle=10" xr:uid="{00000000-0004-0000-0300-000035000000}"/>
    <hyperlink ref="A108" r:id="rId55" display="javascript:CenterPopup('http://docquery.fec.gov/cgi-bin/fecimg/?10991190770','700','800')" xr:uid="{00000000-0004-0000-0300-000036000000}"/>
    <hyperlink ref="F108" r:id="rId56" display="https://www.campaignmoney.com/political/committees/univision-communications-inc-political-action-committee.asp?cycle=10" xr:uid="{00000000-0004-0000-0300-000037000000}"/>
    <hyperlink ref="A111" r:id="rId57" display="javascript:CenterPopup('http://docquery.fec.gov/cgi-bin/fecimg/?10991190770','700','800')" xr:uid="{00000000-0004-0000-0300-000038000000}"/>
    <hyperlink ref="F111" r:id="rId58" display="https://www.campaignmoney.com/political/committees/univision-communications-inc-political-action-committee.asp?cycle=10" xr:uid="{00000000-0004-0000-0300-000039000000}"/>
    <hyperlink ref="A114" r:id="rId59" display="javascript:CenterPopup('http://docquery.fec.gov/cgi-bin/fecimg/?10931135408','700','800')" xr:uid="{00000000-0004-0000-0300-00003A000000}"/>
    <hyperlink ref="F114" r:id="rId60" display="https://www.campaignmoney.com/political/committees/univision-communications-inc-political-action-committee.asp?cycle=10" xr:uid="{00000000-0004-0000-0300-00003B000000}"/>
    <hyperlink ref="A117" r:id="rId61" display="javascript:CenterPopup('http://docquery.fec.gov/cgi-bin/fecimg/?10931135408','700','800')" xr:uid="{00000000-0004-0000-0300-00003C000000}"/>
    <hyperlink ref="F117" r:id="rId62" display="https://www.campaignmoney.com/political/committees/univision-communications-inc-political-action-committee.asp?cycle=10" xr:uid="{00000000-0004-0000-0300-00003D000000}"/>
    <hyperlink ref="A120" r:id="rId63" display="javascript:CenterPopup('http://docquery.fec.gov/cgi-bin/fecimg/?10990978645','700','800')" xr:uid="{00000000-0004-0000-0300-00003E000000}"/>
    <hyperlink ref="F120" r:id="rId64" display="https://www.campaignmoney.com/political/committees/univision-communications-inc-political-action-committee.asp?cycle=10" xr:uid="{00000000-0004-0000-0300-00003F000000}"/>
    <hyperlink ref="A123" r:id="rId65" display="javascript:CenterPopup('http://docquery.fec.gov/cgi-bin/fecimg/?10990978644','700','800')" xr:uid="{00000000-0004-0000-0300-000040000000}"/>
    <hyperlink ref="F123" r:id="rId66" display="https://www.campaignmoney.com/political/committees/univision-communications-inc-political-action-committee.asp?cycle=10" xr:uid="{00000000-0004-0000-0300-000041000000}"/>
    <hyperlink ref="A126" r:id="rId67" display="javascript:CenterPopup('http://docquery.fec.gov/cgi-bin/fecimg/?10990793024','700','800')" xr:uid="{00000000-0004-0000-0300-000042000000}"/>
    <hyperlink ref="F126" r:id="rId68" display="https://www.campaignmoney.com/political/committees/univision-communications-inc-political-action-committee.asp?cycle=10" xr:uid="{00000000-0004-0000-0300-000043000000}"/>
    <hyperlink ref="B2" r:id="rId69" tooltip="CVS HEALTH PAC" display="https://www.fec.gov/data/committee/C00384818/" xr:uid="{92275C95-58A9-4989-8D96-8BB1FFE05853}"/>
    <hyperlink ref="B3" r:id="rId70" tooltip="CVS HEALTH PAC" display="https://www.fec.gov/data/committee/C00384818/" xr:uid="{98CAE382-09FE-4C33-A607-9E5AE34DFC60}"/>
  </hyperlinks>
  <pageMargins left="0.7" right="0.7" top="0.75" bottom="0.75" header="0.3" footer="0.3"/>
  <pageSetup orientation="portrait" r:id="rId7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5"/>
  <sheetViews>
    <sheetView topLeftCell="B1" workbookViewId="0">
      <selection activeCell="K5" sqref="K5:L16"/>
    </sheetView>
  </sheetViews>
  <sheetFormatPr defaultColWidth="8.85546875" defaultRowHeight="15"/>
  <cols>
    <col min="1" max="1" width="54.28515625" style="12" customWidth="1"/>
    <col min="2" max="2" width="48.42578125" style="12" customWidth="1"/>
    <col min="3" max="3" width="9.5703125" style="12" customWidth="1"/>
    <col min="4" max="4" width="21.85546875" style="12" customWidth="1"/>
    <col min="5" max="5" width="12.7109375" style="12" customWidth="1"/>
    <col min="6" max="6" width="11.42578125" style="12" customWidth="1"/>
    <col min="7" max="16384" width="8.85546875" style="12"/>
  </cols>
  <sheetData>
    <row r="1" spans="1:13">
      <c r="A1" s="12" t="s">
        <v>16</v>
      </c>
      <c r="B1" s="12" t="s">
        <v>17</v>
      </c>
      <c r="C1" s="12" t="s">
        <v>11</v>
      </c>
      <c r="D1" s="12" t="s">
        <v>18</v>
      </c>
      <c r="E1" s="12" t="s">
        <v>19</v>
      </c>
      <c r="F1" s="12" t="s">
        <v>20</v>
      </c>
      <c r="G1" s="12" t="s">
        <v>24</v>
      </c>
      <c r="H1" s="12" t="s">
        <v>4</v>
      </c>
      <c r="I1" s="15" t="s">
        <v>6</v>
      </c>
      <c r="J1" s="12" t="s">
        <v>5</v>
      </c>
      <c r="K1" s="12" t="s">
        <v>13</v>
      </c>
      <c r="L1" s="12" t="s">
        <v>14</v>
      </c>
      <c r="M1" s="12" t="s">
        <v>25</v>
      </c>
    </row>
    <row r="2" spans="1:13" ht="16.5" thickBot="1">
      <c r="A2" s="64" t="s">
        <v>782</v>
      </c>
      <c r="B2" s="66" t="s">
        <v>773</v>
      </c>
      <c r="C2" s="65" t="s">
        <v>774</v>
      </c>
      <c r="D2" s="65" t="s">
        <v>775</v>
      </c>
      <c r="E2" s="67">
        <v>43998</v>
      </c>
      <c r="F2" s="68">
        <v>5000</v>
      </c>
      <c r="G2" s="63" t="s">
        <v>2</v>
      </c>
      <c r="H2">
        <v>1150000</v>
      </c>
      <c r="I2" s="2">
        <v>2180000</v>
      </c>
      <c r="K2" s="18">
        <f>(+H2/(H2+I2))*100</f>
        <v>34.534534534534536</v>
      </c>
      <c r="L2" s="18">
        <f>(+I2/(H2+I2))*100</f>
        <v>65.465465465465471</v>
      </c>
    </row>
    <row r="3" spans="1:13" ht="16.5" thickBot="1">
      <c r="A3" s="64" t="s">
        <v>782</v>
      </c>
      <c r="B3" s="66" t="s">
        <v>773</v>
      </c>
      <c r="C3" s="65" t="s">
        <v>29</v>
      </c>
      <c r="D3" s="65" t="s">
        <v>776</v>
      </c>
      <c r="E3" s="67">
        <v>43621</v>
      </c>
      <c r="F3" s="68">
        <v>5000</v>
      </c>
      <c r="G3" s="63" t="s">
        <v>2</v>
      </c>
      <c r="H3">
        <v>1150000</v>
      </c>
      <c r="I3" s="2">
        <v>2180000</v>
      </c>
      <c r="K3" s="18">
        <f>(+H3/(H3+I3))*100</f>
        <v>34.534534534534536</v>
      </c>
      <c r="L3" s="18">
        <f>(+I3/(H3+I3))*100</f>
        <v>65.465465465465471</v>
      </c>
    </row>
    <row r="4" spans="1:13">
      <c r="E4" s="16"/>
      <c r="F4" s="17">
        <f>SUM(F2:F3)</f>
        <v>10000</v>
      </c>
    </row>
    <row r="5" spans="1:13" ht="15.75">
      <c r="E5" s="16"/>
      <c r="F5" s="17"/>
      <c r="K5" s="18"/>
      <c r="L5" s="18"/>
    </row>
    <row r="6" spans="1:13">
      <c r="E6" s="16"/>
      <c r="F6" s="17"/>
    </row>
    <row r="7" spans="1:13" ht="15.75">
      <c r="E7" s="16"/>
      <c r="F7" s="17"/>
      <c r="K7" s="18"/>
      <c r="L7" s="18"/>
    </row>
    <row r="8" spans="1:13" ht="15.75">
      <c r="B8" s="20"/>
      <c r="E8" s="16"/>
      <c r="F8" s="17"/>
      <c r="K8" s="18"/>
      <c r="L8" s="18"/>
    </row>
    <row r="9" spans="1:13" ht="15.75">
      <c r="B9" s="20"/>
      <c r="K9" s="18"/>
      <c r="L9" s="18"/>
    </row>
    <row r="10" spans="1:13" ht="15.75">
      <c r="B10" s="20"/>
      <c r="K10" s="18"/>
      <c r="L10" s="18"/>
    </row>
    <row r="11" spans="1:13" ht="15.75">
      <c r="B11" s="20"/>
      <c r="F11" s="17"/>
      <c r="K11" s="18"/>
      <c r="L11" s="18"/>
    </row>
    <row r="12" spans="1:13" ht="15.75">
      <c r="B12" s="20"/>
      <c r="K12" s="18"/>
      <c r="L12" s="18"/>
    </row>
    <row r="13" spans="1:13" ht="15.75">
      <c r="B13" s="20"/>
      <c r="K13" s="18"/>
      <c r="L13" s="18"/>
    </row>
    <row r="14" spans="1:13" ht="15.75">
      <c r="B14" s="20"/>
      <c r="E14" s="16"/>
      <c r="F14" s="17"/>
      <c r="K14" s="18"/>
      <c r="L14" s="18"/>
    </row>
    <row r="15" spans="1:13" ht="15.75">
      <c r="B15" s="20"/>
      <c r="K15" s="18"/>
      <c r="L15" s="18"/>
    </row>
    <row r="16" spans="1:13" ht="15.75">
      <c r="B16" s="20"/>
      <c r="F16" s="17"/>
      <c r="K16" s="18"/>
      <c r="L16" s="18"/>
    </row>
    <row r="17" spans="1:1">
      <c r="A17" s="15"/>
    </row>
    <row r="18" spans="1:1" ht="16.5">
      <c r="A18" s="32" t="s">
        <v>57</v>
      </c>
    </row>
    <row r="19" spans="1:1" ht="45">
      <c r="A19" s="33" t="s">
        <v>58</v>
      </c>
    </row>
    <row r="20" spans="1:1">
      <c r="A20" s="33" t="s">
        <v>59</v>
      </c>
    </row>
    <row r="21" spans="1:1">
      <c r="A21" s="33" t="s">
        <v>60</v>
      </c>
    </row>
    <row r="22" spans="1:1">
      <c r="A22" s="33" t="s">
        <v>61</v>
      </c>
    </row>
    <row r="23" spans="1:1" ht="30">
      <c r="A23" s="33" t="s">
        <v>62</v>
      </c>
    </row>
    <row r="24" spans="1:1">
      <c r="A24" s="33" t="s">
        <v>63</v>
      </c>
    </row>
    <row r="25" spans="1:1" ht="30">
      <c r="A25" s="33" t="s">
        <v>64</v>
      </c>
    </row>
    <row r="26" spans="1:1">
      <c r="A26" s="33" t="s">
        <v>65</v>
      </c>
    </row>
    <row r="27" spans="1:1">
      <c r="A27" s="33" t="s">
        <v>66</v>
      </c>
    </row>
    <row r="28" spans="1:1">
      <c r="A28" s="33" t="s">
        <v>65</v>
      </c>
    </row>
    <row r="29" spans="1:1">
      <c r="A29" s="33" t="s">
        <v>67</v>
      </c>
    </row>
    <row r="30" spans="1:1">
      <c r="A30" s="33" t="s">
        <v>68</v>
      </c>
    </row>
    <row r="31" spans="1:1">
      <c r="A31" s="33" t="s">
        <v>69</v>
      </c>
    </row>
    <row r="32" spans="1:1">
      <c r="A32" s="33" t="s">
        <v>70</v>
      </c>
    </row>
    <row r="33" spans="1:1" ht="16.5">
      <c r="A33" s="32" t="s">
        <v>71</v>
      </c>
    </row>
    <row r="34" spans="1:1" ht="30">
      <c r="A34" s="33" t="s">
        <v>72</v>
      </c>
    </row>
    <row r="35" spans="1:1">
      <c r="A35" s="33" t="s">
        <v>73</v>
      </c>
    </row>
    <row r="36" spans="1:1" ht="16.5">
      <c r="A36" s="32" t="s">
        <v>74</v>
      </c>
    </row>
    <row r="37" spans="1:1">
      <c r="A37" s="33" t="s">
        <v>75</v>
      </c>
    </row>
    <row r="38" spans="1:1">
      <c r="A38" s="33" t="s">
        <v>65</v>
      </c>
    </row>
    <row r="39" spans="1:1" ht="16.5">
      <c r="A39" s="32" t="s">
        <v>76</v>
      </c>
    </row>
    <row r="40" spans="1:1">
      <c r="A40" s="33" t="s">
        <v>77</v>
      </c>
    </row>
    <row r="41" spans="1:1">
      <c r="A41" s="33" t="s">
        <v>78</v>
      </c>
    </row>
    <row r="42" spans="1:1" ht="30">
      <c r="A42" s="33" t="s">
        <v>79</v>
      </c>
    </row>
    <row r="43" spans="1:1">
      <c r="A43" s="33" t="s">
        <v>78</v>
      </c>
    </row>
    <row r="44" spans="1:1" ht="16.5">
      <c r="A44" s="32" t="s">
        <v>80</v>
      </c>
    </row>
    <row r="45" spans="1:1" ht="30">
      <c r="A45" s="33" t="s">
        <v>81</v>
      </c>
    </row>
    <row r="46" spans="1:1">
      <c r="A46" s="33" t="s">
        <v>82</v>
      </c>
    </row>
    <row r="47" spans="1:1" ht="30">
      <c r="A47" s="33" t="s">
        <v>83</v>
      </c>
    </row>
    <row r="48" spans="1:1">
      <c r="A48" s="33" t="s">
        <v>84</v>
      </c>
    </row>
    <row r="49" spans="1:2" ht="30">
      <c r="A49" s="33" t="s">
        <v>85</v>
      </c>
    </row>
    <row r="50" spans="1:2">
      <c r="A50" s="33" t="s">
        <v>86</v>
      </c>
    </row>
    <row r="51" spans="1:2" ht="30">
      <c r="A51" s="33" t="s">
        <v>87</v>
      </c>
    </row>
    <row r="52" spans="1:2">
      <c r="A52" s="33" t="s">
        <v>88</v>
      </c>
    </row>
    <row r="53" spans="1:2" ht="30">
      <c r="A53" s="33" t="s">
        <v>89</v>
      </c>
    </row>
    <row r="54" spans="1:2">
      <c r="A54" s="33" t="s">
        <v>88</v>
      </c>
    </row>
    <row r="55" spans="1:2" ht="30">
      <c r="A55" s="33" t="s">
        <v>90</v>
      </c>
    </row>
    <row r="56" spans="1:2">
      <c r="A56" s="33" t="s">
        <v>91</v>
      </c>
    </row>
    <row r="57" spans="1:2" ht="30">
      <c r="A57" s="33" t="s">
        <v>92</v>
      </c>
    </row>
    <row r="58" spans="1:2">
      <c r="A58" s="33" t="s">
        <v>93</v>
      </c>
    </row>
    <row r="62" spans="1:2">
      <c r="A62" s="20" t="s">
        <v>81</v>
      </c>
    </row>
    <row r="64" spans="1:2">
      <c r="A64" s="12">
        <v>678000</v>
      </c>
      <c r="B64" s="12" t="s">
        <v>4</v>
      </c>
    </row>
    <row r="65" spans="1:2">
      <c r="A65" s="12">
        <v>514000</v>
      </c>
      <c r="B65" s="12" t="s">
        <v>6</v>
      </c>
    </row>
  </sheetData>
  <sortState xmlns:xlrd2="http://schemas.microsoft.com/office/spreadsheetml/2017/richdata2" ref="A2:M715">
    <sortCondition ref="D2:D715"/>
  </sortState>
  <hyperlinks>
    <hyperlink ref="A19" r:id="rId1" display="https://littlesis.org/org/23785-The_Chubb_Corporation" xr:uid="{00000000-0004-0000-0400-000000000000}"/>
    <hyperlink ref="A20" r:id="rId2" display="https://littlesis.org/relationships/925739" xr:uid="{00000000-0004-0000-0400-000001000000}"/>
    <hyperlink ref="A21" r:id="rId3" display="https://littlesis.org/org/1-Walmart_Inc." xr:uid="{00000000-0004-0000-0400-000002000000}"/>
    <hyperlink ref="A22" r:id="rId4" display="https://littlesis.org/relationships/563903" xr:uid="{00000000-0004-0000-0400-000003000000}"/>
    <hyperlink ref="A23" r:id="rId5" display="https://littlesis.org/org/12-JPMorgan_Chase_&amp;_Co." xr:uid="{00000000-0004-0000-0400-000004000000}"/>
    <hyperlink ref="A24" r:id="rId6" display="https://littlesis.org/relationships/564106" xr:uid="{00000000-0004-0000-0400-000005000000}"/>
    <hyperlink ref="A25" r:id="rId7" display="https://littlesis.org/org/25-UnitedHealth_Group,_Inc." xr:uid="{00000000-0004-0000-0400-000006000000}"/>
    <hyperlink ref="A26" r:id="rId8" display="https://littlesis.org/relationships/1704287" xr:uid="{00000000-0004-0000-0400-000007000000}"/>
    <hyperlink ref="A27" r:id="rId9" display="https://littlesis.org/org/81-Alcoa_Inc." xr:uid="{00000000-0004-0000-0400-000008000000}"/>
    <hyperlink ref="A28" r:id="rId10" display="https://littlesis.org/relationships/1703107" xr:uid="{00000000-0004-0000-0400-000009000000}"/>
    <hyperlink ref="A29" r:id="rId11" display="https://littlesis.org/org/17667-KPMG_LLP" xr:uid="{00000000-0004-0000-0400-00000A000000}"/>
    <hyperlink ref="A30" r:id="rId12" display="https://littlesis.org/relationships/93087" xr:uid="{00000000-0004-0000-0400-00000B000000}"/>
    <hyperlink ref="A31" r:id="rId13" display="https://littlesis.org/org/283528-Wal-Mart_Stores_(uk)_Limited" xr:uid="{00000000-0004-0000-0400-00000C000000}"/>
    <hyperlink ref="A32" r:id="rId14" display="https://littlesis.org/relationships/1403237" xr:uid="{00000000-0004-0000-0400-00000D000000}"/>
    <hyperlink ref="A34" r:id="rId15" display="https://littlesis.org/org/39932-Financial_Accounting_Standards_Board" xr:uid="{00000000-0004-0000-0400-00000E000000}"/>
    <hyperlink ref="A35" r:id="rId16" display="https://littlesis.org/relationships/722686" xr:uid="{00000000-0004-0000-0400-00000F000000}"/>
    <hyperlink ref="A37" r:id="rId17" display="https://littlesis.org/org/85949-YMCA_of_Greater_New_York" xr:uid="{00000000-0004-0000-0400-000010000000}"/>
    <hyperlink ref="A38" r:id="rId18" display="https://littlesis.org/relationships/372801" xr:uid="{00000000-0004-0000-0400-000011000000}"/>
    <hyperlink ref="A40" r:id="rId19" display="https://littlesis.org/org/40361-World_Economic_Forum_-_International_Business_Council" xr:uid="{00000000-0004-0000-0400-000012000000}"/>
    <hyperlink ref="A41" r:id="rId20" display="https://littlesis.org/relationships/722687" xr:uid="{00000000-0004-0000-0400-000013000000}"/>
    <hyperlink ref="A42" r:id="rId21" display="https://littlesis.org/org/33791-Business_Roundtable" xr:uid="{00000000-0004-0000-0400-000014000000}"/>
    <hyperlink ref="A43" r:id="rId22" display="https://littlesis.org/relationships/93125" xr:uid="{00000000-0004-0000-0400-000015000000}"/>
    <hyperlink ref="A45" r:id="rId23" display="https://littlesis.org/org/30787-KPMG_Partners_&amp;_Principals_&amp;_Employees_Political_Action_Committee" xr:uid="{00000000-0004-0000-0400-000016000000}"/>
    <hyperlink ref="A46" r:id="rId24" display="https://littlesis.org/relationships/198419" xr:uid="{00000000-0004-0000-0400-000017000000}"/>
    <hyperlink ref="A47" r:id="rId25" display="https://littlesis.org/person/13248-Chris_Dodd" xr:uid="{00000000-0004-0000-0400-000018000000}"/>
    <hyperlink ref="A48" r:id="rId26" display="https://littlesis.org/relationships/198420" xr:uid="{00000000-0004-0000-0400-000019000000}"/>
    <hyperlink ref="A49" r:id="rId27" display="https://littlesis.org/person/13575-Chuck_Schumer" xr:uid="{00000000-0004-0000-0400-00001A000000}"/>
    <hyperlink ref="A50" r:id="rId28" display="https://littlesis.org/relationships/198423" xr:uid="{00000000-0004-0000-0400-00001B000000}"/>
    <hyperlink ref="A51" r:id="rId29" display="https://littlesis.org/person/28801-Rudy_Giuliani" xr:uid="{00000000-0004-0000-0400-00001C000000}"/>
    <hyperlink ref="A52" r:id="rId30" display="https://littlesis.org/relationships/198421" xr:uid="{00000000-0004-0000-0400-00001D000000}"/>
    <hyperlink ref="A53" r:id="rId31" display="https://littlesis.org/person/29484-Michael_Ciresi_V" xr:uid="{00000000-0004-0000-0400-00001E000000}"/>
    <hyperlink ref="A54" r:id="rId32" display="https://littlesis.org/relationships/198422" xr:uid="{00000000-0004-0000-0400-00001F000000}"/>
    <hyperlink ref="A55" r:id="rId33" display="https://littlesis.org/person/13587-Richard_Shelby" xr:uid="{00000000-0004-0000-0400-000020000000}"/>
    <hyperlink ref="A56" r:id="rId34" display="https://littlesis.org/relationships/198424" xr:uid="{00000000-0004-0000-0400-000021000000}"/>
    <hyperlink ref="A57" r:id="rId35" display="https://littlesis.org/person/39051-Max_Baucus" xr:uid="{00000000-0004-0000-0400-000022000000}"/>
    <hyperlink ref="A58" r:id="rId36" display="https://littlesis.org/relationships/198425" xr:uid="{00000000-0004-0000-0400-000023000000}"/>
    <hyperlink ref="A62" r:id="rId37" display="https://littlesis.org/org/30787-KPMG_Partners_&amp;_Principals_&amp;_Employees_Political_Action_Committee" xr:uid="{00000000-0004-0000-0400-000024000000}"/>
    <hyperlink ref="B2" r:id="rId38" tooltip="CVS HEALTH PAC" display="https://www.fec.gov/data/committee/C00384818/" xr:uid="{B9E9C233-A0BF-4A55-91F5-816274606A7F}"/>
    <hyperlink ref="B3" r:id="rId39" tooltip="CVS HEALTH PAC" display="https://www.fec.gov/data/committee/C00384818/" xr:uid="{B99C255B-F994-47FD-B3E2-B4A3C5A307F4}"/>
  </hyperlinks>
  <pageMargins left="0.7" right="0.7" top="0.75" bottom="0.75" header="0.3" footer="0.3"/>
  <pageSetup orientation="portrait" r:id="rId4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0"/>
  <sheetViews>
    <sheetView workbookViewId="0">
      <selection activeCell="K5" sqref="K5"/>
    </sheetView>
  </sheetViews>
  <sheetFormatPr defaultRowHeight="15"/>
  <cols>
    <col min="1" max="1" width="15.28515625" customWidth="1"/>
    <col min="2" max="2" width="14.85546875" customWidth="1"/>
    <col min="3" max="3" width="14.5703125" customWidth="1"/>
    <col min="4" max="4" width="23.5703125" customWidth="1"/>
    <col min="5" max="5" width="12.5703125" customWidth="1"/>
    <col min="6" max="6" width="12.140625" customWidth="1"/>
  </cols>
  <sheetData>
    <row r="1" spans="1:13">
      <c r="A1" t="s">
        <v>16</v>
      </c>
      <c r="B1" t="s">
        <v>17</v>
      </c>
      <c r="C1" t="s">
        <v>11</v>
      </c>
      <c r="D1" t="s">
        <v>18</v>
      </c>
      <c r="E1" t="s">
        <v>19</v>
      </c>
      <c r="F1" t="s">
        <v>20</v>
      </c>
      <c r="G1" s="12" t="s">
        <v>24</v>
      </c>
      <c r="H1" t="s">
        <v>4</v>
      </c>
      <c r="I1" s="2" t="s">
        <v>6</v>
      </c>
      <c r="J1" t="s">
        <v>5</v>
      </c>
      <c r="K1" s="12" t="s">
        <v>13</v>
      </c>
      <c r="L1" s="12" t="s">
        <v>14</v>
      </c>
      <c r="M1" s="12" t="s">
        <v>25</v>
      </c>
    </row>
    <row r="2" spans="1:13" ht="43.5" thickBot="1">
      <c r="A2" s="64" t="s">
        <v>783</v>
      </c>
      <c r="B2" s="66" t="s">
        <v>784</v>
      </c>
      <c r="C2" s="65" t="s">
        <v>174</v>
      </c>
      <c r="D2" s="65" t="s">
        <v>776</v>
      </c>
      <c r="E2" s="67">
        <v>43880</v>
      </c>
      <c r="F2" s="68">
        <v>2500</v>
      </c>
      <c r="G2" s="63" t="s">
        <v>2</v>
      </c>
      <c r="H2">
        <v>0</v>
      </c>
      <c r="I2">
        <v>100</v>
      </c>
      <c r="K2" s="18">
        <f>(+H2/(H2+I2))*100</f>
        <v>0</v>
      </c>
      <c r="L2" s="18">
        <f>(+I2/(H2+I2))*100</f>
        <v>100</v>
      </c>
    </row>
    <row r="3" spans="1:13" ht="45.75" thickBot="1">
      <c r="A3" s="64" t="s">
        <v>785</v>
      </c>
      <c r="B3" s="66" t="s">
        <v>786</v>
      </c>
      <c r="C3" s="65" t="s">
        <v>174</v>
      </c>
      <c r="D3" s="65" t="s">
        <v>787</v>
      </c>
      <c r="E3" s="67">
        <v>43782</v>
      </c>
      <c r="F3" s="68">
        <v>2800</v>
      </c>
      <c r="G3" s="63" t="s">
        <v>2</v>
      </c>
      <c r="H3">
        <v>0</v>
      </c>
      <c r="I3">
        <v>100</v>
      </c>
      <c r="K3" s="18">
        <f>(+H3/(H3+I3))*100</f>
        <v>0</v>
      </c>
      <c r="L3" s="18">
        <f>(+I3/(H3+I3))*100</f>
        <v>100</v>
      </c>
    </row>
    <row r="4" spans="1:13">
      <c r="F4" s="14">
        <f>SUM(F2:F3)</f>
        <v>5300</v>
      </c>
    </row>
    <row r="5" spans="1:13">
      <c r="K5" t="s">
        <v>804</v>
      </c>
    </row>
    <row r="8" spans="1:13">
      <c r="A8" s="71" t="s">
        <v>789</v>
      </c>
    </row>
    <row r="18" spans="1:1">
      <c r="A18" t="s">
        <v>31</v>
      </c>
    </row>
    <row r="19" spans="1:1">
      <c r="A19" s="21" t="s">
        <v>34</v>
      </c>
    </row>
    <row r="21" spans="1:1">
      <c r="A21" t="s">
        <v>94</v>
      </c>
    </row>
    <row r="22" spans="1:1">
      <c r="A22" t="s">
        <v>95</v>
      </c>
    </row>
    <row r="24" spans="1:1">
      <c r="A24" s="2" t="s">
        <v>96</v>
      </c>
    </row>
    <row r="26" spans="1:1">
      <c r="A26" t="s">
        <v>97</v>
      </c>
    </row>
    <row r="28" spans="1:1">
      <c r="A28" s="2" t="s">
        <v>98</v>
      </c>
    </row>
    <row r="30" spans="1:1">
      <c r="A30" t="s">
        <v>99</v>
      </c>
    </row>
  </sheetData>
  <hyperlinks>
    <hyperlink ref="B2" r:id="rId1" tooltip="FRIENDS OF SCHUMER" display="https://www.fec.gov/data/committee/C00346312/" xr:uid="{D8D9E153-F737-4516-9505-22B774B359D0}"/>
    <hyperlink ref="B3" r:id="rId2" tooltip="DONNA SHALALA FOR CONGRESS" display="https://www.fec.gov/data/committee/C00672311/" xr:uid="{0B31D0FF-3A9B-4019-A08F-25B7A3941BD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1"/>
  <sheetViews>
    <sheetView topLeftCell="D5" workbookViewId="0">
      <selection activeCell="P11" sqref="P11"/>
    </sheetView>
  </sheetViews>
  <sheetFormatPr defaultRowHeight="15"/>
  <cols>
    <col min="1" max="1" width="19.140625" customWidth="1"/>
    <col min="2" max="2" width="20.28515625" customWidth="1"/>
    <col min="3" max="3" width="15.7109375" customWidth="1"/>
    <col min="4" max="4" width="43.140625" customWidth="1"/>
    <col min="5" max="5" width="11.7109375" customWidth="1"/>
    <col min="6" max="6" width="20.28515625" customWidth="1"/>
    <col min="8" max="8" width="13.85546875" customWidth="1"/>
  </cols>
  <sheetData>
    <row r="1" spans="1:13">
      <c r="A1" t="s">
        <v>16</v>
      </c>
      <c r="B1" t="s">
        <v>17</v>
      </c>
      <c r="C1" t="s">
        <v>11</v>
      </c>
      <c r="D1" t="s">
        <v>18</v>
      </c>
      <c r="E1" t="s">
        <v>19</v>
      </c>
      <c r="F1" t="s">
        <v>20</v>
      </c>
      <c r="G1" s="12" t="s">
        <v>24</v>
      </c>
      <c r="H1" t="s">
        <v>4</v>
      </c>
      <c r="I1" s="2" t="s">
        <v>6</v>
      </c>
      <c r="J1" t="s">
        <v>5</v>
      </c>
      <c r="K1" s="12" t="s">
        <v>13</v>
      </c>
      <c r="L1" s="12" t="s">
        <v>14</v>
      </c>
      <c r="M1" s="12" t="s">
        <v>25</v>
      </c>
    </row>
    <row r="2" spans="1:13" ht="45.75" thickBot="1">
      <c r="A2" s="64" t="s">
        <v>790</v>
      </c>
      <c r="B2" s="66" t="s">
        <v>110</v>
      </c>
      <c r="C2" s="65" t="s">
        <v>535</v>
      </c>
      <c r="D2" s="65" t="s">
        <v>791</v>
      </c>
      <c r="E2" s="67">
        <v>44152</v>
      </c>
      <c r="F2" s="68">
        <v>39000</v>
      </c>
      <c r="G2" t="s">
        <v>3</v>
      </c>
      <c r="H2" s="72">
        <v>52662200</v>
      </c>
      <c r="I2" s="12">
        <v>0</v>
      </c>
      <c r="K2" s="18">
        <f>(+H2/(H2+I2))*100</f>
        <v>100</v>
      </c>
      <c r="L2" s="18">
        <f>(+I2/(H2+I2))*100</f>
        <v>0</v>
      </c>
    </row>
    <row r="3" spans="1:13" ht="29.25" thickBot="1">
      <c r="A3" s="64" t="s">
        <v>792</v>
      </c>
      <c r="B3" s="66" t="s">
        <v>793</v>
      </c>
      <c r="C3" s="65" t="s">
        <v>535</v>
      </c>
      <c r="D3" s="65" t="s">
        <v>791</v>
      </c>
      <c r="E3" s="67">
        <v>44152</v>
      </c>
      <c r="F3" s="68">
        <v>15500</v>
      </c>
      <c r="G3" t="s">
        <v>3</v>
      </c>
      <c r="H3" s="72">
        <v>52662200</v>
      </c>
      <c r="I3" s="12">
        <v>0</v>
      </c>
      <c r="K3" s="18">
        <f>(+H3/(H3+I3))*100</f>
        <v>100</v>
      </c>
      <c r="L3" s="18">
        <f>(+I3/(H3+I3))*100</f>
        <v>0</v>
      </c>
    </row>
    <row r="4" spans="1:13" ht="29.25" thickBot="1">
      <c r="A4" s="64" t="s">
        <v>792</v>
      </c>
      <c r="B4" s="66" t="s">
        <v>793</v>
      </c>
      <c r="C4" s="65" t="s">
        <v>535</v>
      </c>
      <c r="D4" s="65" t="s">
        <v>791</v>
      </c>
      <c r="E4" s="67">
        <v>44152</v>
      </c>
      <c r="F4" s="68">
        <v>17900</v>
      </c>
      <c r="G4" t="s">
        <v>3</v>
      </c>
      <c r="H4" s="72">
        <v>52662200</v>
      </c>
      <c r="I4" s="12">
        <v>0</v>
      </c>
      <c r="K4" s="18">
        <f>(+H4/(H4+I4))*100</f>
        <v>100</v>
      </c>
      <c r="L4" s="18">
        <f>(+I4/(H4+I4))*100</f>
        <v>0</v>
      </c>
    </row>
    <row r="5" spans="1:13" ht="29.25" thickBot="1">
      <c r="A5" s="64" t="s">
        <v>792</v>
      </c>
      <c r="B5" s="66" t="s">
        <v>793</v>
      </c>
      <c r="C5" s="65" t="s">
        <v>794</v>
      </c>
      <c r="D5" s="65" t="s">
        <v>795</v>
      </c>
      <c r="E5" s="67">
        <v>44088</v>
      </c>
      <c r="F5" s="68">
        <v>20000</v>
      </c>
      <c r="G5" t="s">
        <v>3</v>
      </c>
      <c r="H5" s="72">
        <v>52662200</v>
      </c>
      <c r="I5" s="12">
        <v>0</v>
      </c>
    </row>
    <row r="6" spans="1:13" ht="30.75" thickBot="1">
      <c r="A6" s="64" t="s">
        <v>796</v>
      </c>
      <c r="B6" s="66" t="s">
        <v>797</v>
      </c>
      <c r="C6" s="65" t="s">
        <v>535</v>
      </c>
      <c r="D6" s="65" t="s">
        <v>776</v>
      </c>
      <c r="E6" s="67">
        <v>44060</v>
      </c>
      <c r="F6" s="68">
        <v>2800</v>
      </c>
      <c r="G6" t="s">
        <v>3</v>
      </c>
      <c r="H6" s="72">
        <v>52662200</v>
      </c>
      <c r="I6" s="12">
        <v>0</v>
      </c>
    </row>
    <row r="7" spans="1:13" ht="29.25" thickBot="1">
      <c r="A7" s="64" t="s">
        <v>798</v>
      </c>
      <c r="B7" s="66" t="s">
        <v>112</v>
      </c>
      <c r="C7" s="65" t="s">
        <v>535</v>
      </c>
      <c r="D7" s="65" t="s">
        <v>776</v>
      </c>
      <c r="E7" s="67">
        <v>43646</v>
      </c>
      <c r="F7" s="68">
        <v>2800</v>
      </c>
      <c r="G7" t="s">
        <v>3</v>
      </c>
      <c r="H7" s="72">
        <v>52662200</v>
      </c>
      <c r="I7" s="12">
        <v>0</v>
      </c>
    </row>
    <row r="8" spans="1:13" ht="29.25" thickBot="1">
      <c r="A8" s="64" t="s">
        <v>798</v>
      </c>
      <c r="B8" s="66" t="s">
        <v>112</v>
      </c>
      <c r="C8" s="65" t="s">
        <v>535</v>
      </c>
      <c r="D8" s="65" t="s">
        <v>776</v>
      </c>
      <c r="E8" s="67">
        <v>43646</v>
      </c>
      <c r="F8" s="68">
        <v>100</v>
      </c>
      <c r="G8" t="s">
        <v>3</v>
      </c>
      <c r="H8" s="72">
        <v>52662200</v>
      </c>
      <c r="I8" s="12">
        <v>0</v>
      </c>
    </row>
    <row r="9" spans="1:13" ht="29.25" thickBot="1">
      <c r="A9" s="64" t="s">
        <v>798</v>
      </c>
      <c r="B9" s="66" t="s">
        <v>799</v>
      </c>
      <c r="C9" s="65" t="s">
        <v>535</v>
      </c>
      <c r="D9" s="65" t="s">
        <v>776</v>
      </c>
      <c r="E9" s="67">
        <v>43646</v>
      </c>
      <c r="F9" s="68">
        <v>7900</v>
      </c>
      <c r="G9" t="s">
        <v>3</v>
      </c>
      <c r="H9" s="72">
        <v>52662200</v>
      </c>
      <c r="I9" s="12">
        <v>0</v>
      </c>
    </row>
    <row r="10" spans="1:13" ht="29.25" thickBot="1">
      <c r="A10" s="64" t="s">
        <v>800</v>
      </c>
      <c r="B10" s="66" t="s">
        <v>801</v>
      </c>
      <c r="C10" s="65" t="s">
        <v>535</v>
      </c>
      <c r="D10" s="65" t="s">
        <v>776</v>
      </c>
      <c r="E10" s="67">
        <v>43646</v>
      </c>
      <c r="F10" s="68">
        <v>5000</v>
      </c>
      <c r="G10" t="s">
        <v>3</v>
      </c>
      <c r="H10" s="72">
        <v>52662200</v>
      </c>
      <c r="I10" s="12">
        <v>0</v>
      </c>
      <c r="K10">
        <v>192000</v>
      </c>
      <c r="L10">
        <v>0</v>
      </c>
    </row>
    <row r="11" spans="1:13">
      <c r="F11" s="14">
        <f>SUM(F2:F10)</f>
        <v>111000</v>
      </c>
    </row>
  </sheetData>
  <sortState xmlns:xlrd2="http://schemas.microsoft.com/office/spreadsheetml/2017/richdata2" ref="A22:F350">
    <sortCondition ref="A22:A350"/>
    <sortCondition ref="D22:D350"/>
    <sortCondition ref="B22:B350"/>
    <sortCondition ref="C22:C350"/>
  </sortState>
  <hyperlinks>
    <hyperlink ref="B2" r:id="rId1" tooltip="SENATE GEORGIA BATTLEGROUND FUND" display="https://www.fec.gov/data/committee/C00736967/" xr:uid="{E3EE0CB9-0F4A-4A85-BFA5-D8335BBE902E}"/>
    <hyperlink ref="B3" r:id="rId2" tooltip="NRSC" display="https://www.fec.gov/data/committee/C00027466/" xr:uid="{B212B695-1C6D-4A79-A784-07FEB8710CB0}"/>
    <hyperlink ref="B4" r:id="rId3" tooltip="NRSC" display="https://www.fec.gov/data/committee/C00027466/" xr:uid="{DE40E80F-01A4-464A-A50A-02DE5F90630A}"/>
    <hyperlink ref="B5" r:id="rId4" tooltip="NRSC" display="https://www.fec.gov/data/committee/C00027466/" xr:uid="{4336BBF1-A924-406B-AA7C-F4B21B5A605D}"/>
    <hyperlink ref="B6" r:id="rId5" tooltip="GRAHAM-PERDUE VICTORY FUND" display="https://www.fec.gov/data/committee/C00742254/" xr:uid="{0DDE429B-FA43-4755-A036-0AB744086153}"/>
    <hyperlink ref="B7" r:id="rId6" tooltip="PERDUE FOR SENATE" display="https://www.fec.gov/data/committee/C00547570/" xr:uid="{62F0720B-A688-4D33-B772-1DE5BD70B863}"/>
    <hyperlink ref="B8" r:id="rId7" tooltip="PERDUE FOR SENATE" display="https://www.fec.gov/data/committee/C00547570/" xr:uid="{D23F2F4E-D827-4620-9F12-484A63AF6D80}"/>
    <hyperlink ref="B9" r:id="rId8" tooltip="PERDUE VICTORY INC" display="https://www.fec.gov/data/committee/C00571620/" xr:uid="{5F4FEA78-03B5-42D5-813A-931386C59696}"/>
    <hyperlink ref="B10" r:id="rId9" tooltip="ONE GEORGIA PAC" display="https://www.fec.gov/data/committee/C00571208/" xr:uid="{107F4702-8D11-45CD-A30C-AAB2868CA58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
  <sheetViews>
    <sheetView workbookViewId="0">
      <selection activeCell="G2" sqref="G2:I3"/>
    </sheetView>
  </sheetViews>
  <sheetFormatPr defaultRowHeight="15"/>
  <cols>
    <col min="2" max="2" width="23" customWidth="1"/>
    <col min="4" max="4" width="19.5703125" customWidth="1"/>
    <col min="5" max="5" width="10.42578125" customWidth="1"/>
    <col min="6" max="6" width="11.85546875" customWidth="1"/>
  </cols>
  <sheetData>
    <row r="1" spans="1:13">
      <c r="A1" t="s">
        <v>16</v>
      </c>
      <c r="B1" t="s">
        <v>17</v>
      </c>
      <c r="C1" t="s">
        <v>11</v>
      </c>
      <c r="D1" t="s">
        <v>18</v>
      </c>
      <c r="E1" t="s">
        <v>19</v>
      </c>
      <c r="F1" t="s">
        <v>20</v>
      </c>
      <c r="G1" s="12" t="s">
        <v>24</v>
      </c>
      <c r="H1" t="s">
        <v>4</v>
      </c>
      <c r="I1" s="2" t="s">
        <v>6</v>
      </c>
      <c r="J1" t="s">
        <v>5</v>
      </c>
      <c r="K1" s="12" t="s">
        <v>13</v>
      </c>
      <c r="L1" s="12" t="s">
        <v>14</v>
      </c>
      <c r="M1" s="12" t="s">
        <v>25</v>
      </c>
    </row>
    <row r="2" spans="1:13" ht="29.25" thickBot="1">
      <c r="A2" s="64" t="s">
        <v>805</v>
      </c>
      <c r="B2" s="66" t="s">
        <v>773</v>
      </c>
      <c r="C2" s="65" t="s">
        <v>774</v>
      </c>
      <c r="D2" s="65" t="s">
        <v>775</v>
      </c>
      <c r="E2" s="67">
        <v>43998</v>
      </c>
      <c r="F2" s="68">
        <v>5000</v>
      </c>
      <c r="G2" s="63" t="s">
        <v>2</v>
      </c>
      <c r="H2">
        <v>1150000</v>
      </c>
      <c r="I2" s="2">
        <v>2180000</v>
      </c>
      <c r="J2" s="12"/>
      <c r="K2" s="18">
        <f>(+H2/(H2+I2))*100</f>
        <v>34.534534534534536</v>
      </c>
      <c r="L2" s="18">
        <f>(+I2/(H2+I2))*100</f>
        <v>65.465465465465471</v>
      </c>
    </row>
    <row r="3" spans="1:13" ht="29.25" thickBot="1">
      <c r="A3" s="64" t="s">
        <v>805</v>
      </c>
      <c r="B3" s="66" t="s">
        <v>773</v>
      </c>
      <c r="C3" s="65" t="s">
        <v>806</v>
      </c>
      <c r="D3" s="65" t="s">
        <v>776</v>
      </c>
      <c r="E3" s="67">
        <v>43817</v>
      </c>
      <c r="F3" s="68">
        <v>5000</v>
      </c>
      <c r="G3" s="63" t="s">
        <v>2</v>
      </c>
      <c r="H3">
        <v>1150000</v>
      </c>
      <c r="I3" s="2">
        <v>2180000</v>
      </c>
      <c r="K3" s="18">
        <f>(+H3/(H3+I3))*100</f>
        <v>34.534534534534536</v>
      </c>
      <c r="L3" s="18">
        <f>(+I3/(H3+I3))*100</f>
        <v>65.465465465465471</v>
      </c>
    </row>
    <row r="4" spans="1:13">
      <c r="F4" s="14"/>
    </row>
    <row r="5" spans="1:13">
      <c r="A5" s="20"/>
    </row>
  </sheetData>
  <hyperlinks>
    <hyperlink ref="B2" r:id="rId1" tooltip="CVS HEALTH PAC" display="https://www.fec.gov/data/committee/C00384818/" xr:uid="{11341080-A9AC-44C8-ACF1-BC28F537DDB3}"/>
    <hyperlink ref="B3" r:id="rId2" tooltip="CVS HEALTH PAC" display="https://www.fec.gov/data/committee/C00384818/" xr:uid="{A4F83E7A-6467-4467-9C84-31A6A3C3C86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5"/>
  <sheetViews>
    <sheetView topLeftCell="A49" workbookViewId="0">
      <selection activeCell="F2" sqref="F2:F52"/>
    </sheetView>
  </sheetViews>
  <sheetFormatPr defaultColWidth="8.85546875" defaultRowHeight="15"/>
  <cols>
    <col min="1" max="1" width="24" style="12" customWidth="1"/>
    <col min="2" max="2" width="41.140625" style="12" customWidth="1"/>
    <col min="3" max="4" width="8.85546875" style="12"/>
    <col min="5" max="5" width="12.7109375" style="12" customWidth="1"/>
    <col min="6" max="6" width="12.42578125" style="12" customWidth="1"/>
    <col min="7" max="16384" width="8.85546875" style="12"/>
  </cols>
  <sheetData>
    <row r="1" spans="1:13">
      <c r="A1" s="12" t="s">
        <v>16</v>
      </c>
      <c r="B1" s="12" t="s">
        <v>17</v>
      </c>
      <c r="C1" s="12" t="s">
        <v>11</v>
      </c>
      <c r="D1" s="12" t="s">
        <v>18</v>
      </c>
      <c r="E1" s="12" t="s">
        <v>19</v>
      </c>
      <c r="F1" s="12" t="s">
        <v>20</v>
      </c>
      <c r="G1" s="12" t="s">
        <v>24</v>
      </c>
      <c r="H1" s="12" t="s">
        <v>4</v>
      </c>
      <c r="I1" s="15" t="s">
        <v>6</v>
      </c>
      <c r="J1" s="12" t="s">
        <v>5</v>
      </c>
      <c r="K1" s="12" t="s">
        <v>13</v>
      </c>
      <c r="L1" s="12" t="s">
        <v>14</v>
      </c>
      <c r="M1" s="12" t="s">
        <v>25</v>
      </c>
    </row>
    <row r="2" spans="1:13" ht="57.75" thickBot="1">
      <c r="A2" s="64" t="s">
        <v>812</v>
      </c>
      <c r="B2" s="66" t="s">
        <v>813</v>
      </c>
      <c r="C2" s="65" t="s">
        <v>814</v>
      </c>
      <c r="D2" s="65" t="s">
        <v>815</v>
      </c>
      <c r="E2" s="67">
        <v>44196</v>
      </c>
      <c r="F2" s="68">
        <v>208.33</v>
      </c>
      <c r="H2" s="12">
        <v>3000</v>
      </c>
      <c r="I2" s="12">
        <v>180172</v>
      </c>
      <c r="K2" s="18">
        <f>(+H2/(H2+I2))*100</f>
        <v>1.6378049046797547</v>
      </c>
      <c r="L2" s="18">
        <f>(+I2/(H2+I2))*100</f>
        <v>98.362195095320246</v>
      </c>
    </row>
    <row r="3" spans="1:13" ht="57.75" thickBot="1">
      <c r="A3" s="64" t="s">
        <v>812</v>
      </c>
      <c r="B3" s="66" t="s">
        <v>813</v>
      </c>
      <c r="C3" s="65" t="s">
        <v>814</v>
      </c>
      <c r="D3" s="65" t="s">
        <v>815</v>
      </c>
      <c r="E3" s="67">
        <v>44180</v>
      </c>
      <c r="F3" s="68">
        <v>208.33</v>
      </c>
      <c r="H3" s="12">
        <v>3000</v>
      </c>
      <c r="I3" s="12">
        <v>180172</v>
      </c>
      <c r="K3" s="18">
        <f t="shared" ref="K3:K5" si="0">(+H3/(H3+I3))*100</f>
        <v>1.6378049046797547</v>
      </c>
      <c r="L3" s="18">
        <f t="shared" ref="L3:L5" si="1">(+I3/(H3+I3))*100</f>
        <v>98.362195095320246</v>
      </c>
    </row>
    <row r="4" spans="1:13" ht="57.75" thickBot="1">
      <c r="A4" s="64" t="s">
        <v>812</v>
      </c>
      <c r="B4" s="66" t="s">
        <v>813</v>
      </c>
      <c r="C4" s="65" t="s">
        <v>814</v>
      </c>
      <c r="D4" s="65" t="s">
        <v>815</v>
      </c>
      <c r="E4" s="67">
        <v>44165</v>
      </c>
      <c r="F4" s="68">
        <v>208.33</v>
      </c>
      <c r="H4" s="12">
        <v>3000</v>
      </c>
      <c r="I4" s="12">
        <v>180172</v>
      </c>
      <c r="K4" s="18">
        <f t="shared" si="0"/>
        <v>1.6378049046797547</v>
      </c>
      <c r="L4" s="18">
        <f t="shared" si="1"/>
        <v>98.362195095320246</v>
      </c>
    </row>
    <row r="5" spans="1:13" ht="57.75" thickBot="1">
      <c r="A5" s="64" t="s">
        <v>812</v>
      </c>
      <c r="B5" s="66" t="s">
        <v>813</v>
      </c>
      <c r="C5" s="65" t="s">
        <v>814</v>
      </c>
      <c r="D5" s="65" t="s">
        <v>815</v>
      </c>
      <c r="E5" s="67">
        <v>44150</v>
      </c>
      <c r="F5" s="68">
        <v>208.33</v>
      </c>
      <c r="H5" s="12">
        <v>3000</v>
      </c>
      <c r="I5" s="12">
        <v>180172</v>
      </c>
      <c r="K5" s="18">
        <f t="shared" si="0"/>
        <v>1.6378049046797547</v>
      </c>
      <c r="L5" s="18">
        <f t="shared" si="1"/>
        <v>98.362195095320246</v>
      </c>
    </row>
    <row r="6" spans="1:13" ht="57.75" thickBot="1">
      <c r="A6" s="64" t="s">
        <v>816</v>
      </c>
      <c r="B6" s="66" t="s">
        <v>817</v>
      </c>
      <c r="C6" s="65" t="s">
        <v>814</v>
      </c>
      <c r="D6" s="65" t="s">
        <v>815</v>
      </c>
      <c r="E6" s="67">
        <v>44138</v>
      </c>
      <c r="F6" s="68">
        <v>1000</v>
      </c>
      <c r="H6" s="12">
        <v>0</v>
      </c>
      <c r="I6" s="12" t="s">
        <v>819</v>
      </c>
      <c r="K6" s="18" t="e">
        <f t="shared" ref="K6:K51" si="2">(+H6/(H6+I6))*100</f>
        <v>#VALUE!</v>
      </c>
      <c r="L6" s="18" t="e">
        <f t="shared" ref="L6:L51" si="3">(+I6/(H6+I6))*100</f>
        <v>#VALUE!</v>
      </c>
    </row>
    <row r="7" spans="1:13" ht="57.75" thickBot="1">
      <c r="A7" s="64" t="s">
        <v>812</v>
      </c>
      <c r="B7" s="66" t="s">
        <v>813</v>
      </c>
      <c r="C7" s="65" t="s">
        <v>814</v>
      </c>
      <c r="D7" s="65" t="s">
        <v>815</v>
      </c>
      <c r="E7" s="67">
        <v>44135</v>
      </c>
      <c r="F7" s="68">
        <v>208.33</v>
      </c>
      <c r="H7" s="12">
        <v>3000</v>
      </c>
      <c r="I7" s="12">
        <v>180172</v>
      </c>
      <c r="K7" s="18">
        <f t="shared" si="2"/>
        <v>1.6378049046797547</v>
      </c>
      <c r="L7" s="18">
        <f t="shared" si="3"/>
        <v>98.362195095320246</v>
      </c>
    </row>
    <row r="8" spans="1:13" ht="57.75" thickBot="1">
      <c r="A8" s="64" t="s">
        <v>812</v>
      </c>
      <c r="B8" s="66" t="s">
        <v>813</v>
      </c>
      <c r="C8" s="65" t="s">
        <v>814</v>
      </c>
      <c r="D8" s="65" t="s">
        <v>815</v>
      </c>
      <c r="E8" s="67">
        <v>44119</v>
      </c>
      <c r="F8" s="68">
        <v>208.33</v>
      </c>
      <c r="H8" s="12">
        <v>3000</v>
      </c>
      <c r="I8" s="12">
        <v>180172</v>
      </c>
      <c r="K8" s="18">
        <f t="shared" si="2"/>
        <v>1.6378049046797547</v>
      </c>
      <c r="L8" s="18">
        <f t="shared" si="3"/>
        <v>98.362195095320246</v>
      </c>
    </row>
    <row r="9" spans="1:13" ht="57.75" thickBot="1">
      <c r="A9" s="64" t="s">
        <v>812</v>
      </c>
      <c r="B9" s="66" t="s">
        <v>813</v>
      </c>
      <c r="C9" s="65" t="s">
        <v>814</v>
      </c>
      <c r="D9" s="65" t="s">
        <v>815</v>
      </c>
      <c r="E9" s="67">
        <v>44104</v>
      </c>
      <c r="F9" s="68">
        <v>208.33</v>
      </c>
      <c r="H9" s="12">
        <v>3000</v>
      </c>
      <c r="I9" s="12">
        <v>180172</v>
      </c>
      <c r="K9" s="18">
        <f t="shared" si="2"/>
        <v>1.6378049046797547</v>
      </c>
      <c r="L9" s="18">
        <f t="shared" si="3"/>
        <v>98.362195095320246</v>
      </c>
    </row>
    <row r="10" spans="1:13" ht="57.75" thickBot="1">
      <c r="A10" s="64" t="s">
        <v>812</v>
      </c>
      <c r="B10" s="66" t="s">
        <v>813</v>
      </c>
      <c r="C10" s="65" t="s">
        <v>814</v>
      </c>
      <c r="D10" s="65" t="s">
        <v>815</v>
      </c>
      <c r="E10" s="67">
        <v>44089</v>
      </c>
      <c r="F10" s="68">
        <v>208.33</v>
      </c>
      <c r="H10" s="12">
        <v>3000</v>
      </c>
      <c r="I10" s="12">
        <v>180172</v>
      </c>
      <c r="K10" s="18">
        <f t="shared" si="2"/>
        <v>1.6378049046797547</v>
      </c>
      <c r="L10" s="18">
        <f t="shared" si="3"/>
        <v>98.362195095320246</v>
      </c>
    </row>
    <row r="11" spans="1:13" ht="57.75" thickBot="1">
      <c r="A11" s="64" t="s">
        <v>812</v>
      </c>
      <c r="B11" s="66" t="s">
        <v>813</v>
      </c>
      <c r="C11" s="65" t="s">
        <v>814</v>
      </c>
      <c r="D11" s="65" t="s">
        <v>815</v>
      </c>
      <c r="E11" s="67">
        <v>44074</v>
      </c>
      <c r="F11" s="68">
        <v>208.33</v>
      </c>
      <c r="H11" s="12">
        <v>3000</v>
      </c>
      <c r="I11" s="12">
        <v>180172</v>
      </c>
      <c r="K11" s="18">
        <f t="shared" si="2"/>
        <v>1.6378049046797547</v>
      </c>
      <c r="L11" s="18">
        <f t="shared" si="3"/>
        <v>98.362195095320246</v>
      </c>
    </row>
    <row r="12" spans="1:13" ht="57.75" thickBot="1">
      <c r="A12" s="64" t="s">
        <v>812</v>
      </c>
      <c r="B12" s="66" t="s">
        <v>813</v>
      </c>
      <c r="C12" s="65" t="s">
        <v>814</v>
      </c>
      <c r="D12" s="65" t="s">
        <v>815</v>
      </c>
      <c r="E12" s="67">
        <v>44058</v>
      </c>
      <c r="F12" s="68">
        <v>208.33</v>
      </c>
      <c r="H12" s="12">
        <v>3000</v>
      </c>
      <c r="I12" s="12">
        <v>180172</v>
      </c>
      <c r="K12" s="18">
        <f t="shared" si="2"/>
        <v>1.6378049046797547</v>
      </c>
      <c r="L12" s="18">
        <f t="shared" si="3"/>
        <v>98.362195095320246</v>
      </c>
    </row>
    <row r="13" spans="1:13" ht="57.75" thickBot="1">
      <c r="A13" s="64" t="s">
        <v>812</v>
      </c>
      <c r="B13" s="66" t="s">
        <v>813</v>
      </c>
      <c r="C13" s="65" t="s">
        <v>814</v>
      </c>
      <c r="D13" s="65" t="s">
        <v>815</v>
      </c>
      <c r="E13" s="67">
        <v>44043</v>
      </c>
      <c r="F13" s="68">
        <v>208.33</v>
      </c>
      <c r="H13" s="12">
        <v>3000</v>
      </c>
      <c r="I13" s="12">
        <v>180172</v>
      </c>
      <c r="K13" s="18">
        <f t="shared" si="2"/>
        <v>1.6378049046797547</v>
      </c>
      <c r="L13" s="18">
        <f t="shared" si="3"/>
        <v>98.362195095320246</v>
      </c>
    </row>
    <row r="14" spans="1:13" ht="57.75" thickBot="1">
      <c r="A14" s="64" t="s">
        <v>812</v>
      </c>
      <c r="B14" s="66" t="s">
        <v>813</v>
      </c>
      <c r="C14" s="65" t="s">
        <v>814</v>
      </c>
      <c r="D14" s="65" t="s">
        <v>815</v>
      </c>
      <c r="E14" s="67">
        <v>44027</v>
      </c>
      <c r="F14" s="68">
        <v>208.33</v>
      </c>
      <c r="H14" s="12">
        <v>3000</v>
      </c>
      <c r="I14" s="12">
        <v>180172</v>
      </c>
      <c r="K14" s="18">
        <f t="shared" si="2"/>
        <v>1.6378049046797547</v>
      </c>
      <c r="L14" s="18">
        <f t="shared" si="3"/>
        <v>98.362195095320246</v>
      </c>
    </row>
    <row r="15" spans="1:13" ht="57.75" thickBot="1">
      <c r="A15" s="64" t="s">
        <v>812</v>
      </c>
      <c r="B15" s="66" t="s">
        <v>813</v>
      </c>
      <c r="C15" s="65" t="s">
        <v>814</v>
      </c>
      <c r="D15" s="65" t="s">
        <v>815</v>
      </c>
      <c r="E15" s="67">
        <v>44012</v>
      </c>
      <c r="F15" s="68">
        <v>208.33</v>
      </c>
      <c r="H15" s="12">
        <v>3000</v>
      </c>
      <c r="I15" s="12">
        <v>180172</v>
      </c>
      <c r="K15" s="18">
        <f t="shared" si="2"/>
        <v>1.6378049046797547</v>
      </c>
      <c r="L15" s="18">
        <f t="shared" si="3"/>
        <v>98.362195095320246</v>
      </c>
    </row>
    <row r="16" spans="1:13" ht="57.75" thickBot="1">
      <c r="A16" s="64" t="s">
        <v>812</v>
      </c>
      <c r="B16" s="66" t="s">
        <v>813</v>
      </c>
      <c r="C16" s="65" t="s">
        <v>814</v>
      </c>
      <c r="D16" s="65" t="s">
        <v>815</v>
      </c>
      <c r="E16" s="67">
        <v>43997</v>
      </c>
      <c r="F16" s="68">
        <v>208.33</v>
      </c>
      <c r="H16" s="12">
        <v>3000</v>
      </c>
      <c r="I16" s="12">
        <v>180172</v>
      </c>
      <c r="K16" s="18">
        <f t="shared" si="2"/>
        <v>1.6378049046797547</v>
      </c>
      <c r="L16" s="18">
        <f t="shared" si="3"/>
        <v>98.362195095320246</v>
      </c>
    </row>
    <row r="17" spans="1:12" ht="57.75" thickBot="1">
      <c r="A17" s="64" t="s">
        <v>812</v>
      </c>
      <c r="B17" s="66" t="s">
        <v>813</v>
      </c>
      <c r="C17" s="65" t="s">
        <v>814</v>
      </c>
      <c r="D17" s="65" t="s">
        <v>815</v>
      </c>
      <c r="E17" s="67">
        <v>43982</v>
      </c>
      <c r="F17" s="68">
        <v>208.33</v>
      </c>
      <c r="H17" s="12">
        <v>3000</v>
      </c>
      <c r="I17" s="12">
        <v>180172</v>
      </c>
      <c r="K17" s="18">
        <f t="shared" si="2"/>
        <v>1.6378049046797547</v>
      </c>
      <c r="L17" s="18">
        <f t="shared" si="3"/>
        <v>98.362195095320246</v>
      </c>
    </row>
    <row r="18" spans="1:12" ht="57.75" thickBot="1">
      <c r="A18" s="64" t="s">
        <v>812</v>
      </c>
      <c r="B18" s="66" t="s">
        <v>813</v>
      </c>
      <c r="C18" s="65" t="s">
        <v>814</v>
      </c>
      <c r="D18" s="65" t="s">
        <v>815</v>
      </c>
      <c r="E18" s="67">
        <v>43966</v>
      </c>
      <c r="F18" s="68">
        <v>208.33</v>
      </c>
      <c r="H18" s="12">
        <v>3000</v>
      </c>
      <c r="I18" s="12">
        <v>180172</v>
      </c>
      <c r="K18" s="18">
        <f t="shared" si="2"/>
        <v>1.6378049046797547</v>
      </c>
      <c r="L18" s="18">
        <f t="shared" si="3"/>
        <v>98.362195095320246</v>
      </c>
    </row>
    <row r="19" spans="1:12" ht="57.75" thickBot="1">
      <c r="A19" s="64" t="s">
        <v>812</v>
      </c>
      <c r="B19" s="66" t="s">
        <v>813</v>
      </c>
      <c r="C19" s="65" t="s">
        <v>814</v>
      </c>
      <c r="D19" s="65" t="s">
        <v>815</v>
      </c>
      <c r="E19" s="67">
        <v>43951</v>
      </c>
      <c r="F19" s="68">
        <v>208.33</v>
      </c>
      <c r="H19" s="12">
        <v>3000</v>
      </c>
      <c r="I19" s="12">
        <v>180172</v>
      </c>
      <c r="K19" s="18">
        <f t="shared" si="2"/>
        <v>1.6378049046797547</v>
      </c>
      <c r="L19" s="18">
        <f t="shared" si="3"/>
        <v>98.362195095320246</v>
      </c>
    </row>
    <row r="20" spans="1:12" ht="57.75" thickBot="1">
      <c r="A20" s="64" t="s">
        <v>812</v>
      </c>
      <c r="B20" s="66" t="s">
        <v>813</v>
      </c>
      <c r="C20" s="65" t="s">
        <v>814</v>
      </c>
      <c r="D20" s="65" t="s">
        <v>815</v>
      </c>
      <c r="E20" s="67">
        <v>43936</v>
      </c>
      <c r="F20" s="68">
        <v>208.33</v>
      </c>
      <c r="H20" s="12">
        <v>3000</v>
      </c>
      <c r="I20" s="12">
        <v>180172</v>
      </c>
      <c r="K20" s="18">
        <f t="shared" si="2"/>
        <v>1.6378049046797547</v>
      </c>
      <c r="L20" s="18">
        <f t="shared" si="3"/>
        <v>98.362195095320246</v>
      </c>
    </row>
    <row r="21" spans="1:12" ht="57.75" thickBot="1">
      <c r="A21" s="64" t="s">
        <v>812</v>
      </c>
      <c r="B21" s="66" t="s">
        <v>813</v>
      </c>
      <c r="C21" s="65" t="s">
        <v>814</v>
      </c>
      <c r="D21" s="65" t="s">
        <v>815</v>
      </c>
      <c r="E21" s="67">
        <v>43921</v>
      </c>
      <c r="F21" s="68">
        <v>208.33</v>
      </c>
      <c r="H21" s="12">
        <v>3000</v>
      </c>
      <c r="I21" s="12">
        <v>180172</v>
      </c>
      <c r="K21" s="18">
        <f t="shared" si="2"/>
        <v>1.6378049046797547</v>
      </c>
      <c r="L21" s="18">
        <f t="shared" si="3"/>
        <v>98.362195095320246</v>
      </c>
    </row>
    <row r="22" spans="1:12" ht="57.75" thickBot="1">
      <c r="A22" s="64" t="s">
        <v>812</v>
      </c>
      <c r="B22" s="66" t="s">
        <v>813</v>
      </c>
      <c r="C22" s="65" t="s">
        <v>814</v>
      </c>
      <c r="D22" s="65" t="s">
        <v>815</v>
      </c>
      <c r="E22" s="67">
        <v>43905</v>
      </c>
      <c r="F22" s="68">
        <v>208.33</v>
      </c>
      <c r="H22" s="12">
        <v>3000</v>
      </c>
      <c r="I22" s="12">
        <v>180172</v>
      </c>
      <c r="K22" s="18">
        <f t="shared" si="2"/>
        <v>1.6378049046797547</v>
      </c>
      <c r="L22" s="18">
        <f t="shared" si="3"/>
        <v>98.362195095320246</v>
      </c>
    </row>
    <row r="23" spans="1:12" ht="57.75" thickBot="1">
      <c r="A23" s="64" t="s">
        <v>812</v>
      </c>
      <c r="B23" s="66" t="s">
        <v>813</v>
      </c>
      <c r="C23" s="65" t="s">
        <v>814</v>
      </c>
      <c r="D23" s="65" t="s">
        <v>815</v>
      </c>
      <c r="E23" s="67">
        <v>43890</v>
      </c>
      <c r="F23" s="68">
        <v>208.33</v>
      </c>
      <c r="H23" s="12">
        <v>3000</v>
      </c>
      <c r="I23" s="12">
        <v>180172</v>
      </c>
      <c r="K23" s="18">
        <f t="shared" si="2"/>
        <v>1.6378049046797547</v>
      </c>
      <c r="L23" s="18">
        <f t="shared" si="3"/>
        <v>98.362195095320246</v>
      </c>
    </row>
    <row r="24" spans="1:12" ht="57.75" thickBot="1">
      <c r="A24" s="64" t="s">
        <v>812</v>
      </c>
      <c r="B24" s="66" t="s">
        <v>813</v>
      </c>
      <c r="C24" s="65" t="s">
        <v>814</v>
      </c>
      <c r="D24" s="65" t="s">
        <v>815</v>
      </c>
      <c r="E24" s="67">
        <v>43876</v>
      </c>
      <c r="F24" s="68">
        <v>208.33</v>
      </c>
      <c r="H24" s="12">
        <v>3000</v>
      </c>
      <c r="I24" s="12">
        <v>180172</v>
      </c>
      <c r="K24" s="18">
        <f t="shared" si="2"/>
        <v>1.6378049046797547</v>
      </c>
      <c r="L24" s="18">
        <f t="shared" si="3"/>
        <v>98.362195095320246</v>
      </c>
    </row>
    <row r="25" spans="1:12" ht="57.75" thickBot="1">
      <c r="A25" s="64" t="s">
        <v>812</v>
      </c>
      <c r="B25" s="66" t="s">
        <v>813</v>
      </c>
      <c r="C25" s="65" t="s">
        <v>814</v>
      </c>
      <c r="D25" s="65" t="s">
        <v>815</v>
      </c>
      <c r="E25" s="67">
        <v>43861</v>
      </c>
      <c r="F25" s="68">
        <v>208.33</v>
      </c>
      <c r="H25" s="12">
        <v>3000</v>
      </c>
      <c r="I25" s="12">
        <v>180172</v>
      </c>
      <c r="K25" s="18">
        <f t="shared" si="2"/>
        <v>1.6378049046797547</v>
      </c>
      <c r="L25" s="18">
        <f t="shared" si="3"/>
        <v>98.362195095320246</v>
      </c>
    </row>
    <row r="26" spans="1:12" ht="57.75" thickBot="1">
      <c r="A26" s="64" t="s">
        <v>812</v>
      </c>
      <c r="B26" s="66" t="s">
        <v>813</v>
      </c>
      <c r="C26" s="65" t="s">
        <v>814</v>
      </c>
      <c r="D26" s="65" t="s">
        <v>815</v>
      </c>
      <c r="E26" s="67">
        <v>43845</v>
      </c>
      <c r="F26" s="68">
        <v>208.33</v>
      </c>
      <c r="H26" s="12">
        <v>3000</v>
      </c>
      <c r="I26" s="12">
        <v>180172</v>
      </c>
      <c r="K26" s="18">
        <f t="shared" si="2"/>
        <v>1.6378049046797547</v>
      </c>
      <c r="L26" s="18">
        <f t="shared" si="3"/>
        <v>98.362195095320246</v>
      </c>
    </row>
    <row r="27" spans="1:12" ht="57.75" thickBot="1">
      <c r="A27" s="64" t="s">
        <v>812</v>
      </c>
      <c r="B27" s="66" t="s">
        <v>813</v>
      </c>
      <c r="C27" s="65" t="s">
        <v>814</v>
      </c>
      <c r="D27" s="65" t="s">
        <v>815</v>
      </c>
      <c r="E27" s="67">
        <v>43830</v>
      </c>
      <c r="F27" s="68">
        <v>208.33</v>
      </c>
      <c r="H27" s="12">
        <v>3000</v>
      </c>
      <c r="I27" s="12">
        <v>180172</v>
      </c>
      <c r="K27" s="18">
        <f t="shared" si="2"/>
        <v>1.6378049046797547</v>
      </c>
      <c r="L27" s="18">
        <f t="shared" si="3"/>
        <v>98.362195095320246</v>
      </c>
    </row>
    <row r="28" spans="1:12" ht="57.75" thickBot="1">
      <c r="A28" s="64" t="s">
        <v>812</v>
      </c>
      <c r="B28" s="66" t="s">
        <v>813</v>
      </c>
      <c r="C28" s="65" t="s">
        <v>814</v>
      </c>
      <c r="D28" s="65" t="s">
        <v>815</v>
      </c>
      <c r="E28" s="67">
        <v>43814</v>
      </c>
      <c r="F28" s="68">
        <v>208.33</v>
      </c>
      <c r="H28" s="12">
        <v>3000</v>
      </c>
      <c r="I28" s="12">
        <v>180172</v>
      </c>
      <c r="K28" s="18">
        <f t="shared" si="2"/>
        <v>1.6378049046797547</v>
      </c>
      <c r="L28" s="18">
        <f t="shared" si="3"/>
        <v>98.362195095320246</v>
      </c>
    </row>
    <row r="29" spans="1:12" ht="57.75" thickBot="1">
      <c r="A29" s="64" t="s">
        <v>812</v>
      </c>
      <c r="B29" s="66" t="s">
        <v>813</v>
      </c>
      <c r="C29" s="65" t="s">
        <v>814</v>
      </c>
      <c r="D29" s="65" t="s">
        <v>815</v>
      </c>
      <c r="E29" s="67">
        <v>43799</v>
      </c>
      <c r="F29" s="68">
        <v>208.33</v>
      </c>
      <c r="H29" s="12">
        <v>3000</v>
      </c>
      <c r="I29" s="12">
        <v>180172</v>
      </c>
      <c r="K29" s="18">
        <f t="shared" si="2"/>
        <v>1.6378049046797547</v>
      </c>
      <c r="L29" s="18">
        <f t="shared" si="3"/>
        <v>98.362195095320246</v>
      </c>
    </row>
    <row r="30" spans="1:12" ht="57.75" thickBot="1">
      <c r="A30" s="64" t="s">
        <v>812</v>
      </c>
      <c r="B30" s="66" t="s">
        <v>813</v>
      </c>
      <c r="C30" s="65" t="s">
        <v>814</v>
      </c>
      <c r="D30" s="65" t="s">
        <v>815</v>
      </c>
      <c r="E30" s="67">
        <v>43784</v>
      </c>
      <c r="F30" s="68">
        <v>208.33</v>
      </c>
      <c r="H30" s="12">
        <v>3000</v>
      </c>
      <c r="I30" s="12">
        <v>180172</v>
      </c>
      <c r="K30" s="18">
        <f t="shared" si="2"/>
        <v>1.6378049046797547</v>
      </c>
      <c r="L30" s="18">
        <f t="shared" si="3"/>
        <v>98.362195095320246</v>
      </c>
    </row>
    <row r="31" spans="1:12" ht="57.75" thickBot="1">
      <c r="A31" s="64" t="s">
        <v>812</v>
      </c>
      <c r="B31" s="66" t="s">
        <v>813</v>
      </c>
      <c r="C31" s="65" t="s">
        <v>814</v>
      </c>
      <c r="D31" s="65" t="s">
        <v>815</v>
      </c>
      <c r="E31" s="67">
        <v>43769</v>
      </c>
      <c r="F31" s="68">
        <v>208.33</v>
      </c>
      <c r="H31" s="12">
        <v>3000</v>
      </c>
      <c r="I31" s="12">
        <v>180172</v>
      </c>
      <c r="K31" s="18">
        <f t="shared" si="2"/>
        <v>1.6378049046797547</v>
      </c>
      <c r="L31" s="18">
        <f t="shared" si="3"/>
        <v>98.362195095320246</v>
      </c>
    </row>
    <row r="32" spans="1:12" ht="57.75" thickBot="1">
      <c r="A32" s="64" t="s">
        <v>812</v>
      </c>
      <c r="B32" s="66" t="s">
        <v>813</v>
      </c>
      <c r="C32" s="65" t="s">
        <v>814</v>
      </c>
      <c r="D32" s="65" t="s">
        <v>815</v>
      </c>
      <c r="E32" s="67">
        <v>43753</v>
      </c>
      <c r="F32" s="68">
        <v>208.33</v>
      </c>
      <c r="H32" s="12">
        <v>3000</v>
      </c>
      <c r="I32" s="12">
        <v>180172</v>
      </c>
      <c r="K32" s="18">
        <f t="shared" si="2"/>
        <v>1.6378049046797547</v>
      </c>
      <c r="L32" s="18">
        <f t="shared" si="3"/>
        <v>98.362195095320246</v>
      </c>
    </row>
    <row r="33" spans="1:12" ht="57.75" thickBot="1">
      <c r="A33" s="64" t="s">
        <v>812</v>
      </c>
      <c r="B33" s="66" t="s">
        <v>813</v>
      </c>
      <c r="C33" s="65" t="s">
        <v>814</v>
      </c>
      <c r="D33" s="65" t="s">
        <v>815</v>
      </c>
      <c r="E33" s="67">
        <v>43738</v>
      </c>
      <c r="F33" s="68">
        <v>208.33</v>
      </c>
      <c r="H33" s="12">
        <v>3000</v>
      </c>
      <c r="I33" s="12">
        <v>180172</v>
      </c>
      <c r="K33" s="18">
        <f t="shared" si="2"/>
        <v>1.6378049046797547</v>
      </c>
      <c r="L33" s="18">
        <f t="shared" si="3"/>
        <v>98.362195095320246</v>
      </c>
    </row>
    <row r="34" spans="1:12" ht="57.75" thickBot="1">
      <c r="A34" s="64" t="s">
        <v>812</v>
      </c>
      <c r="B34" s="66" t="s">
        <v>813</v>
      </c>
      <c r="C34" s="65" t="s">
        <v>814</v>
      </c>
      <c r="D34" s="65" t="s">
        <v>815</v>
      </c>
      <c r="E34" s="67">
        <v>43723</v>
      </c>
      <c r="F34" s="68">
        <v>208.33</v>
      </c>
      <c r="H34" s="12">
        <v>3000</v>
      </c>
      <c r="I34" s="12">
        <v>180172</v>
      </c>
      <c r="K34" s="18">
        <f t="shared" si="2"/>
        <v>1.6378049046797547</v>
      </c>
      <c r="L34" s="18">
        <f t="shared" si="3"/>
        <v>98.362195095320246</v>
      </c>
    </row>
    <row r="35" spans="1:12" ht="57.75" thickBot="1">
      <c r="A35" s="64" t="s">
        <v>812</v>
      </c>
      <c r="B35" s="66" t="s">
        <v>813</v>
      </c>
      <c r="C35" s="65" t="s">
        <v>814</v>
      </c>
      <c r="D35" s="65" t="s">
        <v>815</v>
      </c>
      <c r="E35" s="67">
        <v>43708</v>
      </c>
      <c r="F35" s="68">
        <v>208.33</v>
      </c>
      <c r="H35" s="12">
        <v>3000</v>
      </c>
      <c r="I35" s="12">
        <v>180172</v>
      </c>
      <c r="K35" s="18">
        <f t="shared" si="2"/>
        <v>1.6378049046797547</v>
      </c>
      <c r="L35" s="18">
        <f t="shared" si="3"/>
        <v>98.362195095320246</v>
      </c>
    </row>
    <row r="36" spans="1:12" ht="57.75" thickBot="1">
      <c r="A36" s="64" t="s">
        <v>812</v>
      </c>
      <c r="B36" s="66" t="s">
        <v>0</v>
      </c>
      <c r="C36" s="65" t="s">
        <v>814</v>
      </c>
      <c r="D36" s="65" t="s">
        <v>815</v>
      </c>
      <c r="E36" s="67">
        <v>43705</v>
      </c>
      <c r="F36" s="68">
        <v>2800</v>
      </c>
      <c r="H36" s="12">
        <v>0</v>
      </c>
      <c r="I36" s="12">
        <v>100</v>
      </c>
      <c r="K36" s="18">
        <f t="shared" si="2"/>
        <v>0</v>
      </c>
      <c r="L36" s="18">
        <f t="shared" si="3"/>
        <v>100</v>
      </c>
    </row>
    <row r="37" spans="1:12" ht="57.75" thickBot="1">
      <c r="A37" s="64" t="s">
        <v>812</v>
      </c>
      <c r="B37" s="66" t="s">
        <v>813</v>
      </c>
      <c r="C37" s="65" t="s">
        <v>814</v>
      </c>
      <c r="D37" s="65" t="s">
        <v>815</v>
      </c>
      <c r="E37" s="67">
        <v>43692</v>
      </c>
      <c r="F37" s="68">
        <v>208.33</v>
      </c>
      <c r="H37" s="12">
        <v>3000</v>
      </c>
      <c r="I37" s="12">
        <v>180172</v>
      </c>
      <c r="K37" s="18">
        <f t="shared" si="2"/>
        <v>1.6378049046797547</v>
      </c>
      <c r="L37" s="18">
        <f t="shared" si="3"/>
        <v>98.362195095320246</v>
      </c>
    </row>
    <row r="38" spans="1:12" ht="57.75" thickBot="1">
      <c r="A38" s="64" t="s">
        <v>812</v>
      </c>
      <c r="B38" s="66" t="s">
        <v>813</v>
      </c>
      <c r="C38" s="65" t="s">
        <v>814</v>
      </c>
      <c r="D38" s="65" t="s">
        <v>815</v>
      </c>
      <c r="E38" s="67">
        <v>43677</v>
      </c>
      <c r="F38" s="68">
        <v>208.33</v>
      </c>
      <c r="H38" s="12">
        <v>3000</v>
      </c>
      <c r="I38" s="12">
        <v>180172</v>
      </c>
      <c r="K38" s="18">
        <f t="shared" si="2"/>
        <v>1.6378049046797547</v>
      </c>
      <c r="L38" s="18">
        <f t="shared" si="3"/>
        <v>98.362195095320246</v>
      </c>
    </row>
    <row r="39" spans="1:12" ht="57.75" thickBot="1">
      <c r="A39" s="64" t="s">
        <v>812</v>
      </c>
      <c r="B39" s="66" t="s">
        <v>813</v>
      </c>
      <c r="C39" s="65" t="s">
        <v>814</v>
      </c>
      <c r="D39" s="65" t="s">
        <v>815</v>
      </c>
      <c r="E39" s="67">
        <v>43661</v>
      </c>
      <c r="F39" s="68">
        <v>208.33</v>
      </c>
      <c r="H39" s="12">
        <v>3000</v>
      </c>
      <c r="I39" s="12">
        <v>180172</v>
      </c>
      <c r="K39" s="18">
        <f t="shared" si="2"/>
        <v>1.6378049046797547</v>
      </c>
      <c r="L39" s="18">
        <f t="shared" si="3"/>
        <v>98.362195095320246</v>
      </c>
    </row>
    <row r="40" spans="1:12" ht="57.75" thickBot="1">
      <c r="A40" s="64" t="s">
        <v>812</v>
      </c>
      <c r="B40" s="66" t="s">
        <v>813</v>
      </c>
      <c r="C40" s="65" t="s">
        <v>814</v>
      </c>
      <c r="D40" s="65" t="s">
        <v>815</v>
      </c>
      <c r="E40" s="67">
        <v>43646</v>
      </c>
      <c r="F40" s="68">
        <v>208.33</v>
      </c>
      <c r="H40" s="12">
        <v>3000</v>
      </c>
      <c r="I40" s="12">
        <v>180172</v>
      </c>
      <c r="K40" s="18">
        <f t="shared" si="2"/>
        <v>1.6378049046797547</v>
      </c>
      <c r="L40" s="18">
        <f t="shared" si="3"/>
        <v>98.362195095320246</v>
      </c>
    </row>
    <row r="41" spans="1:12" ht="57.75" thickBot="1">
      <c r="A41" s="64" t="s">
        <v>812</v>
      </c>
      <c r="B41" s="66" t="s">
        <v>813</v>
      </c>
      <c r="C41" s="65" t="s">
        <v>814</v>
      </c>
      <c r="D41" s="65" t="s">
        <v>815</v>
      </c>
      <c r="E41" s="67">
        <v>43631</v>
      </c>
      <c r="F41" s="68">
        <v>208.33</v>
      </c>
      <c r="H41" s="12">
        <v>3000</v>
      </c>
      <c r="I41" s="12">
        <v>180172</v>
      </c>
      <c r="K41" s="18">
        <f t="shared" si="2"/>
        <v>1.6378049046797547</v>
      </c>
      <c r="L41" s="18">
        <f t="shared" si="3"/>
        <v>98.362195095320246</v>
      </c>
    </row>
    <row r="42" spans="1:12" ht="57.75" thickBot="1">
      <c r="A42" s="64" t="s">
        <v>812</v>
      </c>
      <c r="B42" s="66" t="s">
        <v>813</v>
      </c>
      <c r="C42" s="65" t="s">
        <v>814</v>
      </c>
      <c r="D42" s="65" t="s">
        <v>815</v>
      </c>
      <c r="E42" s="67">
        <v>43616</v>
      </c>
      <c r="F42" s="68">
        <v>208.33</v>
      </c>
      <c r="H42" s="12">
        <v>3000</v>
      </c>
      <c r="I42" s="12">
        <v>180172</v>
      </c>
      <c r="K42" s="18">
        <f t="shared" si="2"/>
        <v>1.6378049046797547</v>
      </c>
      <c r="L42" s="18">
        <f t="shared" si="3"/>
        <v>98.362195095320246</v>
      </c>
    </row>
    <row r="43" spans="1:12" ht="57.75" thickBot="1">
      <c r="A43" s="64" t="s">
        <v>812</v>
      </c>
      <c r="B43" s="66" t="s">
        <v>813</v>
      </c>
      <c r="C43" s="65" t="s">
        <v>814</v>
      </c>
      <c r="D43" s="65" t="s">
        <v>815</v>
      </c>
      <c r="E43" s="67">
        <v>43600</v>
      </c>
      <c r="F43" s="68">
        <v>208.33</v>
      </c>
      <c r="H43" s="12">
        <v>3000</v>
      </c>
      <c r="I43" s="12">
        <v>180172</v>
      </c>
      <c r="K43" s="18">
        <f t="shared" si="2"/>
        <v>1.6378049046797547</v>
      </c>
      <c r="L43" s="18">
        <f t="shared" si="3"/>
        <v>98.362195095320246</v>
      </c>
    </row>
    <row r="44" spans="1:12" ht="57.75" thickBot="1">
      <c r="A44" s="64" t="s">
        <v>812</v>
      </c>
      <c r="B44" s="66" t="s">
        <v>813</v>
      </c>
      <c r="C44" s="65" t="s">
        <v>814</v>
      </c>
      <c r="D44" s="65" t="s">
        <v>815</v>
      </c>
      <c r="E44" s="67">
        <v>43585</v>
      </c>
      <c r="F44" s="68">
        <v>208.33</v>
      </c>
      <c r="H44" s="12">
        <v>3000</v>
      </c>
      <c r="I44" s="12">
        <v>180172</v>
      </c>
      <c r="K44" s="18">
        <f t="shared" si="2"/>
        <v>1.6378049046797547</v>
      </c>
      <c r="L44" s="18">
        <f t="shared" si="3"/>
        <v>98.362195095320246</v>
      </c>
    </row>
    <row r="45" spans="1:12" ht="57.75" thickBot="1">
      <c r="A45" s="64" t="s">
        <v>812</v>
      </c>
      <c r="B45" s="66" t="s">
        <v>813</v>
      </c>
      <c r="C45" s="65" t="s">
        <v>814</v>
      </c>
      <c r="D45" s="65" t="s">
        <v>815</v>
      </c>
      <c r="E45" s="67">
        <v>43570</v>
      </c>
      <c r="F45" s="68">
        <v>208.33</v>
      </c>
      <c r="H45" s="12">
        <v>3000</v>
      </c>
      <c r="I45" s="12">
        <v>180172</v>
      </c>
      <c r="K45" s="18">
        <f t="shared" si="2"/>
        <v>1.6378049046797547</v>
      </c>
      <c r="L45" s="18">
        <f t="shared" si="3"/>
        <v>98.362195095320246</v>
      </c>
    </row>
    <row r="46" spans="1:12" ht="57.75" thickBot="1">
      <c r="A46" s="64" t="s">
        <v>812</v>
      </c>
      <c r="B46" s="66" t="s">
        <v>813</v>
      </c>
      <c r="C46" s="65" t="s">
        <v>814</v>
      </c>
      <c r="D46" s="65" t="s">
        <v>815</v>
      </c>
      <c r="E46" s="67">
        <v>43555</v>
      </c>
      <c r="F46" s="68">
        <v>208.33</v>
      </c>
      <c r="H46" s="12">
        <v>3000</v>
      </c>
      <c r="I46" s="12">
        <v>180172</v>
      </c>
      <c r="K46" s="18">
        <f t="shared" si="2"/>
        <v>1.6378049046797547</v>
      </c>
      <c r="L46" s="18">
        <f t="shared" si="3"/>
        <v>98.362195095320246</v>
      </c>
    </row>
    <row r="47" spans="1:12" ht="57.75" thickBot="1">
      <c r="A47" s="64" t="s">
        <v>812</v>
      </c>
      <c r="B47" s="66" t="s">
        <v>813</v>
      </c>
      <c r="C47" s="65" t="s">
        <v>814</v>
      </c>
      <c r="D47" s="65" t="s">
        <v>815</v>
      </c>
      <c r="E47" s="67">
        <v>43539</v>
      </c>
      <c r="F47" s="68">
        <v>208.33</v>
      </c>
      <c r="H47" s="12">
        <v>3000</v>
      </c>
      <c r="I47" s="12">
        <v>180172</v>
      </c>
      <c r="K47" s="18">
        <f t="shared" si="2"/>
        <v>1.6378049046797547</v>
      </c>
      <c r="L47" s="18">
        <f t="shared" si="3"/>
        <v>98.362195095320246</v>
      </c>
    </row>
    <row r="48" spans="1:12" ht="57.75" thickBot="1">
      <c r="A48" s="64" t="s">
        <v>812</v>
      </c>
      <c r="B48" s="66" t="s">
        <v>813</v>
      </c>
      <c r="C48" s="65" t="s">
        <v>814</v>
      </c>
      <c r="D48" s="65" t="s">
        <v>815</v>
      </c>
      <c r="E48" s="67">
        <v>43524</v>
      </c>
      <c r="F48" s="68">
        <v>208.33</v>
      </c>
      <c r="H48" s="12">
        <v>3000</v>
      </c>
      <c r="I48" s="12">
        <v>180172</v>
      </c>
      <c r="K48" s="18">
        <f t="shared" si="2"/>
        <v>1.6378049046797547</v>
      </c>
      <c r="L48" s="18">
        <f t="shared" si="3"/>
        <v>98.362195095320246</v>
      </c>
    </row>
    <row r="49" spans="1:12" ht="57.75" thickBot="1">
      <c r="A49" s="64" t="s">
        <v>812</v>
      </c>
      <c r="B49" s="66" t="s">
        <v>813</v>
      </c>
      <c r="C49" s="65" t="s">
        <v>814</v>
      </c>
      <c r="D49" s="65" t="s">
        <v>815</v>
      </c>
      <c r="E49" s="67">
        <v>43511</v>
      </c>
      <c r="F49" s="68">
        <v>208.33</v>
      </c>
      <c r="H49" s="12">
        <v>3000</v>
      </c>
      <c r="I49" s="12">
        <v>180172</v>
      </c>
      <c r="K49" s="18">
        <f t="shared" si="2"/>
        <v>1.6378049046797547</v>
      </c>
      <c r="L49" s="18">
        <f t="shared" si="3"/>
        <v>98.362195095320246</v>
      </c>
    </row>
    <row r="50" spans="1:12" ht="57.75" thickBot="1">
      <c r="A50" s="64" t="s">
        <v>812</v>
      </c>
      <c r="B50" s="66" t="s">
        <v>813</v>
      </c>
      <c r="C50" s="65" t="s">
        <v>814</v>
      </c>
      <c r="D50" s="65" t="s">
        <v>815</v>
      </c>
      <c r="E50" s="67">
        <v>43496</v>
      </c>
      <c r="F50" s="68">
        <v>208.33</v>
      </c>
      <c r="H50" s="12">
        <v>3000</v>
      </c>
      <c r="I50" s="12">
        <v>180172</v>
      </c>
      <c r="K50" s="18">
        <f t="shared" si="2"/>
        <v>1.6378049046797547</v>
      </c>
      <c r="L50" s="18">
        <f t="shared" si="3"/>
        <v>98.362195095320246</v>
      </c>
    </row>
    <row r="51" spans="1:12" ht="57.75" thickBot="1">
      <c r="A51" s="64" t="s">
        <v>812</v>
      </c>
      <c r="B51" s="66" t="s">
        <v>813</v>
      </c>
      <c r="C51" s="65" t="s">
        <v>814</v>
      </c>
      <c r="D51" s="65" t="s">
        <v>815</v>
      </c>
      <c r="E51" s="67">
        <v>43480</v>
      </c>
      <c r="F51" s="68">
        <v>208.33</v>
      </c>
      <c r="H51" s="12">
        <v>3000</v>
      </c>
      <c r="I51" s="12">
        <v>180172</v>
      </c>
      <c r="K51" s="18">
        <f t="shared" si="2"/>
        <v>1.6378049046797547</v>
      </c>
      <c r="L51" s="18">
        <f t="shared" si="3"/>
        <v>98.362195095320246</v>
      </c>
    </row>
    <row r="52" spans="1:12">
      <c r="F52" s="17">
        <f>SUM(F2:F51)</f>
        <v>13799.839999999998</v>
      </c>
    </row>
    <row r="55" spans="1:12">
      <c r="A55" s="12" t="s">
        <v>818</v>
      </c>
    </row>
  </sheetData>
  <hyperlinks>
    <hyperlink ref="B2" r:id="rId1" tooltip="BANK OF AMERICA CORPORATION FEDERAL PAC" display="https://www.fec.gov/data/committee/C00364778/" xr:uid="{22017E37-951C-4C0D-9AEC-9924F3D21234}"/>
    <hyperlink ref="B3" r:id="rId2" tooltip="BANK OF AMERICA CORPORATION FEDERAL PAC" display="https://www.fec.gov/data/committee/C00364778/" xr:uid="{41F0B7F9-8A4B-4974-A316-5E4321248118}"/>
    <hyperlink ref="B4" r:id="rId3" tooltip="BANK OF AMERICA CORPORATION FEDERAL PAC" display="https://www.fec.gov/data/committee/C00364778/" xr:uid="{C33BB88C-9177-434E-99A0-9F8D652FC9E1}"/>
    <hyperlink ref="B5" r:id="rId4" tooltip="BANK OF AMERICA CORPORATION FEDERAL PAC" display="https://www.fec.gov/data/committee/C00364778/" xr:uid="{77F11143-FF5D-4FF2-BE93-CA11DFD504C1}"/>
    <hyperlink ref="B6" r:id="rId5" tooltip="SHAHEEN FOR SENATE" display="https://www.fec.gov/data/committee/C00457325/" xr:uid="{632FCBAB-CAF4-4311-8B7C-8D816BC81A5E}"/>
    <hyperlink ref="B7" r:id="rId6" tooltip="BANK OF AMERICA CORPORATION FEDERAL PAC" display="https://www.fec.gov/data/committee/C00364778/" xr:uid="{954F7D2A-3631-4867-AA0F-7599205D5461}"/>
    <hyperlink ref="B8" r:id="rId7" tooltip="BANK OF AMERICA CORPORATION FEDERAL PAC" display="https://www.fec.gov/data/committee/C00364778/" xr:uid="{F822545E-F532-4DCA-BF8D-EBA1150F2176}"/>
    <hyperlink ref="B9" r:id="rId8" tooltip="BANK OF AMERICA CORPORATION FEDERAL PAC" display="https://www.fec.gov/data/committee/C00364778/" xr:uid="{A67FCB6E-DFF1-4399-A3D0-0234A8D6FC4F}"/>
    <hyperlink ref="B10" r:id="rId9" tooltip="BANK OF AMERICA CORPORATION FEDERAL PAC" display="https://www.fec.gov/data/committee/C00364778/" xr:uid="{783ED2BA-7814-4CAB-A6A2-7172C9EEC05A}"/>
    <hyperlink ref="B11" r:id="rId10" tooltip="BANK OF AMERICA CORPORATION FEDERAL PAC" display="https://www.fec.gov/data/committee/C00364778/" xr:uid="{82A456EB-C9A1-4C18-910A-52E46B1F54C3}"/>
    <hyperlink ref="B12" r:id="rId11" tooltip="BANK OF AMERICA CORPORATION FEDERAL PAC" display="https://www.fec.gov/data/committee/C00364778/" xr:uid="{682736CF-770D-486F-B9B9-7CB054AFE84E}"/>
    <hyperlink ref="B13" r:id="rId12" tooltip="BANK OF AMERICA CORPORATION FEDERAL PAC" display="https://www.fec.gov/data/committee/C00364778/" xr:uid="{5E73F40D-983E-4D44-8E9D-E51D177484F4}"/>
    <hyperlink ref="B14" r:id="rId13" tooltip="BANK OF AMERICA CORPORATION FEDERAL PAC" display="https://www.fec.gov/data/committee/C00364778/" xr:uid="{56A973FA-42AF-4346-9D99-F09EE8C4DBEC}"/>
    <hyperlink ref="B15" r:id="rId14" tooltip="BANK OF AMERICA CORPORATION FEDERAL PAC" display="https://www.fec.gov/data/committee/C00364778/" xr:uid="{F08FF624-F603-49C9-AC25-89025F727A02}"/>
    <hyperlink ref="B16" r:id="rId15" tooltip="BANK OF AMERICA CORPORATION FEDERAL PAC" display="https://www.fec.gov/data/committee/C00364778/" xr:uid="{3B158285-1F3A-4957-9F01-E0AF9C7DC90B}"/>
    <hyperlink ref="B17" r:id="rId16" tooltip="BANK OF AMERICA CORPORATION FEDERAL PAC" display="https://www.fec.gov/data/committee/C00364778/" xr:uid="{0088FC8B-2517-4106-9733-9998EE08D1EA}"/>
    <hyperlink ref="B18" r:id="rId17" tooltip="BANK OF AMERICA CORPORATION FEDERAL PAC" display="https://www.fec.gov/data/committee/C00364778/" xr:uid="{A5D04C30-9B09-4DDD-9DB6-5FC8542F51D2}"/>
    <hyperlink ref="B19" r:id="rId18" tooltip="BANK OF AMERICA CORPORATION FEDERAL PAC" display="https://www.fec.gov/data/committee/C00364778/" xr:uid="{F38EA3C9-B0D1-4445-836A-D8AFFC0499BE}"/>
    <hyperlink ref="B20" r:id="rId19" tooltip="BANK OF AMERICA CORPORATION FEDERAL PAC" display="https://www.fec.gov/data/committee/C00364778/" xr:uid="{F06E5319-4589-4037-AC22-C3AAD6A378B1}"/>
    <hyperlink ref="B21" r:id="rId20" tooltip="BANK OF AMERICA CORPORATION FEDERAL PAC" display="https://www.fec.gov/data/committee/C00364778/" xr:uid="{875EFE55-A2F5-40CA-B663-EC81E0EBEC91}"/>
    <hyperlink ref="B22" r:id="rId21" tooltip="BANK OF AMERICA CORPORATION FEDERAL PAC" display="https://www.fec.gov/data/committee/C00364778/" xr:uid="{014315ED-7347-4E65-87D7-948ADFAFD39F}"/>
    <hyperlink ref="B23" r:id="rId22" tooltip="BANK OF AMERICA CORPORATION FEDERAL PAC" display="https://www.fec.gov/data/committee/C00364778/" xr:uid="{70036557-924E-4ED2-B375-8B5283378434}"/>
    <hyperlink ref="B24" r:id="rId23" tooltip="BANK OF AMERICA CORPORATION FEDERAL PAC" display="https://www.fec.gov/data/committee/C00364778/" xr:uid="{A444E35C-3C14-4C6A-8A7D-D831099799DE}"/>
    <hyperlink ref="B25" r:id="rId24" tooltip="BANK OF AMERICA CORPORATION FEDERAL PAC" display="https://www.fec.gov/data/committee/C00364778/" xr:uid="{333A1118-064A-4692-80B0-66224B231D99}"/>
    <hyperlink ref="B26" r:id="rId25" tooltip="BANK OF AMERICA CORPORATION FEDERAL PAC" display="https://www.fec.gov/data/committee/C00364778/" xr:uid="{67ED2786-D728-4EAD-8C40-5F684740460E}"/>
    <hyperlink ref="B27" r:id="rId26" tooltip="BANK OF AMERICA CORPORATION FEDERAL PAC" display="https://www.fec.gov/data/committee/C00364778/" xr:uid="{63A7EE8F-92FE-4CCE-9E56-DD556A0AA0D1}"/>
    <hyperlink ref="B28" r:id="rId27" tooltip="BANK OF AMERICA CORPORATION FEDERAL PAC" display="https://www.fec.gov/data/committee/C00364778/" xr:uid="{4FAC6B0D-53BC-4F61-BA18-3233261B84A7}"/>
    <hyperlink ref="B29" r:id="rId28" tooltip="BANK OF AMERICA CORPORATION FEDERAL PAC" display="https://www.fec.gov/data/committee/C00364778/" xr:uid="{DB49726D-A34E-4FC3-9E68-3A82D26ADB9B}"/>
    <hyperlink ref="B30" r:id="rId29" tooltip="BANK OF AMERICA CORPORATION FEDERAL PAC" display="https://www.fec.gov/data/committee/C00364778/" xr:uid="{6C4E3E3E-B0DA-4705-A1BA-1489E9782001}"/>
    <hyperlink ref="B31" r:id="rId30" tooltip="BANK OF AMERICA CORPORATION FEDERAL PAC" display="https://www.fec.gov/data/committee/C00364778/" xr:uid="{ED6F6E9E-2667-4F40-8D40-6776849A54E8}"/>
    <hyperlink ref="B32" r:id="rId31" tooltip="BANK OF AMERICA CORPORATION FEDERAL PAC" display="https://www.fec.gov/data/committee/C00364778/" xr:uid="{9F962108-1F7F-43E4-AB54-190EDB780EE6}"/>
    <hyperlink ref="B33" r:id="rId32" tooltip="BANK OF AMERICA CORPORATION FEDERAL PAC" display="https://www.fec.gov/data/committee/C00364778/" xr:uid="{B8B13F65-D018-4DDB-982B-A6AAF95B7D62}"/>
    <hyperlink ref="B34" r:id="rId33" tooltip="BANK OF AMERICA CORPORATION FEDERAL PAC" display="https://www.fec.gov/data/committee/C00364778/" xr:uid="{FB4CF156-2E00-426D-A204-6ACE9ED747E9}"/>
    <hyperlink ref="B35" r:id="rId34" tooltip="BANK OF AMERICA CORPORATION FEDERAL PAC" display="https://www.fec.gov/data/committee/C00364778/" xr:uid="{1CA7AC1C-B41E-49FF-A6D0-0944D28B6336}"/>
    <hyperlink ref="B36" r:id="rId35" tooltip="BIDEN FOR PRESIDENT" display="https://www.fec.gov/data/committee/C00703975/" xr:uid="{67FDAA94-9BF7-4316-BA1E-4091891CF7E0}"/>
    <hyperlink ref="B37" r:id="rId36" tooltip="BANK OF AMERICA CORPORATION FEDERAL PAC" display="https://www.fec.gov/data/committee/C00364778/" xr:uid="{2C08D756-EAFB-4758-8149-769789B9CDBB}"/>
    <hyperlink ref="B38" r:id="rId37" tooltip="BANK OF AMERICA CORPORATION FEDERAL PAC" display="https://www.fec.gov/data/committee/C00364778/" xr:uid="{8D548FFD-1477-4DD7-9931-EB9B845D6C5B}"/>
    <hyperlink ref="B39" r:id="rId38" tooltip="BANK OF AMERICA CORPORATION FEDERAL PAC" display="https://www.fec.gov/data/committee/C00364778/" xr:uid="{A8982D34-9DA6-4858-8A8E-5CCD43EDE8EE}"/>
    <hyperlink ref="B40" r:id="rId39" tooltip="BANK OF AMERICA CORPORATION FEDERAL PAC" display="https://www.fec.gov/data/committee/C00364778/" xr:uid="{6465F69D-D391-4B5F-9AF3-FC95F196D978}"/>
    <hyperlink ref="B41" r:id="rId40" tooltip="BANK OF AMERICA CORPORATION FEDERAL PAC" display="https://www.fec.gov/data/committee/C00364778/" xr:uid="{F5DFD7C1-43E0-451D-99A3-3FC09BDB5A92}"/>
    <hyperlink ref="B42" r:id="rId41" tooltip="BANK OF AMERICA CORPORATION FEDERAL PAC" display="https://www.fec.gov/data/committee/C00364778/" xr:uid="{F611BFB9-F96C-49D7-A4E0-1ECE5B02C580}"/>
    <hyperlink ref="B43" r:id="rId42" tooltip="BANK OF AMERICA CORPORATION FEDERAL PAC" display="https://www.fec.gov/data/committee/C00364778/" xr:uid="{B2D22C71-B4D5-4F69-81AD-0CCCADF8F683}"/>
    <hyperlink ref="B44" r:id="rId43" tooltip="BANK OF AMERICA CORPORATION FEDERAL PAC" display="https://www.fec.gov/data/committee/C00364778/" xr:uid="{002E3823-11C6-44C2-9388-4B7E4E932A6D}"/>
    <hyperlink ref="B45" r:id="rId44" tooltip="BANK OF AMERICA CORPORATION FEDERAL PAC" display="https://www.fec.gov/data/committee/C00364778/" xr:uid="{CC9D9A8C-D4FC-4FEC-A3D7-B63CFEAE8365}"/>
    <hyperlink ref="B46" r:id="rId45" tooltip="BANK OF AMERICA CORPORATION FEDERAL PAC" display="https://www.fec.gov/data/committee/C00364778/" xr:uid="{33721A15-4B72-4665-9200-25E722C1F497}"/>
    <hyperlink ref="B47" r:id="rId46" tooltip="BANK OF AMERICA CORPORATION FEDERAL PAC" display="https://www.fec.gov/data/committee/C00364778/" xr:uid="{90FCA9D0-3979-46F6-BC69-222C8F86E61C}"/>
    <hyperlink ref="B48" r:id="rId47" tooltip="BANK OF AMERICA CORPORATION FEDERAL PAC" display="https://www.fec.gov/data/committee/C00364778/" xr:uid="{4E6FEA82-EE42-47A0-9B84-FA41D9286614}"/>
    <hyperlink ref="B49" r:id="rId48" tooltip="BANK OF AMERICA CORPORATION FEDERAL PAC" display="https://www.fec.gov/data/committee/C00364778/" xr:uid="{D4E3870D-C0E6-4E9E-BDD8-CC40C7AEAB4D}"/>
    <hyperlink ref="B50" r:id="rId49" tooltip="BANK OF AMERICA CORPORATION FEDERAL PAC" display="https://www.fec.gov/data/committee/C00364778/" xr:uid="{68150F23-0241-4E67-9D62-1AC0E48819DD}"/>
    <hyperlink ref="B51" r:id="rId50" tooltip="BANK OF AMERICA CORPORATION FEDERAL PAC" display="https://www.fec.gov/data/committee/C00364778/" xr:uid="{7144D9C7-C64E-477F-9849-9C9A835C828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5"/>
  <sheetViews>
    <sheetView workbookViewId="0">
      <selection activeCell="G2" sqref="G2:I2"/>
    </sheetView>
  </sheetViews>
  <sheetFormatPr defaultRowHeight="15"/>
  <cols>
    <col min="2" max="2" width="22.5703125" customWidth="1"/>
    <col min="5" max="6" width="13.7109375" customWidth="1"/>
    <col min="7" max="7" width="11.7109375" customWidth="1"/>
    <col min="12" max="12" width="13.5703125" customWidth="1"/>
  </cols>
  <sheetData>
    <row r="1" spans="1:16">
      <c r="A1" s="12" t="s">
        <v>16</v>
      </c>
      <c r="B1" s="12" t="s">
        <v>17</v>
      </c>
      <c r="C1" s="12" t="s">
        <v>11</v>
      </c>
      <c r="D1" s="12" t="s">
        <v>18</v>
      </c>
      <c r="E1" s="12" t="s">
        <v>19</v>
      </c>
      <c r="F1" s="12" t="s">
        <v>20</v>
      </c>
      <c r="G1" s="12" t="s">
        <v>24</v>
      </c>
      <c r="H1" s="12" t="s">
        <v>4</v>
      </c>
      <c r="I1" s="15" t="s">
        <v>6</v>
      </c>
      <c r="J1" s="12" t="s">
        <v>5</v>
      </c>
      <c r="K1" s="12" t="s">
        <v>13</v>
      </c>
      <c r="L1" s="12" t="s">
        <v>14</v>
      </c>
      <c r="M1" s="12" t="s">
        <v>25</v>
      </c>
      <c r="N1" s="12"/>
      <c r="O1" s="12"/>
      <c r="P1" s="12"/>
    </row>
    <row r="2" spans="1:16" ht="57.75" thickBot="1">
      <c r="A2" s="64" t="s">
        <v>822</v>
      </c>
      <c r="B2" s="66" t="s">
        <v>773</v>
      </c>
      <c r="C2" s="65" t="s">
        <v>774</v>
      </c>
      <c r="D2" s="65" t="s">
        <v>775</v>
      </c>
      <c r="E2" s="67">
        <v>44104</v>
      </c>
      <c r="F2" s="68">
        <v>5000</v>
      </c>
      <c r="G2" s="63" t="s">
        <v>2</v>
      </c>
      <c r="H2">
        <v>1150000</v>
      </c>
      <c r="I2" s="2">
        <v>2180000</v>
      </c>
      <c r="J2" s="2"/>
      <c r="K2" s="18">
        <f>(+H2/(H2+I2))*100</f>
        <v>34.534534534534536</v>
      </c>
      <c r="L2" s="18">
        <f>(+I2/(H2+I2))*100</f>
        <v>65.465465465465471</v>
      </c>
      <c r="M2" s="18"/>
    </row>
    <row r="3" spans="1:16" ht="57.75" thickBot="1">
      <c r="A3" s="64" t="s">
        <v>822</v>
      </c>
      <c r="B3" s="66" t="s">
        <v>773</v>
      </c>
      <c r="C3" s="65" t="s">
        <v>190</v>
      </c>
      <c r="D3" s="65" t="s">
        <v>776</v>
      </c>
      <c r="E3" s="67">
        <v>43614</v>
      </c>
      <c r="F3" s="68">
        <v>5000</v>
      </c>
      <c r="G3" s="63" t="s">
        <v>2</v>
      </c>
      <c r="H3">
        <v>1150000</v>
      </c>
      <c r="I3" s="2">
        <v>2180000</v>
      </c>
      <c r="J3" s="2"/>
      <c r="K3" s="18">
        <f>(+H3/(H3+I3))*100</f>
        <v>34.534534534534536</v>
      </c>
      <c r="L3" s="18">
        <f>(+I3/(H3+I3))*100</f>
        <v>65.465465465465471</v>
      </c>
    </row>
    <row r="4" spans="1:16">
      <c r="E4" s="1"/>
      <c r="F4" s="14"/>
    </row>
    <row r="5" spans="1:16">
      <c r="E5" s="1"/>
      <c r="F5" s="14"/>
    </row>
    <row r="6" spans="1:16">
      <c r="F6" s="14"/>
    </row>
    <row r="19" spans="1:1" ht="60">
      <c r="A19" s="34" t="s">
        <v>103</v>
      </c>
    </row>
    <row r="20" spans="1:1" ht="216">
      <c r="A20" s="34" t="s">
        <v>104</v>
      </c>
    </row>
    <row r="21" spans="1:1" ht="409.6">
      <c r="A21" s="23" t="s">
        <v>100</v>
      </c>
    </row>
    <row r="22" spans="1:1" ht="409.6">
      <c r="A22" s="23" t="s">
        <v>101</v>
      </c>
    </row>
    <row r="23" spans="1:1" ht="409.6">
      <c r="A23" s="23" t="s">
        <v>102</v>
      </c>
    </row>
    <row r="25" spans="1:1">
      <c r="A25" s="2" t="s">
        <v>102</v>
      </c>
    </row>
  </sheetData>
  <hyperlinks>
    <hyperlink ref="B2" r:id="rId1" tooltip="CVS HEALTH PAC" display="https://www.fec.gov/data/committee/C00384818/" xr:uid="{401288DA-6477-4083-B87E-E942210CD465}"/>
    <hyperlink ref="B3" r:id="rId2" tooltip="CVS HEALTH PAC" display="https://www.fec.gov/data/committee/C00384818/" xr:uid="{9EA575C1-8390-4FF8-9CD2-2E463653EF1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2"/>
  <sheetViews>
    <sheetView topLeftCell="A20" workbookViewId="0">
      <selection activeCell="K24" sqref="K24:L51"/>
    </sheetView>
  </sheetViews>
  <sheetFormatPr defaultRowHeight="15"/>
  <cols>
    <col min="1" max="1" width="18.7109375" customWidth="1"/>
    <col min="2" max="2" width="19" customWidth="1"/>
    <col min="5" max="5" width="16.28515625" customWidth="1"/>
    <col min="6" max="6" width="15" customWidth="1"/>
  </cols>
  <sheetData>
    <row r="1" spans="1:16">
      <c r="A1" s="12" t="s">
        <v>16</v>
      </c>
      <c r="B1" s="12" t="s">
        <v>17</v>
      </c>
      <c r="C1" s="12" t="s">
        <v>11</v>
      </c>
      <c r="D1" s="12" t="s">
        <v>18</v>
      </c>
      <c r="E1" s="12" t="s">
        <v>19</v>
      </c>
      <c r="F1" s="12" t="s">
        <v>20</v>
      </c>
      <c r="G1" s="12" t="s">
        <v>24</v>
      </c>
      <c r="H1" s="12" t="s">
        <v>4</v>
      </c>
      <c r="I1" s="15" t="s">
        <v>6</v>
      </c>
      <c r="J1" s="12" t="s">
        <v>5</v>
      </c>
      <c r="K1" s="12" t="s">
        <v>13</v>
      </c>
      <c r="L1" s="12" t="s">
        <v>14</v>
      </c>
      <c r="M1" s="12" t="s">
        <v>25</v>
      </c>
      <c r="N1" s="12"/>
      <c r="O1" s="12"/>
      <c r="P1" s="12"/>
    </row>
    <row r="2" spans="1:16" ht="29.25" thickBot="1">
      <c r="A2" s="64" t="s">
        <v>824</v>
      </c>
      <c r="B2" s="66" t="s">
        <v>773</v>
      </c>
      <c r="C2" s="65" t="s">
        <v>774</v>
      </c>
      <c r="D2" s="65" t="s">
        <v>776</v>
      </c>
      <c r="E2" s="67">
        <v>44189</v>
      </c>
      <c r="F2" s="68">
        <v>416.66</v>
      </c>
      <c r="G2" s="63" t="s">
        <v>2</v>
      </c>
      <c r="H2">
        <v>1150000</v>
      </c>
      <c r="I2" s="2">
        <v>2180000</v>
      </c>
      <c r="K2" s="18">
        <f>(+H2/(H2+I2))*100</f>
        <v>34.534534534534536</v>
      </c>
      <c r="L2" s="18">
        <f>(+I2/(H2+I2))*100</f>
        <v>65.465465465465471</v>
      </c>
    </row>
    <row r="3" spans="1:16" ht="29.25" thickBot="1">
      <c r="A3" s="64" t="s">
        <v>824</v>
      </c>
      <c r="B3" s="66" t="s">
        <v>773</v>
      </c>
      <c r="C3" s="65" t="s">
        <v>774</v>
      </c>
      <c r="D3" s="65" t="s">
        <v>776</v>
      </c>
      <c r="E3" s="67">
        <v>44162</v>
      </c>
      <c r="F3" s="68">
        <v>416.66</v>
      </c>
      <c r="G3" s="63" t="s">
        <v>2</v>
      </c>
      <c r="H3">
        <v>1150000</v>
      </c>
      <c r="I3" s="2">
        <v>2180000</v>
      </c>
      <c r="K3" s="18">
        <f t="shared" ref="K3:K23" si="0">(+H3/(H3+I3))*100</f>
        <v>34.534534534534536</v>
      </c>
      <c r="L3" s="18">
        <f t="shared" ref="L3:L23" si="1">(+I3/(H3+I3))*100</f>
        <v>65.465465465465471</v>
      </c>
    </row>
    <row r="4" spans="1:16" ht="29.25" thickBot="1">
      <c r="A4" s="64" t="s">
        <v>824</v>
      </c>
      <c r="B4" s="66" t="s">
        <v>773</v>
      </c>
      <c r="C4" s="65" t="s">
        <v>774</v>
      </c>
      <c r="D4" s="65" t="s">
        <v>776</v>
      </c>
      <c r="E4" s="67">
        <v>44120</v>
      </c>
      <c r="F4" s="68">
        <v>416.66</v>
      </c>
      <c r="G4" s="63" t="s">
        <v>2</v>
      </c>
      <c r="H4">
        <v>1150000</v>
      </c>
      <c r="I4" s="2">
        <v>2180000</v>
      </c>
      <c r="K4" s="18">
        <f t="shared" si="0"/>
        <v>34.534534534534536</v>
      </c>
      <c r="L4" s="18">
        <f t="shared" si="1"/>
        <v>65.465465465465471</v>
      </c>
    </row>
    <row r="5" spans="1:16" ht="29.25" thickBot="1">
      <c r="A5" s="64" t="s">
        <v>824</v>
      </c>
      <c r="B5" s="66" t="s">
        <v>773</v>
      </c>
      <c r="C5" s="65" t="s">
        <v>774</v>
      </c>
      <c r="D5" s="65" t="s">
        <v>776</v>
      </c>
      <c r="E5" s="67">
        <v>44092</v>
      </c>
      <c r="F5" s="68">
        <v>416.66</v>
      </c>
      <c r="G5" s="63" t="s">
        <v>2</v>
      </c>
      <c r="H5">
        <v>1150000</v>
      </c>
      <c r="I5" s="2">
        <v>2180000</v>
      </c>
      <c r="K5" s="18">
        <f t="shared" si="0"/>
        <v>34.534534534534536</v>
      </c>
      <c r="L5" s="18">
        <f t="shared" si="1"/>
        <v>65.465465465465471</v>
      </c>
    </row>
    <row r="6" spans="1:16" ht="29.25" thickBot="1">
      <c r="A6" s="64" t="s">
        <v>824</v>
      </c>
      <c r="B6" s="66" t="s">
        <v>773</v>
      </c>
      <c r="C6" s="65" t="s">
        <v>774</v>
      </c>
      <c r="D6" s="65" t="s">
        <v>776</v>
      </c>
      <c r="E6" s="67">
        <v>44064</v>
      </c>
      <c r="F6" s="68">
        <v>416.66</v>
      </c>
      <c r="G6" s="63" t="s">
        <v>2</v>
      </c>
      <c r="H6">
        <v>1150000</v>
      </c>
      <c r="I6" s="2">
        <v>2180000</v>
      </c>
      <c r="K6" s="18">
        <f t="shared" si="0"/>
        <v>34.534534534534536</v>
      </c>
      <c r="L6" s="18">
        <f t="shared" si="1"/>
        <v>65.465465465465471</v>
      </c>
    </row>
    <row r="7" spans="1:16" ht="29.25" thickBot="1">
      <c r="A7" s="64" t="s">
        <v>824</v>
      </c>
      <c r="B7" s="66" t="s">
        <v>773</v>
      </c>
      <c r="C7" s="65" t="s">
        <v>774</v>
      </c>
      <c r="D7" s="65" t="s">
        <v>776</v>
      </c>
      <c r="E7" s="67">
        <v>44036</v>
      </c>
      <c r="F7" s="68">
        <v>416.66</v>
      </c>
      <c r="G7" s="63" t="s">
        <v>2</v>
      </c>
      <c r="H7">
        <v>1150000</v>
      </c>
      <c r="I7" s="2">
        <v>2180000</v>
      </c>
      <c r="K7" s="18">
        <f t="shared" si="0"/>
        <v>34.534534534534536</v>
      </c>
      <c r="L7" s="18">
        <f t="shared" si="1"/>
        <v>65.465465465465471</v>
      </c>
    </row>
    <row r="8" spans="1:16" ht="29.25" thickBot="1">
      <c r="A8" s="64" t="s">
        <v>824</v>
      </c>
      <c r="B8" s="66" t="s">
        <v>773</v>
      </c>
      <c r="C8" s="65" t="s">
        <v>774</v>
      </c>
      <c r="D8" s="65" t="s">
        <v>776</v>
      </c>
      <c r="E8" s="67">
        <v>44008</v>
      </c>
      <c r="F8" s="68">
        <v>416.66</v>
      </c>
      <c r="G8" s="63" t="s">
        <v>2</v>
      </c>
      <c r="H8">
        <v>1150000</v>
      </c>
      <c r="I8" s="2">
        <v>2180000</v>
      </c>
      <c r="K8" s="18">
        <f t="shared" si="0"/>
        <v>34.534534534534536</v>
      </c>
      <c r="L8" s="18">
        <f t="shared" si="1"/>
        <v>65.465465465465471</v>
      </c>
    </row>
    <row r="9" spans="1:16" ht="30.75" thickBot="1">
      <c r="A9" s="64" t="s">
        <v>824</v>
      </c>
      <c r="B9" s="66" t="s">
        <v>825</v>
      </c>
      <c r="C9" s="65" t="s">
        <v>814</v>
      </c>
      <c r="D9" s="65" t="s">
        <v>776</v>
      </c>
      <c r="E9" s="67">
        <v>43999</v>
      </c>
      <c r="F9" s="68">
        <v>1000</v>
      </c>
      <c r="G9" s="63" t="s">
        <v>2</v>
      </c>
      <c r="H9">
        <v>0</v>
      </c>
      <c r="I9" s="2">
        <v>100</v>
      </c>
      <c r="K9" s="18">
        <f t="shared" si="0"/>
        <v>0</v>
      </c>
      <c r="L9" s="18">
        <f t="shared" si="1"/>
        <v>100</v>
      </c>
    </row>
    <row r="10" spans="1:16" ht="29.25" thickBot="1">
      <c r="A10" s="64" t="s">
        <v>824</v>
      </c>
      <c r="B10" s="66" t="s">
        <v>773</v>
      </c>
      <c r="C10" s="65" t="s">
        <v>774</v>
      </c>
      <c r="D10" s="65" t="s">
        <v>776</v>
      </c>
      <c r="E10" s="67">
        <v>43966</v>
      </c>
      <c r="F10" s="68">
        <v>416.66</v>
      </c>
      <c r="G10" s="63" t="s">
        <v>2</v>
      </c>
      <c r="H10">
        <v>1150000</v>
      </c>
      <c r="I10" s="2">
        <v>2180000</v>
      </c>
      <c r="K10" s="18">
        <f t="shared" si="0"/>
        <v>34.534534534534536</v>
      </c>
      <c r="L10" s="18">
        <f t="shared" si="1"/>
        <v>65.465465465465471</v>
      </c>
    </row>
    <row r="11" spans="1:16" ht="29.25" thickBot="1">
      <c r="A11" s="64" t="s">
        <v>824</v>
      </c>
      <c r="B11" s="66" t="s">
        <v>773</v>
      </c>
      <c r="C11" s="65" t="s">
        <v>774</v>
      </c>
      <c r="D11" s="65" t="s">
        <v>776</v>
      </c>
      <c r="E11" s="67">
        <v>43938</v>
      </c>
      <c r="F11" s="68">
        <v>416.66</v>
      </c>
      <c r="G11" s="63" t="s">
        <v>2</v>
      </c>
      <c r="H11">
        <v>1150000</v>
      </c>
      <c r="I11" s="2">
        <v>2180000</v>
      </c>
      <c r="K11" s="18">
        <f t="shared" si="0"/>
        <v>34.534534534534536</v>
      </c>
      <c r="L11" s="18">
        <f t="shared" si="1"/>
        <v>65.465465465465471</v>
      </c>
    </row>
    <row r="12" spans="1:16" ht="29.25" thickBot="1">
      <c r="A12" s="64" t="s">
        <v>824</v>
      </c>
      <c r="B12" s="66" t="s">
        <v>773</v>
      </c>
      <c r="C12" s="65" t="s">
        <v>774</v>
      </c>
      <c r="D12" s="65" t="s">
        <v>776</v>
      </c>
      <c r="E12" s="67">
        <v>43910</v>
      </c>
      <c r="F12" s="68">
        <v>416.66</v>
      </c>
      <c r="G12" s="63" t="s">
        <v>2</v>
      </c>
      <c r="H12">
        <v>1150000</v>
      </c>
      <c r="I12" s="2">
        <v>2180000</v>
      </c>
      <c r="K12" s="18">
        <f t="shared" si="0"/>
        <v>34.534534534534536</v>
      </c>
      <c r="L12" s="18">
        <f t="shared" si="1"/>
        <v>65.465465465465471</v>
      </c>
    </row>
    <row r="13" spans="1:16" ht="29.25" thickBot="1">
      <c r="A13" s="64" t="s">
        <v>824</v>
      </c>
      <c r="B13" s="66" t="s">
        <v>773</v>
      </c>
      <c r="C13" s="65" t="s">
        <v>774</v>
      </c>
      <c r="D13" s="65" t="s">
        <v>776</v>
      </c>
      <c r="E13" s="67">
        <v>43882</v>
      </c>
      <c r="F13" s="68">
        <v>416.66</v>
      </c>
      <c r="G13" s="63" t="s">
        <v>2</v>
      </c>
      <c r="H13">
        <v>1150000</v>
      </c>
      <c r="I13" s="2">
        <v>2180000</v>
      </c>
      <c r="K13" s="18">
        <f t="shared" si="0"/>
        <v>34.534534534534536</v>
      </c>
      <c r="L13" s="18">
        <f t="shared" si="1"/>
        <v>65.465465465465471</v>
      </c>
    </row>
    <row r="14" spans="1:16" ht="29.25" thickBot="1">
      <c r="A14" s="64" t="s">
        <v>824</v>
      </c>
      <c r="B14" s="66" t="s">
        <v>773</v>
      </c>
      <c r="C14" s="65" t="s">
        <v>774</v>
      </c>
      <c r="D14" s="65" t="s">
        <v>776</v>
      </c>
      <c r="E14" s="67">
        <v>43854</v>
      </c>
      <c r="F14" s="68">
        <v>416.66</v>
      </c>
      <c r="G14" s="63" t="s">
        <v>2</v>
      </c>
      <c r="H14">
        <v>1150000</v>
      </c>
      <c r="I14" s="2">
        <v>2180000</v>
      </c>
      <c r="K14" s="18">
        <f t="shared" si="0"/>
        <v>34.534534534534536</v>
      </c>
      <c r="L14" s="18">
        <f t="shared" si="1"/>
        <v>65.465465465465471</v>
      </c>
    </row>
    <row r="15" spans="1:16" ht="29.25" thickBot="1">
      <c r="A15" s="64" t="s">
        <v>824</v>
      </c>
      <c r="B15" s="66" t="s">
        <v>773</v>
      </c>
      <c r="C15" s="65" t="s">
        <v>774</v>
      </c>
      <c r="D15" s="65" t="s">
        <v>776</v>
      </c>
      <c r="E15" s="67">
        <v>43826</v>
      </c>
      <c r="F15" s="68">
        <v>416.66</v>
      </c>
      <c r="G15" s="63" t="s">
        <v>2</v>
      </c>
      <c r="H15">
        <v>1150000</v>
      </c>
      <c r="I15" s="2">
        <v>2180000</v>
      </c>
      <c r="K15" s="18">
        <f t="shared" si="0"/>
        <v>34.534534534534536</v>
      </c>
      <c r="L15" s="18">
        <f t="shared" si="1"/>
        <v>65.465465465465471</v>
      </c>
    </row>
    <row r="16" spans="1:16" ht="29.25" thickBot="1">
      <c r="A16" s="64" t="s">
        <v>824</v>
      </c>
      <c r="B16" s="66" t="s">
        <v>773</v>
      </c>
      <c r="C16" s="65" t="s">
        <v>774</v>
      </c>
      <c r="D16" s="65" t="s">
        <v>776</v>
      </c>
      <c r="E16" s="67">
        <v>43784</v>
      </c>
      <c r="F16" s="68">
        <v>416.66</v>
      </c>
      <c r="G16" s="63" t="s">
        <v>2</v>
      </c>
      <c r="H16">
        <v>1150000</v>
      </c>
      <c r="I16" s="2">
        <v>2180000</v>
      </c>
      <c r="K16" s="18">
        <f t="shared" si="0"/>
        <v>34.534534534534536</v>
      </c>
      <c r="L16" s="18">
        <f t="shared" si="1"/>
        <v>65.465465465465471</v>
      </c>
    </row>
    <row r="17" spans="1:12" ht="29.25" thickBot="1">
      <c r="A17" s="64" t="s">
        <v>824</v>
      </c>
      <c r="B17" s="66" t="s">
        <v>773</v>
      </c>
      <c r="C17" s="65" t="s">
        <v>774</v>
      </c>
      <c r="D17" s="65" t="s">
        <v>776</v>
      </c>
      <c r="E17" s="67">
        <v>43756</v>
      </c>
      <c r="F17" s="68">
        <v>416.66</v>
      </c>
      <c r="G17" s="63" t="s">
        <v>2</v>
      </c>
      <c r="H17">
        <v>1150000</v>
      </c>
      <c r="I17" s="2">
        <v>2180000</v>
      </c>
      <c r="K17" s="18">
        <f t="shared" si="0"/>
        <v>34.534534534534536</v>
      </c>
      <c r="L17" s="18">
        <f t="shared" si="1"/>
        <v>65.465465465465471</v>
      </c>
    </row>
    <row r="18" spans="1:12" ht="29.25" thickBot="1">
      <c r="A18" s="64" t="s">
        <v>824</v>
      </c>
      <c r="B18" s="66" t="s">
        <v>773</v>
      </c>
      <c r="C18" s="65" t="s">
        <v>774</v>
      </c>
      <c r="D18" s="65" t="s">
        <v>776</v>
      </c>
      <c r="E18" s="67">
        <v>43728</v>
      </c>
      <c r="F18" s="68">
        <v>416.66</v>
      </c>
      <c r="G18" s="63" t="s">
        <v>2</v>
      </c>
      <c r="H18">
        <v>1150000</v>
      </c>
      <c r="I18" s="2">
        <v>2180000</v>
      </c>
      <c r="K18" s="18">
        <f t="shared" si="0"/>
        <v>34.534534534534536</v>
      </c>
      <c r="L18" s="18">
        <f t="shared" si="1"/>
        <v>65.465465465465471</v>
      </c>
    </row>
    <row r="19" spans="1:12" ht="29.25" thickBot="1">
      <c r="A19" s="64" t="s">
        <v>824</v>
      </c>
      <c r="B19" s="66" t="s">
        <v>773</v>
      </c>
      <c r="C19" s="65" t="s">
        <v>774</v>
      </c>
      <c r="D19" s="65" t="s">
        <v>776</v>
      </c>
      <c r="E19" s="67">
        <v>43700</v>
      </c>
      <c r="F19" s="68">
        <v>416.66</v>
      </c>
      <c r="G19" s="63" t="s">
        <v>2</v>
      </c>
      <c r="H19">
        <v>1150000</v>
      </c>
      <c r="I19" s="2">
        <v>2180000</v>
      </c>
      <c r="K19" s="18">
        <f t="shared" si="0"/>
        <v>34.534534534534536</v>
      </c>
      <c r="L19" s="18">
        <f t="shared" si="1"/>
        <v>65.465465465465471</v>
      </c>
    </row>
    <row r="20" spans="1:12" ht="29.25" thickBot="1">
      <c r="A20" s="64" t="s">
        <v>824</v>
      </c>
      <c r="B20" s="66" t="s">
        <v>773</v>
      </c>
      <c r="C20" s="65" t="s">
        <v>774</v>
      </c>
      <c r="D20" s="65" t="s">
        <v>776</v>
      </c>
      <c r="E20" s="67">
        <v>43672</v>
      </c>
      <c r="F20" s="68">
        <v>416.66</v>
      </c>
      <c r="G20" s="63" t="s">
        <v>2</v>
      </c>
      <c r="H20">
        <v>1150000</v>
      </c>
      <c r="I20" s="2">
        <v>2180000</v>
      </c>
      <c r="K20" s="18">
        <f t="shared" si="0"/>
        <v>34.534534534534536</v>
      </c>
      <c r="L20" s="18">
        <f t="shared" si="1"/>
        <v>65.465465465465471</v>
      </c>
    </row>
    <row r="21" spans="1:12" ht="29.25" thickBot="1">
      <c r="A21" s="64" t="s">
        <v>824</v>
      </c>
      <c r="B21" s="66" t="s">
        <v>773</v>
      </c>
      <c r="C21" s="65" t="s">
        <v>774</v>
      </c>
      <c r="D21" s="65" t="s">
        <v>776</v>
      </c>
      <c r="E21" s="67">
        <v>43644</v>
      </c>
      <c r="F21" s="68">
        <v>416.66</v>
      </c>
      <c r="G21" s="63" t="s">
        <v>2</v>
      </c>
      <c r="H21">
        <v>1150000</v>
      </c>
      <c r="I21" s="2">
        <v>2180000</v>
      </c>
      <c r="K21" s="18">
        <f t="shared" si="0"/>
        <v>34.534534534534536</v>
      </c>
      <c r="L21" s="18">
        <f t="shared" si="1"/>
        <v>65.465465465465471</v>
      </c>
    </row>
    <row r="22" spans="1:12" ht="29.25" thickBot="1">
      <c r="A22" s="64" t="s">
        <v>824</v>
      </c>
      <c r="B22" s="66" t="s">
        <v>773</v>
      </c>
      <c r="C22" s="65" t="s">
        <v>774</v>
      </c>
      <c r="D22" s="65" t="s">
        <v>776</v>
      </c>
      <c r="E22" s="67">
        <v>43602</v>
      </c>
      <c r="F22" s="68">
        <v>416.66</v>
      </c>
      <c r="G22" s="63" t="s">
        <v>2</v>
      </c>
      <c r="H22">
        <v>1150000</v>
      </c>
      <c r="I22" s="2">
        <v>2180000</v>
      </c>
      <c r="K22" s="18">
        <f t="shared" si="0"/>
        <v>34.534534534534536</v>
      </c>
      <c r="L22" s="18">
        <f t="shared" si="1"/>
        <v>65.465465465465471</v>
      </c>
    </row>
    <row r="23" spans="1:12" ht="29.25" thickBot="1">
      <c r="A23" s="64" t="s">
        <v>824</v>
      </c>
      <c r="B23" s="66" t="s">
        <v>773</v>
      </c>
      <c r="C23" s="65" t="s">
        <v>774</v>
      </c>
      <c r="D23" s="65" t="s">
        <v>776</v>
      </c>
      <c r="E23" s="67">
        <v>43574</v>
      </c>
      <c r="F23" s="68">
        <v>416.66</v>
      </c>
      <c r="G23" s="63" t="s">
        <v>2</v>
      </c>
      <c r="H23">
        <v>1150000</v>
      </c>
      <c r="I23" s="2">
        <v>2180000</v>
      </c>
      <c r="K23" s="18">
        <f t="shared" si="0"/>
        <v>34.534534534534536</v>
      </c>
      <c r="L23" s="18">
        <f t="shared" si="1"/>
        <v>65.465465465465471</v>
      </c>
    </row>
    <row r="24" spans="1:12" ht="15.75">
      <c r="A24" s="23"/>
      <c r="E24" s="1"/>
      <c r="F24" s="14">
        <f>SUM(F2:F23)</f>
        <v>9749.8599999999988</v>
      </c>
      <c r="H24" s="35"/>
      <c r="I24" s="35"/>
      <c r="K24" s="18"/>
      <c r="L24" s="18"/>
    </row>
    <row r="25" spans="1:12" ht="15.75">
      <c r="A25" s="23"/>
      <c r="E25" s="1"/>
      <c r="F25" s="14"/>
      <c r="H25" s="35"/>
      <c r="I25" s="35"/>
      <c r="K25" s="18"/>
      <c r="L25" s="18"/>
    </row>
    <row r="26" spans="1:12" ht="15.75">
      <c r="A26" s="23"/>
      <c r="E26" s="1"/>
      <c r="F26" s="14"/>
      <c r="H26" s="35"/>
      <c r="I26" s="35"/>
      <c r="K26" s="18"/>
      <c r="L26" s="18"/>
    </row>
    <row r="27" spans="1:12" ht="15.75">
      <c r="E27" s="1"/>
      <c r="F27" s="14"/>
      <c r="H27" s="35"/>
      <c r="I27" s="35"/>
      <c r="K27" s="18"/>
      <c r="L27" s="18"/>
    </row>
    <row r="28" spans="1:12" ht="15.75">
      <c r="E28" s="1"/>
      <c r="F28" s="14"/>
      <c r="H28" s="35"/>
      <c r="I28" s="35"/>
      <c r="K28" s="18"/>
      <c r="L28" s="18"/>
    </row>
    <row r="29" spans="1:12" ht="15.75">
      <c r="A29" s="23"/>
      <c r="E29" s="1"/>
      <c r="F29" s="14"/>
      <c r="H29" s="35"/>
      <c r="I29" s="35"/>
      <c r="K29" s="18"/>
      <c r="L29" s="18"/>
    </row>
    <row r="30" spans="1:12" ht="15.75">
      <c r="A30" s="23"/>
      <c r="E30" s="1"/>
      <c r="F30" s="14"/>
      <c r="H30" s="35"/>
      <c r="I30" s="35"/>
      <c r="K30" s="18"/>
      <c r="L30" s="18"/>
    </row>
    <row r="31" spans="1:12" ht="15.75">
      <c r="A31" s="24"/>
      <c r="E31" s="1"/>
      <c r="F31" s="14"/>
      <c r="H31" s="35"/>
      <c r="I31" s="35"/>
      <c r="K31" s="18"/>
      <c r="L31" s="18"/>
    </row>
    <row r="32" spans="1:12" ht="15.75">
      <c r="A32" s="23"/>
      <c r="E32" s="1"/>
      <c r="F32" s="14"/>
      <c r="H32" s="35"/>
      <c r="I32" s="35"/>
      <c r="K32" s="18"/>
      <c r="L32" s="18"/>
    </row>
    <row r="33" spans="1:12" ht="15.75">
      <c r="A33" s="20"/>
      <c r="E33" s="1"/>
      <c r="F33" s="14"/>
      <c r="H33" s="35"/>
      <c r="I33" s="35"/>
      <c r="K33" s="18"/>
      <c r="L33" s="18"/>
    </row>
    <row r="34" spans="1:12" ht="15.75">
      <c r="E34" s="1"/>
      <c r="F34" s="14"/>
      <c r="H34" s="35"/>
      <c r="I34" s="35"/>
      <c r="K34" s="18"/>
      <c r="L34" s="18"/>
    </row>
    <row r="35" spans="1:12" ht="15.75">
      <c r="E35" s="1"/>
      <c r="F35" s="14"/>
      <c r="H35" s="35"/>
      <c r="I35" s="35"/>
      <c r="K35" s="18"/>
      <c r="L35" s="18"/>
    </row>
    <row r="36" spans="1:12" ht="15.75">
      <c r="E36" s="1"/>
      <c r="F36" s="14"/>
      <c r="H36" s="35"/>
      <c r="I36" s="35"/>
      <c r="K36" s="18"/>
      <c r="L36" s="18"/>
    </row>
    <row r="37" spans="1:12" ht="15.75">
      <c r="E37" s="1"/>
      <c r="F37" s="14"/>
      <c r="H37" s="35"/>
      <c r="I37" s="35"/>
      <c r="K37" s="18"/>
      <c r="L37" s="18"/>
    </row>
    <row r="38" spans="1:12" ht="15.75">
      <c r="E38" s="1"/>
      <c r="F38" s="14"/>
      <c r="H38" s="35"/>
      <c r="I38" s="35"/>
      <c r="K38" s="18"/>
      <c r="L38" s="18"/>
    </row>
    <row r="39" spans="1:12" ht="15.75">
      <c r="E39" s="1"/>
      <c r="F39" s="14"/>
      <c r="H39" s="35"/>
      <c r="I39" s="35"/>
      <c r="K39" s="18"/>
      <c r="L39" s="18"/>
    </row>
    <row r="40" spans="1:12" ht="15.75">
      <c r="E40" s="1"/>
      <c r="F40" s="14"/>
      <c r="H40" s="35"/>
      <c r="I40" s="35"/>
      <c r="K40" s="18"/>
      <c r="L40" s="18"/>
    </row>
    <row r="41" spans="1:12" ht="15.75">
      <c r="E41" s="1"/>
      <c r="F41" s="14"/>
      <c r="H41" s="35"/>
      <c r="I41" s="35"/>
      <c r="K41" s="18"/>
      <c r="L41" s="18"/>
    </row>
    <row r="42" spans="1:12" ht="15.75">
      <c r="E42" s="1"/>
      <c r="F42" s="14"/>
      <c r="H42" s="35"/>
      <c r="I42" s="35"/>
      <c r="K42" s="18"/>
      <c r="L42" s="18"/>
    </row>
    <row r="43" spans="1:12" ht="15.75">
      <c r="E43" s="1"/>
      <c r="F43" s="14"/>
      <c r="H43" s="35"/>
      <c r="I43" s="35"/>
      <c r="K43" s="18"/>
      <c r="L43" s="18"/>
    </row>
    <row r="44" spans="1:12" ht="15.75">
      <c r="E44" s="1"/>
      <c r="F44" s="14"/>
      <c r="H44" s="35"/>
      <c r="I44" s="35"/>
      <c r="K44" s="18"/>
      <c r="L44" s="18"/>
    </row>
    <row r="45" spans="1:12" ht="15.75">
      <c r="E45" s="1"/>
      <c r="F45" s="14"/>
      <c r="H45" s="35"/>
      <c r="I45" s="35"/>
      <c r="K45" s="18"/>
      <c r="L45" s="18"/>
    </row>
    <row r="46" spans="1:12" ht="15.75">
      <c r="E46" s="1"/>
      <c r="F46" s="14"/>
      <c r="H46" s="35"/>
      <c r="I46" s="35"/>
      <c r="K46" s="18"/>
      <c r="L46" s="18"/>
    </row>
    <row r="47" spans="1:12" ht="15.75">
      <c r="E47" s="1"/>
      <c r="F47" s="14"/>
      <c r="H47" s="35"/>
      <c r="I47" s="35"/>
      <c r="K47" s="18"/>
      <c r="L47" s="18"/>
    </row>
    <row r="48" spans="1:12" ht="15.75">
      <c r="E48" s="1"/>
      <c r="F48" s="14"/>
      <c r="H48" s="35"/>
      <c r="I48" s="35"/>
      <c r="K48" s="18"/>
      <c r="L48" s="18"/>
    </row>
    <row r="49" spans="5:12" ht="15.75">
      <c r="E49" s="1"/>
      <c r="F49" s="14"/>
      <c r="H49" s="35"/>
      <c r="I49" s="35"/>
      <c r="K49" s="18"/>
      <c r="L49" s="18"/>
    </row>
    <row r="50" spans="5:12" ht="15.75">
      <c r="E50" s="1"/>
      <c r="F50" s="14"/>
      <c r="H50" s="35"/>
      <c r="I50" s="35"/>
      <c r="K50" s="18"/>
      <c r="L50" s="18"/>
    </row>
    <row r="51" spans="5:12" ht="15.75">
      <c r="E51" s="1"/>
      <c r="F51" s="14"/>
      <c r="H51" s="35"/>
      <c r="I51" s="35"/>
      <c r="K51" s="18"/>
      <c r="L51" s="18"/>
    </row>
    <row r="52" spans="5:12">
      <c r="F52" s="14"/>
    </row>
  </sheetData>
  <hyperlinks>
    <hyperlink ref="B2" r:id="rId1" tooltip="CVS HEALTH PAC" display="https://www.fec.gov/data/committee/C00384818/" xr:uid="{9D75DEC4-2D39-475C-A65B-C4C67030BB14}"/>
    <hyperlink ref="B3" r:id="rId2" tooltip="CVS HEALTH PAC" display="https://www.fec.gov/data/committee/C00384818/" xr:uid="{7044D982-86D4-4549-98F7-677A1857410C}"/>
    <hyperlink ref="B4" r:id="rId3" tooltip="CVS HEALTH PAC" display="https://www.fec.gov/data/committee/C00384818/" xr:uid="{73136C83-E15D-4EB9-A222-FE6830F69F37}"/>
    <hyperlink ref="B5" r:id="rId4" tooltip="CVS HEALTH PAC" display="https://www.fec.gov/data/committee/C00384818/" xr:uid="{B8ABCFC5-F034-4FEC-A166-2B80718924E3}"/>
    <hyperlink ref="B6" r:id="rId5" tooltip="CVS HEALTH PAC" display="https://www.fec.gov/data/committee/C00384818/" xr:uid="{DB3A6825-C9C2-46EF-B137-F84FD69ADB9F}"/>
    <hyperlink ref="B7" r:id="rId6" tooltip="CVS HEALTH PAC" display="https://www.fec.gov/data/committee/C00384818/" xr:uid="{6E70BA13-7C20-446B-8677-E80B6713BDE6}"/>
    <hyperlink ref="B8" r:id="rId7" tooltip="CVS HEALTH PAC" display="https://www.fec.gov/data/committee/C00384818/" xr:uid="{DB970DCE-FADB-4B25-9405-1626B32D44E1}"/>
    <hyperlink ref="B9" r:id="rId8" tooltip="THE REED COMMITTEE" display="https://www.fec.gov/data/committee/C00238907/" xr:uid="{62182EBA-753B-45B7-BB7C-346A977D3891}"/>
    <hyperlink ref="B10" r:id="rId9" tooltip="CVS HEALTH PAC" display="https://www.fec.gov/data/committee/C00384818/" xr:uid="{9764492A-0725-4B5A-8B3A-F617F905B614}"/>
    <hyperlink ref="B11" r:id="rId10" tooltip="CVS HEALTH PAC" display="https://www.fec.gov/data/committee/C00384818/" xr:uid="{CCC05658-8708-4527-A2D5-EA4C9C6AA73C}"/>
    <hyperlink ref="B12" r:id="rId11" tooltip="CVS HEALTH PAC" display="https://www.fec.gov/data/committee/C00384818/" xr:uid="{11BD47F0-0620-4EB9-9197-C5C3FB43BA3E}"/>
    <hyperlink ref="B13" r:id="rId12" tooltip="CVS HEALTH PAC" display="https://www.fec.gov/data/committee/C00384818/" xr:uid="{22B194F4-851F-4162-8879-274B1EB69995}"/>
    <hyperlink ref="B14" r:id="rId13" tooltip="CVS HEALTH PAC" display="https://www.fec.gov/data/committee/C00384818/" xr:uid="{DCE93D86-07C7-4CDF-86B6-7DD471FF4987}"/>
    <hyperlink ref="B15" r:id="rId14" tooltip="CVS HEALTH PAC" display="https://www.fec.gov/data/committee/C00384818/" xr:uid="{6679D9FD-E57E-4586-BB74-7576DB6B352E}"/>
    <hyperlink ref="B16" r:id="rId15" tooltip="CVS HEALTH PAC" display="https://www.fec.gov/data/committee/C00384818/" xr:uid="{C476F4D7-C1FD-4CFF-8BD9-6CE678A0D3A0}"/>
    <hyperlink ref="B17" r:id="rId16" tooltip="CVS HEALTH PAC" display="https://www.fec.gov/data/committee/C00384818/" xr:uid="{D68499B9-793A-4D84-B422-C7C80BC70B38}"/>
    <hyperlink ref="B18" r:id="rId17" tooltip="CVS HEALTH PAC" display="https://www.fec.gov/data/committee/C00384818/" xr:uid="{716B2396-54C2-45B6-A145-2C0E7C2180E1}"/>
    <hyperlink ref="B19" r:id="rId18" tooltip="CVS HEALTH PAC" display="https://www.fec.gov/data/committee/C00384818/" xr:uid="{3E88C281-FF65-4F31-8B13-C01215EE46AA}"/>
    <hyperlink ref="B20" r:id="rId19" tooltip="CVS HEALTH PAC" display="https://www.fec.gov/data/committee/C00384818/" xr:uid="{91B45AA5-6C1B-43BD-A0EE-CF2135A100E5}"/>
    <hyperlink ref="B21" r:id="rId20" tooltip="CVS HEALTH PAC" display="https://www.fec.gov/data/committee/C00384818/" xr:uid="{DDA72A4B-9768-4147-AC84-263C8360E62C}"/>
    <hyperlink ref="B22" r:id="rId21" tooltip="CVS HEALTH PAC" display="https://www.fec.gov/data/committee/C00384818/" xr:uid="{25F27748-3275-4604-8739-2598535C0ACC}"/>
    <hyperlink ref="B23" r:id="rId22" tooltip="CVS HEALTH PAC" display="https://www.fec.gov/data/committee/C00384818/" xr:uid="{3036A8CC-D36C-4ADF-8117-1FF710C5CE72}"/>
  </hyperlinks>
  <pageMargins left="0.7" right="0.7" top="0.75" bottom="0.75" header="0.3" footer="0.3"/>
  <pageSetup orientation="portrait" r:id="rId2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1"/>
  <sheetViews>
    <sheetView topLeftCell="C1" workbookViewId="0">
      <selection activeCell="G2" sqref="G2:I2"/>
    </sheetView>
  </sheetViews>
  <sheetFormatPr defaultRowHeight="15"/>
  <cols>
    <col min="2" max="2" width="79.28515625" customWidth="1"/>
    <col min="4" max="4" width="38.42578125" customWidth="1"/>
    <col min="5" max="5" width="17" customWidth="1"/>
    <col min="6" max="6" width="14.5703125" customWidth="1"/>
  </cols>
  <sheetData>
    <row r="1" spans="1:16">
      <c r="A1" s="12" t="s">
        <v>16</v>
      </c>
      <c r="B1" s="12" t="s">
        <v>17</v>
      </c>
      <c r="C1" s="12" t="s">
        <v>11</v>
      </c>
      <c r="D1" s="12" t="s">
        <v>18</v>
      </c>
      <c r="E1" s="12" t="s">
        <v>19</v>
      </c>
      <c r="F1" s="12" t="s">
        <v>20</v>
      </c>
      <c r="G1" s="12" t="s">
        <v>24</v>
      </c>
      <c r="H1" s="12" t="s">
        <v>4</v>
      </c>
      <c r="I1" s="15" t="s">
        <v>6</v>
      </c>
      <c r="J1" s="12" t="s">
        <v>5</v>
      </c>
      <c r="K1" s="12" t="s">
        <v>13</v>
      </c>
      <c r="L1" s="12" t="s">
        <v>14</v>
      </c>
      <c r="M1" s="12" t="s">
        <v>25</v>
      </c>
      <c r="N1" s="12"/>
      <c r="O1" s="12"/>
      <c r="P1" s="12"/>
    </row>
    <row r="2" spans="1:16" ht="43.5" thickBot="1">
      <c r="A2" s="64" t="s">
        <v>827</v>
      </c>
      <c r="B2" s="66" t="s">
        <v>773</v>
      </c>
      <c r="C2" s="65" t="s">
        <v>774</v>
      </c>
      <c r="D2" s="65" t="s">
        <v>775</v>
      </c>
      <c r="E2" s="67">
        <v>44104</v>
      </c>
      <c r="F2" s="68">
        <v>5000</v>
      </c>
      <c r="G2" s="63" t="s">
        <v>2</v>
      </c>
      <c r="H2">
        <v>1150000</v>
      </c>
      <c r="I2" s="2">
        <v>2180000</v>
      </c>
      <c r="K2" s="18">
        <f>(+H2/(H2+I2))*100</f>
        <v>34.534534534534536</v>
      </c>
      <c r="L2" s="18">
        <f>(+I2/(H2+I2))*100</f>
        <v>65.465465465465471</v>
      </c>
    </row>
    <row r="3" spans="1:16" ht="43.5" thickBot="1">
      <c r="A3" s="64" t="s">
        <v>827</v>
      </c>
      <c r="B3" s="66" t="s">
        <v>773</v>
      </c>
      <c r="C3" s="65" t="s">
        <v>809</v>
      </c>
      <c r="D3" s="65" t="s">
        <v>776</v>
      </c>
      <c r="E3" s="67">
        <v>43614</v>
      </c>
      <c r="F3" s="68">
        <v>5000</v>
      </c>
      <c r="G3" s="63" t="s">
        <v>2</v>
      </c>
      <c r="H3">
        <v>1150000</v>
      </c>
      <c r="I3" s="2">
        <v>2180000</v>
      </c>
      <c r="K3" s="18">
        <f>(+H3/(H3+I3))*100</f>
        <v>34.534534534534536</v>
      </c>
      <c r="L3" s="18">
        <f>(+I3/(H3+I3))*100</f>
        <v>65.465465465465471</v>
      </c>
    </row>
    <row r="4" spans="1:16" ht="15.75">
      <c r="E4" s="1"/>
      <c r="F4" s="14">
        <f>SUM(F2:F3)</f>
        <v>10000</v>
      </c>
      <c r="K4" s="18"/>
      <c r="L4" s="18"/>
    </row>
    <row r="5" spans="1:16" ht="15.75">
      <c r="E5" s="1"/>
      <c r="F5" s="14"/>
      <c r="K5" s="18"/>
      <c r="L5" s="18"/>
    </row>
    <row r="6" spans="1:16" ht="15.75">
      <c r="E6" s="1"/>
      <c r="F6" s="14"/>
      <c r="K6" s="18"/>
      <c r="L6" s="18"/>
    </row>
    <row r="7" spans="1:16" ht="15.75">
      <c r="E7" s="1"/>
      <c r="F7" s="14"/>
      <c r="K7" s="18"/>
      <c r="L7" s="18"/>
    </row>
    <row r="8" spans="1:16" ht="15.75">
      <c r="E8" s="1"/>
      <c r="F8" s="14"/>
      <c r="K8" s="18"/>
      <c r="L8" s="18"/>
    </row>
    <row r="9" spans="1:16" ht="15.75">
      <c r="E9" s="1"/>
      <c r="F9" s="14"/>
      <c r="K9" s="18"/>
      <c r="L9" s="18"/>
    </row>
    <row r="10" spans="1:16" ht="15.75">
      <c r="E10" s="1"/>
      <c r="F10" s="14"/>
      <c r="K10" s="18"/>
      <c r="L10" s="18"/>
    </row>
    <row r="11" spans="1:16" ht="15.75">
      <c r="E11" s="1"/>
      <c r="F11" s="14"/>
      <c r="K11" s="18"/>
      <c r="L11" s="18"/>
    </row>
    <row r="12" spans="1:16" ht="15.75">
      <c r="E12" s="1"/>
      <c r="F12" s="14"/>
      <c r="K12" s="18"/>
      <c r="L12" s="18"/>
    </row>
    <row r="13" spans="1:16" ht="15.75">
      <c r="E13" s="1"/>
      <c r="F13" s="14"/>
      <c r="K13" s="18"/>
      <c r="L13" s="18"/>
    </row>
    <row r="14" spans="1:16" ht="15.75">
      <c r="E14" s="1"/>
      <c r="F14" s="14"/>
      <c r="K14" s="18"/>
      <c r="L14" s="18"/>
    </row>
    <row r="15" spans="1:16" ht="15.75">
      <c r="E15" s="1"/>
      <c r="F15" s="14"/>
      <c r="K15" s="18"/>
      <c r="L15" s="18"/>
    </row>
    <row r="16" spans="1:16" ht="15.75">
      <c r="E16" s="1"/>
      <c r="F16" s="14"/>
      <c r="K16" s="18"/>
      <c r="L16" s="18"/>
    </row>
    <row r="17" spans="5:12" ht="15.75">
      <c r="E17" s="1"/>
      <c r="F17" s="14"/>
      <c r="K17" s="18"/>
      <c r="L17" s="18"/>
    </row>
    <row r="18" spans="5:12" ht="15.75">
      <c r="E18" s="1"/>
      <c r="F18" s="14"/>
      <c r="K18" s="18"/>
      <c r="L18" s="18"/>
    </row>
    <row r="19" spans="5:12" ht="15.75">
      <c r="E19" s="1"/>
      <c r="F19" s="14"/>
      <c r="K19" s="18"/>
      <c r="L19" s="18"/>
    </row>
    <row r="20" spans="5:12" ht="15.75">
      <c r="E20" s="1"/>
      <c r="F20" s="14"/>
      <c r="K20" s="18"/>
      <c r="L20" s="18"/>
    </row>
    <row r="21" spans="5:12">
      <c r="F21" s="14"/>
    </row>
  </sheetData>
  <hyperlinks>
    <hyperlink ref="B2" r:id="rId1" tooltip="CVS HEALTH PAC" display="https://www.fec.gov/data/committee/C00384818/" xr:uid="{370E5945-4589-4651-967C-8F835CD86C2E}"/>
    <hyperlink ref="B3" r:id="rId2" tooltip="CVS HEALTH PAC" display="https://www.fec.gov/data/committee/C00384818/" xr:uid="{37465E74-9232-4B19-BF7D-F02AA33B213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5"/>
  <sheetViews>
    <sheetView topLeftCell="A11" workbookViewId="0">
      <selection activeCell="M20" sqref="M20"/>
    </sheetView>
  </sheetViews>
  <sheetFormatPr defaultRowHeight="15"/>
  <cols>
    <col min="2" max="2" width="36.5703125" customWidth="1"/>
    <col min="6" max="6" width="17.42578125" customWidth="1"/>
    <col min="11" max="11" width="10.85546875" customWidth="1"/>
  </cols>
  <sheetData>
    <row r="1" spans="1:16">
      <c r="A1" s="12" t="s">
        <v>16</v>
      </c>
      <c r="B1" s="12" t="s">
        <v>17</v>
      </c>
      <c r="C1" s="12" t="s">
        <v>11</v>
      </c>
      <c r="D1" s="12" t="s">
        <v>18</v>
      </c>
      <c r="E1" s="12" t="s">
        <v>19</v>
      </c>
      <c r="F1" s="12" t="s">
        <v>20</v>
      </c>
      <c r="G1" s="12" t="s">
        <v>24</v>
      </c>
      <c r="H1" s="12" t="s">
        <v>4</v>
      </c>
      <c r="I1" s="15" t="s">
        <v>6</v>
      </c>
      <c r="J1" s="12" t="s">
        <v>5</v>
      </c>
      <c r="K1" s="12" t="s">
        <v>13</v>
      </c>
      <c r="L1" s="12" t="s">
        <v>14</v>
      </c>
      <c r="M1" s="12" t="s">
        <v>25</v>
      </c>
      <c r="N1" s="12"/>
      <c r="O1" s="12"/>
      <c r="P1" s="12"/>
    </row>
    <row r="2" spans="1:16" ht="43.5" thickBot="1">
      <c r="A2" s="64" t="s">
        <v>830</v>
      </c>
      <c r="B2" s="66" t="s">
        <v>155</v>
      </c>
      <c r="C2" s="65" t="s">
        <v>177</v>
      </c>
      <c r="D2" s="65" t="s">
        <v>831</v>
      </c>
      <c r="E2" s="67">
        <v>44150</v>
      </c>
      <c r="F2" s="68">
        <v>250</v>
      </c>
      <c r="G2" t="s">
        <v>2</v>
      </c>
      <c r="H2">
        <v>0</v>
      </c>
      <c r="I2">
        <v>100</v>
      </c>
      <c r="K2" s="18">
        <f t="shared" ref="K2:K9" si="0">(+H2/(H2+I2))*100</f>
        <v>0</v>
      </c>
      <c r="L2" s="18">
        <f t="shared" ref="L2:L9" si="1">(+I2/(H2+I2))*100</f>
        <v>100</v>
      </c>
    </row>
    <row r="3" spans="1:16" ht="43.5" thickBot="1">
      <c r="A3" s="64" t="s">
        <v>830</v>
      </c>
      <c r="B3" s="66" t="s">
        <v>832</v>
      </c>
      <c r="C3" s="65" t="s">
        <v>177</v>
      </c>
      <c r="D3" s="65" t="s">
        <v>831</v>
      </c>
      <c r="E3" s="67">
        <v>44150</v>
      </c>
      <c r="F3" s="68">
        <v>250</v>
      </c>
      <c r="G3" t="s">
        <v>2</v>
      </c>
      <c r="H3">
        <v>0</v>
      </c>
      <c r="I3">
        <v>100</v>
      </c>
      <c r="K3" s="18">
        <f t="shared" si="0"/>
        <v>0</v>
      </c>
      <c r="L3" s="18">
        <f t="shared" si="1"/>
        <v>100</v>
      </c>
    </row>
    <row r="4" spans="1:16" ht="43.5" thickBot="1">
      <c r="A4" s="64" t="s">
        <v>830</v>
      </c>
      <c r="B4" s="66" t="s">
        <v>833</v>
      </c>
      <c r="C4" s="65" t="s">
        <v>177</v>
      </c>
      <c r="D4" s="65" t="s">
        <v>834</v>
      </c>
      <c r="E4" s="67">
        <v>44059</v>
      </c>
      <c r="F4" s="68">
        <v>500</v>
      </c>
      <c r="G4" t="s">
        <v>2</v>
      </c>
      <c r="H4">
        <v>0</v>
      </c>
      <c r="I4">
        <v>100</v>
      </c>
      <c r="K4" s="18">
        <f t="shared" si="0"/>
        <v>0</v>
      </c>
      <c r="L4" s="18">
        <f t="shared" si="1"/>
        <v>100</v>
      </c>
    </row>
    <row r="5" spans="1:16" ht="43.5" thickBot="1">
      <c r="A5" s="64" t="s">
        <v>830</v>
      </c>
      <c r="B5" s="66" t="s">
        <v>0</v>
      </c>
      <c r="C5" s="65" t="s">
        <v>177</v>
      </c>
      <c r="D5" s="65" t="s">
        <v>835</v>
      </c>
      <c r="E5" s="67">
        <v>44057</v>
      </c>
      <c r="F5" s="68">
        <v>2800</v>
      </c>
      <c r="G5" t="s">
        <v>2</v>
      </c>
      <c r="H5">
        <v>0</v>
      </c>
      <c r="I5">
        <v>100</v>
      </c>
      <c r="K5" s="18">
        <f t="shared" si="0"/>
        <v>0</v>
      </c>
      <c r="L5" s="18">
        <f t="shared" si="1"/>
        <v>100</v>
      </c>
    </row>
    <row r="6" spans="1:16" ht="43.5" thickBot="1">
      <c r="A6" s="64" t="s">
        <v>830</v>
      </c>
      <c r="B6" s="66" t="s">
        <v>0</v>
      </c>
      <c r="C6" s="65" t="s">
        <v>177</v>
      </c>
      <c r="D6" s="65" t="s">
        <v>835</v>
      </c>
      <c r="E6" s="67">
        <v>44057</v>
      </c>
      <c r="F6" s="68">
        <v>2800</v>
      </c>
      <c r="G6" t="s">
        <v>2</v>
      </c>
      <c r="H6">
        <v>0</v>
      </c>
      <c r="I6">
        <v>100</v>
      </c>
      <c r="K6" s="18">
        <f t="shared" si="0"/>
        <v>0</v>
      </c>
      <c r="L6" s="18">
        <f t="shared" si="1"/>
        <v>100</v>
      </c>
    </row>
    <row r="7" spans="1:16" ht="43.5" thickBot="1">
      <c r="A7" s="64" t="s">
        <v>830</v>
      </c>
      <c r="B7" s="66" t="s">
        <v>212</v>
      </c>
      <c r="C7" s="65" t="s">
        <v>177</v>
      </c>
      <c r="D7" s="65" t="s">
        <v>835</v>
      </c>
      <c r="E7" s="67">
        <v>44057</v>
      </c>
      <c r="F7" s="68">
        <v>5600</v>
      </c>
      <c r="G7" t="s">
        <v>2</v>
      </c>
      <c r="H7">
        <v>0</v>
      </c>
      <c r="I7">
        <v>100</v>
      </c>
      <c r="K7" s="18">
        <f t="shared" si="0"/>
        <v>0</v>
      </c>
      <c r="L7" s="18">
        <f t="shared" si="1"/>
        <v>100</v>
      </c>
    </row>
    <row r="8" spans="1:16" ht="43.5" thickBot="1">
      <c r="A8" s="64" t="s">
        <v>830</v>
      </c>
      <c r="B8" s="66" t="s">
        <v>202</v>
      </c>
      <c r="C8" s="65" t="s">
        <v>177</v>
      </c>
      <c r="D8" s="65" t="s">
        <v>834</v>
      </c>
      <c r="E8" s="67">
        <v>44031</v>
      </c>
      <c r="F8" s="68">
        <v>2500</v>
      </c>
      <c r="G8" t="s">
        <v>2</v>
      </c>
      <c r="H8">
        <v>0</v>
      </c>
      <c r="I8">
        <v>100</v>
      </c>
      <c r="K8" s="18">
        <f t="shared" si="0"/>
        <v>0</v>
      </c>
      <c r="L8" s="18">
        <f t="shared" si="1"/>
        <v>100</v>
      </c>
    </row>
    <row r="9" spans="1:16" ht="43.5" thickBot="1">
      <c r="A9" s="64" t="s">
        <v>830</v>
      </c>
      <c r="B9" s="66" t="s">
        <v>836</v>
      </c>
      <c r="C9" s="65" t="s">
        <v>177</v>
      </c>
      <c r="D9" s="65" t="s">
        <v>835</v>
      </c>
      <c r="E9" s="67">
        <v>44011</v>
      </c>
      <c r="F9" s="68">
        <v>1000</v>
      </c>
      <c r="G9" t="s">
        <v>2</v>
      </c>
      <c r="H9">
        <v>0</v>
      </c>
      <c r="I9">
        <v>100</v>
      </c>
      <c r="K9" s="18">
        <f t="shared" si="0"/>
        <v>0</v>
      </c>
      <c r="L9" s="18">
        <f t="shared" si="1"/>
        <v>100</v>
      </c>
    </row>
    <row r="10" spans="1:16" ht="43.5" thickBot="1">
      <c r="A10" s="64" t="s">
        <v>830</v>
      </c>
      <c r="B10" s="66" t="s">
        <v>836</v>
      </c>
      <c r="C10" s="65" t="s">
        <v>177</v>
      </c>
      <c r="D10" s="65" t="s">
        <v>835</v>
      </c>
      <c r="E10" s="67">
        <v>43920</v>
      </c>
      <c r="F10" s="68">
        <v>500</v>
      </c>
      <c r="G10" t="s">
        <v>2</v>
      </c>
      <c r="H10">
        <v>0</v>
      </c>
      <c r="I10">
        <v>100</v>
      </c>
    </row>
    <row r="11" spans="1:16" ht="43.5" thickBot="1">
      <c r="A11" s="64" t="s">
        <v>830</v>
      </c>
      <c r="B11" s="66" t="s">
        <v>833</v>
      </c>
      <c r="C11" s="65" t="s">
        <v>177</v>
      </c>
      <c r="D11" s="65" t="s">
        <v>834</v>
      </c>
      <c r="E11" s="67">
        <v>43878</v>
      </c>
      <c r="F11" s="68">
        <v>500</v>
      </c>
      <c r="G11" t="s">
        <v>2</v>
      </c>
      <c r="H11">
        <v>0</v>
      </c>
      <c r="I11">
        <v>100</v>
      </c>
    </row>
    <row r="12" spans="1:16" ht="43.5" thickBot="1">
      <c r="A12" s="64" t="s">
        <v>830</v>
      </c>
      <c r="B12" s="66" t="s">
        <v>837</v>
      </c>
      <c r="C12" s="65" t="s">
        <v>177</v>
      </c>
      <c r="D12" s="65" t="s">
        <v>831</v>
      </c>
      <c r="E12" s="67">
        <v>43815</v>
      </c>
      <c r="F12" s="68">
        <v>250</v>
      </c>
      <c r="G12" t="s">
        <v>2</v>
      </c>
      <c r="H12">
        <v>0</v>
      </c>
      <c r="I12">
        <v>100</v>
      </c>
    </row>
    <row r="13" spans="1:16" ht="43.5" thickBot="1">
      <c r="A13" s="64" t="s">
        <v>830</v>
      </c>
      <c r="B13" s="66" t="s">
        <v>838</v>
      </c>
      <c r="C13" s="65" t="s">
        <v>177</v>
      </c>
      <c r="D13" s="65" t="s">
        <v>834</v>
      </c>
      <c r="E13" s="67">
        <v>43793</v>
      </c>
      <c r="F13" s="68">
        <v>500</v>
      </c>
      <c r="G13" t="s">
        <v>2</v>
      </c>
      <c r="H13">
        <v>0</v>
      </c>
      <c r="I13">
        <v>100</v>
      </c>
    </row>
    <row r="14" spans="1:16" ht="43.5" thickBot="1">
      <c r="A14" s="64" t="s">
        <v>830</v>
      </c>
      <c r="B14" s="66" t="s">
        <v>825</v>
      </c>
      <c r="C14" s="65" t="s">
        <v>177</v>
      </c>
      <c r="D14" s="65" t="s">
        <v>834</v>
      </c>
      <c r="E14" s="67">
        <v>43768</v>
      </c>
      <c r="F14" s="68">
        <v>2800</v>
      </c>
      <c r="G14" t="s">
        <v>2</v>
      </c>
      <c r="H14">
        <v>0</v>
      </c>
      <c r="I14">
        <v>100</v>
      </c>
    </row>
    <row r="15" spans="1:16">
      <c r="F15" s="14">
        <f>SUM(F2:F14)</f>
        <v>20250</v>
      </c>
    </row>
  </sheetData>
  <hyperlinks>
    <hyperlink ref="B2" r:id="rId1" tooltip="WARNOCK FOR GEORGIA" display="https://www.fec.gov/data/committee/C00736876/" xr:uid="{D882CFE4-1440-477F-9ACB-38BD1EAD0915}"/>
    <hyperlink ref="B3" r:id="rId2" tooltip="NATIONAL DEMOCRATIC TRAINING COMMITTEE PAC" display="https://www.fec.gov/data/committee/C00603084/" xr:uid="{2B9C4297-58D0-4EE2-AB1B-20FECCE63092}"/>
    <hyperlink ref="B4" r:id="rId3" tooltip="SARA GIDEON FOR MAINE" display="https://www.fec.gov/data/committee/C00709899/" xr:uid="{33CB1535-3F69-4A0D-9D5E-2F0929FAC0E6}"/>
    <hyperlink ref="B5" r:id="rId4" tooltip="BIDEN FOR PRESIDENT" display="https://www.fec.gov/data/committee/C00703975/" xr:uid="{AD4DCCE1-0B09-472E-AB38-EB6CF4AEBDBF}"/>
    <hyperlink ref="B6" r:id="rId5" tooltip="BIDEN FOR PRESIDENT" display="https://www.fec.gov/data/committee/C00703975/" xr:uid="{28AA4858-78D8-4704-B4B9-DDB37CCD2952}"/>
    <hyperlink ref="B7" r:id="rId6" tooltip="BIDEN VICTORY FUND" display="https://www.fec.gov/data/committee/C00744946/" xr:uid="{BE5CAA02-0C59-4CA6-8FE4-307B74DDB979}"/>
    <hyperlink ref="B8" r:id="rId7" tooltip="DSCC" display="https://www.fec.gov/data/committee/C00042366/" xr:uid="{197E3544-8E12-48F0-A908-55E444F7125F}"/>
    <hyperlink ref="B9" r:id="rId8" tooltip="WEXTON FOR CONGRESS" display="https://www.fec.gov/data/committee/C00638023/" xr:uid="{A7C4AFB0-1928-4DD9-83A3-0C9A9890CB43}"/>
    <hyperlink ref="B10" r:id="rId9" tooltip="WEXTON FOR CONGRESS" display="https://www.fec.gov/data/committee/C00638023/" xr:uid="{0CE37E46-D526-4346-B91D-7741BEBCA1D1}"/>
    <hyperlink ref="B11" r:id="rId10" tooltip="SARA GIDEON FOR MAINE" display="https://www.fec.gov/data/committee/C00709899/" xr:uid="{4B3AA1C8-9D42-4B08-ADEA-D28544449E7E}"/>
    <hyperlink ref="B12" r:id="rId11" tooltip="ELISSA SLOTKIN FOR CONGRESS" display="https://www.fec.gov/data/committee/C00650150/" xr:uid="{45D9AA06-0BEB-488F-9818-30FD6BF2AC85}"/>
    <hyperlink ref="B13" r:id="rId12" tooltip="COMMITTEE TO ELECT TEDRA COBB" display="https://www.fec.gov/data/committee/C00649061/" xr:uid="{254B8CC6-FF6B-4A6B-895B-6EF759222F25}"/>
    <hyperlink ref="B14" r:id="rId13" tooltip="THE REED COMMITTEE" display="https://www.fec.gov/data/committee/C00238907/" xr:uid="{A45F667C-688F-4605-B531-9803B2E46B7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
  <sheetViews>
    <sheetView workbookViewId="0">
      <selection activeCell="G2" sqref="G2:I2"/>
    </sheetView>
  </sheetViews>
  <sheetFormatPr defaultRowHeight="15"/>
  <cols>
    <col min="2" max="2" width="25.140625" customWidth="1"/>
    <col min="5" max="5" width="18.42578125" customWidth="1"/>
    <col min="6" max="6" width="13.42578125" customWidth="1"/>
  </cols>
  <sheetData>
    <row r="1" spans="1:16">
      <c r="A1" s="12" t="s">
        <v>16</v>
      </c>
      <c r="B1" s="12" t="s">
        <v>17</v>
      </c>
      <c r="C1" s="12" t="s">
        <v>11</v>
      </c>
      <c r="D1" s="12" t="s">
        <v>18</v>
      </c>
      <c r="E1" s="12" t="s">
        <v>19</v>
      </c>
      <c r="F1" s="12" t="s">
        <v>20</v>
      </c>
      <c r="G1" s="12" t="s">
        <v>24</v>
      </c>
      <c r="H1" s="12" t="s">
        <v>4</v>
      </c>
      <c r="I1" s="15" t="s">
        <v>6</v>
      </c>
      <c r="J1" s="12" t="s">
        <v>5</v>
      </c>
      <c r="K1" s="12" t="s">
        <v>13</v>
      </c>
      <c r="L1" s="12" t="s">
        <v>14</v>
      </c>
      <c r="M1" s="12" t="s">
        <v>25</v>
      </c>
      <c r="N1" s="12"/>
      <c r="O1" s="12"/>
      <c r="P1" s="12"/>
    </row>
    <row r="2" spans="1:16" ht="43.5" thickBot="1">
      <c r="A2" s="64" t="s">
        <v>645</v>
      </c>
      <c r="B2" s="66" t="s">
        <v>773</v>
      </c>
      <c r="C2" s="65" t="s">
        <v>774</v>
      </c>
      <c r="D2" s="65" t="s">
        <v>775</v>
      </c>
      <c r="E2" s="67">
        <v>43977</v>
      </c>
      <c r="F2" s="68">
        <v>5000</v>
      </c>
      <c r="G2" s="63" t="s">
        <v>2</v>
      </c>
      <c r="H2">
        <v>1150000</v>
      </c>
      <c r="I2" s="2">
        <v>2180000</v>
      </c>
      <c r="K2" s="18">
        <f>(+H2/(H2+I2))*100</f>
        <v>34.534534534534536</v>
      </c>
      <c r="L2" s="18">
        <f>(+I2/(H2+I2))*100</f>
        <v>65.465465465465471</v>
      </c>
    </row>
    <row r="3" spans="1:16" ht="43.5" thickBot="1">
      <c r="A3" s="64" t="s">
        <v>645</v>
      </c>
      <c r="B3" s="66" t="s">
        <v>773</v>
      </c>
      <c r="C3" s="65" t="s">
        <v>535</v>
      </c>
      <c r="D3" s="65" t="s">
        <v>776</v>
      </c>
      <c r="E3" s="67">
        <v>43818</v>
      </c>
      <c r="F3" s="68">
        <v>5000</v>
      </c>
      <c r="G3" s="63" t="s">
        <v>2</v>
      </c>
      <c r="H3">
        <v>1150000</v>
      </c>
      <c r="I3" s="2">
        <v>2180000</v>
      </c>
      <c r="K3" s="18">
        <f>(+H3/(H3+I3))*100</f>
        <v>34.534534534534536</v>
      </c>
      <c r="L3" s="18">
        <f>(+I3/(H3+I3))*100</f>
        <v>65.465465465465471</v>
      </c>
    </row>
    <row r="4" spans="1:16" ht="15.75">
      <c r="E4" s="1"/>
      <c r="F4" s="14">
        <f>SUM(F2:F3)</f>
        <v>10000</v>
      </c>
      <c r="K4" s="18"/>
      <c r="L4" s="18"/>
    </row>
    <row r="5" spans="1:16" ht="15.75">
      <c r="E5" s="1"/>
      <c r="F5" s="14"/>
      <c r="K5" s="18"/>
      <c r="L5" s="18"/>
    </row>
    <row r="6" spans="1:16">
      <c r="F6" s="14"/>
    </row>
  </sheetData>
  <hyperlinks>
    <hyperlink ref="B2" r:id="rId1" tooltip="CVS HEALTH PAC" display="https://www.fec.gov/data/committee/C00384818/" xr:uid="{54C65D38-0E3F-4D24-AB9C-5E04C413379D}"/>
    <hyperlink ref="B3" r:id="rId2" tooltip="CVS HEALTH PAC" display="https://www.fec.gov/data/committee/C00384818/" xr:uid="{CD00AC90-F525-4962-B40B-30F3689DF1F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2"/>
  <sheetViews>
    <sheetView workbookViewId="0">
      <selection activeCell="F2" sqref="F2:F4"/>
    </sheetView>
  </sheetViews>
  <sheetFormatPr defaultRowHeight="15"/>
  <cols>
    <col min="2" max="2" width="36.5703125" customWidth="1"/>
    <col min="5" max="6" width="14.7109375" customWidth="1"/>
  </cols>
  <sheetData>
    <row r="1" spans="1:16">
      <c r="A1" s="12" t="s">
        <v>16</v>
      </c>
      <c r="B1" s="12" t="s">
        <v>17</v>
      </c>
      <c r="C1" s="12" t="s">
        <v>11</v>
      </c>
      <c r="D1" s="12" t="s">
        <v>18</v>
      </c>
      <c r="E1" s="12" t="s">
        <v>19</v>
      </c>
      <c r="F1" s="12" t="s">
        <v>20</v>
      </c>
      <c r="G1" s="12" t="s">
        <v>24</v>
      </c>
      <c r="H1" s="12" t="s">
        <v>4</v>
      </c>
      <c r="I1" s="15" t="s">
        <v>6</v>
      </c>
      <c r="J1" s="12" t="s">
        <v>5</v>
      </c>
      <c r="K1" s="12" t="s">
        <v>13</v>
      </c>
      <c r="L1" s="12" t="s">
        <v>14</v>
      </c>
      <c r="M1" s="12" t="s">
        <v>25</v>
      </c>
      <c r="N1" s="12"/>
      <c r="O1" s="12"/>
      <c r="P1" s="12"/>
    </row>
    <row r="2" spans="1:16" ht="43.5" thickBot="1">
      <c r="A2" s="64" t="s">
        <v>841</v>
      </c>
      <c r="B2" s="66" t="s">
        <v>773</v>
      </c>
      <c r="C2" s="65" t="s">
        <v>774</v>
      </c>
      <c r="D2" s="65" t="s">
        <v>775</v>
      </c>
      <c r="E2" s="67">
        <v>44104</v>
      </c>
      <c r="F2" s="68">
        <v>5000</v>
      </c>
      <c r="G2" s="63" t="s">
        <v>2</v>
      </c>
      <c r="H2">
        <v>1150000</v>
      </c>
      <c r="I2" s="2">
        <v>2180000</v>
      </c>
      <c r="K2" s="18">
        <f>(+H2/(H2+I2))*100</f>
        <v>34.534534534534536</v>
      </c>
      <c r="L2" s="18">
        <f>(+I2/(H2+I2))*100</f>
        <v>65.465465465465471</v>
      </c>
    </row>
    <row r="3" spans="1:16" ht="29.25" thickBot="1">
      <c r="A3" s="64" t="s">
        <v>841</v>
      </c>
      <c r="B3" s="66" t="s">
        <v>773</v>
      </c>
      <c r="C3" s="65" t="s">
        <v>794</v>
      </c>
      <c r="D3" s="65" t="s">
        <v>776</v>
      </c>
      <c r="E3" s="67">
        <v>43818</v>
      </c>
      <c r="F3" s="68">
        <v>5000</v>
      </c>
      <c r="G3" s="63" t="s">
        <v>2</v>
      </c>
      <c r="H3">
        <v>1150000</v>
      </c>
      <c r="I3" s="2">
        <v>2180000</v>
      </c>
      <c r="K3" s="18">
        <f t="shared" ref="K3" si="0">(+H3/(H3+I3))*100</f>
        <v>34.534534534534536</v>
      </c>
      <c r="L3" s="18">
        <f t="shared" ref="L3" si="1">(+I3/(H3+I3))*100</f>
        <v>65.465465465465471</v>
      </c>
    </row>
    <row r="4" spans="1:16" ht="15.75">
      <c r="E4" s="1"/>
      <c r="F4" s="14">
        <f>SUM(F2:F3)</f>
        <v>10000</v>
      </c>
      <c r="K4" s="18"/>
      <c r="L4" s="18"/>
    </row>
    <row r="5" spans="1:16" ht="15.75">
      <c r="E5" s="1"/>
      <c r="F5" s="14"/>
      <c r="K5" s="18"/>
      <c r="L5" s="18"/>
    </row>
    <row r="6" spans="1:16" ht="15.75">
      <c r="E6" s="1"/>
      <c r="F6" s="14"/>
      <c r="K6" s="18"/>
      <c r="L6" s="18"/>
    </row>
    <row r="7" spans="1:16" ht="15.75">
      <c r="E7" s="1"/>
      <c r="F7" s="14"/>
      <c r="K7" s="18"/>
      <c r="L7" s="18"/>
    </row>
    <row r="8" spans="1:16" ht="15.75">
      <c r="E8" s="1"/>
      <c r="F8" s="14"/>
      <c r="K8" s="18"/>
      <c r="L8" s="18"/>
    </row>
    <row r="9" spans="1:16" ht="15.75">
      <c r="E9" s="1"/>
      <c r="F9" s="14"/>
      <c r="K9" s="18"/>
      <c r="L9" s="18"/>
    </row>
    <row r="10" spans="1:16" ht="15.75">
      <c r="E10" s="1"/>
      <c r="F10" s="14"/>
      <c r="K10" s="18"/>
      <c r="L10" s="18"/>
    </row>
    <row r="11" spans="1:16" ht="15.75">
      <c r="E11" s="1"/>
      <c r="F11" s="14"/>
      <c r="K11" s="18"/>
      <c r="L11" s="18"/>
    </row>
    <row r="12" spans="1:16" ht="15.75">
      <c r="E12" s="1"/>
      <c r="F12" s="14"/>
      <c r="K12" s="18"/>
      <c r="L12" s="18"/>
    </row>
    <row r="13" spans="1:16" ht="15.75">
      <c r="E13" s="1"/>
      <c r="F13" s="14"/>
      <c r="K13" s="18"/>
      <c r="L13" s="18"/>
    </row>
    <row r="14" spans="1:16" ht="15.75">
      <c r="E14" s="1"/>
      <c r="F14" s="14"/>
      <c r="K14" s="18"/>
      <c r="L14" s="18"/>
    </row>
    <row r="15" spans="1:16" ht="15.75">
      <c r="E15" s="1"/>
      <c r="F15" s="14"/>
      <c r="K15" s="18"/>
      <c r="L15" s="18"/>
    </row>
    <row r="16" spans="1:16" ht="15.75">
      <c r="E16" s="1"/>
      <c r="F16" s="14"/>
      <c r="K16" s="18"/>
      <c r="L16" s="18"/>
    </row>
    <row r="17" spans="5:12" ht="15.75">
      <c r="E17" s="1"/>
      <c r="F17" s="14"/>
      <c r="K17" s="18"/>
      <c r="L17" s="18"/>
    </row>
    <row r="18" spans="5:12" ht="15.75">
      <c r="E18" s="1"/>
      <c r="F18" s="14"/>
      <c r="K18" s="18"/>
      <c r="L18" s="18"/>
    </row>
    <row r="19" spans="5:12" ht="15.75">
      <c r="E19" s="1"/>
      <c r="F19" s="14"/>
      <c r="K19" s="18"/>
      <c r="L19" s="18"/>
    </row>
    <row r="20" spans="5:12" ht="15.75">
      <c r="E20" s="1"/>
      <c r="F20" s="14"/>
      <c r="K20" s="18"/>
      <c r="L20" s="18"/>
    </row>
    <row r="21" spans="5:12" ht="15.75">
      <c r="E21" s="1"/>
      <c r="F21" s="14"/>
      <c r="K21" s="18"/>
      <c r="L21" s="18"/>
    </row>
    <row r="22" spans="5:12" ht="15.75">
      <c r="E22" s="1"/>
      <c r="F22" s="14"/>
      <c r="K22" s="18"/>
      <c r="L22" s="18"/>
    </row>
    <row r="23" spans="5:12" ht="15.75">
      <c r="E23" s="1"/>
      <c r="F23" s="14"/>
      <c r="K23" s="18"/>
      <c r="L23" s="18"/>
    </row>
    <row r="24" spans="5:12" ht="15.75">
      <c r="E24" s="1"/>
      <c r="F24" s="14"/>
      <c r="K24" s="18"/>
      <c r="L24" s="18"/>
    </row>
    <row r="25" spans="5:12" ht="15.75">
      <c r="E25" s="1"/>
      <c r="F25" s="14"/>
      <c r="K25" s="18"/>
      <c r="L25" s="18"/>
    </row>
    <row r="26" spans="5:12" ht="15.75">
      <c r="E26" s="1"/>
      <c r="F26" s="14"/>
      <c r="K26" s="18"/>
      <c r="L26" s="18"/>
    </row>
    <row r="27" spans="5:12" ht="15.75">
      <c r="E27" s="1"/>
      <c r="F27" s="14"/>
      <c r="K27" s="18"/>
      <c r="L27" s="18"/>
    </row>
    <row r="28" spans="5:12" ht="15.75">
      <c r="E28" s="1"/>
      <c r="F28" s="14"/>
      <c r="K28" s="18"/>
      <c r="L28" s="18"/>
    </row>
    <row r="29" spans="5:12" ht="15.75">
      <c r="E29" s="1"/>
      <c r="F29" s="14"/>
      <c r="K29" s="18"/>
      <c r="L29" s="18"/>
    </row>
    <row r="30" spans="5:12" ht="15.75">
      <c r="E30" s="1"/>
      <c r="F30" s="14"/>
      <c r="K30" s="18"/>
      <c r="L30" s="18"/>
    </row>
    <row r="31" spans="5:12" ht="15.75">
      <c r="E31" s="1"/>
      <c r="F31" s="14"/>
      <c r="K31" s="18"/>
      <c r="L31" s="18"/>
    </row>
    <row r="32" spans="5:12" ht="15.75">
      <c r="E32" s="1"/>
      <c r="F32" s="14"/>
      <c r="K32" s="18"/>
      <c r="L32" s="18"/>
    </row>
    <row r="33" spans="5:12" ht="15.75">
      <c r="E33" s="1"/>
      <c r="F33" s="14"/>
      <c r="K33" s="18"/>
      <c r="L33" s="18"/>
    </row>
    <row r="34" spans="5:12" ht="15.75">
      <c r="E34" s="1"/>
      <c r="F34" s="14"/>
      <c r="K34" s="18"/>
      <c r="L34" s="18"/>
    </row>
    <row r="35" spans="5:12" ht="15.75">
      <c r="E35" s="1"/>
      <c r="F35" s="14"/>
      <c r="K35" s="18"/>
      <c r="L35" s="18"/>
    </row>
    <row r="36" spans="5:12" ht="15.75">
      <c r="E36" s="1"/>
      <c r="F36" s="14"/>
      <c r="K36" s="18"/>
      <c r="L36" s="18"/>
    </row>
    <row r="37" spans="5:12" ht="15.75">
      <c r="E37" s="1"/>
      <c r="F37" s="14"/>
      <c r="K37" s="18"/>
      <c r="L37" s="18"/>
    </row>
    <row r="38" spans="5:12" ht="15.75">
      <c r="E38" s="1"/>
      <c r="F38" s="14"/>
      <c r="K38" s="18"/>
      <c r="L38" s="18"/>
    </row>
    <row r="39" spans="5:12" ht="15.75">
      <c r="E39" s="1"/>
      <c r="F39" s="14"/>
      <c r="K39" s="18"/>
      <c r="L39" s="18"/>
    </row>
    <row r="40" spans="5:12" ht="15.75">
      <c r="E40" s="1"/>
      <c r="F40" s="14"/>
      <c r="K40" s="18"/>
      <c r="L40" s="18"/>
    </row>
    <row r="41" spans="5:12" ht="15.75">
      <c r="E41" s="1"/>
      <c r="F41" s="14"/>
      <c r="K41" s="18"/>
      <c r="L41" s="18"/>
    </row>
    <row r="42" spans="5:12" ht="15.75">
      <c r="E42" s="1"/>
      <c r="F42" s="14"/>
      <c r="K42" s="18"/>
      <c r="L42" s="18"/>
    </row>
    <row r="43" spans="5:12" ht="15.75">
      <c r="E43" s="1"/>
      <c r="F43" s="14"/>
      <c r="K43" s="18"/>
      <c r="L43" s="18"/>
    </row>
    <row r="44" spans="5:12" ht="15.75">
      <c r="E44" s="1"/>
      <c r="F44" s="14"/>
      <c r="K44" s="18"/>
      <c r="L44" s="18"/>
    </row>
    <row r="45" spans="5:12" ht="15.75">
      <c r="E45" s="1"/>
      <c r="F45" s="14"/>
      <c r="K45" s="18"/>
      <c r="L45" s="18"/>
    </row>
    <row r="46" spans="5:12" ht="15.75">
      <c r="E46" s="1"/>
      <c r="F46" s="14"/>
      <c r="K46" s="18"/>
      <c r="L46" s="18"/>
    </row>
    <row r="47" spans="5:12" ht="15.75">
      <c r="E47" s="1"/>
      <c r="F47" s="14"/>
      <c r="K47" s="18"/>
      <c r="L47" s="18"/>
    </row>
    <row r="48" spans="5:12" ht="15.75">
      <c r="E48" s="1"/>
      <c r="F48" s="14"/>
      <c r="K48" s="18"/>
      <c r="L48" s="18"/>
    </row>
    <row r="49" spans="5:12" ht="15.75">
      <c r="E49" s="1"/>
      <c r="F49" s="14"/>
      <c r="K49" s="18"/>
      <c r="L49" s="18"/>
    </row>
    <row r="50" spans="5:12" ht="15.75">
      <c r="E50" s="1"/>
      <c r="F50" s="14"/>
      <c r="K50" s="18"/>
      <c r="L50" s="18"/>
    </row>
    <row r="51" spans="5:12" ht="15.75">
      <c r="E51" s="1"/>
      <c r="F51" s="14"/>
      <c r="K51" s="18"/>
      <c r="L51" s="18"/>
    </row>
    <row r="52" spans="5:12">
      <c r="F52" s="14"/>
    </row>
  </sheetData>
  <hyperlinks>
    <hyperlink ref="B2" r:id="rId1" tooltip="CVS HEALTH PAC" display="https://www.fec.gov/data/committee/C00384818/" xr:uid="{79916C8C-A459-4BAA-B1DD-77A35CEB0EEA}"/>
    <hyperlink ref="B3" r:id="rId2" tooltip="CVS HEALTH PAC" display="https://www.fec.gov/data/committee/C00384818/" xr:uid="{9850A625-08E8-47E4-BFEE-C9557D911CD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4"/>
  <sheetViews>
    <sheetView topLeftCell="A46" workbookViewId="0">
      <selection activeCell="G46" sqref="G46:I46"/>
    </sheetView>
  </sheetViews>
  <sheetFormatPr defaultRowHeight="15"/>
  <cols>
    <col min="2" max="2" width="45" customWidth="1"/>
    <col min="5" max="5" width="13" customWidth="1"/>
    <col min="6" max="6" width="14.7109375" customWidth="1"/>
  </cols>
  <sheetData>
    <row r="1" spans="1:16">
      <c r="A1" s="12" t="s">
        <v>16</v>
      </c>
      <c r="B1" s="12" t="s">
        <v>17</v>
      </c>
      <c r="C1" s="12" t="s">
        <v>11</v>
      </c>
      <c r="D1" s="12" t="s">
        <v>18</v>
      </c>
      <c r="E1" s="12" t="s">
        <v>19</v>
      </c>
      <c r="F1" s="12" t="s">
        <v>20</v>
      </c>
      <c r="G1" s="12" t="s">
        <v>24</v>
      </c>
      <c r="H1" s="12" t="s">
        <v>4</v>
      </c>
      <c r="I1" s="15" t="s">
        <v>6</v>
      </c>
      <c r="J1" s="12" t="s">
        <v>5</v>
      </c>
      <c r="K1" s="12" t="s">
        <v>13</v>
      </c>
      <c r="L1" s="12" t="s">
        <v>14</v>
      </c>
      <c r="M1" s="12" t="s">
        <v>25</v>
      </c>
      <c r="N1" s="12"/>
      <c r="O1" s="12"/>
      <c r="P1" s="12"/>
    </row>
    <row r="2" spans="1:16" ht="29.25" thickBot="1">
      <c r="A2" s="64" t="s">
        <v>843</v>
      </c>
      <c r="B2" s="66" t="s">
        <v>773</v>
      </c>
      <c r="C2" s="65" t="s">
        <v>774</v>
      </c>
      <c r="D2" s="65" t="s">
        <v>776</v>
      </c>
      <c r="E2" s="67">
        <v>44196</v>
      </c>
      <c r="F2" s="68">
        <v>208.33</v>
      </c>
      <c r="G2" s="63" t="s">
        <v>2</v>
      </c>
      <c r="H2">
        <v>1150000</v>
      </c>
      <c r="I2" s="2">
        <v>2180000</v>
      </c>
      <c r="K2" s="18">
        <f t="shared" ref="K2:K7" si="0">(+H2/(H2+I2))*100</f>
        <v>34.534534534534536</v>
      </c>
      <c r="L2" s="18">
        <f t="shared" ref="L2:L7" si="1">(+I2/(H2+I2))*100</f>
        <v>65.465465465465471</v>
      </c>
    </row>
    <row r="3" spans="1:16" ht="29.25" thickBot="1">
      <c r="A3" s="64" t="s">
        <v>843</v>
      </c>
      <c r="B3" s="66" t="s">
        <v>773</v>
      </c>
      <c r="C3" s="65" t="s">
        <v>774</v>
      </c>
      <c r="D3" s="65" t="s">
        <v>776</v>
      </c>
      <c r="E3" s="67">
        <v>44180</v>
      </c>
      <c r="F3" s="68">
        <v>208.33</v>
      </c>
      <c r="G3" s="63" t="s">
        <v>2</v>
      </c>
      <c r="H3">
        <v>1150000</v>
      </c>
      <c r="I3" s="2">
        <v>2180000</v>
      </c>
      <c r="K3" s="18">
        <f t="shared" si="0"/>
        <v>34.534534534534536</v>
      </c>
      <c r="L3" s="18">
        <f t="shared" si="1"/>
        <v>65.465465465465471</v>
      </c>
    </row>
    <row r="4" spans="1:16" ht="29.25" thickBot="1">
      <c r="A4" s="64" t="s">
        <v>843</v>
      </c>
      <c r="B4" s="66" t="s">
        <v>773</v>
      </c>
      <c r="C4" s="65" t="s">
        <v>774</v>
      </c>
      <c r="D4" s="65" t="s">
        <v>776</v>
      </c>
      <c r="E4" s="67">
        <v>44165</v>
      </c>
      <c r="F4" s="68">
        <v>208.33</v>
      </c>
      <c r="G4" s="63" t="s">
        <v>2</v>
      </c>
      <c r="H4">
        <v>1150000</v>
      </c>
      <c r="I4" s="2">
        <v>2180000</v>
      </c>
      <c r="K4" s="18">
        <f t="shared" si="0"/>
        <v>34.534534534534536</v>
      </c>
      <c r="L4" s="18">
        <f t="shared" si="1"/>
        <v>65.465465465465471</v>
      </c>
    </row>
    <row r="5" spans="1:16" ht="29.25" thickBot="1">
      <c r="A5" s="64" t="s">
        <v>843</v>
      </c>
      <c r="B5" s="66" t="s">
        <v>773</v>
      </c>
      <c r="C5" s="65" t="s">
        <v>774</v>
      </c>
      <c r="D5" s="65" t="s">
        <v>776</v>
      </c>
      <c r="E5" s="67">
        <v>44148</v>
      </c>
      <c r="F5" s="68">
        <v>208.33</v>
      </c>
      <c r="G5" s="63" t="s">
        <v>2</v>
      </c>
      <c r="H5">
        <v>1150000</v>
      </c>
      <c r="I5" s="2">
        <v>2180000</v>
      </c>
      <c r="K5" s="18">
        <f t="shared" si="0"/>
        <v>34.534534534534536</v>
      </c>
      <c r="L5" s="18">
        <f t="shared" si="1"/>
        <v>65.465465465465471</v>
      </c>
    </row>
    <row r="6" spans="1:16" ht="29.25" thickBot="1">
      <c r="A6" s="64" t="s">
        <v>843</v>
      </c>
      <c r="B6" s="66" t="s">
        <v>773</v>
      </c>
      <c r="C6" s="65" t="s">
        <v>774</v>
      </c>
      <c r="D6" s="65" t="s">
        <v>776</v>
      </c>
      <c r="E6" s="67">
        <v>44134</v>
      </c>
      <c r="F6" s="68">
        <v>208.33</v>
      </c>
      <c r="G6" s="63" t="s">
        <v>2</v>
      </c>
      <c r="H6">
        <v>1150000</v>
      </c>
      <c r="I6" s="2">
        <v>2180000</v>
      </c>
      <c r="K6" s="18">
        <f t="shared" si="0"/>
        <v>34.534534534534536</v>
      </c>
      <c r="L6" s="18">
        <f t="shared" si="1"/>
        <v>65.465465465465471</v>
      </c>
    </row>
    <row r="7" spans="1:16" ht="57.75" thickBot="1">
      <c r="A7" s="64" t="s">
        <v>844</v>
      </c>
      <c r="B7" s="66" t="s">
        <v>845</v>
      </c>
      <c r="C7" s="65" t="s">
        <v>774</v>
      </c>
      <c r="D7" s="65" t="s">
        <v>846</v>
      </c>
      <c r="E7" s="67">
        <v>44123</v>
      </c>
      <c r="F7" s="68">
        <v>1000</v>
      </c>
      <c r="G7" s="63" t="s">
        <v>2</v>
      </c>
      <c r="H7">
        <v>0</v>
      </c>
      <c r="I7" s="2">
        <v>100</v>
      </c>
      <c r="K7" s="18">
        <f t="shared" si="0"/>
        <v>0</v>
      </c>
      <c r="L7" s="18">
        <f t="shared" si="1"/>
        <v>100</v>
      </c>
    </row>
    <row r="8" spans="1:16" ht="29.25" thickBot="1">
      <c r="A8" s="64" t="s">
        <v>843</v>
      </c>
      <c r="B8" s="66" t="s">
        <v>773</v>
      </c>
      <c r="C8" s="65" t="s">
        <v>774</v>
      </c>
      <c r="D8" s="65" t="s">
        <v>776</v>
      </c>
      <c r="E8" s="67">
        <v>44119</v>
      </c>
      <c r="F8" s="68">
        <v>208.33</v>
      </c>
      <c r="G8" s="63" t="s">
        <v>2</v>
      </c>
      <c r="H8">
        <v>1150000</v>
      </c>
      <c r="I8" s="2">
        <v>2180000</v>
      </c>
    </row>
    <row r="9" spans="1:16" ht="29.25" thickBot="1">
      <c r="A9" s="64" t="s">
        <v>843</v>
      </c>
      <c r="B9" s="66" t="s">
        <v>773</v>
      </c>
      <c r="C9" s="65" t="s">
        <v>774</v>
      </c>
      <c r="D9" s="65" t="s">
        <v>776</v>
      </c>
      <c r="E9" s="67">
        <v>44104</v>
      </c>
      <c r="F9" s="68">
        <v>416.66</v>
      </c>
      <c r="G9" s="63" t="s">
        <v>2</v>
      </c>
      <c r="H9">
        <v>1150000</v>
      </c>
      <c r="I9" s="2">
        <v>2180000</v>
      </c>
    </row>
    <row r="10" spans="1:16" ht="29.25" thickBot="1">
      <c r="A10" s="64" t="s">
        <v>843</v>
      </c>
      <c r="B10" s="66" t="s">
        <v>773</v>
      </c>
      <c r="C10" s="65" t="s">
        <v>774</v>
      </c>
      <c r="D10" s="65" t="s">
        <v>776</v>
      </c>
      <c r="E10" s="67">
        <v>44074</v>
      </c>
      <c r="F10" s="68">
        <v>208.33</v>
      </c>
      <c r="G10" s="63" t="s">
        <v>2</v>
      </c>
      <c r="H10">
        <v>1150000</v>
      </c>
      <c r="I10" s="2">
        <v>2180000</v>
      </c>
    </row>
    <row r="11" spans="1:16" ht="29.25" thickBot="1">
      <c r="A11" s="64" t="s">
        <v>843</v>
      </c>
      <c r="B11" s="66" t="s">
        <v>0</v>
      </c>
      <c r="C11" s="65" t="s">
        <v>774</v>
      </c>
      <c r="D11" s="65" t="s">
        <v>776</v>
      </c>
      <c r="E11" s="67">
        <v>44068</v>
      </c>
      <c r="F11" s="68">
        <v>1000</v>
      </c>
      <c r="G11" s="63" t="s">
        <v>2</v>
      </c>
      <c r="H11">
        <v>0</v>
      </c>
      <c r="I11" s="2">
        <v>100</v>
      </c>
    </row>
    <row r="12" spans="1:16" ht="29.25" thickBot="1">
      <c r="A12" s="64" t="s">
        <v>843</v>
      </c>
      <c r="B12" s="66" t="s">
        <v>212</v>
      </c>
      <c r="C12" s="65" t="s">
        <v>774</v>
      </c>
      <c r="D12" s="65" t="s">
        <v>776</v>
      </c>
      <c r="E12" s="67">
        <v>44068</v>
      </c>
      <c r="F12" s="68">
        <v>1000</v>
      </c>
      <c r="G12" s="63" t="s">
        <v>2</v>
      </c>
      <c r="H12">
        <v>0</v>
      </c>
      <c r="I12" s="2">
        <v>100</v>
      </c>
    </row>
    <row r="13" spans="1:16" ht="29.25" thickBot="1">
      <c r="A13" s="64" t="s">
        <v>843</v>
      </c>
      <c r="B13" s="66" t="s">
        <v>773</v>
      </c>
      <c r="C13" s="65" t="s">
        <v>774</v>
      </c>
      <c r="D13" s="65" t="s">
        <v>776</v>
      </c>
      <c r="E13" s="67">
        <v>44057</v>
      </c>
      <c r="F13" s="68">
        <v>208.33</v>
      </c>
      <c r="G13" s="63" t="s">
        <v>2</v>
      </c>
      <c r="H13">
        <v>1150000</v>
      </c>
      <c r="I13" s="2">
        <v>2180000</v>
      </c>
    </row>
    <row r="14" spans="1:16" ht="29.25" thickBot="1">
      <c r="A14" s="64" t="s">
        <v>843</v>
      </c>
      <c r="B14" s="66" t="s">
        <v>773</v>
      </c>
      <c r="C14" s="65" t="s">
        <v>774</v>
      </c>
      <c r="D14" s="65" t="s">
        <v>776</v>
      </c>
      <c r="E14" s="67">
        <v>44043</v>
      </c>
      <c r="F14" s="68">
        <v>208.33</v>
      </c>
      <c r="G14" s="63" t="s">
        <v>2</v>
      </c>
      <c r="H14">
        <v>1150000</v>
      </c>
      <c r="I14" s="2">
        <v>2180000</v>
      </c>
    </row>
    <row r="15" spans="1:16" ht="29.25" thickBot="1">
      <c r="A15" s="64" t="s">
        <v>843</v>
      </c>
      <c r="B15" s="66" t="s">
        <v>773</v>
      </c>
      <c r="C15" s="65" t="s">
        <v>774</v>
      </c>
      <c r="D15" s="65" t="s">
        <v>776</v>
      </c>
      <c r="E15" s="67">
        <v>44027</v>
      </c>
      <c r="F15" s="68">
        <v>208.33</v>
      </c>
      <c r="G15" s="63" t="s">
        <v>2</v>
      </c>
      <c r="H15">
        <v>1150000</v>
      </c>
      <c r="I15" s="2">
        <v>2180000</v>
      </c>
    </row>
    <row r="16" spans="1:16" ht="29.25" thickBot="1">
      <c r="A16" s="64" t="s">
        <v>843</v>
      </c>
      <c r="B16" s="66" t="s">
        <v>773</v>
      </c>
      <c r="C16" s="65" t="s">
        <v>774</v>
      </c>
      <c r="D16" s="65" t="s">
        <v>776</v>
      </c>
      <c r="E16" s="67">
        <v>44012</v>
      </c>
      <c r="F16" s="68">
        <v>208.33</v>
      </c>
      <c r="G16" s="63" t="s">
        <v>2</v>
      </c>
      <c r="H16">
        <v>1150000</v>
      </c>
      <c r="I16" s="2">
        <v>2180000</v>
      </c>
    </row>
    <row r="17" spans="1:9" ht="43.5" thickBot="1">
      <c r="A17" s="64" t="s">
        <v>844</v>
      </c>
      <c r="B17" s="66" t="s">
        <v>825</v>
      </c>
      <c r="C17" s="65" t="s">
        <v>774</v>
      </c>
      <c r="D17" s="65" t="s">
        <v>731</v>
      </c>
      <c r="E17" s="67">
        <v>43998</v>
      </c>
      <c r="F17" s="68">
        <v>1000</v>
      </c>
      <c r="G17" s="63" t="s">
        <v>2</v>
      </c>
      <c r="H17">
        <v>0</v>
      </c>
      <c r="I17" s="2">
        <v>100</v>
      </c>
    </row>
    <row r="18" spans="1:9" ht="29.25" thickBot="1">
      <c r="A18" s="64" t="s">
        <v>843</v>
      </c>
      <c r="B18" s="66" t="s">
        <v>773</v>
      </c>
      <c r="C18" s="65" t="s">
        <v>774</v>
      </c>
      <c r="D18" s="65" t="s">
        <v>776</v>
      </c>
      <c r="E18" s="67">
        <v>43997</v>
      </c>
      <c r="F18" s="68">
        <v>208.33</v>
      </c>
      <c r="G18" s="63" t="s">
        <v>2</v>
      </c>
      <c r="H18">
        <v>1150000</v>
      </c>
      <c r="I18" s="2">
        <v>2180000</v>
      </c>
    </row>
    <row r="19" spans="1:9" ht="29.25" thickBot="1">
      <c r="A19" s="64" t="s">
        <v>843</v>
      </c>
      <c r="B19" s="66" t="s">
        <v>773</v>
      </c>
      <c r="C19" s="65" t="s">
        <v>774</v>
      </c>
      <c r="D19" s="65" t="s">
        <v>776</v>
      </c>
      <c r="E19" s="67">
        <v>43980</v>
      </c>
      <c r="F19" s="68">
        <v>208.33</v>
      </c>
      <c r="G19" s="63" t="s">
        <v>2</v>
      </c>
      <c r="H19">
        <v>1150000</v>
      </c>
      <c r="I19" s="2">
        <v>2180000</v>
      </c>
    </row>
    <row r="20" spans="1:9" ht="29.25" thickBot="1">
      <c r="A20" s="64" t="s">
        <v>843</v>
      </c>
      <c r="B20" s="66" t="s">
        <v>773</v>
      </c>
      <c r="C20" s="65" t="s">
        <v>774</v>
      </c>
      <c r="D20" s="65" t="s">
        <v>776</v>
      </c>
      <c r="E20" s="67">
        <v>43966</v>
      </c>
      <c r="F20" s="68">
        <v>208.33</v>
      </c>
      <c r="G20" s="63" t="s">
        <v>2</v>
      </c>
      <c r="H20">
        <v>1150000</v>
      </c>
      <c r="I20" s="2">
        <v>2180000</v>
      </c>
    </row>
    <row r="21" spans="1:9" ht="29.25" thickBot="1">
      <c r="A21" s="64" t="s">
        <v>843</v>
      </c>
      <c r="B21" s="66" t="s">
        <v>773</v>
      </c>
      <c r="C21" s="65" t="s">
        <v>774</v>
      </c>
      <c r="D21" s="65" t="s">
        <v>776</v>
      </c>
      <c r="E21" s="67">
        <v>43951</v>
      </c>
      <c r="F21" s="68">
        <v>208.33</v>
      </c>
      <c r="G21" s="63" t="s">
        <v>2</v>
      </c>
      <c r="H21">
        <v>1150000</v>
      </c>
      <c r="I21" s="2">
        <v>2180000</v>
      </c>
    </row>
    <row r="22" spans="1:9" ht="29.25" thickBot="1">
      <c r="A22" s="64" t="s">
        <v>843</v>
      </c>
      <c r="B22" s="66" t="s">
        <v>773</v>
      </c>
      <c r="C22" s="65" t="s">
        <v>774</v>
      </c>
      <c r="D22" s="65" t="s">
        <v>776</v>
      </c>
      <c r="E22" s="67">
        <v>43936</v>
      </c>
      <c r="F22" s="68">
        <v>208.33</v>
      </c>
      <c r="G22" s="63" t="s">
        <v>2</v>
      </c>
      <c r="H22">
        <v>1150000</v>
      </c>
      <c r="I22" s="2">
        <v>2180000</v>
      </c>
    </row>
    <row r="23" spans="1:9" ht="29.25" thickBot="1">
      <c r="A23" s="64" t="s">
        <v>843</v>
      </c>
      <c r="B23" s="66" t="s">
        <v>773</v>
      </c>
      <c r="C23" s="65" t="s">
        <v>774</v>
      </c>
      <c r="D23" s="65" t="s">
        <v>776</v>
      </c>
      <c r="E23" s="67">
        <v>43921</v>
      </c>
      <c r="F23" s="68">
        <v>208.33</v>
      </c>
      <c r="G23" s="63" t="s">
        <v>2</v>
      </c>
      <c r="H23">
        <v>1150000</v>
      </c>
      <c r="I23" s="2">
        <v>2180000</v>
      </c>
    </row>
    <row r="24" spans="1:9" ht="29.25" thickBot="1">
      <c r="A24" s="64" t="s">
        <v>843</v>
      </c>
      <c r="B24" s="66" t="s">
        <v>773</v>
      </c>
      <c r="C24" s="65" t="s">
        <v>774</v>
      </c>
      <c r="D24" s="65" t="s">
        <v>776</v>
      </c>
      <c r="E24" s="67">
        <v>43903</v>
      </c>
      <c r="F24" s="68">
        <v>208.33</v>
      </c>
      <c r="G24" s="63" t="s">
        <v>2</v>
      </c>
      <c r="H24">
        <v>1150000</v>
      </c>
      <c r="I24" s="2">
        <v>2180000</v>
      </c>
    </row>
    <row r="25" spans="1:9" ht="29.25" thickBot="1">
      <c r="A25" s="64" t="s">
        <v>843</v>
      </c>
      <c r="B25" s="66" t="s">
        <v>773</v>
      </c>
      <c r="C25" s="65" t="s">
        <v>774</v>
      </c>
      <c r="D25" s="65" t="s">
        <v>776</v>
      </c>
      <c r="E25" s="67">
        <v>43889</v>
      </c>
      <c r="F25" s="68">
        <v>208.33</v>
      </c>
      <c r="G25" s="63" t="s">
        <v>2</v>
      </c>
      <c r="H25">
        <v>1150000</v>
      </c>
      <c r="I25" s="2">
        <v>2180000</v>
      </c>
    </row>
    <row r="26" spans="1:9" ht="29.25" thickBot="1">
      <c r="A26" s="64" t="s">
        <v>843</v>
      </c>
      <c r="B26" s="66" t="s">
        <v>773</v>
      </c>
      <c r="C26" s="65" t="s">
        <v>774</v>
      </c>
      <c r="D26" s="65" t="s">
        <v>776</v>
      </c>
      <c r="E26" s="67">
        <v>43875</v>
      </c>
      <c r="F26" s="68">
        <v>208.33</v>
      </c>
      <c r="G26" s="63" t="s">
        <v>2</v>
      </c>
      <c r="H26">
        <v>1150000</v>
      </c>
      <c r="I26" s="2">
        <v>2180000</v>
      </c>
    </row>
    <row r="27" spans="1:9" ht="29.25" thickBot="1">
      <c r="A27" s="64" t="s">
        <v>843</v>
      </c>
      <c r="B27" s="66" t="s">
        <v>773</v>
      </c>
      <c r="C27" s="65" t="s">
        <v>774</v>
      </c>
      <c r="D27" s="65" t="s">
        <v>776</v>
      </c>
      <c r="E27" s="67">
        <v>43861</v>
      </c>
      <c r="F27" s="68">
        <v>208.33</v>
      </c>
      <c r="G27" s="63" t="s">
        <v>2</v>
      </c>
      <c r="H27">
        <v>1150000</v>
      </c>
      <c r="I27" s="2">
        <v>2180000</v>
      </c>
    </row>
    <row r="28" spans="1:9" ht="29.25" thickBot="1">
      <c r="A28" s="64" t="s">
        <v>843</v>
      </c>
      <c r="B28" s="66" t="s">
        <v>773</v>
      </c>
      <c r="C28" s="65" t="s">
        <v>774</v>
      </c>
      <c r="D28" s="65" t="s">
        <v>776</v>
      </c>
      <c r="E28" s="67">
        <v>43845</v>
      </c>
      <c r="F28" s="68">
        <v>208.33</v>
      </c>
      <c r="G28" s="63" t="s">
        <v>2</v>
      </c>
      <c r="H28">
        <v>1150000</v>
      </c>
      <c r="I28" s="2">
        <v>2180000</v>
      </c>
    </row>
    <row r="29" spans="1:9" ht="29.25" thickBot="1">
      <c r="A29" s="64" t="s">
        <v>843</v>
      </c>
      <c r="B29" s="66" t="s">
        <v>773</v>
      </c>
      <c r="C29" s="65" t="s">
        <v>774</v>
      </c>
      <c r="D29" s="65" t="s">
        <v>776</v>
      </c>
      <c r="E29" s="67">
        <v>43830</v>
      </c>
      <c r="F29" s="68">
        <v>208.33</v>
      </c>
      <c r="G29" s="63" t="s">
        <v>2</v>
      </c>
      <c r="H29">
        <v>1150000</v>
      </c>
      <c r="I29" s="2">
        <v>2180000</v>
      </c>
    </row>
    <row r="30" spans="1:9" ht="29.25" thickBot="1">
      <c r="A30" s="64" t="s">
        <v>843</v>
      </c>
      <c r="B30" s="66" t="s">
        <v>773</v>
      </c>
      <c r="C30" s="65" t="s">
        <v>774</v>
      </c>
      <c r="D30" s="65" t="s">
        <v>776</v>
      </c>
      <c r="E30" s="67">
        <v>43812</v>
      </c>
      <c r="F30" s="68">
        <v>208.33</v>
      </c>
      <c r="G30" s="63" t="s">
        <v>2</v>
      </c>
      <c r="H30">
        <v>1150000</v>
      </c>
      <c r="I30" s="2">
        <v>2180000</v>
      </c>
    </row>
    <row r="31" spans="1:9" ht="29.25" thickBot="1">
      <c r="A31" s="64" t="s">
        <v>843</v>
      </c>
      <c r="B31" s="66" t="s">
        <v>773</v>
      </c>
      <c r="C31" s="65" t="s">
        <v>774</v>
      </c>
      <c r="D31" s="65" t="s">
        <v>776</v>
      </c>
      <c r="E31" s="67">
        <v>43798</v>
      </c>
      <c r="F31" s="68">
        <v>208.33</v>
      </c>
      <c r="G31" s="63" t="s">
        <v>2</v>
      </c>
      <c r="H31">
        <v>1150000</v>
      </c>
      <c r="I31" s="2">
        <v>2180000</v>
      </c>
    </row>
    <row r="32" spans="1:9" ht="29.25" thickBot="1">
      <c r="A32" s="64" t="s">
        <v>843</v>
      </c>
      <c r="B32" s="66" t="s">
        <v>773</v>
      </c>
      <c r="C32" s="65" t="s">
        <v>774</v>
      </c>
      <c r="D32" s="65" t="s">
        <v>776</v>
      </c>
      <c r="E32" s="67">
        <v>43784</v>
      </c>
      <c r="F32" s="68">
        <v>208.33</v>
      </c>
      <c r="G32" s="63" t="s">
        <v>2</v>
      </c>
      <c r="H32">
        <v>1150000</v>
      </c>
      <c r="I32" s="2">
        <v>2180000</v>
      </c>
    </row>
    <row r="33" spans="1:9" ht="29.25" thickBot="1">
      <c r="A33" s="64" t="s">
        <v>843</v>
      </c>
      <c r="B33" s="66" t="s">
        <v>773</v>
      </c>
      <c r="C33" s="65" t="s">
        <v>774</v>
      </c>
      <c r="D33" s="65" t="s">
        <v>776</v>
      </c>
      <c r="E33" s="67">
        <v>43769</v>
      </c>
      <c r="F33" s="68">
        <v>208.33</v>
      </c>
      <c r="G33" s="63" t="s">
        <v>2</v>
      </c>
      <c r="H33">
        <v>1150000</v>
      </c>
      <c r="I33" s="2">
        <v>2180000</v>
      </c>
    </row>
    <row r="34" spans="1:9" ht="29.25" thickBot="1">
      <c r="A34" s="64" t="s">
        <v>843</v>
      </c>
      <c r="B34" s="66" t="s">
        <v>773</v>
      </c>
      <c r="C34" s="65" t="s">
        <v>774</v>
      </c>
      <c r="D34" s="65" t="s">
        <v>776</v>
      </c>
      <c r="E34" s="67">
        <v>43753</v>
      </c>
      <c r="F34" s="68">
        <v>208.33</v>
      </c>
      <c r="G34" s="63" t="s">
        <v>2</v>
      </c>
      <c r="H34">
        <v>1150000</v>
      </c>
      <c r="I34" s="2">
        <v>2180000</v>
      </c>
    </row>
    <row r="35" spans="1:9" ht="29.25" thickBot="1">
      <c r="A35" s="64" t="s">
        <v>843</v>
      </c>
      <c r="B35" s="66" t="s">
        <v>773</v>
      </c>
      <c r="C35" s="65" t="s">
        <v>774</v>
      </c>
      <c r="D35" s="65" t="s">
        <v>776</v>
      </c>
      <c r="E35" s="67">
        <v>43738</v>
      </c>
      <c r="F35" s="68">
        <v>208.33</v>
      </c>
      <c r="G35" s="63" t="s">
        <v>2</v>
      </c>
      <c r="H35">
        <v>1150000</v>
      </c>
      <c r="I35" s="2">
        <v>2180000</v>
      </c>
    </row>
    <row r="36" spans="1:9" ht="29.25" thickBot="1">
      <c r="A36" s="64" t="s">
        <v>843</v>
      </c>
      <c r="B36" s="66" t="s">
        <v>773</v>
      </c>
      <c r="C36" s="65" t="s">
        <v>774</v>
      </c>
      <c r="D36" s="65" t="s">
        <v>776</v>
      </c>
      <c r="E36" s="67">
        <v>43721</v>
      </c>
      <c r="F36" s="68">
        <v>208.33</v>
      </c>
      <c r="G36" s="63" t="s">
        <v>2</v>
      </c>
      <c r="H36">
        <v>1150000</v>
      </c>
      <c r="I36" s="2">
        <v>2180000</v>
      </c>
    </row>
    <row r="37" spans="1:9" ht="29.25" thickBot="1">
      <c r="A37" s="64" t="s">
        <v>843</v>
      </c>
      <c r="B37" s="66" t="s">
        <v>773</v>
      </c>
      <c r="C37" s="65" t="s">
        <v>774</v>
      </c>
      <c r="D37" s="65" t="s">
        <v>776</v>
      </c>
      <c r="E37" s="67">
        <v>43707</v>
      </c>
      <c r="F37" s="68">
        <v>208.33</v>
      </c>
      <c r="G37" s="63" t="s">
        <v>2</v>
      </c>
      <c r="H37">
        <v>1150000</v>
      </c>
      <c r="I37" s="2">
        <v>2180000</v>
      </c>
    </row>
    <row r="38" spans="1:9" ht="29.25" thickBot="1">
      <c r="A38" s="64" t="s">
        <v>843</v>
      </c>
      <c r="B38" s="66" t="s">
        <v>773</v>
      </c>
      <c r="C38" s="65" t="s">
        <v>774</v>
      </c>
      <c r="D38" s="65" t="s">
        <v>776</v>
      </c>
      <c r="E38" s="67">
        <v>43692</v>
      </c>
      <c r="F38" s="68">
        <v>208.33</v>
      </c>
      <c r="G38" s="63" t="s">
        <v>2</v>
      </c>
      <c r="H38">
        <v>1150000</v>
      </c>
      <c r="I38" s="2">
        <v>2180000</v>
      </c>
    </row>
    <row r="39" spans="1:9" ht="29.25" thickBot="1">
      <c r="A39" s="64" t="s">
        <v>843</v>
      </c>
      <c r="B39" s="66" t="s">
        <v>773</v>
      </c>
      <c r="C39" s="65" t="s">
        <v>774</v>
      </c>
      <c r="D39" s="65" t="s">
        <v>776</v>
      </c>
      <c r="E39" s="67">
        <v>43677</v>
      </c>
      <c r="F39" s="68">
        <v>208.33</v>
      </c>
      <c r="G39" s="63" t="s">
        <v>2</v>
      </c>
      <c r="H39">
        <v>1150000</v>
      </c>
      <c r="I39" s="2">
        <v>2180000</v>
      </c>
    </row>
    <row r="40" spans="1:9" ht="29.25" thickBot="1">
      <c r="A40" s="64" t="s">
        <v>843</v>
      </c>
      <c r="B40" s="66" t="s">
        <v>773</v>
      </c>
      <c r="C40" s="65" t="s">
        <v>774</v>
      </c>
      <c r="D40" s="65" t="s">
        <v>776</v>
      </c>
      <c r="E40" s="67">
        <v>43661</v>
      </c>
      <c r="F40" s="68">
        <v>208.33</v>
      </c>
      <c r="G40" s="63" t="s">
        <v>2</v>
      </c>
      <c r="H40">
        <v>1150000</v>
      </c>
      <c r="I40" s="2">
        <v>2180000</v>
      </c>
    </row>
    <row r="41" spans="1:9" ht="29.25" thickBot="1">
      <c r="A41" s="64" t="s">
        <v>843</v>
      </c>
      <c r="B41" s="66" t="s">
        <v>773</v>
      </c>
      <c r="C41" s="65" t="s">
        <v>774</v>
      </c>
      <c r="D41" s="65" t="s">
        <v>776</v>
      </c>
      <c r="E41" s="67">
        <v>43644</v>
      </c>
      <c r="F41" s="68">
        <v>208.33</v>
      </c>
      <c r="G41" s="63" t="s">
        <v>2</v>
      </c>
      <c r="H41">
        <v>1150000</v>
      </c>
      <c r="I41" s="2">
        <v>2180000</v>
      </c>
    </row>
    <row r="42" spans="1:9" ht="29.25" thickBot="1">
      <c r="A42" s="64" t="s">
        <v>843</v>
      </c>
      <c r="B42" s="66" t="s">
        <v>773</v>
      </c>
      <c r="C42" s="65" t="s">
        <v>774</v>
      </c>
      <c r="D42" s="65" t="s">
        <v>776</v>
      </c>
      <c r="E42" s="67">
        <v>43630</v>
      </c>
      <c r="F42" s="68">
        <v>208.33</v>
      </c>
      <c r="G42" s="63" t="s">
        <v>2</v>
      </c>
      <c r="H42">
        <v>1150000</v>
      </c>
      <c r="I42" s="2">
        <v>2180000</v>
      </c>
    </row>
    <row r="43" spans="1:9" ht="29.25" thickBot="1">
      <c r="A43" s="64" t="s">
        <v>843</v>
      </c>
      <c r="B43" s="66" t="s">
        <v>773</v>
      </c>
      <c r="C43" s="65" t="s">
        <v>774</v>
      </c>
      <c r="D43" s="65" t="s">
        <v>776</v>
      </c>
      <c r="E43" s="67">
        <v>43616</v>
      </c>
      <c r="F43" s="68">
        <v>208.33</v>
      </c>
      <c r="G43" s="63" t="s">
        <v>2</v>
      </c>
      <c r="H43">
        <v>1150000</v>
      </c>
      <c r="I43" s="2">
        <v>2180000</v>
      </c>
    </row>
    <row r="44" spans="1:9" ht="29.25" thickBot="1">
      <c r="A44" s="64" t="s">
        <v>843</v>
      </c>
      <c r="B44" s="66" t="s">
        <v>773</v>
      </c>
      <c r="C44" s="65" t="s">
        <v>774</v>
      </c>
      <c r="D44" s="65" t="s">
        <v>776</v>
      </c>
      <c r="E44" s="67">
        <v>43600</v>
      </c>
      <c r="F44" s="68">
        <v>208.33</v>
      </c>
      <c r="G44" s="63" t="s">
        <v>2</v>
      </c>
      <c r="H44">
        <v>1150000</v>
      </c>
      <c r="I44" s="2">
        <v>2180000</v>
      </c>
    </row>
    <row r="45" spans="1:9" ht="29.25" thickBot="1">
      <c r="A45" s="64" t="s">
        <v>843</v>
      </c>
      <c r="B45" s="66" t="s">
        <v>773</v>
      </c>
      <c r="C45" s="65" t="s">
        <v>774</v>
      </c>
      <c r="D45" s="65" t="s">
        <v>776</v>
      </c>
      <c r="E45" s="67">
        <v>43585</v>
      </c>
      <c r="F45" s="68">
        <v>208.33</v>
      </c>
      <c r="G45" s="63" t="s">
        <v>2</v>
      </c>
      <c r="H45">
        <v>1150000</v>
      </c>
      <c r="I45" s="2">
        <v>2180000</v>
      </c>
    </row>
    <row r="46" spans="1:9" ht="29.25" thickBot="1">
      <c r="A46" s="64" t="s">
        <v>843</v>
      </c>
      <c r="B46" s="66" t="s">
        <v>773</v>
      </c>
      <c r="C46" s="65" t="s">
        <v>774</v>
      </c>
      <c r="D46" s="65" t="s">
        <v>776</v>
      </c>
      <c r="E46" s="67">
        <v>43570</v>
      </c>
      <c r="F46" s="68">
        <v>208.33</v>
      </c>
      <c r="G46" s="63" t="s">
        <v>2</v>
      </c>
      <c r="H46">
        <v>1150000</v>
      </c>
      <c r="I46" s="2">
        <v>2180000</v>
      </c>
    </row>
    <row r="47" spans="1:9" ht="29.25" thickBot="1">
      <c r="A47" s="64" t="s">
        <v>843</v>
      </c>
      <c r="B47" s="66" t="s">
        <v>773</v>
      </c>
      <c r="C47" s="65" t="s">
        <v>774</v>
      </c>
      <c r="D47" s="65" t="s">
        <v>776</v>
      </c>
      <c r="E47" s="67">
        <v>43553</v>
      </c>
      <c r="F47" s="68">
        <v>208.33</v>
      </c>
      <c r="G47" s="63" t="s">
        <v>2</v>
      </c>
      <c r="H47">
        <v>1150000</v>
      </c>
      <c r="I47" s="2">
        <v>2180000</v>
      </c>
    </row>
    <row r="48" spans="1:9" ht="29.25" thickBot="1">
      <c r="A48" s="64" t="s">
        <v>843</v>
      </c>
      <c r="B48" s="66" t="s">
        <v>773</v>
      </c>
      <c r="C48" s="65" t="s">
        <v>774</v>
      </c>
      <c r="D48" s="65" t="s">
        <v>776</v>
      </c>
      <c r="E48" s="67">
        <v>43539</v>
      </c>
      <c r="F48" s="68">
        <v>208.33</v>
      </c>
      <c r="G48" s="63" t="s">
        <v>2</v>
      </c>
      <c r="H48">
        <v>1150000</v>
      </c>
      <c r="I48" s="2">
        <v>2180000</v>
      </c>
    </row>
    <row r="49" spans="1:12" ht="29.25" thickBot="1">
      <c r="A49" s="64" t="s">
        <v>843</v>
      </c>
      <c r="B49" s="66" t="s">
        <v>773</v>
      </c>
      <c r="C49" s="65" t="s">
        <v>774</v>
      </c>
      <c r="D49" s="65" t="s">
        <v>776</v>
      </c>
      <c r="E49" s="67">
        <v>43524</v>
      </c>
      <c r="F49" s="68">
        <v>208.33</v>
      </c>
      <c r="G49" s="63" t="s">
        <v>2</v>
      </c>
      <c r="H49">
        <v>1150000</v>
      </c>
      <c r="I49" s="2">
        <v>2180000</v>
      </c>
    </row>
    <row r="50" spans="1:12" ht="29.25" thickBot="1">
      <c r="A50" s="64" t="s">
        <v>843</v>
      </c>
      <c r="B50" s="66" t="s">
        <v>773</v>
      </c>
      <c r="C50" s="65" t="s">
        <v>774</v>
      </c>
      <c r="D50" s="65" t="s">
        <v>776</v>
      </c>
      <c r="E50" s="67">
        <v>43511</v>
      </c>
      <c r="F50" s="68">
        <v>208.33</v>
      </c>
      <c r="G50" s="63" t="s">
        <v>2</v>
      </c>
      <c r="H50">
        <v>1150000</v>
      </c>
      <c r="I50" s="2">
        <v>2180000</v>
      </c>
    </row>
    <row r="51" spans="1:12" ht="29.25" thickBot="1">
      <c r="A51" s="64" t="s">
        <v>843</v>
      </c>
      <c r="B51" s="66" t="s">
        <v>773</v>
      </c>
      <c r="C51" s="65" t="s">
        <v>774</v>
      </c>
      <c r="D51" s="65" t="s">
        <v>776</v>
      </c>
      <c r="E51" s="67">
        <v>43476</v>
      </c>
      <c r="F51" s="68">
        <v>416.66</v>
      </c>
      <c r="G51" s="63" t="s">
        <v>2</v>
      </c>
      <c r="H51">
        <v>1150000</v>
      </c>
      <c r="I51" s="2">
        <v>2180000</v>
      </c>
    </row>
    <row r="52" spans="1:12">
      <c r="F52" s="14">
        <f>SUM(F2:F51)</f>
        <v>13999.839999999997</v>
      </c>
    </row>
    <row r="54" spans="1:12" ht="29.25" thickBot="1">
      <c r="A54" s="64" t="s">
        <v>843</v>
      </c>
      <c r="B54" s="66" t="s">
        <v>112</v>
      </c>
      <c r="C54" s="65" t="s">
        <v>774</v>
      </c>
      <c r="D54" s="65" t="s">
        <v>776</v>
      </c>
      <c r="E54" s="67">
        <v>44131</v>
      </c>
      <c r="F54" s="68">
        <v>2000</v>
      </c>
      <c r="G54" s="69" t="s">
        <v>3</v>
      </c>
      <c r="H54">
        <v>100</v>
      </c>
      <c r="I54" s="2">
        <v>0</v>
      </c>
      <c r="K54" s="18">
        <f>(+H54/(H54+I54))*100</f>
        <v>100</v>
      </c>
      <c r="L54" s="18">
        <f>(+I54/(H54+I54))*100</f>
        <v>0</v>
      </c>
    </row>
  </sheetData>
  <hyperlinks>
    <hyperlink ref="B2" r:id="rId1" tooltip="CVS HEALTH PAC" display="https://www.fec.gov/data/committee/C00384818/" xr:uid="{92EA6644-D8DC-4A54-B3C4-A56AD16617E6}"/>
    <hyperlink ref="B3" r:id="rId2" tooltip="CVS HEALTH PAC" display="https://www.fec.gov/data/committee/C00384818/" xr:uid="{B7F7BA9D-C482-4AA5-9525-CDD8D004E291}"/>
    <hyperlink ref="B4" r:id="rId3" tooltip="CVS HEALTH PAC" display="https://www.fec.gov/data/committee/C00384818/" xr:uid="{4DA3DF9C-03CE-4AB0-8D65-62EF0D00AD12}"/>
    <hyperlink ref="B5" r:id="rId4" tooltip="CVS HEALTH PAC" display="https://www.fec.gov/data/committee/C00384818/" xr:uid="{20044A1A-98FF-46F1-AAD4-9E7C396E47B2}"/>
    <hyperlink ref="B6" r:id="rId5" tooltip="CVS HEALTH PAC" display="https://www.fec.gov/data/committee/C00384818/" xr:uid="{BFDCA171-BE9D-4A8F-A85A-4DF29FB274A2}"/>
    <hyperlink ref="B7" r:id="rId6" tooltip="CICILLINE COMMITTEE" display="https://www.fec.gov/data/committee/C00476564/" xr:uid="{79AF5AC6-96BC-4C74-B59E-B1C82EDA8C03}"/>
    <hyperlink ref="B8" r:id="rId7" tooltip="CVS HEALTH PAC" display="https://www.fec.gov/data/committee/C00384818/" xr:uid="{70970B17-8F03-4AB8-A6EE-C252A0364A63}"/>
    <hyperlink ref="B9" r:id="rId8" tooltip="CVS HEALTH PAC" display="https://www.fec.gov/data/committee/C00384818/" xr:uid="{A15BCF50-CA3E-483B-9930-9A665CEB2B59}"/>
    <hyperlink ref="B10" r:id="rId9" tooltip="CVS HEALTH PAC" display="https://www.fec.gov/data/committee/C00384818/" xr:uid="{2ABF9B4E-F5B0-436D-8D42-F1929B15C83F}"/>
    <hyperlink ref="B11" r:id="rId10" tooltip="BIDEN FOR PRESIDENT" display="https://www.fec.gov/data/committee/C00703975/" xr:uid="{AD688778-9DAB-46F5-8F15-D025AF0F152E}"/>
    <hyperlink ref="B12" r:id="rId11" tooltip="BIDEN VICTORY FUND" display="https://www.fec.gov/data/committee/C00744946/" xr:uid="{8CDF4922-BB70-4521-855B-A48603ED40C3}"/>
    <hyperlink ref="B13" r:id="rId12" tooltip="CVS HEALTH PAC" display="https://www.fec.gov/data/committee/C00384818/" xr:uid="{5386EEBD-4BD6-4837-AAA6-7520F152E9B8}"/>
    <hyperlink ref="B14" r:id="rId13" tooltip="CVS HEALTH PAC" display="https://www.fec.gov/data/committee/C00384818/" xr:uid="{DE884B3B-D124-45A2-9EFF-A73946EE5A28}"/>
    <hyperlink ref="B15" r:id="rId14" tooltip="CVS HEALTH PAC" display="https://www.fec.gov/data/committee/C00384818/" xr:uid="{3535DDC0-073C-4B02-B27D-863258F5BCF9}"/>
    <hyperlink ref="B16" r:id="rId15" tooltip="CVS HEALTH PAC" display="https://www.fec.gov/data/committee/C00384818/" xr:uid="{3A93C2CB-B423-4002-9F04-039C1FC5E3EB}"/>
    <hyperlink ref="B17" r:id="rId16" tooltip="THE REED COMMITTEE" display="https://www.fec.gov/data/committee/C00238907/" xr:uid="{F4532497-FF18-48E4-A869-85F4D1379DC4}"/>
    <hyperlink ref="B18" r:id="rId17" tooltip="CVS HEALTH PAC" display="https://www.fec.gov/data/committee/C00384818/" xr:uid="{BC5D2F2E-8964-417F-9164-A4B45962A6B8}"/>
    <hyperlink ref="B19" r:id="rId18" tooltip="CVS HEALTH PAC" display="https://www.fec.gov/data/committee/C00384818/" xr:uid="{6BB69E78-66CA-45C0-BFEF-B1E5B58EDD8F}"/>
    <hyperlink ref="B20" r:id="rId19" tooltip="CVS HEALTH PAC" display="https://www.fec.gov/data/committee/C00384818/" xr:uid="{435066BA-6CBD-4C28-B234-B7FAA456A617}"/>
    <hyperlink ref="B21" r:id="rId20" tooltip="CVS HEALTH PAC" display="https://www.fec.gov/data/committee/C00384818/" xr:uid="{6E9FBB91-3817-4F86-B1B5-F9BD59DFFB7F}"/>
    <hyperlink ref="B22" r:id="rId21" tooltip="CVS HEALTH PAC" display="https://www.fec.gov/data/committee/C00384818/" xr:uid="{4A310933-489E-4171-9816-EE90617419A6}"/>
    <hyperlink ref="B23" r:id="rId22" tooltip="CVS HEALTH PAC" display="https://www.fec.gov/data/committee/C00384818/" xr:uid="{45B3D6BF-622C-408D-ADFA-547F13405DBC}"/>
    <hyperlink ref="B24" r:id="rId23" tooltip="CVS HEALTH PAC" display="https://www.fec.gov/data/committee/C00384818/" xr:uid="{D85AA348-B932-44AE-814C-FED6229E54E5}"/>
    <hyperlink ref="B25" r:id="rId24" tooltip="CVS HEALTH PAC" display="https://www.fec.gov/data/committee/C00384818/" xr:uid="{068399F2-186D-431D-880E-761216336B72}"/>
    <hyperlink ref="B26" r:id="rId25" tooltip="CVS HEALTH PAC" display="https://www.fec.gov/data/committee/C00384818/" xr:uid="{AFF3AD91-B482-481F-A3B5-C359CCB5C89E}"/>
    <hyperlink ref="B27" r:id="rId26" tooltip="CVS HEALTH PAC" display="https://www.fec.gov/data/committee/C00384818/" xr:uid="{48FF6FBA-7230-4C3A-B1D3-FF957C32A843}"/>
    <hyperlink ref="B28" r:id="rId27" tooltip="CVS HEALTH PAC" display="https://www.fec.gov/data/committee/C00384818/" xr:uid="{183831BC-A6C7-435C-9C5A-74FB9BE649D0}"/>
    <hyperlink ref="B29" r:id="rId28" tooltip="CVS HEALTH PAC" display="https://www.fec.gov/data/committee/C00384818/" xr:uid="{69601186-C350-4187-BADD-0DE222BFEE3D}"/>
    <hyperlink ref="B30" r:id="rId29" tooltip="CVS HEALTH PAC" display="https://www.fec.gov/data/committee/C00384818/" xr:uid="{B78C94AE-2E72-42EA-A4DA-AB300EB82A48}"/>
    <hyperlink ref="B31" r:id="rId30" tooltip="CVS HEALTH PAC" display="https://www.fec.gov/data/committee/C00384818/" xr:uid="{AEE5FA11-4EE7-4980-8D12-E99D374728B4}"/>
    <hyperlink ref="B32" r:id="rId31" tooltip="CVS HEALTH PAC" display="https://www.fec.gov/data/committee/C00384818/" xr:uid="{08D94CD9-CE95-4198-8D20-32C4AB17E664}"/>
    <hyperlink ref="B33" r:id="rId32" tooltip="CVS HEALTH PAC" display="https://www.fec.gov/data/committee/C00384818/" xr:uid="{75734126-F925-4AA4-B65F-5AA59C9094F0}"/>
    <hyperlink ref="B34" r:id="rId33" tooltip="CVS HEALTH PAC" display="https://www.fec.gov/data/committee/C00384818/" xr:uid="{6111BABA-E99A-456A-B78F-935BDEF34AE0}"/>
    <hyperlink ref="B35" r:id="rId34" tooltip="CVS HEALTH PAC" display="https://www.fec.gov/data/committee/C00384818/" xr:uid="{AA2B25B6-5E23-47C1-855F-11C6A24F62A0}"/>
    <hyperlink ref="B36" r:id="rId35" tooltip="CVS HEALTH PAC" display="https://www.fec.gov/data/committee/C00384818/" xr:uid="{7C96F479-CE64-4279-86B3-08F934A08C40}"/>
    <hyperlink ref="B37" r:id="rId36" tooltip="CVS HEALTH PAC" display="https://www.fec.gov/data/committee/C00384818/" xr:uid="{3A5C8859-384E-406D-804E-69C38909FBD7}"/>
    <hyperlink ref="B38" r:id="rId37" tooltip="CVS HEALTH PAC" display="https://www.fec.gov/data/committee/C00384818/" xr:uid="{A5BDF7AD-F91A-49BB-9700-AE5FEFBE0E52}"/>
    <hyperlink ref="B39" r:id="rId38" tooltip="CVS HEALTH PAC" display="https://www.fec.gov/data/committee/C00384818/" xr:uid="{BA3C99AD-6223-4FD7-8B20-4B4496D02EC6}"/>
    <hyperlink ref="B40" r:id="rId39" tooltip="CVS HEALTH PAC" display="https://www.fec.gov/data/committee/C00384818/" xr:uid="{768CD1B5-9127-4114-A33E-2446ECD7D6FD}"/>
    <hyperlink ref="B41" r:id="rId40" tooltip="CVS HEALTH PAC" display="https://www.fec.gov/data/committee/C00384818/" xr:uid="{A94D7684-1FEA-4E86-8857-0180B8463E57}"/>
    <hyperlink ref="B42" r:id="rId41" tooltip="CVS HEALTH PAC" display="https://www.fec.gov/data/committee/C00384818/" xr:uid="{C850C0AC-56DA-43B7-9B65-02478C1D37E4}"/>
    <hyperlink ref="B43" r:id="rId42" tooltip="CVS HEALTH PAC" display="https://www.fec.gov/data/committee/C00384818/" xr:uid="{A85449B7-B57E-4B53-AE01-513CB7A5395A}"/>
    <hyperlink ref="B44" r:id="rId43" tooltip="CVS HEALTH PAC" display="https://www.fec.gov/data/committee/C00384818/" xr:uid="{3A0D76F4-E04D-44E9-9D17-9AEFBE6ABC19}"/>
    <hyperlink ref="B45" r:id="rId44" tooltip="CVS HEALTH PAC" display="https://www.fec.gov/data/committee/C00384818/" xr:uid="{D3953F34-9849-498E-A0EC-A6F6FC3C2970}"/>
    <hyperlink ref="B46" r:id="rId45" tooltip="CVS HEALTH PAC" display="https://www.fec.gov/data/committee/C00384818/" xr:uid="{A04D5AC0-0215-40B9-934C-DD68F4AE5636}"/>
    <hyperlink ref="B47" r:id="rId46" tooltip="CVS HEALTH PAC" display="https://www.fec.gov/data/committee/C00384818/" xr:uid="{4316FA2B-A7A9-4B67-9DF7-05956A6E33C8}"/>
    <hyperlink ref="B48" r:id="rId47" tooltip="CVS HEALTH PAC" display="https://www.fec.gov/data/committee/C00384818/" xr:uid="{CC18797C-945B-4D55-A3E3-404E766C9DAA}"/>
    <hyperlink ref="B49" r:id="rId48" tooltip="CVS HEALTH PAC" display="https://www.fec.gov/data/committee/C00384818/" xr:uid="{E08A6F54-9DE9-4B29-98CB-DD483CC80D8B}"/>
    <hyperlink ref="B50" r:id="rId49" tooltip="CVS HEALTH PAC" display="https://www.fec.gov/data/committee/C00384818/" xr:uid="{F90FAA21-7616-46BD-A0C2-2181E7183F5A}"/>
    <hyperlink ref="B51" r:id="rId50" tooltip="CVS HEALTH PAC" display="https://www.fec.gov/data/committee/C00384818/" xr:uid="{835389F3-2CEC-432E-94F7-518315DFC99F}"/>
    <hyperlink ref="B54" r:id="rId51" tooltip="PERDUE FOR SENATE" display="https://www.fec.gov/data/committee/C00547570/" xr:uid="{B6A5FD28-6B53-46A6-A14C-9190F75925CE}"/>
  </hyperlinks>
  <pageMargins left="0.7" right="0.7" top="0.75" bottom="0.75" header="0.3" footer="0.3"/>
  <pageSetup orientation="portrait" r:id="rId5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8"/>
  <sheetViews>
    <sheetView topLeftCell="A48" workbookViewId="0">
      <selection activeCell="G48" sqref="G48:I48"/>
    </sheetView>
  </sheetViews>
  <sheetFormatPr defaultRowHeight="15"/>
  <cols>
    <col min="2" max="2" width="30" customWidth="1"/>
    <col min="5" max="5" width="15.140625" customWidth="1"/>
    <col min="6" max="6" width="19.140625" customWidth="1"/>
  </cols>
  <sheetData>
    <row r="1" spans="1:16">
      <c r="A1" s="12" t="s">
        <v>16</v>
      </c>
      <c r="B1" s="12" t="s">
        <v>17</v>
      </c>
      <c r="C1" s="12" t="s">
        <v>11</v>
      </c>
      <c r="D1" s="12" t="s">
        <v>18</v>
      </c>
      <c r="E1" s="12" t="s">
        <v>19</v>
      </c>
      <c r="F1" s="12" t="s">
        <v>20</v>
      </c>
      <c r="G1" s="12" t="s">
        <v>24</v>
      </c>
      <c r="H1" s="12" t="s">
        <v>4</v>
      </c>
      <c r="I1" s="15" t="s">
        <v>6</v>
      </c>
      <c r="J1" s="12" t="s">
        <v>5</v>
      </c>
      <c r="K1" s="12" t="s">
        <v>13</v>
      </c>
      <c r="L1" s="12" t="s">
        <v>14</v>
      </c>
      <c r="M1" s="12" t="s">
        <v>25</v>
      </c>
      <c r="N1" s="12"/>
      <c r="O1" s="12"/>
      <c r="P1" s="12"/>
    </row>
    <row r="2" spans="1:16" ht="29.25" thickBot="1">
      <c r="A2" s="64" t="s">
        <v>848</v>
      </c>
      <c r="B2" s="66" t="s">
        <v>773</v>
      </c>
      <c r="C2" s="65" t="s">
        <v>774</v>
      </c>
      <c r="D2" s="65" t="s">
        <v>776</v>
      </c>
      <c r="E2" s="67">
        <v>44196</v>
      </c>
      <c r="F2" s="68">
        <v>208.33</v>
      </c>
      <c r="G2" s="63" t="s">
        <v>2</v>
      </c>
      <c r="H2">
        <v>1150000</v>
      </c>
      <c r="I2" s="2">
        <v>2180000</v>
      </c>
      <c r="K2" s="18">
        <f t="shared" ref="K2:K49" si="0">(+H2/(H2+I2))*100</f>
        <v>34.534534534534536</v>
      </c>
      <c r="L2" s="18">
        <f t="shared" ref="L2:L49" si="1">(+I2/(H2+I2))*100</f>
        <v>65.465465465465471</v>
      </c>
    </row>
    <row r="3" spans="1:16" ht="29.25" thickBot="1">
      <c r="A3" s="64" t="s">
        <v>848</v>
      </c>
      <c r="B3" s="66" t="s">
        <v>773</v>
      </c>
      <c r="C3" s="65" t="s">
        <v>774</v>
      </c>
      <c r="D3" s="65" t="s">
        <v>776</v>
      </c>
      <c r="E3" s="67">
        <v>44180</v>
      </c>
      <c r="F3" s="68">
        <v>208.33</v>
      </c>
      <c r="G3" s="63" t="s">
        <v>2</v>
      </c>
      <c r="H3">
        <v>1150000</v>
      </c>
      <c r="I3" s="2">
        <v>2180000</v>
      </c>
      <c r="K3" s="18">
        <f t="shared" si="0"/>
        <v>34.534534534534536</v>
      </c>
      <c r="L3" s="18">
        <f t="shared" si="1"/>
        <v>65.465465465465471</v>
      </c>
    </row>
    <row r="4" spans="1:16" ht="29.25" thickBot="1">
      <c r="A4" s="64" t="s">
        <v>848</v>
      </c>
      <c r="B4" s="66" t="s">
        <v>773</v>
      </c>
      <c r="C4" s="65" t="s">
        <v>774</v>
      </c>
      <c r="D4" s="65" t="s">
        <v>776</v>
      </c>
      <c r="E4" s="67">
        <v>44165</v>
      </c>
      <c r="F4" s="68">
        <v>208.33</v>
      </c>
      <c r="G4" s="63" t="s">
        <v>2</v>
      </c>
      <c r="H4">
        <v>1150000</v>
      </c>
      <c r="I4" s="2">
        <v>2180000</v>
      </c>
      <c r="K4" s="18">
        <f t="shared" si="0"/>
        <v>34.534534534534536</v>
      </c>
      <c r="L4" s="18">
        <f t="shared" si="1"/>
        <v>65.465465465465471</v>
      </c>
    </row>
    <row r="5" spans="1:16" ht="29.25" thickBot="1">
      <c r="A5" s="64" t="s">
        <v>848</v>
      </c>
      <c r="B5" s="66" t="s">
        <v>773</v>
      </c>
      <c r="C5" s="65" t="s">
        <v>774</v>
      </c>
      <c r="D5" s="65" t="s">
        <v>776</v>
      </c>
      <c r="E5" s="67">
        <v>44148</v>
      </c>
      <c r="F5" s="68">
        <v>208.33</v>
      </c>
      <c r="G5" s="63" t="s">
        <v>2</v>
      </c>
      <c r="H5">
        <v>1150000</v>
      </c>
      <c r="I5" s="2">
        <v>2180000</v>
      </c>
      <c r="K5" s="18">
        <f t="shared" si="0"/>
        <v>34.534534534534536</v>
      </c>
      <c r="L5" s="18">
        <f t="shared" si="1"/>
        <v>65.465465465465471</v>
      </c>
    </row>
    <row r="6" spans="1:16" ht="29.25" thickBot="1">
      <c r="A6" s="64" t="s">
        <v>848</v>
      </c>
      <c r="B6" s="66" t="s">
        <v>773</v>
      </c>
      <c r="C6" s="65" t="s">
        <v>774</v>
      </c>
      <c r="D6" s="65" t="s">
        <v>776</v>
      </c>
      <c r="E6" s="67">
        <v>44134</v>
      </c>
      <c r="F6" s="68">
        <v>208.33</v>
      </c>
      <c r="G6" s="63" t="s">
        <v>2</v>
      </c>
      <c r="H6">
        <v>1150000</v>
      </c>
      <c r="I6" s="2">
        <v>2180000</v>
      </c>
      <c r="K6" s="18">
        <f t="shared" si="0"/>
        <v>34.534534534534536</v>
      </c>
      <c r="L6" s="18">
        <f t="shared" si="1"/>
        <v>65.465465465465471</v>
      </c>
    </row>
    <row r="7" spans="1:16" ht="29.25" thickBot="1">
      <c r="A7" s="64" t="s">
        <v>848</v>
      </c>
      <c r="B7" s="66" t="s">
        <v>773</v>
      </c>
      <c r="C7" s="65" t="s">
        <v>774</v>
      </c>
      <c r="D7" s="65" t="s">
        <v>776</v>
      </c>
      <c r="E7" s="67">
        <v>44119</v>
      </c>
      <c r="F7" s="68">
        <v>208.33</v>
      </c>
      <c r="G7" s="63" t="s">
        <v>2</v>
      </c>
      <c r="H7">
        <v>1150000</v>
      </c>
      <c r="I7" s="2">
        <v>2180000</v>
      </c>
      <c r="K7" s="18">
        <f t="shared" si="0"/>
        <v>34.534534534534536</v>
      </c>
      <c r="L7" s="18">
        <f t="shared" si="1"/>
        <v>65.465465465465471</v>
      </c>
    </row>
    <row r="8" spans="1:16" ht="29.25" thickBot="1">
      <c r="A8" s="64" t="s">
        <v>848</v>
      </c>
      <c r="B8" s="66" t="s">
        <v>773</v>
      </c>
      <c r="C8" s="65" t="s">
        <v>774</v>
      </c>
      <c r="D8" s="65" t="s">
        <v>776</v>
      </c>
      <c r="E8" s="67">
        <v>44104</v>
      </c>
      <c r="F8" s="68">
        <v>208.33</v>
      </c>
      <c r="G8" s="74" t="s">
        <v>2</v>
      </c>
      <c r="H8">
        <v>1150000</v>
      </c>
      <c r="I8" s="2">
        <v>2180000</v>
      </c>
      <c r="K8" s="18">
        <f t="shared" si="0"/>
        <v>34.534534534534536</v>
      </c>
      <c r="L8" s="18">
        <f t="shared" si="1"/>
        <v>65.465465465465471</v>
      </c>
    </row>
    <row r="9" spans="1:16" ht="29.25" thickBot="1">
      <c r="A9" s="64" t="s">
        <v>848</v>
      </c>
      <c r="B9" s="66" t="s">
        <v>773</v>
      </c>
      <c r="C9" s="65" t="s">
        <v>774</v>
      </c>
      <c r="D9" s="65" t="s">
        <v>776</v>
      </c>
      <c r="E9" s="67">
        <v>44089</v>
      </c>
      <c r="F9" s="68">
        <v>208.33</v>
      </c>
      <c r="G9" s="74" t="s">
        <v>2</v>
      </c>
      <c r="H9">
        <v>1150000</v>
      </c>
      <c r="I9" s="2">
        <v>2180000</v>
      </c>
      <c r="K9" s="18">
        <f t="shared" si="0"/>
        <v>34.534534534534536</v>
      </c>
      <c r="L9" s="18">
        <f t="shared" si="1"/>
        <v>65.465465465465471</v>
      </c>
    </row>
    <row r="10" spans="1:16" ht="29.25" thickBot="1">
      <c r="A10" s="64" t="s">
        <v>848</v>
      </c>
      <c r="B10" s="66" t="s">
        <v>773</v>
      </c>
      <c r="C10" s="65" t="s">
        <v>774</v>
      </c>
      <c r="D10" s="65" t="s">
        <v>776</v>
      </c>
      <c r="E10" s="67">
        <v>44074</v>
      </c>
      <c r="F10" s="68">
        <v>208.33</v>
      </c>
      <c r="G10" s="74" t="s">
        <v>2</v>
      </c>
      <c r="H10">
        <v>1150000</v>
      </c>
      <c r="I10" s="2">
        <v>2180000</v>
      </c>
      <c r="K10" s="18">
        <f t="shared" si="0"/>
        <v>34.534534534534536</v>
      </c>
      <c r="L10" s="18">
        <f t="shared" si="1"/>
        <v>65.465465465465471</v>
      </c>
    </row>
    <row r="11" spans="1:16" ht="29.25" thickBot="1">
      <c r="A11" s="64" t="s">
        <v>848</v>
      </c>
      <c r="B11" s="66" t="s">
        <v>773</v>
      </c>
      <c r="C11" s="65" t="s">
        <v>774</v>
      </c>
      <c r="D11" s="65" t="s">
        <v>776</v>
      </c>
      <c r="E11" s="67">
        <v>44057</v>
      </c>
      <c r="F11" s="68">
        <v>208.33</v>
      </c>
      <c r="G11" s="63" t="s">
        <v>2</v>
      </c>
      <c r="H11">
        <v>1150000</v>
      </c>
      <c r="I11" s="2">
        <v>2180000</v>
      </c>
      <c r="K11" s="18">
        <f t="shared" si="0"/>
        <v>34.534534534534536</v>
      </c>
      <c r="L11" s="18">
        <f t="shared" si="1"/>
        <v>65.465465465465471</v>
      </c>
    </row>
    <row r="12" spans="1:16" ht="29.25" thickBot="1">
      <c r="A12" s="64" t="s">
        <v>848</v>
      </c>
      <c r="B12" s="66" t="s">
        <v>773</v>
      </c>
      <c r="C12" s="65" t="s">
        <v>774</v>
      </c>
      <c r="D12" s="65" t="s">
        <v>776</v>
      </c>
      <c r="E12" s="67">
        <v>44043</v>
      </c>
      <c r="F12" s="68">
        <v>208.33</v>
      </c>
      <c r="G12" s="63" t="s">
        <v>2</v>
      </c>
      <c r="H12">
        <v>1150000</v>
      </c>
      <c r="I12" s="2">
        <v>2180000</v>
      </c>
      <c r="K12" s="18">
        <f t="shared" si="0"/>
        <v>34.534534534534536</v>
      </c>
      <c r="L12" s="18">
        <f t="shared" si="1"/>
        <v>65.465465465465471</v>
      </c>
    </row>
    <row r="13" spans="1:16" ht="29.25" thickBot="1">
      <c r="A13" s="64" t="s">
        <v>848</v>
      </c>
      <c r="B13" s="66" t="s">
        <v>773</v>
      </c>
      <c r="C13" s="65" t="s">
        <v>774</v>
      </c>
      <c r="D13" s="65" t="s">
        <v>776</v>
      </c>
      <c r="E13" s="67">
        <v>44027</v>
      </c>
      <c r="F13" s="68">
        <v>208.33</v>
      </c>
      <c r="G13" s="63" t="s">
        <v>2</v>
      </c>
      <c r="H13">
        <v>1150000</v>
      </c>
      <c r="I13" s="2">
        <v>2180000</v>
      </c>
      <c r="K13" s="18">
        <f t="shared" si="0"/>
        <v>34.534534534534536</v>
      </c>
      <c r="L13" s="18">
        <f t="shared" si="1"/>
        <v>65.465465465465471</v>
      </c>
    </row>
    <row r="14" spans="1:16" ht="43.5" thickBot="1">
      <c r="A14" s="64" t="s">
        <v>849</v>
      </c>
      <c r="B14" s="66" t="s">
        <v>825</v>
      </c>
      <c r="C14" s="65" t="s">
        <v>201</v>
      </c>
      <c r="D14" s="65" t="s">
        <v>776</v>
      </c>
      <c r="E14" s="67">
        <v>44019</v>
      </c>
      <c r="F14" s="68">
        <v>500</v>
      </c>
      <c r="G14" s="75" t="s">
        <v>2</v>
      </c>
      <c r="H14">
        <v>0</v>
      </c>
      <c r="I14" s="2">
        <v>100</v>
      </c>
      <c r="K14" s="18">
        <f t="shared" si="0"/>
        <v>0</v>
      </c>
      <c r="L14" s="18">
        <f t="shared" si="1"/>
        <v>100</v>
      </c>
    </row>
    <row r="15" spans="1:16" ht="29.25" thickBot="1">
      <c r="A15" s="64" t="s">
        <v>848</v>
      </c>
      <c r="B15" s="66" t="s">
        <v>773</v>
      </c>
      <c r="C15" s="65" t="s">
        <v>774</v>
      </c>
      <c r="D15" s="65" t="s">
        <v>776</v>
      </c>
      <c r="E15" s="67">
        <v>44012</v>
      </c>
      <c r="F15" s="68">
        <v>208.33</v>
      </c>
      <c r="G15" s="63" t="s">
        <v>2</v>
      </c>
      <c r="H15">
        <v>1150000</v>
      </c>
      <c r="I15" s="2">
        <v>2180000</v>
      </c>
      <c r="K15" s="18">
        <f t="shared" si="0"/>
        <v>34.534534534534536</v>
      </c>
      <c r="L15" s="18">
        <f t="shared" si="1"/>
        <v>65.465465465465471</v>
      </c>
    </row>
    <row r="16" spans="1:16" ht="29.25" thickBot="1">
      <c r="A16" s="64" t="s">
        <v>848</v>
      </c>
      <c r="B16" s="66" t="s">
        <v>773</v>
      </c>
      <c r="C16" s="65" t="s">
        <v>774</v>
      </c>
      <c r="D16" s="65" t="s">
        <v>776</v>
      </c>
      <c r="E16" s="67">
        <v>43997</v>
      </c>
      <c r="F16" s="68">
        <v>208.33</v>
      </c>
      <c r="G16" s="63" t="s">
        <v>2</v>
      </c>
      <c r="H16">
        <v>1150000</v>
      </c>
      <c r="I16" s="2">
        <v>2180000</v>
      </c>
      <c r="K16" s="18">
        <f t="shared" si="0"/>
        <v>34.534534534534536</v>
      </c>
      <c r="L16" s="18">
        <f t="shared" si="1"/>
        <v>65.465465465465471</v>
      </c>
    </row>
    <row r="17" spans="1:12" ht="29.25" thickBot="1">
      <c r="A17" s="64" t="s">
        <v>848</v>
      </c>
      <c r="B17" s="66" t="s">
        <v>773</v>
      </c>
      <c r="C17" s="65" t="s">
        <v>774</v>
      </c>
      <c r="D17" s="65" t="s">
        <v>776</v>
      </c>
      <c r="E17" s="67">
        <v>43980</v>
      </c>
      <c r="F17" s="68">
        <v>208.33</v>
      </c>
      <c r="G17" s="74" t="s">
        <v>2</v>
      </c>
      <c r="H17">
        <v>1150000</v>
      </c>
      <c r="I17" s="2">
        <v>2180000</v>
      </c>
      <c r="K17" s="18">
        <f t="shared" si="0"/>
        <v>34.534534534534536</v>
      </c>
      <c r="L17" s="18">
        <f t="shared" si="1"/>
        <v>65.465465465465471</v>
      </c>
    </row>
    <row r="18" spans="1:12" ht="29.25" thickBot="1">
      <c r="A18" s="64" t="s">
        <v>848</v>
      </c>
      <c r="B18" s="66" t="s">
        <v>773</v>
      </c>
      <c r="C18" s="65" t="s">
        <v>774</v>
      </c>
      <c r="D18" s="65" t="s">
        <v>776</v>
      </c>
      <c r="E18" s="67">
        <v>43966</v>
      </c>
      <c r="F18" s="68">
        <v>208.33</v>
      </c>
      <c r="G18" s="63" t="s">
        <v>2</v>
      </c>
      <c r="H18">
        <v>1150000</v>
      </c>
      <c r="I18" s="2">
        <v>2180000</v>
      </c>
      <c r="K18" s="18">
        <f t="shared" si="0"/>
        <v>34.534534534534536</v>
      </c>
      <c r="L18" s="18">
        <f t="shared" si="1"/>
        <v>65.465465465465471</v>
      </c>
    </row>
    <row r="19" spans="1:12" ht="29.25" thickBot="1">
      <c r="A19" s="64" t="s">
        <v>848</v>
      </c>
      <c r="B19" s="66" t="s">
        <v>773</v>
      </c>
      <c r="C19" s="65" t="s">
        <v>774</v>
      </c>
      <c r="D19" s="65" t="s">
        <v>776</v>
      </c>
      <c r="E19" s="67">
        <v>43951</v>
      </c>
      <c r="F19" s="68">
        <v>208.33</v>
      </c>
      <c r="G19" s="63" t="s">
        <v>2</v>
      </c>
      <c r="H19">
        <v>1150000</v>
      </c>
      <c r="I19" s="2">
        <v>2180000</v>
      </c>
      <c r="K19" s="18">
        <f t="shared" si="0"/>
        <v>34.534534534534536</v>
      </c>
      <c r="L19" s="18">
        <f t="shared" si="1"/>
        <v>65.465465465465471</v>
      </c>
    </row>
    <row r="20" spans="1:12" ht="29.25" thickBot="1">
      <c r="A20" s="64" t="s">
        <v>848</v>
      </c>
      <c r="B20" s="66" t="s">
        <v>773</v>
      </c>
      <c r="C20" s="65" t="s">
        <v>774</v>
      </c>
      <c r="D20" s="65" t="s">
        <v>776</v>
      </c>
      <c r="E20" s="67">
        <v>43936</v>
      </c>
      <c r="F20" s="68">
        <v>208.33</v>
      </c>
      <c r="G20" s="63" t="s">
        <v>2</v>
      </c>
      <c r="H20">
        <v>1150000</v>
      </c>
      <c r="I20" s="2">
        <v>2180000</v>
      </c>
      <c r="K20" s="18">
        <f t="shared" si="0"/>
        <v>34.534534534534536</v>
      </c>
      <c r="L20" s="18">
        <f t="shared" si="1"/>
        <v>65.465465465465471</v>
      </c>
    </row>
    <row r="21" spans="1:12" ht="29.25" thickBot="1">
      <c r="A21" s="64" t="s">
        <v>848</v>
      </c>
      <c r="B21" s="66" t="s">
        <v>773</v>
      </c>
      <c r="C21" s="65" t="s">
        <v>774</v>
      </c>
      <c r="D21" s="65" t="s">
        <v>776</v>
      </c>
      <c r="E21" s="67">
        <v>43921</v>
      </c>
      <c r="F21" s="68">
        <v>208.33</v>
      </c>
      <c r="G21" s="63" t="s">
        <v>2</v>
      </c>
      <c r="H21">
        <v>1150000</v>
      </c>
      <c r="I21" s="2">
        <v>2180000</v>
      </c>
      <c r="K21" s="18">
        <f t="shared" si="0"/>
        <v>34.534534534534536</v>
      </c>
      <c r="L21" s="18">
        <f t="shared" si="1"/>
        <v>65.465465465465471</v>
      </c>
    </row>
    <row r="22" spans="1:12" ht="29.25" thickBot="1">
      <c r="A22" s="64" t="s">
        <v>848</v>
      </c>
      <c r="B22" s="66" t="s">
        <v>773</v>
      </c>
      <c r="C22" s="65" t="s">
        <v>774</v>
      </c>
      <c r="D22" s="65" t="s">
        <v>776</v>
      </c>
      <c r="E22" s="67">
        <v>43903</v>
      </c>
      <c r="F22" s="68">
        <v>208.33</v>
      </c>
      <c r="G22" s="63" t="s">
        <v>2</v>
      </c>
      <c r="H22">
        <v>1150000</v>
      </c>
      <c r="I22" s="2">
        <v>2180000</v>
      </c>
      <c r="K22" s="18">
        <f t="shared" si="0"/>
        <v>34.534534534534536</v>
      </c>
      <c r="L22" s="18">
        <f t="shared" si="1"/>
        <v>65.465465465465471</v>
      </c>
    </row>
    <row r="23" spans="1:12" ht="29.25" thickBot="1">
      <c r="A23" s="64" t="s">
        <v>848</v>
      </c>
      <c r="B23" s="66" t="s">
        <v>773</v>
      </c>
      <c r="C23" s="65" t="s">
        <v>774</v>
      </c>
      <c r="D23" s="65" t="s">
        <v>776</v>
      </c>
      <c r="E23" s="67">
        <v>43889</v>
      </c>
      <c r="F23" s="68">
        <v>208.33</v>
      </c>
      <c r="G23" s="63" t="s">
        <v>2</v>
      </c>
      <c r="H23">
        <v>1150000</v>
      </c>
      <c r="I23" s="2">
        <v>2180000</v>
      </c>
      <c r="K23" s="18">
        <f t="shared" si="0"/>
        <v>34.534534534534536</v>
      </c>
      <c r="L23" s="18">
        <f t="shared" si="1"/>
        <v>65.465465465465471</v>
      </c>
    </row>
    <row r="24" spans="1:12" ht="29.25" thickBot="1">
      <c r="A24" s="64" t="s">
        <v>848</v>
      </c>
      <c r="B24" s="66" t="s">
        <v>773</v>
      </c>
      <c r="C24" s="65" t="s">
        <v>774</v>
      </c>
      <c r="D24" s="65" t="s">
        <v>776</v>
      </c>
      <c r="E24" s="67">
        <v>43875</v>
      </c>
      <c r="F24" s="68">
        <v>208.33</v>
      </c>
      <c r="G24" s="63" t="s">
        <v>2</v>
      </c>
      <c r="H24">
        <v>1150000</v>
      </c>
      <c r="I24" s="2">
        <v>2180000</v>
      </c>
      <c r="K24" s="18">
        <f t="shared" si="0"/>
        <v>34.534534534534536</v>
      </c>
      <c r="L24" s="18">
        <f t="shared" si="1"/>
        <v>65.465465465465471</v>
      </c>
    </row>
    <row r="25" spans="1:12" ht="29.25" thickBot="1">
      <c r="A25" s="64" t="s">
        <v>848</v>
      </c>
      <c r="B25" s="66" t="s">
        <v>773</v>
      </c>
      <c r="C25" s="65" t="s">
        <v>774</v>
      </c>
      <c r="D25" s="65" t="s">
        <v>776</v>
      </c>
      <c r="E25" s="67">
        <v>43861</v>
      </c>
      <c r="F25" s="68">
        <v>208.33</v>
      </c>
      <c r="G25" s="63" t="s">
        <v>2</v>
      </c>
      <c r="H25">
        <v>1150000</v>
      </c>
      <c r="I25" s="2">
        <v>2180000</v>
      </c>
      <c r="K25" s="18">
        <f t="shared" si="0"/>
        <v>34.534534534534536</v>
      </c>
      <c r="L25" s="18">
        <f t="shared" si="1"/>
        <v>65.465465465465471</v>
      </c>
    </row>
    <row r="26" spans="1:12" ht="29.25" thickBot="1">
      <c r="A26" s="64" t="s">
        <v>848</v>
      </c>
      <c r="B26" s="66" t="s">
        <v>773</v>
      </c>
      <c r="C26" s="65" t="s">
        <v>774</v>
      </c>
      <c r="D26" s="65" t="s">
        <v>776</v>
      </c>
      <c r="E26" s="67">
        <v>43845</v>
      </c>
      <c r="F26" s="68">
        <v>208.33</v>
      </c>
      <c r="G26" s="63" t="s">
        <v>2</v>
      </c>
      <c r="H26">
        <v>1150000</v>
      </c>
      <c r="I26" s="2">
        <v>2180000</v>
      </c>
      <c r="K26" s="18">
        <f t="shared" si="0"/>
        <v>34.534534534534536</v>
      </c>
      <c r="L26" s="18">
        <f t="shared" si="1"/>
        <v>65.465465465465471</v>
      </c>
    </row>
    <row r="27" spans="1:12" ht="29.25" thickBot="1">
      <c r="A27" s="64" t="s">
        <v>848</v>
      </c>
      <c r="B27" s="66" t="s">
        <v>773</v>
      </c>
      <c r="C27" s="65" t="s">
        <v>774</v>
      </c>
      <c r="D27" s="65" t="s">
        <v>776</v>
      </c>
      <c r="E27" s="67">
        <v>43830</v>
      </c>
      <c r="F27" s="68">
        <v>208.33</v>
      </c>
      <c r="G27" s="63" t="s">
        <v>2</v>
      </c>
      <c r="H27">
        <v>1150000</v>
      </c>
      <c r="I27" s="2">
        <v>2180000</v>
      </c>
      <c r="K27" s="18">
        <f t="shared" si="0"/>
        <v>34.534534534534536</v>
      </c>
      <c r="L27" s="18">
        <f t="shared" si="1"/>
        <v>65.465465465465471</v>
      </c>
    </row>
    <row r="28" spans="1:12" ht="29.25" thickBot="1">
      <c r="A28" s="64" t="s">
        <v>848</v>
      </c>
      <c r="B28" s="66" t="s">
        <v>773</v>
      </c>
      <c r="C28" s="65" t="s">
        <v>774</v>
      </c>
      <c r="D28" s="65" t="s">
        <v>776</v>
      </c>
      <c r="E28" s="67">
        <v>43812</v>
      </c>
      <c r="F28" s="68">
        <v>208.33</v>
      </c>
      <c r="G28" s="63" t="s">
        <v>2</v>
      </c>
      <c r="H28">
        <v>1150000</v>
      </c>
      <c r="I28" s="2">
        <v>2180000</v>
      </c>
      <c r="K28" s="18">
        <f t="shared" si="0"/>
        <v>34.534534534534536</v>
      </c>
      <c r="L28" s="18">
        <f t="shared" si="1"/>
        <v>65.465465465465471</v>
      </c>
    </row>
    <row r="29" spans="1:12" ht="29.25" thickBot="1">
      <c r="A29" s="64" t="s">
        <v>848</v>
      </c>
      <c r="B29" s="66" t="s">
        <v>773</v>
      </c>
      <c r="C29" s="65" t="s">
        <v>774</v>
      </c>
      <c r="D29" s="65" t="s">
        <v>776</v>
      </c>
      <c r="E29" s="67">
        <v>43798</v>
      </c>
      <c r="F29" s="68">
        <v>208.33</v>
      </c>
      <c r="G29" s="63" t="s">
        <v>2</v>
      </c>
      <c r="H29">
        <v>1150000</v>
      </c>
      <c r="I29" s="2">
        <v>2180000</v>
      </c>
      <c r="K29" s="18">
        <f t="shared" si="0"/>
        <v>34.534534534534536</v>
      </c>
      <c r="L29" s="18">
        <f t="shared" si="1"/>
        <v>65.465465465465471</v>
      </c>
    </row>
    <row r="30" spans="1:12" ht="29.25" thickBot="1">
      <c r="A30" s="64" t="s">
        <v>848</v>
      </c>
      <c r="B30" s="66" t="s">
        <v>773</v>
      </c>
      <c r="C30" s="65" t="s">
        <v>774</v>
      </c>
      <c r="D30" s="65" t="s">
        <v>776</v>
      </c>
      <c r="E30" s="67">
        <v>43784</v>
      </c>
      <c r="F30" s="68">
        <v>208.33</v>
      </c>
      <c r="G30" s="63" t="s">
        <v>2</v>
      </c>
      <c r="H30">
        <v>1150000</v>
      </c>
      <c r="I30" s="2">
        <v>2180000</v>
      </c>
      <c r="K30" s="18">
        <f t="shared" si="0"/>
        <v>34.534534534534536</v>
      </c>
      <c r="L30" s="18">
        <f t="shared" si="1"/>
        <v>65.465465465465471</v>
      </c>
    </row>
    <row r="31" spans="1:12" ht="29.25" thickBot="1">
      <c r="A31" s="64" t="s">
        <v>848</v>
      </c>
      <c r="B31" s="66" t="s">
        <v>773</v>
      </c>
      <c r="C31" s="65" t="s">
        <v>774</v>
      </c>
      <c r="D31" s="65" t="s">
        <v>776</v>
      </c>
      <c r="E31" s="67">
        <v>43769</v>
      </c>
      <c r="F31" s="68">
        <v>208.33</v>
      </c>
      <c r="G31" s="63" t="s">
        <v>2</v>
      </c>
      <c r="H31">
        <v>1150000</v>
      </c>
      <c r="I31" s="2">
        <v>2180000</v>
      </c>
      <c r="K31" s="18">
        <f t="shared" si="0"/>
        <v>34.534534534534536</v>
      </c>
      <c r="L31" s="18">
        <f t="shared" si="1"/>
        <v>65.465465465465471</v>
      </c>
    </row>
    <row r="32" spans="1:12" ht="29.25" thickBot="1">
      <c r="A32" s="64" t="s">
        <v>848</v>
      </c>
      <c r="B32" s="66" t="s">
        <v>773</v>
      </c>
      <c r="C32" s="65" t="s">
        <v>774</v>
      </c>
      <c r="D32" s="65" t="s">
        <v>776</v>
      </c>
      <c r="E32" s="67">
        <v>43753</v>
      </c>
      <c r="F32" s="68">
        <v>208.33</v>
      </c>
      <c r="G32" s="63" t="s">
        <v>2</v>
      </c>
      <c r="H32">
        <v>1150000</v>
      </c>
      <c r="I32" s="2">
        <v>2180000</v>
      </c>
      <c r="K32" s="18">
        <f t="shared" si="0"/>
        <v>34.534534534534536</v>
      </c>
      <c r="L32" s="18">
        <f t="shared" si="1"/>
        <v>65.465465465465471</v>
      </c>
    </row>
    <row r="33" spans="1:12" ht="29.25" thickBot="1">
      <c r="A33" s="64" t="s">
        <v>848</v>
      </c>
      <c r="B33" s="66" t="s">
        <v>773</v>
      </c>
      <c r="C33" s="65" t="s">
        <v>774</v>
      </c>
      <c r="D33" s="65" t="s">
        <v>776</v>
      </c>
      <c r="E33" s="67">
        <v>43738</v>
      </c>
      <c r="F33" s="68">
        <v>208.33</v>
      </c>
      <c r="G33" s="63" t="s">
        <v>2</v>
      </c>
      <c r="H33">
        <v>1150000</v>
      </c>
      <c r="I33" s="2">
        <v>2180000</v>
      </c>
      <c r="K33" s="18">
        <f t="shared" si="0"/>
        <v>34.534534534534536</v>
      </c>
      <c r="L33" s="18">
        <f t="shared" si="1"/>
        <v>65.465465465465471</v>
      </c>
    </row>
    <row r="34" spans="1:12" ht="29.25" thickBot="1">
      <c r="A34" s="64" t="s">
        <v>848</v>
      </c>
      <c r="B34" s="66" t="s">
        <v>773</v>
      </c>
      <c r="C34" s="65" t="s">
        <v>774</v>
      </c>
      <c r="D34" s="65" t="s">
        <v>776</v>
      </c>
      <c r="E34" s="67">
        <v>43721</v>
      </c>
      <c r="F34" s="68">
        <v>208.33</v>
      </c>
      <c r="G34" s="63" t="s">
        <v>2</v>
      </c>
      <c r="H34">
        <v>1150000</v>
      </c>
      <c r="I34" s="2">
        <v>2180000</v>
      </c>
      <c r="K34" s="18">
        <f t="shared" si="0"/>
        <v>34.534534534534536</v>
      </c>
      <c r="L34" s="18">
        <f t="shared" si="1"/>
        <v>65.465465465465471</v>
      </c>
    </row>
    <row r="35" spans="1:12" ht="29.25" thickBot="1">
      <c r="A35" s="64" t="s">
        <v>848</v>
      </c>
      <c r="B35" s="66" t="s">
        <v>773</v>
      </c>
      <c r="C35" s="65" t="s">
        <v>774</v>
      </c>
      <c r="D35" s="65" t="s">
        <v>776</v>
      </c>
      <c r="E35" s="67">
        <v>43707</v>
      </c>
      <c r="F35" s="68">
        <v>208.33</v>
      </c>
      <c r="G35" s="63" t="s">
        <v>2</v>
      </c>
      <c r="H35">
        <v>1150000</v>
      </c>
      <c r="I35" s="2">
        <v>2180000</v>
      </c>
      <c r="K35" s="18">
        <f t="shared" si="0"/>
        <v>34.534534534534536</v>
      </c>
      <c r="L35" s="18">
        <f t="shared" si="1"/>
        <v>65.465465465465471</v>
      </c>
    </row>
    <row r="36" spans="1:12" ht="29.25" thickBot="1">
      <c r="A36" s="64" t="s">
        <v>848</v>
      </c>
      <c r="B36" s="66" t="s">
        <v>773</v>
      </c>
      <c r="C36" s="65" t="s">
        <v>774</v>
      </c>
      <c r="D36" s="65" t="s">
        <v>776</v>
      </c>
      <c r="E36" s="67">
        <v>43692</v>
      </c>
      <c r="F36" s="68">
        <v>125</v>
      </c>
      <c r="G36" s="63" t="s">
        <v>2</v>
      </c>
      <c r="H36">
        <v>1150000</v>
      </c>
      <c r="I36" s="2">
        <v>2180000</v>
      </c>
      <c r="K36" s="18">
        <f t="shared" si="0"/>
        <v>34.534534534534536</v>
      </c>
      <c r="L36" s="18">
        <f t="shared" si="1"/>
        <v>65.465465465465471</v>
      </c>
    </row>
    <row r="37" spans="1:12" ht="29.25" thickBot="1">
      <c r="A37" s="64" t="s">
        <v>848</v>
      </c>
      <c r="B37" s="66" t="s">
        <v>773</v>
      </c>
      <c r="C37" s="65" t="s">
        <v>774</v>
      </c>
      <c r="D37" s="65" t="s">
        <v>776</v>
      </c>
      <c r="E37" s="67">
        <v>43677</v>
      </c>
      <c r="F37" s="68">
        <v>125</v>
      </c>
      <c r="G37" s="63" t="s">
        <v>2</v>
      </c>
      <c r="H37">
        <v>1150000</v>
      </c>
      <c r="I37" s="2">
        <v>2180000</v>
      </c>
      <c r="K37" s="18">
        <f t="shared" si="0"/>
        <v>34.534534534534536</v>
      </c>
      <c r="L37" s="18">
        <f t="shared" si="1"/>
        <v>65.465465465465471</v>
      </c>
    </row>
    <row r="38" spans="1:12" ht="29.25" thickBot="1">
      <c r="A38" s="64" t="s">
        <v>848</v>
      </c>
      <c r="B38" s="66" t="s">
        <v>773</v>
      </c>
      <c r="C38" s="65" t="s">
        <v>774</v>
      </c>
      <c r="D38" s="65" t="s">
        <v>776</v>
      </c>
      <c r="E38" s="67">
        <v>43661</v>
      </c>
      <c r="F38" s="68">
        <v>125</v>
      </c>
      <c r="G38" s="63" t="s">
        <v>2</v>
      </c>
      <c r="H38">
        <v>1150000</v>
      </c>
      <c r="I38" s="2">
        <v>2180000</v>
      </c>
      <c r="K38" s="18">
        <f t="shared" si="0"/>
        <v>34.534534534534536</v>
      </c>
      <c r="L38" s="18">
        <f t="shared" si="1"/>
        <v>65.465465465465471</v>
      </c>
    </row>
    <row r="39" spans="1:12" ht="29.25" thickBot="1">
      <c r="A39" s="64" t="s">
        <v>848</v>
      </c>
      <c r="B39" s="66" t="s">
        <v>773</v>
      </c>
      <c r="C39" s="65" t="s">
        <v>774</v>
      </c>
      <c r="D39" s="65" t="s">
        <v>776</v>
      </c>
      <c r="E39" s="67">
        <v>43644</v>
      </c>
      <c r="F39" s="68">
        <v>125</v>
      </c>
      <c r="G39" s="63" t="s">
        <v>2</v>
      </c>
      <c r="H39">
        <v>1150000</v>
      </c>
      <c r="I39" s="2">
        <v>2180000</v>
      </c>
      <c r="K39" s="18">
        <f t="shared" si="0"/>
        <v>34.534534534534536</v>
      </c>
      <c r="L39" s="18">
        <f t="shared" si="1"/>
        <v>65.465465465465471</v>
      </c>
    </row>
    <row r="40" spans="1:12" ht="29.25" thickBot="1">
      <c r="A40" s="64" t="s">
        <v>848</v>
      </c>
      <c r="B40" s="66" t="s">
        <v>773</v>
      </c>
      <c r="C40" s="65" t="s">
        <v>774</v>
      </c>
      <c r="D40" s="65" t="s">
        <v>776</v>
      </c>
      <c r="E40" s="67">
        <v>43630</v>
      </c>
      <c r="F40" s="68">
        <v>125</v>
      </c>
      <c r="G40" s="63" t="s">
        <v>2</v>
      </c>
      <c r="H40">
        <v>1150000</v>
      </c>
      <c r="I40" s="2">
        <v>2180000</v>
      </c>
      <c r="K40" s="18">
        <f t="shared" si="0"/>
        <v>34.534534534534536</v>
      </c>
      <c r="L40" s="18">
        <f t="shared" si="1"/>
        <v>65.465465465465471</v>
      </c>
    </row>
    <row r="41" spans="1:12" ht="29.25" thickBot="1">
      <c r="A41" s="64" t="s">
        <v>848</v>
      </c>
      <c r="B41" s="66" t="s">
        <v>773</v>
      </c>
      <c r="C41" s="65" t="s">
        <v>774</v>
      </c>
      <c r="D41" s="65" t="s">
        <v>776</v>
      </c>
      <c r="E41" s="67">
        <v>43616</v>
      </c>
      <c r="F41" s="68">
        <v>125</v>
      </c>
      <c r="G41" s="63" t="s">
        <v>2</v>
      </c>
      <c r="H41">
        <v>1150000</v>
      </c>
      <c r="I41" s="2">
        <v>2180000</v>
      </c>
      <c r="K41" s="18">
        <f t="shared" si="0"/>
        <v>34.534534534534536</v>
      </c>
      <c r="L41" s="18">
        <f t="shared" si="1"/>
        <v>65.465465465465471</v>
      </c>
    </row>
    <row r="42" spans="1:12" ht="29.25" thickBot="1">
      <c r="A42" s="64" t="s">
        <v>848</v>
      </c>
      <c r="B42" s="66" t="s">
        <v>773</v>
      </c>
      <c r="C42" s="65" t="s">
        <v>774</v>
      </c>
      <c r="D42" s="65" t="s">
        <v>776</v>
      </c>
      <c r="E42" s="67">
        <v>43600</v>
      </c>
      <c r="F42" s="68">
        <v>125</v>
      </c>
      <c r="G42" s="63" t="s">
        <v>2</v>
      </c>
      <c r="H42">
        <v>1150000</v>
      </c>
      <c r="I42" s="2">
        <v>2180000</v>
      </c>
      <c r="K42" s="18">
        <f t="shared" si="0"/>
        <v>34.534534534534536</v>
      </c>
      <c r="L42" s="18">
        <f t="shared" si="1"/>
        <v>65.465465465465471</v>
      </c>
    </row>
    <row r="43" spans="1:12" ht="29.25" thickBot="1">
      <c r="A43" s="64" t="s">
        <v>848</v>
      </c>
      <c r="B43" s="66" t="s">
        <v>773</v>
      </c>
      <c r="C43" s="65" t="s">
        <v>774</v>
      </c>
      <c r="D43" s="65" t="s">
        <v>776</v>
      </c>
      <c r="E43" s="67">
        <v>43585</v>
      </c>
      <c r="F43" s="68">
        <v>125</v>
      </c>
      <c r="G43" s="63" t="s">
        <v>2</v>
      </c>
      <c r="H43">
        <v>1150000</v>
      </c>
      <c r="I43" s="2">
        <v>2180000</v>
      </c>
      <c r="K43" s="18">
        <f t="shared" si="0"/>
        <v>34.534534534534536</v>
      </c>
      <c r="L43" s="18">
        <f t="shared" si="1"/>
        <v>65.465465465465471</v>
      </c>
    </row>
    <row r="44" spans="1:12" ht="29.25" thickBot="1">
      <c r="A44" s="64" t="s">
        <v>848</v>
      </c>
      <c r="B44" s="66" t="s">
        <v>773</v>
      </c>
      <c r="C44" s="65" t="s">
        <v>774</v>
      </c>
      <c r="D44" s="65" t="s">
        <v>776</v>
      </c>
      <c r="E44" s="67">
        <v>43570</v>
      </c>
      <c r="F44" s="68">
        <v>125</v>
      </c>
      <c r="G44" s="63" t="s">
        <v>2</v>
      </c>
      <c r="H44">
        <v>1150000</v>
      </c>
      <c r="I44" s="2">
        <v>2180000</v>
      </c>
      <c r="K44" s="18">
        <f t="shared" si="0"/>
        <v>34.534534534534536</v>
      </c>
      <c r="L44" s="18">
        <f t="shared" si="1"/>
        <v>65.465465465465471</v>
      </c>
    </row>
    <row r="45" spans="1:12" ht="29.25" thickBot="1">
      <c r="A45" s="64" t="s">
        <v>848</v>
      </c>
      <c r="B45" s="66" t="s">
        <v>773</v>
      </c>
      <c r="C45" s="65" t="s">
        <v>774</v>
      </c>
      <c r="D45" s="65" t="s">
        <v>776</v>
      </c>
      <c r="E45" s="67">
        <v>43553</v>
      </c>
      <c r="F45" s="68">
        <v>125</v>
      </c>
      <c r="G45" s="63" t="s">
        <v>2</v>
      </c>
      <c r="H45">
        <v>1150000</v>
      </c>
      <c r="I45" s="2">
        <v>2180000</v>
      </c>
      <c r="K45" s="18">
        <f t="shared" si="0"/>
        <v>34.534534534534536</v>
      </c>
      <c r="L45" s="18">
        <f t="shared" si="1"/>
        <v>65.465465465465471</v>
      </c>
    </row>
    <row r="46" spans="1:12" ht="29.25" thickBot="1">
      <c r="A46" s="64" t="s">
        <v>848</v>
      </c>
      <c r="B46" s="66" t="s">
        <v>773</v>
      </c>
      <c r="C46" s="65" t="s">
        <v>774</v>
      </c>
      <c r="D46" s="65" t="s">
        <v>776</v>
      </c>
      <c r="E46" s="67">
        <v>43539</v>
      </c>
      <c r="F46" s="68">
        <v>125</v>
      </c>
      <c r="G46" s="63" t="s">
        <v>2</v>
      </c>
      <c r="H46">
        <v>1150000</v>
      </c>
      <c r="I46" s="2">
        <v>2180000</v>
      </c>
      <c r="K46" s="18">
        <f t="shared" si="0"/>
        <v>34.534534534534536</v>
      </c>
      <c r="L46" s="18">
        <f t="shared" si="1"/>
        <v>65.465465465465471</v>
      </c>
    </row>
    <row r="47" spans="1:12" ht="29.25" thickBot="1">
      <c r="A47" s="64" t="s">
        <v>848</v>
      </c>
      <c r="B47" s="66" t="s">
        <v>773</v>
      </c>
      <c r="C47" s="65" t="s">
        <v>774</v>
      </c>
      <c r="D47" s="65" t="s">
        <v>776</v>
      </c>
      <c r="E47" s="67">
        <v>43524</v>
      </c>
      <c r="F47" s="68">
        <v>125</v>
      </c>
      <c r="G47" s="63" t="s">
        <v>2</v>
      </c>
      <c r="H47">
        <v>1150000</v>
      </c>
      <c r="I47" s="2">
        <v>2180000</v>
      </c>
      <c r="K47" s="18">
        <f t="shared" si="0"/>
        <v>34.534534534534536</v>
      </c>
      <c r="L47" s="18">
        <f t="shared" si="1"/>
        <v>65.465465465465471</v>
      </c>
    </row>
    <row r="48" spans="1:12" ht="29.25" thickBot="1">
      <c r="A48" s="64" t="s">
        <v>848</v>
      </c>
      <c r="B48" s="66" t="s">
        <v>773</v>
      </c>
      <c r="C48" s="65" t="s">
        <v>774</v>
      </c>
      <c r="D48" s="65" t="s">
        <v>776</v>
      </c>
      <c r="E48" s="67">
        <v>43511</v>
      </c>
      <c r="F48" s="68">
        <v>125</v>
      </c>
      <c r="G48" s="63" t="s">
        <v>2</v>
      </c>
      <c r="H48">
        <v>1150000</v>
      </c>
      <c r="I48" s="2">
        <v>2180000</v>
      </c>
      <c r="K48" s="18">
        <f t="shared" si="0"/>
        <v>34.534534534534536</v>
      </c>
      <c r="L48" s="18">
        <f t="shared" si="1"/>
        <v>65.465465465465471</v>
      </c>
    </row>
    <row r="49" spans="1:12" ht="29.25" thickBot="1">
      <c r="A49" s="64" t="s">
        <v>848</v>
      </c>
      <c r="B49" s="66" t="s">
        <v>773</v>
      </c>
      <c r="C49" s="65" t="s">
        <v>774</v>
      </c>
      <c r="D49" s="65" t="s">
        <v>776</v>
      </c>
      <c r="E49" s="67">
        <v>43476</v>
      </c>
      <c r="F49" s="68">
        <v>250</v>
      </c>
      <c r="G49" s="63" t="s">
        <v>2</v>
      </c>
      <c r="H49">
        <v>1150000</v>
      </c>
      <c r="I49" s="2">
        <v>2180000</v>
      </c>
      <c r="K49" s="18">
        <f t="shared" si="0"/>
        <v>34.534534534534536</v>
      </c>
      <c r="L49" s="18">
        <f t="shared" si="1"/>
        <v>65.465465465465471</v>
      </c>
    </row>
    <row r="50" spans="1:12" ht="16.5" thickBot="1">
      <c r="A50" s="64"/>
      <c r="B50" s="66"/>
      <c r="C50" s="65"/>
      <c r="D50" s="65"/>
      <c r="E50" s="67"/>
      <c r="F50" s="68">
        <f>SUM(F2:F49)</f>
        <v>9249.89</v>
      </c>
      <c r="G50" s="63"/>
      <c r="I50" s="2"/>
      <c r="K50" s="18"/>
      <c r="L50" s="18"/>
    </row>
    <row r="51" spans="1:12" ht="16.5" thickBot="1">
      <c r="A51" s="64"/>
      <c r="B51" s="66"/>
      <c r="C51" s="65"/>
      <c r="D51" s="65"/>
      <c r="E51" s="67"/>
      <c r="F51" s="68"/>
      <c r="G51" s="63"/>
      <c r="I51" s="2"/>
      <c r="K51" s="18"/>
      <c r="L51" s="18"/>
    </row>
    <row r="52" spans="1:12" ht="16.5" thickBot="1">
      <c r="A52" s="64"/>
      <c r="B52" s="66"/>
      <c r="C52" s="65"/>
      <c r="D52" s="65"/>
      <c r="E52" s="67"/>
      <c r="F52" s="68"/>
      <c r="G52" s="63"/>
      <c r="I52" s="2"/>
      <c r="K52" s="18"/>
      <c r="L52" s="18"/>
    </row>
    <row r="53" spans="1:12" ht="29.25" thickBot="1">
      <c r="A53" s="64" t="s">
        <v>848</v>
      </c>
      <c r="B53" s="66" t="s">
        <v>112</v>
      </c>
      <c r="C53" s="65" t="s">
        <v>201</v>
      </c>
      <c r="D53" s="65" t="s">
        <v>776</v>
      </c>
      <c r="E53" s="67">
        <v>44112</v>
      </c>
      <c r="F53" s="68">
        <v>1500</v>
      </c>
      <c r="G53" s="75" t="s">
        <v>3</v>
      </c>
      <c r="H53">
        <v>100</v>
      </c>
      <c r="I53" s="2">
        <v>0</v>
      </c>
      <c r="K53" s="18">
        <f>(+H53/(H53+I53))*100</f>
        <v>100</v>
      </c>
      <c r="L53" s="18">
        <f>(+I53/(H53+I53))*100</f>
        <v>0</v>
      </c>
    </row>
    <row r="54" spans="1:12" ht="29.25" thickBot="1">
      <c r="A54" s="64" t="s">
        <v>848</v>
      </c>
      <c r="B54" s="66" t="s">
        <v>162</v>
      </c>
      <c r="C54" s="65" t="s">
        <v>201</v>
      </c>
      <c r="D54" s="65" t="s">
        <v>776</v>
      </c>
      <c r="E54" s="67">
        <v>44112</v>
      </c>
      <c r="F54" s="68">
        <v>1500</v>
      </c>
      <c r="G54" s="75" t="s">
        <v>3</v>
      </c>
      <c r="H54">
        <v>100</v>
      </c>
      <c r="I54" s="2">
        <v>0</v>
      </c>
      <c r="K54" s="18">
        <f>(+H54/(H54+I54))*100</f>
        <v>100</v>
      </c>
      <c r="L54" s="18">
        <f>(+I54/(H54+I54))*100</f>
        <v>0</v>
      </c>
    </row>
    <row r="55" spans="1:12" ht="29.25" thickBot="1">
      <c r="A55" s="64" t="s">
        <v>848</v>
      </c>
      <c r="B55" s="66" t="s">
        <v>162</v>
      </c>
      <c r="C55" s="65" t="s">
        <v>201</v>
      </c>
      <c r="D55" s="65" t="s">
        <v>776</v>
      </c>
      <c r="E55" s="67">
        <v>44112</v>
      </c>
      <c r="F55" s="68">
        <v>1500</v>
      </c>
      <c r="G55" s="75" t="s">
        <v>3</v>
      </c>
      <c r="H55">
        <v>100</v>
      </c>
      <c r="I55" s="2">
        <v>0</v>
      </c>
      <c r="K55" s="18">
        <f>(+H55/(H55+I55))*100</f>
        <v>100</v>
      </c>
      <c r="L55" s="18">
        <f>(+I55/(H55+I55))*100</f>
        <v>0</v>
      </c>
    </row>
    <row r="56" spans="1:12">
      <c r="F56" s="14">
        <f>SUM(F53:F55)</f>
        <v>4500</v>
      </c>
    </row>
    <row r="58" spans="1:12" ht="270.75">
      <c r="A58" s="76" t="s">
        <v>851</v>
      </c>
    </row>
  </sheetData>
  <sortState xmlns:xlrd2="http://schemas.microsoft.com/office/spreadsheetml/2017/richdata2" ref="A1:P55">
    <sortCondition ref="G1:G55"/>
  </sortState>
  <hyperlinks>
    <hyperlink ref="B2" r:id="rId1" tooltip="CVS HEALTH PAC" display="https://www.fec.gov/data/committee/C00384818/" xr:uid="{F95DA23F-66C4-48AF-B4D3-E3B8AAE56602}"/>
    <hyperlink ref="B3" r:id="rId2" tooltip="CVS HEALTH PAC" display="https://www.fec.gov/data/committee/C00384818/" xr:uid="{A810B9B2-6BC5-46AD-AB9F-49755EA8C80D}"/>
    <hyperlink ref="B4" r:id="rId3" tooltip="CVS HEALTH PAC" display="https://www.fec.gov/data/committee/C00384818/" xr:uid="{9CCC25D1-396E-4243-A798-DB68645DFB3C}"/>
    <hyperlink ref="B5" r:id="rId4" tooltip="CVS HEALTH PAC" display="https://www.fec.gov/data/committee/C00384818/" xr:uid="{6359D73B-4EFE-424C-8308-6ECB16CF8D61}"/>
    <hyperlink ref="B6" r:id="rId5" tooltip="CVS HEALTH PAC" display="https://www.fec.gov/data/committee/C00384818/" xr:uid="{C8AB9407-F32E-454A-9487-BAF56B278C61}"/>
    <hyperlink ref="B7" r:id="rId6" tooltip="CVS HEALTH PAC" display="https://www.fec.gov/data/committee/C00384818/" xr:uid="{4BED9373-8A7F-406F-BF0F-4931BC12BF09}"/>
    <hyperlink ref="B53" r:id="rId7" tooltip="PERDUE FOR SENATE" display="https://www.fec.gov/data/committee/C00547570/" xr:uid="{35B2529A-1572-47B2-9694-102F5AAD0F01}"/>
    <hyperlink ref="B54" r:id="rId8" tooltip="WINRED" display="https://www.fec.gov/data/committee/C00694323/" xr:uid="{7D48BA82-8BD7-46C0-A640-A3471BD05F04}"/>
    <hyperlink ref="B55" r:id="rId9" tooltip="WINRED" display="https://www.fec.gov/data/committee/C00694323/" xr:uid="{AFC594B5-AFA0-4445-80CF-1D6EC2931576}"/>
    <hyperlink ref="B8" r:id="rId10" tooltip="CVS HEALTH PAC" display="https://www.fec.gov/data/committee/C00384818/" xr:uid="{F8C58B58-E1AF-4737-8D0E-9F29E800602B}"/>
    <hyperlink ref="B9" r:id="rId11" tooltip="CVS HEALTH PAC" display="https://www.fec.gov/data/committee/C00384818/" xr:uid="{8F274227-1FFD-4B79-852C-AE3F464FA57F}"/>
    <hyperlink ref="B10" r:id="rId12" tooltip="CVS HEALTH PAC" display="https://www.fec.gov/data/committee/C00384818/" xr:uid="{57BF9ABF-5B19-4A28-AE97-FE34CA2CFCCA}"/>
    <hyperlink ref="B11" r:id="rId13" tooltip="CVS HEALTH PAC" display="https://www.fec.gov/data/committee/C00384818/" xr:uid="{C2C0FC23-8D4B-4A59-A10E-245F73D51E09}"/>
    <hyperlink ref="B12" r:id="rId14" tooltip="CVS HEALTH PAC" display="https://www.fec.gov/data/committee/C00384818/" xr:uid="{35ACC4EA-18C3-4532-AB26-7EFCC29A35DA}"/>
    <hyperlink ref="B13" r:id="rId15" tooltip="CVS HEALTH PAC" display="https://www.fec.gov/data/committee/C00384818/" xr:uid="{AD73352E-7510-4F73-A809-9C3935DD8E4B}"/>
    <hyperlink ref="B14" r:id="rId16" tooltip="THE REED COMMITTEE" display="https://www.fec.gov/data/committee/C00238907/" xr:uid="{DA5455B1-0472-494C-8113-4358300AED91}"/>
    <hyperlink ref="B15" r:id="rId17" tooltip="CVS HEALTH PAC" display="https://www.fec.gov/data/committee/C00384818/" xr:uid="{249290FB-E390-4921-A572-9C449E23CCDF}"/>
    <hyperlink ref="B16" r:id="rId18" tooltip="CVS HEALTH PAC" display="https://www.fec.gov/data/committee/C00384818/" xr:uid="{6C6268DD-2BB8-4D55-8220-EA95C43FDB7A}"/>
    <hyperlink ref="B17" r:id="rId19" tooltip="CVS HEALTH PAC" display="https://www.fec.gov/data/committee/C00384818/" xr:uid="{38A4B545-5332-42B7-B91A-7A2F905BE418}"/>
    <hyperlink ref="B18" r:id="rId20" tooltip="CVS HEALTH PAC" display="https://www.fec.gov/data/committee/C00384818/" xr:uid="{3B4915A8-40C2-4F79-8080-79A91AE49DB2}"/>
    <hyperlink ref="B19" r:id="rId21" tooltip="CVS HEALTH PAC" display="https://www.fec.gov/data/committee/C00384818/" xr:uid="{893E81AC-D037-46A1-878B-8D175049E698}"/>
    <hyperlink ref="B20" r:id="rId22" tooltip="CVS HEALTH PAC" display="https://www.fec.gov/data/committee/C00384818/" xr:uid="{288F2265-6110-48FB-98DE-F7DC37CC75AB}"/>
    <hyperlink ref="B21" r:id="rId23" tooltip="CVS HEALTH PAC" display="https://www.fec.gov/data/committee/C00384818/" xr:uid="{EC3CD576-A027-47F6-8D40-0D74110C057A}"/>
    <hyperlink ref="B22" r:id="rId24" tooltip="CVS HEALTH PAC" display="https://www.fec.gov/data/committee/C00384818/" xr:uid="{1FCD4B12-4045-4EA1-8795-589DE3243B2F}"/>
    <hyperlink ref="B23" r:id="rId25" tooltip="CVS HEALTH PAC" display="https://www.fec.gov/data/committee/C00384818/" xr:uid="{74084F2B-E8FA-4893-8BD3-41813FEE6DD6}"/>
    <hyperlink ref="B24" r:id="rId26" tooltip="CVS HEALTH PAC" display="https://www.fec.gov/data/committee/C00384818/" xr:uid="{E9B13C4E-2B17-485D-8852-A22F7360D330}"/>
    <hyperlink ref="B25" r:id="rId27" tooltip="CVS HEALTH PAC" display="https://www.fec.gov/data/committee/C00384818/" xr:uid="{9C72F57F-3344-4679-842C-8078D35363BF}"/>
    <hyperlink ref="B26" r:id="rId28" tooltip="CVS HEALTH PAC" display="https://www.fec.gov/data/committee/C00384818/" xr:uid="{08239BD9-3925-43F6-AD1B-B5FC97903516}"/>
    <hyperlink ref="B27" r:id="rId29" tooltip="CVS HEALTH PAC" display="https://www.fec.gov/data/committee/C00384818/" xr:uid="{45B20236-AB80-48C6-84E1-6AC31F3B6727}"/>
    <hyperlink ref="B28" r:id="rId30" tooltip="CVS HEALTH PAC" display="https://www.fec.gov/data/committee/C00384818/" xr:uid="{DCC29CDA-1DE3-4609-8B6D-87926007DC9A}"/>
    <hyperlink ref="B29" r:id="rId31" tooltip="CVS HEALTH PAC" display="https://www.fec.gov/data/committee/C00384818/" xr:uid="{F8766B84-3D85-4C0C-87EE-04B2A843C4FB}"/>
    <hyperlink ref="B30" r:id="rId32" tooltip="CVS HEALTH PAC" display="https://www.fec.gov/data/committee/C00384818/" xr:uid="{03B90FA4-9FA8-4D27-941E-9FED36AF2E99}"/>
    <hyperlink ref="B31" r:id="rId33" tooltip="CVS HEALTH PAC" display="https://www.fec.gov/data/committee/C00384818/" xr:uid="{71F89BE3-07F3-4AB3-ADF5-958458253C60}"/>
    <hyperlink ref="B32" r:id="rId34" tooltip="CVS HEALTH PAC" display="https://www.fec.gov/data/committee/C00384818/" xr:uid="{74842957-60DC-4E51-8998-183E2F9BEDFF}"/>
    <hyperlink ref="B33" r:id="rId35" tooltip="CVS HEALTH PAC" display="https://www.fec.gov/data/committee/C00384818/" xr:uid="{2C5BF8D8-65E3-4D54-947D-410CB8A87ADA}"/>
    <hyperlink ref="B34" r:id="rId36" tooltip="CVS HEALTH PAC" display="https://www.fec.gov/data/committee/C00384818/" xr:uid="{3F6C5EAE-8B9B-43C8-87DE-457EF4D47CB8}"/>
    <hyperlink ref="B35" r:id="rId37" tooltip="CVS HEALTH PAC" display="https://www.fec.gov/data/committee/C00384818/" xr:uid="{FBA9CF8C-0C4A-4D2A-85CF-3B3964C70F07}"/>
    <hyperlink ref="B36" r:id="rId38" tooltip="CVS HEALTH PAC" display="https://www.fec.gov/data/committee/C00384818/" xr:uid="{513DF251-277D-4944-9578-A3658CFB1E57}"/>
    <hyperlink ref="B37" r:id="rId39" tooltip="CVS HEALTH PAC" display="https://www.fec.gov/data/committee/C00384818/" xr:uid="{92246F54-D6E9-47EB-8011-AAD5D1AF67C0}"/>
    <hyperlink ref="B38" r:id="rId40" tooltip="CVS HEALTH PAC" display="https://www.fec.gov/data/committee/C00384818/" xr:uid="{D3DCF41F-382A-44FF-B63D-1A7F9947E150}"/>
    <hyperlink ref="B39" r:id="rId41" tooltip="CVS HEALTH PAC" display="https://www.fec.gov/data/committee/C00384818/" xr:uid="{C524F803-4881-43DA-8FBC-BCD3E1D4360D}"/>
    <hyperlink ref="B40" r:id="rId42" tooltip="CVS HEALTH PAC" display="https://www.fec.gov/data/committee/C00384818/" xr:uid="{9633D2B8-8B7D-4BB0-9561-E273AEA55D75}"/>
    <hyperlink ref="B41" r:id="rId43" tooltip="CVS HEALTH PAC" display="https://www.fec.gov/data/committee/C00384818/" xr:uid="{79D84905-F636-4F1E-B6B9-A47F4CB1573E}"/>
    <hyperlink ref="B42" r:id="rId44" tooltip="CVS HEALTH PAC" display="https://www.fec.gov/data/committee/C00384818/" xr:uid="{8DFBB509-CF4D-4F85-B6D2-A26694014362}"/>
    <hyperlink ref="B43" r:id="rId45" tooltip="CVS HEALTH PAC" display="https://www.fec.gov/data/committee/C00384818/" xr:uid="{CD348373-5914-456A-A869-F81D7BC95A93}"/>
    <hyperlink ref="B44" r:id="rId46" tooltip="CVS HEALTH PAC" display="https://www.fec.gov/data/committee/C00384818/" xr:uid="{CF491A50-A305-4A62-8D2F-58AA87BE0701}"/>
    <hyperlink ref="B45" r:id="rId47" tooltip="CVS HEALTH PAC" display="https://www.fec.gov/data/committee/C00384818/" xr:uid="{CC94ECBE-6B58-4B72-9B0A-060599504106}"/>
    <hyperlink ref="B46" r:id="rId48" tooltip="CVS HEALTH PAC" display="https://www.fec.gov/data/committee/C00384818/" xr:uid="{0F5348C8-B63C-40C3-9468-34FE96BF4C06}"/>
    <hyperlink ref="B47" r:id="rId49" tooltip="CVS HEALTH PAC" display="https://www.fec.gov/data/committee/C00384818/" xr:uid="{F9E424D5-7C27-4E5A-A0F1-7E670FDD70C9}"/>
    <hyperlink ref="B48" r:id="rId50" tooltip="CVS HEALTH PAC" display="https://www.fec.gov/data/committee/C00384818/" xr:uid="{E431DA07-A689-4F02-9119-EC21D0892203}"/>
    <hyperlink ref="B49" r:id="rId51" tooltip="CVS HEALTH PAC" display="https://www.fec.gov/data/committee/C00384818/" xr:uid="{E61447EA-0F97-4909-A434-E611DB29F62A}"/>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17"/>
  <sheetViews>
    <sheetView topLeftCell="A4" workbookViewId="0">
      <selection activeCell="Q4" sqref="Q4"/>
    </sheetView>
  </sheetViews>
  <sheetFormatPr defaultRowHeight="15"/>
  <cols>
    <col min="6" max="6" width="13.7109375" customWidth="1"/>
  </cols>
  <sheetData>
    <row r="1" spans="1:16" ht="15.75" thickBot="1">
      <c r="A1" s="77" t="s">
        <v>16</v>
      </c>
      <c r="B1" s="79" t="s">
        <v>17</v>
      </c>
      <c r="C1" s="79" t="s">
        <v>11</v>
      </c>
      <c r="D1" s="79" t="s">
        <v>18</v>
      </c>
      <c r="E1" s="79" t="s">
        <v>19</v>
      </c>
      <c r="F1" s="79" t="s">
        <v>20</v>
      </c>
      <c r="G1" s="79" t="s">
        <v>24</v>
      </c>
      <c r="H1" s="12" t="s">
        <v>4</v>
      </c>
      <c r="I1" s="15" t="s">
        <v>6</v>
      </c>
      <c r="J1" s="12" t="s">
        <v>5</v>
      </c>
      <c r="K1" s="12" t="s">
        <v>13</v>
      </c>
      <c r="L1" s="12" t="s">
        <v>14</v>
      </c>
      <c r="M1" s="12" t="s">
        <v>25</v>
      </c>
      <c r="N1" s="12"/>
      <c r="O1" s="12"/>
      <c r="P1" s="12"/>
    </row>
    <row r="2" spans="1:16" ht="45.75" thickBot="1">
      <c r="A2" s="76" t="s">
        <v>852</v>
      </c>
      <c r="B2" s="78" t="s">
        <v>855</v>
      </c>
      <c r="C2" s="76" t="s">
        <v>814</v>
      </c>
      <c r="D2" s="76" t="s">
        <v>776</v>
      </c>
      <c r="E2" s="80">
        <v>44143</v>
      </c>
      <c r="F2" s="81">
        <v>1000</v>
      </c>
      <c r="G2" s="74" t="s">
        <v>2</v>
      </c>
      <c r="H2">
        <v>3000</v>
      </c>
      <c r="I2" s="2">
        <v>245000</v>
      </c>
      <c r="K2" s="18">
        <f t="shared" ref="K2:K33" si="0">(+H2/(H2+I2))*100</f>
        <v>1.2096774193548387</v>
      </c>
      <c r="L2" s="18">
        <f t="shared" ref="L2:L33" si="1">(+I2/(H2+I2))*100</f>
        <v>98.790322580645167</v>
      </c>
    </row>
    <row r="3" spans="1:16" ht="29.25" thickBot="1">
      <c r="A3" s="64" t="s">
        <v>852</v>
      </c>
      <c r="B3" s="66" t="s">
        <v>22</v>
      </c>
      <c r="C3" s="65" t="s">
        <v>814</v>
      </c>
      <c r="D3" s="65" t="s">
        <v>776</v>
      </c>
      <c r="E3" s="67">
        <v>44118</v>
      </c>
      <c r="F3" s="68">
        <v>50</v>
      </c>
      <c r="G3" s="74" t="s">
        <v>2</v>
      </c>
      <c r="H3" s="35">
        <v>0</v>
      </c>
      <c r="I3" s="35">
        <v>100</v>
      </c>
      <c r="K3" s="18">
        <f t="shared" si="0"/>
        <v>0</v>
      </c>
      <c r="L3" s="18">
        <f t="shared" si="1"/>
        <v>100</v>
      </c>
    </row>
    <row r="4" spans="1:16" ht="29.25" thickBot="1">
      <c r="A4" s="64" t="s">
        <v>852</v>
      </c>
      <c r="B4" s="66" t="s">
        <v>22</v>
      </c>
      <c r="C4" s="65" t="s">
        <v>814</v>
      </c>
      <c r="D4" s="65" t="s">
        <v>776</v>
      </c>
      <c r="E4" s="67">
        <v>44089</v>
      </c>
      <c r="F4" s="68">
        <v>50</v>
      </c>
      <c r="G4" s="74" t="s">
        <v>2</v>
      </c>
      <c r="H4" s="35">
        <v>0</v>
      </c>
      <c r="I4" s="35">
        <v>100</v>
      </c>
      <c r="K4" s="18">
        <f t="shared" si="0"/>
        <v>0</v>
      </c>
      <c r="L4" s="18">
        <f t="shared" si="1"/>
        <v>100</v>
      </c>
    </row>
    <row r="5" spans="1:16" ht="29.25" thickBot="1">
      <c r="A5" s="64" t="s">
        <v>852</v>
      </c>
      <c r="B5" s="66" t="s">
        <v>22</v>
      </c>
      <c r="C5" s="65" t="s">
        <v>814</v>
      </c>
      <c r="D5" s="65" t="s">
        <v>776</v>
      </c>
      <c r="E5" s="67">
        <v>44029</v>
      </c>
      <c r="F5" s="68">
        <v>25</v>
      </c>
      <c r="G5" s="74" t="s">
        <v>2</v>
      </c>
      <c r="H5" s="35">
        <v>0</v>
      </c>
      <c r="I5" s="35">
        <v>100</v>
      </c>
      <c r="K5" s="18">
        <f t="shared" si="0"/>
        <v>0</v>
      </c>
      <c r="L5" s="18">
        <f t="shared" si="1"/>
        <v>100</v>
      </c>
    </row>
    <row r="6" spans="1:16" ht="29.25" thickBot="1">
      <c r="A6" s="64" t="s">
        <v>852</v>
      </c>
      <c r="B6" s="66" t="s">
        <v>22</v>
      </c>
      <c r="C6" s="65" t="s">
        <v>814</v>
      </c>
      <c r="D6" s="65" t="s">
        <v>776</v>
      </c>
      <c r="E6" s="67">
        <v>43999</v>
      </c>
      <c r="F6" s="68">
        <v>50</v>
      </c>
      <c r="G6" s="74" t="s">
        <v>2</v>
      </c>
      <c r="H6" s="35">
        <v>0</v>
      </c>
      <c r="I6" s="35">
        <v>100</v>
      </c>
      <c r="K6" s="18">
        <f t="shared" si="0"/>
        <v>0</v>
      </c>
      <c r="L6" s="18">
        <f t="shared" si="1"/>
        <v>100</v>
      </c>
    </row>
    <row r="7" spans="1:16" ht="29.25" thickBot="1">
      <c r="A7" s="64" t="s">
        <v>852</v>
      </c>
      <c r="B7" s="66" t="s">
        <v>22</v>
      </c>
      <c r="C7" s="65" t="s">
        <v>814</v>
      </c>
      <c r="D7" s="65" t="s">
        <v>776</v>
      </c>
      <c r="E7" s="67">
        <v>43969</v>
      </c>
      <c r="F7" s="68">
        <v>25</v>
      </c>
      <c r="G7" s="74" t="s">
        <v>2</v>
      </c>
      <c r="H7" s="35">
        <v>0</v>
      </c>
      <c r="I7" s="35">
        <v>100</v>
      </c>
      <c r="K7" s="18">
        <f t="shared" si="0"/>
        <v>0</v>
      </c>
      <c r="L7" s="18">
        <f t="shared" si="1"/>
        <v>100</v>
      </c>
    </row>
    <row r="8" spans="1:16" ht="29.25" thickBot="1">
      <c r="A8" s="64" t="s">
        <v>852</v>
      </c>
      <c r="B8" s="66" t="s">
        <v>22</v>
      </c>
      <c r="C8" s="65" t="s">
        <v>814</v>
      </c>
      <c r="D8" s="65" t="s">
        <v>776</v>
      </c>
      <c r="E8" s="67">
        <v>43969</v>
      </c>
      <c r="F8" s="68">
        <v>10</v>
      </c>
      <c r="G8" s="74" t="s">
        <v>2</v>
      </c>
      <c r="H8" s="35">
        <v>0</v>
      </c>
      <c r="I8" s="35">
        <v>100</v>
      </c>
      <c r="K8" s="18">
        <f t="shared" si="0"/>
        <v>0</v>
      </c>
      <c r="L8" s="18">
        <f t="shared" si="1"/>
        <v>100</v>
      </c>
    </row>
    <row r="9" spans="1:16" ht="29.25" thickBot="1">
      <c r="A9" s="64" t="s">
        <v>852</v>
      </c>
      <c r="B9" s="66" t="s">
        <v>22</v>
      </c>
      <c r="C9" s="65" t="s">
        <v>814</v>
      </c>
      <c r="D9" s="65" t="s">
        <v>776</v>
      </c>
      <c r="E9" s="67">
        <v>43939</v>
      </c>
      <c r="F9" s="68">
        <v>5</v>
      </c>
      <c r="G9" s="74" t="s">
        <v>2</v>
      </c>
      <c r="H9" s="35">
        <v>0</v>
      </c>
      <c r="I9" s="35">
        <v>100</v>
      </c>
      <c r="K9" s="18">
        <f t="shared" si="0"/>
        <v>0</v>
      </c>
      <c r="L9" s="18">
        <f t="shared" si="1"/>
        <v>100</v>
      </c>
    </row>
    <row r="10" spans="1:16" ht="29.25" thickBot="1">
      <c r="A10" s="64" t="s">
        <v>852</v>
      </c>
      <c r="B10" s="66" t="s">
        <v>22</v>
      </c>
      <c r="C10" s="65" t="s">
        <v>814</v>
      </c>
      <c r="D10" s="65" t="s">
        <v>776</v>
      </c>
      <c r="E10" s="67">
        <v>43934</v>
      </c>
      <c r="F10" s="68">
        <v>10</v>
      </c>
      <c r="G10" s="74" t="s">
        <v>2</v>
      </c>
      <c r="H10" s="35">
        <v>0</v>
      </c>
      <c r="I10" s="35">
        <v>100</v>
      </c>
      <c r="K10" s="18">
        <f t="shared" si="0"/>
        <v>0</v>
      </c>
      <c r="L10" s="18">
        <f t="shared" si="1"/>
        <v>100</v>
      </c>
    </row>
    <row r="11" spans="1:16" ht="75.75" thickBot="1">
      <c r="A11" s="64" t="s">
        <v>852</v>
      </c>
      <c r="B11" s="66" t="s">
        <v>866</v>
      </c>
      <c r="C11" s="65" t="s">
        <v>814</v>
      </c>
      <c r="D11" s="65" t="s">
        <v>776</v>
      </c>
      <c r="E11" s="67">
        <v>43969</v>
      </c>
      <c r="F11" s="68">
        <v>1050</v>
      </c>
      <c r="G11" s="74" t="s">
        <v>2</v>
      </c>
      <c r="H11" s="35">
        <v>0</v>
      </c>
      <c r="I11" s="35">
        <v>100</v>
      </c>
      <c r="K11" s="18">
        <f t="shared" si="0"/>
        <v>0</v>
      </c>
      <c r="L11" s="18">
        <f t="shared" si="1"/>
        <v>100</v>
      </c>
    </row>
    <row r="12" spans="1:16" ht="75.75" thickBot="1">
      <c r="A12" s="64" t="s">
        <v>852</v>
      </c>
      <c r="B12" s="66" t="s">
        <v>866</v>
      </c>
      <c r="C12" s="65" t="s">
        <v>814</v>
      </c>
      <c r="D12" s="65" t="s">
        <v>776</v>
      </c>
      <c r="E12" s="67">
        <v>43939</v>
      </c>
      <c r="F12" s="68">
        <v>750</v>
      </c>
      <c r="G12" s="74" t="s">
        <v>2</v>
      </c>
      <c r="H12" s="35">
        <v>0</v>
      </c>
      <c r="I12" s="35">
        <v>100</v>
      </c>
      <c r="K12" s="18">
        <f t="shared" si="0"/>
        <v>0</v>
      </c>
      <c r="L12" s="18">
        <f t="shared" si="1"/>
        <v>100</v>
      </c>
    </row>
    <row r="13" spans="1:16" ht="75.75" thickBot="1">
      <c r="A13" s="64" t="s">
        <v>852</v>
      </c>
      <c r="B13" s="66" t="s">
        <v>866</v>
      </c>
      <c r="C13" s="65" t="s">
        <v>814</v>
      </c>
      <c r="D13" s="65" t="s">
        <v>776</v>
      </c>
      <c r="E13" s="67">
        <v>43934</v>
      </c>
      <c r="F13" s="68">
        <v>500</v>
      </c>
      <c r="G13" s="74" t="s">
        <v>2</v>
      </c>
      <c r="H13" s="35">
        <v>0</v>
      </c>
      <c r="I13" s="35">
        <v>100</v>
      </c>
      <c r="K13" s="18">
        <f t="shared" si="0"/>
        <v>0</v>
      </c>
      <c r="L13" s="18">
        <f t="shared" si="1"/>
        <v>100</v>
      </c>
    </row>
    <row r="14" spans="1:16" ht="75.75" thickBot="1">
      <c r="A14" s="64" t="s">
        <v>852</v>
      </c>
      <c r="B14" s="66" t="s">
        <v>866</v>
      </c>
      <c r="C14" s="65" t="s">
        <v>814</v>
      </c>
      <c r="D14" s="65" t="s">
        <v>776</v>
      </c>
      <c r="E14" s="67">
        <v>43891</v>
      </c>
      <c r="F14" s="68">
        <v>500</v>
      </c>
      <c r="G14" s="74" t="s">
        <v>2</v>
      </c>
      <c r="H14" s="35">
        <v>0</v>
      </c>
      <c r="I14" s="35">
        <v>100</v>
      </c>
      <c r="K14" s="18">
        <f t="shared" si="0"/>
        <v>0</v>
      </c>
      <c r="L14" s="18">
        <f t="shared" si="1"/>
        <v>100</v>
      </c>
    </row>
    <row r="15" spans="1:16" ht="60.75" thickBot="1">
      <c r="A15" s="64" t="s">
        <v>852</v>
      </c>
      <c r="B15" s="66" t="s">
        <v>0</v>
      </c>
      <c r="C15" s="65" t="s">
        <v>814</v>
      </c>
      <c r="D15" s="65" t="s">
        <v>776</v>
      </c>
      <c r="E15" s="67">
        <v>44118</v>
      </c>
      <c r="F15" s="68">
        <v>500</v>
      </c>
      <c r="G15" s="74" t="s">
        <v>2</v>
      </c>
      <c r="H15" s="35">
        <v>0</v>
      </c>
      <c r="I15" s="35">
        <v>100</v>
      </c>
      <c r="K15" s="18">
        <f t="shared" si="0"/>
        <v>0</v>
      </c>
      <c r="L15" s="18">
        <f t="shared" si="1"/>
        <v>100</v>
      </c>
    </row>
    <row r="16" spans="1:16" ht="60.75" thickBot="1">
      <c r="A16" s="64" t="s">
        <v>852</v>
      </c>
      <c r="B16" s="66" t="s">
        <v>0</v>
      </c>
      <c r="C16" s="65" t="s">
        <v>814</v>
      </c>
      <c r="D16" s="65" t="s">
        <v>776</v>
      </c>
      <c r="E16" s="67">
        <v>44089</v>
      </c>
      <c r="F16" s="68">
        <v>500</v>
      </c>
      <c r="G16" s="74" t="s">
        <v>2</v>
      </c>
      <c r="H16" s="35">
        <v>0</v>
      </c>
      <c r="I16" s="35">
        <v>100</v>
      </c>
      <c r="K16" s="18">
        <f t="shared" si="0"/>
        <v>0</v>
      </c>
      <c r="L16" s="18">
        <f t="shared" si="1"/>
        <v>100</v>
      </c>
    </row>
    <row r="17" spans="1:12" ht="60.75" thickBot="1">
      <c r="A17" s="64" t="s">
        <v>852</v>
      </c>
      <c r="B17" s="66" t="s">
        <v>0</v>
      </c>
      <c r="C17" s="65" t="s">
        <v>814</v>
      </c>
      <c r="D17" s="65" t="s">
        <v>776</v>
      </c>
      <c r="E17" s="67">
        <v>44073</v>
      </c>
      <c r="F17" s="68">
        <v>800</v>
      </c>
      <c r="G17" s="74" t="s">
        <v>2</v>
      </c>
      <c r="H17" s="35">
        <v>0</v>
      </c>
      <c r="I17" s="35">
        <v>100</v>
      </c>
      <c r="K17" s="18">
        <f t="shared" si="0"/>
        <v>0</v>
      </c>
      <c r="L17" s="18">
        <f t="shared" si="1"/>
        <v>100</v>
      </c>
    </row>
    <row r="18" spans="1:12" ht="60.75" thickBot="1">
      <c r="A18" s="64" t="s">
        <v>852</v>
      </c>
      <c r="B18" s="66" t="s">
        <v>0</v>
      </c>
      <c r="C18" s="65" t="s">
        <v>814</v>
      </c>
      <c r="D18" s="65" t="s">
        <v>776</v>
      </c>
      <c r="E18" s="67">
        <v>44029</v>
      </c>
      <c r="F18" s="68">
        <v>2800</v>
      </c>
      <c r="G18" s="74" t="s">
        <v>2</v>
      </c>
      <c r="H18" s="35">
        <v>0</v>
      </c>
      <c r="I18" s="35">
        <v>100</v>
      </c>
      <c r="K18" s="18">
        <f t="shared" si="0"/>
        <v>0</v>
      </c>
      <c r="L18" s="18">
        <f t="shared" si="1"/>
        <v>100</v>
      </c>
    </row>
    <row r="19" spans="1:12" ht="45.75" thickBot="1">
      <c r="A19" s="64" t="s">
        <v>852</v>
      </c>
      <c r="B19" s="66" t="s">
        <v>212</v>
      </c>
      <c r="C19" s="65" t="s">
        <v>814</v>
      </c>
      <c r="D19" s="65" t="s">
        <v>776</v>
      </c>
      <c r="E19" s="67">
        <v>44118</v>
      </c>
      <c r="F19" s="68">
        <v>500</v>
      </c>
      <c r="G19" s="74" t="s">
        <v>2</v>
      </c>
      <c r="H19" s="35">
        <v>0</v>
      </c>
      <c r="I19" s="35">
        <v>100</v>
      </c>
      <c r="K19" s="18">
        <f t="shared" si="0"/>
        <v>0</v>
      </c>
      <c r="L19" s="18">
        <f t="shared" si="1"/>
        <v>100</v>
      </c>
    </row>
    <row r="20" spans="1:12" ht="45.75" thickBot="1">
      <c r="A20" s="64" t="s">
        <v>852</v>
      </c>
      <c r="B20" s="66" t="s">
        <v>212</v>
      </c>
      <c r="C20" s="65" t="s">
        <v>814</v>
      </c>
      <c r="D20" s="65" t="s">
        <v>776</v>
      </c>
      <c r="E20" s="67">
        <v>44089</v>
      </c>
      <c r="F20" s="68">
        <v>500</v>
      </c>
      <c r="G20" s="74" t="s">
        <v>2</v>
      </c>
      <c r="H20" s="35">
        <v>0</v>
      </c>
      <c r="I20" s="35">
        <v>100</v>
      </c>
      <c r="K20" s="18">
        <f t="shared" si="0"/>
        <v>0</v>
      </c>
      <c r="L20" s="18">
        <f t="shared" si="1"/>
        <v>100</v>
      </c>
    </row>
    <row r="21" spans="1:12" ht="45.75" thickBot="1">
      <c r="A21" s="64" t="s">
        <v>852</v>
      </c>
      <c r="B21" s="66" t="s">
        <v>212</v>
      </c>
      <c r="C21" s="65" t="s">
        <v>814</v>
      </c>
      <c r="D21" s="65" t="s">
        <v>776</v>
      </c>
      <c r="E21" s="67">
        <v>44071</v>
      </c>
      <c r="F21" s="68">
        <v>800</v>
      </c>
      <c r="G21" s="74" t="s">
        <v>2</v>
      </c>
      <c r="H21" s="35">
        <v>0</v>
      </c>
      <c r="I21" s="35">
        <v>100</v>
      </c>
      <c r="K21" s="18">
        <f t="shared" si="0"/>
        <v>0</v>
      </c>
      <c r="L21" s="18">
        <f t="shared" si="1"/>
        <v>100</v>
      </c>
    </row>
    <row r="22" spans="1:12" ht="45.75" thickBot="1">
      <c r="A22" s="64" t="s">
        <v>852</v>
      </c>
      <c r="B22" s="66" t="s">
        <v>861</v>
      </c>
      <c r="C22" s="65" t="s">
        <v>814</v>
      </c>
      <c r="D22" s="65" t="s">
        <v>776</v>
      </c>
      <c r="E22" s="67">
        <v>44071</v>
      </c>
      <c r="F22" s="68">
        <v>800</v>
      </c>
      <c r="G22" s="74" t="s">
        <v>2</v>
      </c>
      <c r="H22" s="35">
        <v>0</v>
      </c>
      <c r="I22" s="35">
        <v>100</v>
      </c>
      <c r="K22" s="18">
        <f t="shared" si="0"/>
        <v>0</v>
      </c>
      <c r="L22" s="18">
        <f t="shared" si="1"/>
        <v>100</v>
      </c>
    </row>
    <row r="23" spans="1:12" ht="45.75" thickBot="1">
      <c r="A23" s="64" t="s">
        <v>852</v>
      </c>
      <c r="B23" s="66" t="s">
        <v>861</v>
      </c>
      <c r="C23" s="65" t="s">
        <v>814</v>
      </c>
      <c r="D23" s="65" t="s">
        <v>776</v>
      </c>
      <c r="E23" s="67">
        <v>44029</v>
      </c>
      <c r="F23" s="68">
        <v>1000</v>
      </c>
      <c r="G23" s="74" t="s">
        <v>2</v>
      </c>
      <c r="H23" s="35">
        <v>0</v>
      </c>
      <c r="I23" s="35">
        <v>100</v>
      </c>
      <c r="K23" s="18">
        <f t="shared" si="0"/>
        <v>0</v>
      </c>
      <c r="L23" s="18">
        <f t="shared" si="1"/>
        <v>100</v>
      </c>
    </row>
    <row r="24" spans="1:12" ht="45.75" thickBot="1">
      <c r="A24" s="64" t="s">
        <v>852</v>
      </c>
      <c r="B24" s="66" t="s">
        <v>861</v>
      </c>
      <c r="C24" s="65" t="s">
        <v>814</v>
      </c>
      <c r="D24" s="65" t="s">
        <v>776</v>
      </c>
      <c r="E24" s="67">
        <v>43999</v>
      </c>
      <c r="F24" s="68">
        <v>500</v>
      </c>
      <c r="G24" s="74" t="s">
        <v>2</v>
      </c>
      <c r="H24" s="35">
        <v>0</v>
      </c>
      <c r="I24" s="35">
        <v>100</v>
      </c>
      <c r="K24" s="18">
        <f t="shared" si="0"/>
        <v>0</v>
      </c>
      <c r="L24" s="18">
        <f t="shared" si="1"/>
        <v>100</v>
      </c>
    </row>
    <row r="25" spans="1:12" ht="45.75" thickBot="1">
      <c r="A25" s="64" t="s">
        <v>852</v>
      </c>
      <c r="B25" s="66" t="s">
        <v>861</v>
      </c>
      <c r="C25" s="65" t="s">
        <v>814</v>
      </c>
      <c r="D25" s="65" t="s">
        <v>776</v>
      </c>
      <c r="E25" s="67">
        <v>43999</v>
      </c>
      <c r="F25" s="68">
        <v>1000</v>
      </c>
      <c r="G25" s="74" t="s">
        <v>2</v>
      </c>
      <c r="H25" s="35">
        <v>0</v>
      </c>
      <c r="I25" s="35">
        <v>100</v>
      </c>
      <c r="K25" s="18">
        <f t="shared" si="0"/>
        <v>0</v>
      </c>
      <c r="L25" s="18">
        <f t="shared" si="1"/>
        <v>100</v>
      </c>
    </row>
    <row r="26" spans="1:12" ht="30.75" thickBot="1">
      <c r="A26" s="64" t="s">
        <v>852</v>
      </c>
      <c r="B26" s="66" t="s">
        <v>858</v>
      </c>
      <c r="C26" s="65" t="s">
        <v>814</v>
      </c>
      <c r="D26" s="65" t="s">
        <v>776</v>
      </c>
      <c r="E26" s="67">
        <v>44071</v>
      </c>
      <c r="F26" s="68">
        <v>1000</v>
      </c>
      <c r="G26" s="74" t="s">
        <v>2</v>
      </c>
      <c r="H26" s="35">
        <v>0</v>
      </c>
      <c r="I26" s="35">
        <v>100</v>
      </c>
      <c r="K26" s="18">
        <f t="shared" si="0"/>
        <v>0</v>
      </c>
      <c r="L26" s="18">
        <f t="shared" si="1"/>
        <v>100</v>
      </c>
    </row>
    <row r="27" spans="1:12" ht="30.75" thickBot="1">
      <c r="A27" s="64" t="s">
        <v>852</v>
      </c>
      <c r="B27" s="66" t="s">
        <v>858</v>
      </c>
      <c r="C27" s="65" t="s">
        <v>814</v>
      </c>
      <c r="D27" s="65" t="s">
        <v>776</v>
      </c>
      <c r="E27" s="67">
        <v>44029</v>
      </c>
      <c r="F27" s="68">
        <v>1000</v>
      </c>
      <c r="G27" s="74" t="s">
        <v>2</v>
      </c>
      <c r="H27" s="35">
        <v>0</v>
      </c>
      <c r="I27" s="35">
        <v>100</v>
      </c>
      <c r="K27" s="18">
        <f t="shared" si="0"/>
        <v>0</v>
      </c>
      <c r="L27" s="18">
        <f t="shared" si="1"/>
        <v>100</v>
      </c>
    </row>
    <row r="28" spans="1:12" ht="45.75" thickBot="1">
      <c r="A28" s="64" t="s">
        <v>852</v>
      </c>
      <c r="B28" s="66" t="s">
        <v>845</v>
      </c>
      <c r="C28" s="65" t="s">
        <v>814</v>
      </c>
      <c r="D28" s="65" t="s">
        <v>776</v>
      </c>
      <c r="E28" s="67">
        <v>44118</v>
      </c>
      <c r="F28" s="68">
        <v>1000</v>
      </c>
      <c r="G28" s="74" t="s">
        <v>2</v>
      </c>
      <c r="H28" s="35">
        <v>0</v>
      </c>
      <c r="I28" s="35">
        <v>100</v>
      </c>
      <c r="K28" s="18">
        <f t="shared" si="0"/>
        <v>0</v>
      </c>
      <c r="L28" s="18">
        <f t="shared" si="1"/>
        <v>100</v>
      </c>
    </row>
    <row r="29" spans="1:12" ht="45.75" thickBot="1">
      <c r="A29" s="64" t="s">
        <v>852</v>
      </c>
      <c r="B29" s="66" t="s">
        <v>773</v>
      </c>
      <c r="C29" s="65" t="s">
        <v>774</v>
      </c>
      <c r="D29" s="65" t="s">
        <v>776</v>
      </c>
      <c r="E29" s="67">
        <v>44196</v>
      </c>
      <c r="F29" s="68">
        <v>208.33</v>
      </c>
      <c r="G29" s="74" t="s">
        <v>2</v>
      </c>
      <c r="H29">
        <v>1150000</v>
      </c>
      <c r="I29" s="2">
        <v>2180000</v>
      </c>
      <c r="K29" s="18">
        <f t="shared" si="0"/>
        <v>34.534534534534536</v>
      </c>
      <c r="L29" s="18">
        <f t="shared" si="1"/>
        <v>65.465465465465471</v>
      </c>
    </row>
    <row r="30" spans="1:12" ht="45.75" thickBot="1">
      <c r="A30" s="64" t="s">
        <v>852</v>
      </c>
      <c r="B30" s="66" t="s">
        <v>773</v>
      </c>
      <c r="C30" s="65" t="s">
        <v>774</v>
      </c>
      <c r="D30" s="65" t="s">
        <v>776</v>
      </c>
      <c r="E30" s="67">
        <v>44180</v>
      </c>
      <c r="F30" s="68">
        <v>208.33</v>
      </c>
      <c r="G30" s="74" t="s">
        <v>2</v>
      </c>
      <c r="H30">
        <v>1150000</v>
      </c>
      <c r="I30" s="2">
        <v>2180000</v>
      </c>
      <c r="K30" s="18">
        <f t="shared" si="0"/>
        <v>34.534534534534536</v>
      </c>
      <c r="L30" s="18">
        <f t="shared" si="1"/>
        <v>65.465465465465471</v>
      </c>
    </row>
    <row r="31" spans="1:12" ht="45.75" thickBot="1">
      <c r="A31" s="64" t="s">
        <v>852</v>
      </c>
      <c r="B31" s="66" t="s">
        <v>773</v>
      </c>
      <c r="C31" s="65" t="s">
        <v>774</v>
      </c>
      <c r="D31" s="65" t="s">
        <v>776</v>
      </c>
      <c r="E31" s="67">
        <v>44165</v>
      </c>
      <c r="F31" s="68">
        <v>208.33</v>
      </c>
      <c r="G31" s="74" t="s">
        <v>2</v>
      </c>
      <c r="H31">
        <v>1150000</v>
      </c>
      <c r="I31" s="2">
        <v>2180000</v>
      </c>
      <c r="K31" s="18">
        <f t="shared" si="0"/>
        <v>34.534534534534536</v>
      </c>
      <c r="L31" s="18">
        <f t="shared" si="1"/>
        <v>65.465465465465471</v>
      </c>
    </row>
    <row r="32" spans="1:12" ht="45.75" thickBot="1">
      <c r="A32" s="64" t="s">
        <v>852</v>
      </c>
      <c r="B32" s="66" t="s">
        <v>773</v>
      </c>
      <c r="C32" s="65" t="s">
        <v>774</v>
      </c>
      <c r="D32" s="65" t="s">
        <v>776</v>
      </c>
      <c r="E32" s="67">
        <v>44148</v>
      </c>
      <c r="F32" s="68">
        <v>208.33</v>
      </c>
      <c r="G32" s="74" t="s">
        <v>2</v>
      </c>
      <c r="H32">
        <v>1150000</v>
      </c>
      <c r="I32" s="2">
        <v>2180000</v>
      </c>
      <c r="K32" s="18">
        <f t="shared" si="0"/>
        <v>34.534534534534536</v>
      </c>
      <c r="L32" s="18">
        <f t="shared" si="1"/>
        <v>65.465465465465471</v>
      </c>
    </row>
    <row r="33" spans="1:12" ht="45.75" thickBot="1">
      <c r="A33" s="64" t="s">
        <v>852</v>
      </c>
      <c r="B33" s="66" t="s">
        <v>773</v>
      </c>
      <c r="C33" s="65" t="s">
        <v>774</v>
      </c>
      <c r="D33" s="65" t="s">
        <v>776</v>
      </c>
      <c r="E33" s="67">
        <v>44134</v>
      </c>
      <c r="F33" s="68">
        <v>208.33</v>
      </c>
      <c r="G33" s="74" t="s">
        <v>2</v>
      </c>
      <c r="H33">
        <v>1150000</v>
      </c>
      <c r="I33" s="2">
        <v>2180000</v>
      </c>
      <c r="K33" s="18">
        <f t="shared" si="0"/>
        <v>34.534534534534536</v>
      </c>
      <c r="L33" s="18">
        <f t="shared" si="1"/>
        <v>65.465465465465471</v>
      </c>
    </row>
    <row r="34" spans="1:12" ht="45.75" thickBot="1">
      <c r="A34" s="64" t="s">
        <v>852</v>
      </c>
      <c r="B34" s="66" t="s">
        <v>773</v>
      </c>
      <c r="C34" s="65" t="s">
        <v>774</v>
      </c>
      <c r="D34" s="65" t="s">
        <v>776</v>
      </c>
      <c r="E34" s="67">
        <v>44119</v>
      </c>
      <c r="F34" s="68">
        <v>208.33</v>
      </c>
      <c r="G34" s="74" t="s">
        <v>2</v>
      </c>
      <c r="H34">
        <v>1150000</v>
      </c>
      <c r="I34" s="2">
        <v>2180000</v>
      </c>
      <c r="K34" s="18">
        <f t="shared" ref="K34:K65" si="2">(+H34/(H34+I34))*100</f>
        <v>34.534534534534536</v>
      </c>
      <c r="L34" s="18">
        <f t="shared" ref="L34:L65" si="3">(+I34/(H34+I34))*100</f>
        <v>65.465465465465471</v>
      </c>
    </row>
    <row r="35" spans="1:12" ht="45.75" thickBot="1">
      <c r="A35" s="64" t="s">
        <v>852</v>
      </c>
      <c r="B35" s="66" t="s">
        <v>773</v>
      </c>
      <c r="C35" s="65" t="s">
        <v>774</v>
      </c>
      <c r="D35" s="65" t="s">
        <v>776</v>
      </c>
      <c r="E35" s="67">
        <v>44104</v>
      </c>
      <c r="F35" s="68">
        <v>208.33</v>
      </c>
      <c r="G35" s="74" t="s">
        <v>2</v>
      </c>
      <c r="H35">
        <v>1150000</v>
      </c>
      <c r="I35" s="2">
        <v>2180000</v>
      </c>
      <c r="K35" s="18">
        <f t="shared" si="2"/>
        <v>34.534534534534536</v>
      </c>
      <c r="L35" s="18">
        <f t="shared" si="3"/>
        <v>65.465465465465471</v>
      </c>
    </row>
    <row r="36" spans="1:12" ht="45.75" thickBot="1">
      <c r="A36" s="64" t="s">
        <v>852</v>
      </c>
      <c r="B36" s="66" t="s">
        <v>773</v>
      </c>
      <c r="C36" s="65" t="s">
        <v>774</v>
      </c>
      <c r="D36" s="65" t="s">
        <v>776</v>
      </c>
      <c r="E36" s="67">
        <v>44089</v>
      </c>
      <c r="F36" s="68">
        <v>208.33</v>
      </c>
      <c r="G36" s="74" t="s">
        <v>2</v>
      </c>
      <c r="H36">
        <v>1150000</v>
      </c>
      <c r="I36" s="2">
        <v>2180000</v>
      </c>
      <c r="K36" s="18">
        <f t="shared" si="2"/>
        <v>34.534534534534536</v>
      </c>
      <c r="L36" s="18">
        <f t="shared" si="3"/>
        <v>65.465465465465471</v>
      </c>
    </row>
    <row r="37" spans="1:12" ht="45.75" thickBot="1">
      <c r="A37" s="64" t="s">
        <v>852</v>
      </c>
      <c r="B37" s="66" t="s">
        <v>773</v>
      </c>
      <c r="C37" s="65" t="s">
        <v>774</v>
      </c>
      <c r="D37" s="65" t="s">
        <v>776</v>
      </c>
      <c r="E37" s="67">
        <v>44074</v>
      </c>
      <c r="F37" s="68">
        <v>208.33</v>
      </c>
      <c r="G37" s="74" t="s">
        <v>2</v>
      </c>
      <c r="H37">
        <v>1150000</v>
      </c>
      <c r="I37" s="2">
        <v>2180000</v>
      </c>
      <c r="K37" s="18">
        <f t="shared" si="2"/>
        <v>34.534534534534536</v>
      </c>
      <c r="L37" s="18">
        <f t="shared" si="3"/>
        <v>65.465465465465471</v>
      </c>
    </row>
    <row r="38" spans="1:12" ht="45.75" thickBot="1">
      <c r="A38" s="64" t="s">
        <v>852</v>
      </c>
      <c r="B38" s="66" t="s">
        <v>773</v>
      </c>
      <c r="C38" s="65" t="s">
        <v>774</v>
      </c>
      <c r="D38" s="65" t="s">
        <v>776</v>
      </c>
      <c r="E38" s="67">
        <v>44057</v>
      </c>
      <c r="F38" s="68">
        <v>208.33</v>
      </c>
      <c r="G38" s="74" t="s">
        <v>2</v>
      </c>
      <c r="H38">
        <v>1150000</v>
      </c>
      <c r="I38" s="2">
        <v>2180000</v>
      </c>
      <c r="K38" s="18">
        <f t="shared" si="2"/>
        <v>34.534534534534536</v>
      </c>
      <c r="L38" s="18">
        <f t="shared" si="3"/>
        <v>65.465465465465471</v>
      </c>
    </row>
    <row r="39" spans="1:12" ht="45.75" thickBot="1">
      <c r="A39" s="64" t="s">
        <v>852</v>
      </c>
      <c r="B39" s="66" t="s">
        <v>773</v>
      </c>
      <c r="C39" s="65" t="s">
        <v>774</v>
      </c>
      <c r="D39" s="65" t="s">
        <v>776</v>
      </c>
      <c r="E39" s="67">
        <v>44043</v>
      </c>
      <c r="F39" s="68">
        <v>208.33</v>
      </c>
      <c r="G39" s="74" t="s">
        <v>2</v>
      </c>
      <c r="H39">
        <v>1150000</v>
      </c>
      <c r="I39" s="2">
        <v>2180000</v>
      </c>
      <c r="K39" s="18">
        <f t="shared" si="2"/>
        <v>34.534534534534536</v>
      </c>
      <c r="L39" s="18">
        <f t="shared" si="3"/>
        <v>65.465465465465471</v>
      </c>
    </row>
    <row r="40" spans="1:12" ht="45.75" thickBot="1">
      <c r="A40" s="64" t="s">
        <v>852</v>
      </c>
      <c r="B40" s="66" t="s">
        <v>773</v>
      </c>
      <c r="C40" s="65" t="s">
        <v>774</v>
      </c>
      <c r="D40" s="65" t="s">
        <v>776</v>
      </c>
      <c r="E40" s="67">
        <v>44027</v>
      </c>
      <c r="F40" s="68">
        <v>208.33</v>
      </c>
      <c r="G40" s="74" t="s">
        <v>2</v>
      </c>
      <c r="H40">
        <v>1150000</v>
      </c>
      <c r="I40" s="2">
        <v>2180000</v>
      </c>
      <c r="K40" s="18">
        <f t="shared" si="2"/>
        <v>34.534534534534536</v>
      </c>
      <c r="L40" s="18">
        <f t="shared" si="3"/>
        <v>65.465465465465471</v>
      </c>
    </row>
    <row r="41" spans="1:12" ht="45.75" thickBot="1">
      <c r="A41" s="64" t="s">
        <v>852</v>
      </c>
      <c r="B41" s="66" t="s">
        <v>773</v>
      </c>
      <c r="C41" s="65" t="s">
        <v>774</v>
      </c>
      <c r="D41" s="65" t="s">
        <v>776</v>
      </c>
      <c r="E41" s="67">
        <v>44012</v>
      </c>
      <c r="F41" s="68">
        <v>208.33</v>
      </c>
      <c r="G41" s="74" t="s">
        <v>2</v>
      </c>
      <c r="H41">
        <v>1150000</v>
      </c>
      <c r="I41" s="2">
        <v>2180000</v>
      </c>
      <c r="K41" s="18">
        <f t="shared" si="2"/>
        <v>34.534534534534536</v>
      </c>
      <c r="L41" s="18">
        <f t="shared" si="3"/>
        <v>65.465465465465471</v>
      </c>
    </row>
    <row r="42" spans="1:12" ht="45.75" thickBot="1">
      <c r="A42" s="64" t="s">
        <v>852</v>
      </c>
      <c r="B42" s="66" t="s">
        <v>773</v>
      </c>
      <c r="C42" s="65" t="s">
        <v>774</v>
      </c>
      <c r="D42" s="65" t="s">
        <v>776</v>
      </c>
      <c r="E42" s="67">
        <v>43997</v>
      </c>
      <c r="F42" s="68">
        <v>208.33</v>
      </c>
      <c r="G42" s="74" t="s">
        <v>2</v>
      </c>
      <c r="H42">
        <v>1150000</v>
      </c>
      <c r="I42" s="2">
        <v>2180000</v>
      </c>
      <c r="K42" s="18">
        <f t="shared" si="2"/>
        <v>34.534534534534536</v>
      </c>
      <c r="L42" s="18">
        <f t="shared" si="3"/>
        <v>65.465465465465471</v>
      </c>
    </row>
    <row r="43" spans="1:12" ht="45.75" thickBot="1">
      <c r="A43" s="64" t="s">
        <v>852</v>
      </c>
      <c r="B43" s="66" t="s">
        <v>773</v>
      </c>
      <c r="C43" s="65" t="s">
        <v>774</v>
      </c>
      <c r="D43" s="65" t="s">
        <v>776</v>
      </c>
      <c r="E43" s="67">
        <v>43980</v>
      </c>
      <c r="F43" s="68">
        <v>208.33</v>
      </c>
      <c r="G43" s="74" t="s">
        <v>2</v>
      </c>
      <c r="H43">
        <v>1150000</v>
      </c>
      <c r="I43" s="2">
        <v>2180000</v>
      </c>
      <c r="K43" s="18">
        <f t="shared" si="2"/>
        <v>34.534534534534536</v>
      </c>
      <c r="L43" s="18">
        <f t="shared" si="3"/>
        <v>65.465465465465471</v>
      </c>
    </row>
    <row r="44" spans="1:12" ht="45.75" thickBot="1">
      <c r="A44" s="64" t="s">
        <v>852</v>
      </c>
      <c r="B44" s="66" t="s">
        <v>773</v>
      </c>
      <c r="C44" s="65" t="s">
        <v>774</v>
      </c>
      <c r="D44" s="65" t="s">
        <v>776</v>
      </c>
      <c r="E44" s="67">
        <v>43966</v>
      </c>
      <c r="F44" s="68">
        <v>208.33</v>
      </c>
      <c r="G44" s="74" t="s">
        <v>2</v>
      </c>
      <c r="H44">
        <v>1150000</v>
      </c>
      <c r="I44" s="2">
        <v>2180000</v>
      </c>
      <c r="K44" s="18">
        <f t="shared" si="2"/>
        <v>34.534534534534536</v>
      </c>
      <c r="L44" s="18">
        <f t="shared" si="3"/>
        <v>65.465465465465471</v>
      </c>
    </row>
    <row r="45" spans="1:12" ht="45.75" thickBot="1">
      <c r="A45" s="64" t="s">
        <v>852</v>
      </c>
      <c r="B45" s="66" t="s">
        <v>773</v>
      </c>
      <c r="C45" s="65" t="s">
        <v>774</v>
      </c>
      <c r="D45" s="65" t="s">
        <v>776</v>
      </c>
      <c r="E45" s="67">
        <v>43951</v>
      </c>
      <c r="F45" s="68">
        <v>208.33</v>
      </c>
      <c r="G45" s="74" t="s">
        <v>2</v>
      </c>
      <c r="H45">
        <v>1150000</v>
      </c>
      <c r="I45" s="2">
        <v>2180000</v>
      </c>
      <c r="K45" s="18">
        <f t="shared" si="2"/>
        <v>34.534534534534536</v>
      </c>
      <c r="L45" s="18">
        <f t="shared" si="3"/>
        <v>65.465465465465471</v>
      </c>
    </row>
    <row r="46" spans="1:12" ht="45.75" thickBot="1">
      <c r="A46" s="64" t="s">
        <v>852</v>
      </c>
      <c r="B46" s="66" t="s">
        <v>773</v>
      </c>
      <c r="C46" s="65" t="s">
        <v>774</v>
      </c>
      <c r="D46" s="65" t="s">
        <v>776</v>
      </c>
      <c r="E46" s="67">
        <v>43936</v>
      </c>
      <c r="F46" s="68">
        <v>208.33</v>
      </c>
      <c r="G46" s="74" t="s">
        <v>2</v>
      </c>
      <c r="H46">
        <v>1150000</v>
      </c>
      <c r="I46" s="2">
        <v>2180000</v>
      </c>
      <c r="K46" s="18">
        <f t="shared" si="2"/>
        <v>34.534534534534536</v>
      </c>
      <c r="L46" s="18">
        <f t="shared" si="3"/>
        <v>65.465465465465471</v>
      </c>
    </row>
    <row r="47" spans="1:12" ht="45.75" thickBot="1">
      <c r="A47" s="64" t="s">
        <v>852</v>
      </c>
      <c r="B47" s="66" t="s">
        <v>773</v>
      </c>
      <c r="C47" s="65" t="s">
        <v>774</v>
      </c>
      <c r="D47" s="65" t="s">
        <v>776</v>
      </c>
      <c r="E47" s="67">
        <v>43921</v>
      </c>
      <c r="F47" s="68">
        <v>208.33</v>
      </c>
      <c r="G47" s="74" t="s">
        <v>2</v>
      </c>
      <c r="H47">
        <v>1150000</v>
      </c>
      <c r="I47" s="2">
        <v>2180000</v>
      </c>
      <c r="K47" s="18">
        <f t="shared" si="2"/>
        <v>34.534534534534536</v>
      </c>
      <c r="L47" s="18">
        <f t="shared" si="3"/>
        <v>65.465465465465471</v>
      </c>
    </row>
    <row r="48" spans="1:12" ht="45.75" thickBot="1">
      <c r="A48" s="64" t="s">
        <v>852</v>
      </c>
      <c r="B48" s="66" t="s">
        <v>773</v>
      </c>
      <c r="C48" s="65" t="s">
        <v>774</v>
      </c>
      <c r="D48" s="65" t="s">
        <v>776</v>
      </c>
      <c r="E48" s="67">
        <v>43903</v>
      </c>
      <c r="F48" s="68">
        <v>208.33</v>
      </c>
      <c r="G48" s="74" t="s">
        <v>2</v>
      </c>
      <c r="H48">
        <v>1150000</v>
      </c>
      <c r="I48" s="2">
        <v>2180000</v>
      </c>
      <c r="K48" s="18">
        <f t="shared" si="2"/>
        <v>34.534534534534536</v>
      </c>
      <c r="L48" s="18">
        <f t="shared" si="3"/>
        <v>65.465465465465471</v>
      </c>
    </row>
    <row r="49" spans="1:12" ht="45.75" thickBot="1">
      <c r="A49" s="64" t="s">
        <v>852</v>
      </c>
      <c r="B49" s="66" t="s">
        <v>773</v>
      </c>
      <c r="C49" s="65" t="s">
        <v>774</v>
      </c>
      <c r="D49" s="65" t="s">
        <v>776</v>
      </c>
      <c r="E49" s="67">
        <v>43889</v>
      </c>
      <c r="F49" s="68">
        <v>208.33</v>
      </c>
      <c r="G49" s="74" t="s">
        <v>2</v>
      </c>
      <c r="H49">
        <v>1150000</v>
      </c>
      <c r="I49" s="2">
        <v>2180000</v>
      </c>
      <c r="K49" s="18">
        <f t="shared" si="2"/>
        <v>34.534534534534536</v>
      </c>
      <c r="L49" s="18">
        <f t="shared" si="3"/>
        <v>65.465465465465471</v>
      </c>
    </row>
    <row r="50" spans="1:12" ht="45.75" thickBot="1">
      <c r="A50" s="64" t="s">
        <v>852</v>
      </c>
      <c r="B50" s="66" t="s">
        <v>773</v>
      </c>
      <c r="C50" s="65" t="s">
        <v>774</v>
      </c>
      <c r="D50" s="65" t="s">
        <v>776</v>
      </c>
      <c r="E50" s="67">
        <v>43875</v>
      </c>
      <c r="F50" s="68">
        <v>208.33</v>
      </c>
      <c r="G50" s="74" t="s">
        <v>2</v>
      </c>
      <c r="H50">
        <v>1150000</v>
      </c>
      <c r="I50" s="2">
        <v>2180000</v>
      </c>
      <c r="K50" s="18">
        <f t="shared" si="2"/>
        <v>34.534534534534536</v>
      </c>
      <c r="L50" s="18">
        <f t="shared" si="3"/>
        <v>65.465465465465471</v>
      </c>
    </row>
    <row r="51" spans="1:12" ht="45.75" thickBot="1">
      <c r="A51" s="64" t="s">
        <v>852</v>
      </c>
      <c r="B51" s="66" t="s">
        <v>773</v>
      </c>
      <c r="C51" s="65" t="s">
        <v>774</v>
      </c>
      <c r="D51" s="65" t="s">
        <v>776</v>
      </c>
      <c r="E51" s="67">
        <v>43861</v>
      </c>
      <c r="F51" s="68">
        <v>208.33</v>
      </c>
      <c r="G51" s="74" t="s">
        <v>2</v>
      </c>
      <c r="H51">
        <v>1150000</v>
      </c>
      <c r="I51" s="2">
        <v>2180000</v>
      </c>
      <c r="K51" s="18">
        <f t="shared" si="2"/>
        <v>34.534534534534536</v>
      </c>
      <c r="L51" s="18">
        <f t="shared" si="3"/>
        <v>65.465465465465471</v>
      </c>
    </row>
    <row r="52" spans="1:12" ht="45.75" thickBot="1">
      <c r="A52" s="64" t="s">
        <v>852</v>
      </c>
      <c r="B52" s="66" t="s">
        <v>773</v>
      </c>
      <c r="C52" s="65" t="s">
        <v>774</v>
      </c>
      <c r="D52" s="65" t="s">
        <v>776</v>
      </c>
      <c r="E52" s="67">
        <v>43845</v>
      </c>
      <c r="F52" s="68">
        <v>208.33</v>
      </c>
      <c r="G52" s="74" t="s">
        <v>2</v>
      </c>
      <c r="H52">
        <v>1150000</v>
      </c>
      <c r="I52" s="2">
        <v>2180000</v>
      </c>
      <c r="K52" s="18">
        <f t="shared" si="2"/>
        <v>34.534534534534536</v>
      </c>
      <c r="L52" s="18">
        <f t="shared" si="3"/>
        <v>65.465465465465471</v>
      </c>
    </row>
    <row r="53" spans="1:12" ht="45.75" thickBot="1">
      <c r="A53" s="64" t="s">
        <v>852</v>
      </c>
      <c r="B53" s="66" t="s">
        <v>773</v>
      </c>
      <c r="C53" s="65" t="s">
        <v>814</v>
      </c>
      <c r="D53" s="65" t="s">
        <v>776</v>
      </c>
      <c r="E53" s="67">
        <v>43830</v>
      </c>
      <c r="F53" s="68">
        <v>208.33</v>
      </c>
      <c r="G53" s="74" t="s">
        <v>2</v>
      </c>
      <c r="H53">
        <v>1150000</v>
      </c>
      <c r="I53" s="2">
        <v>2180000</v>
      </c>
      <c r="K53" s="18">
        <f t="shared" si="2"/>
        <v>34.534534534534536</v>
      </c>
      <c r="L53" s="18">
        <f t="shared" si="3"/>
        <v>65.465465465465471</v>
      </c>
    </row>
    <row r="54" spans="1:12" ht="45.75" thickBot="1">
      <c r="A54" s="64" t="s">
        <v>852</v>
      </c>
      <c r="B54" s="66" t="s">
        <v>773</v>
      </c>
      <c r="C54" s="65" t="s">
        <v>814</v>
      </c>
      <c r="D54" s="65" t="s">
        <v>776</v>
      </c>
      <c r="E54" s="67">
        <v>43812</v>
      </c>
      <c r="F54" s="68">
        <v>208.33</v>
      </c>
      <c r="G54" s="74" t="s">
        <v>2</v>
      </c>
      <c r="H54">
        <v>1150000</v>
      </c>
      <c r="I54" s="2">
        <v>2180000</v>
      </c>
      <c r="K54" s="18">
        <f t="shared" si="2"/>
        <v>34.534534534534536</v>
      </c>
      <c r="L54" s="18">
        <f t="shared" si="3"/>
        <v>65.465465465465471</v>
      </c>
    </row>
    <row r="55" spans="1:12" ht="45.75" thickBot="1">
      <c r="A55" s="64" t="s">
        <v>852</v>
      </c>
      <c r="B55" s="66" t="s">
        <v>773</v>
      </c>
      <c r="C55" s="65" t="s">
        <v>814</v>
      </c>
      <c r="D55" s="65" t="s">
        <v>776</v>
      </c>
      <c r="E55" s="67">
        <v>43798</v>
      </c>
      <c r="F55" s="68">
        <v>208.33</v>
      </c>
      <c r="G55" s="74" t="s">
        <v>2</v>
      </c>
      <c r="H55">
        <v>1150000</v>
      </c>
      <c r="I55" s="2">
        <v>2180000</v>
      </c>
      <c r="K55" s="18">
        <f t="shared" si="2"/>
        <v>34.534534534534536</v>
      </c>
      <c r="L55" s="18">
        <f t="shared" si="3"/>
        <v>65.465465465465471</v>
      </c>
    </row>
    <row r="56" spans="1:12" ht="45.75" thickBot="1">
      <c r="A56" s="64" t="s">
        <v>852</v>
      </c>
      <c r="B56" s="66" t="s">
        <v>773</v>
      </c>
      <c r="C56" s="65" t="s">
        <v>814</v>
      </c>
      <c r="D56" s="65" t="s">
        <v>776</v>
      </c>
      <c r="E56" s="67">
        <v>43784</v>
      </c>
      <c r="F56" s="68">
        <v>208.33</v>
      </c>
      <c r="G56" s="74" t="s">
        <v>2</v>
      </c>
      <c r="H56">
        <v>1150000</v>
      </c>
      <c r="I56" s="2">
        <v>2180000</v>
      </c>
      <c r="K56" s="18">
        <f t="shared" si="2"/>
        <v>34.534534534534536</v>
      </c>
      <c r="L56" s="18">
        <f t="shared" si="3"/>
        <v>65.465465465465471</v>
      </c>
    </row>
    <row r="57" spans="1:12" ht="45.75" thickBot="1">
      <c r="A57" s="64" t="s">
        <v>852</v>
      </c>
      <c r="B57" s="66" t="s">
        <v>773</v>
      </c>
      <c r="C57" s="65" t="s">
        <v>814</v>
      </c>
      <c r="D57" s="65" t="s">
        <v>776</v>
      </c>
      <c r="E57" s="67">
        <v>43769</v>
      </c>
      <c r="F57" s="68">
        <v>208.33</v>
      </c>
      <c r="G57" s="74" t="s">
        <v>2</v>
      </c>
      <c r="H57">
        <v>1150000</v>
      </c>
      <c r="I57" s="2">
        <v>2180000</v>
      </c>
      <c r="K57" s="18">
        <f t="shared" si="2"/>
        <v>34.534534534534536</v>
      </c>
      <c r="L57" s="18">
        <f t="shared" si="3"/>
        <v>65.465465465465471</v>
      </c>
    </row>
    <row r="58" spans="1:12" ht="45.75" thickBot="1">
      <c r="A58" s="64" t="s">
        <v>852</v>
      </c>
      <c r="B58" s="66" t="s">
        <v>773</v>
      </c>
      <c r="C58" s="65" t="s">
        <v>814</v>
      </c>
      <c r="D58" s="65" t="s">
        <v>776</v>
      </c>
      <c r="E58" s="67">
        <v>43753</v>
      </c>
      <c r="F58" s="68">
        <v>208.33</v>
      </c>
      <c r="G58" s="74" t="s">
        <v>2</v>
      </c>
      <c r="H58">
        <v>1150000</v>
      </c>
      <c r="I58" s="2">
        <v>2180000</v>
      </c>
      <c r="K58" s="18">
        <f t="shared" si="2"/>
        <v>34.534534534534536</v>
      </c>
      <c r="L58" s="18">
        <f t="shared" si="3"/>
        <v>65.465465465465471</v>
      </c>
    </row>
    <row r="59" spans="1:12" ht="45.75" thickBot="1">
      <c r="A59" s="64" t="s">
        <v>852</v>
      </c>
      <c r="B59" s="66" t="s">
        <v>773</v>
      </c>
      <c r="C59" s="65" t="s">
        <v>814</v>
      </c>
      <c r="D59" s="65" t="s">
        <v>776</v>
      </c>
      <c r="E59" s="67">
        <v>43738</v>
      </c>
      <c r="F59" s="68">
        <v>208.33</v>
      </c>
      <c r="G59" s="74" t="s">
        <v>2</v>
      </c>
      <c r="H59">
        <v>1150000</v>
      </c>
      <c r="I59" s="2">
        <v>2180000</v>
      </c>
      <c r="K59" s="18">
        <f t="shared" si="2"/>
        <v>34.534534534534536</v>
      </c>
      <c r="L59" s="18">
        <f t="shared" si="3"/>
        <v>65.465465465465471</v>
      </c>
    </row>
    <row r="60" spans="1:12" ht="45.75" thickBot="1">
      <c r="A60" s="64" t="s">
        <v>852</v>
      </c>
      <c r="B60" s="66" t="s">
        <v>773</v>
      </c>
      <c r="C60" s="65" t="s">
        <v>814</v>
      </c>
      <c r="D60" s="65" t="s">
        <v>776</v>
      </c>
      <c r="E60" s="67">
        <v>43721</v>
      </c>
      <c r="F60" s="68">
        <v>208.33</v>
      </c>
      <c r="G60" s="74" t="s">
        <v>2</v>
      </c>
      <c r="H60">
        <v>1150000</v>
      </c>
      <c r="I60" s="2">
        <v>2180000</v>
      </c>
      <c r="K60" s="18">
        <f t="shared" si="2"/>
        <v>34.534534534534536</v>
      </c>
      <c r="L60" s="18">
        <f t="shared" si="3"/>
        <v>65.465465465465471</v>
      </c>
    </row>
    <row r="61" spans="1:12" ht="45.75" thickBot="1">
      <c r="A61" s="64" t="s">
        <v>852</v>
      </c>
      <c r="B61" s="66" t="s">
        <v>773</v>
      </c>
      <c r="C61" s="65" t="s">
        <v>814</v>
      </c>
      <c r="D61" s="65" t="s">
        <v>776</v>
      </c>
      <c r="E61" s="67">
        <v>43707</v>
      </c>
      <c r="F61" s="68">
        <v>208.33</v>
      </c>
      <c r="G61" s="74" t="s">
        <v>2</v>
      </c>
      <c r="H61">
        <v>1150000</v>
      </c>
      <c r="I61" s="2">
        <v>2180000</v>
      </c>
      <c r="K61" s="18">
        <f t="shared" si="2"/>
        <v>34.534534534534536</v>
      </c>
      <c r="L61" s="18">
        <f t="shared" si="3"/>
        <v>65.465465465465471</v>
      </c>
    </row>
    <row r="62" spans="1:12" ht="45.75" thickBot="1">
      <c r="A62" s="64" t="s">
        <v>852</v>
      </c>
      <c r="B62" s="66" t="s">
        <v>773</v>
      </c>
      <c r="C62" s="65" t="s">
        <v>814</v>
      </c>
      <c r="D62" s="65" t="s">
        <v>776</v>
      </c>
      <c r="E62" s="67">
        <v>43692</v>
      </c>
      <c r="F62" s="68">
        <v>208.33</v>
      </c>
      <c r="G62" s="74" t="s">
        <v>2</v>
      </c>
      <c r="H62">
        <v>1150000</v>
      </c>
      <c r="I62" s="2">
        <v>2180000</v>
      </c>
      <c r="K62" s="18">
        <f t="shared" si="2"/>
        <v>34.534534534534536</v>
      </c>
      <c r="L62" s="18">
        <f t="shared" si="3"/>
        <v>65.465465465465471</v>
      </c>
    </row>
    <row r="63" spans="1:12" ht="45.75" thickBot="1">
      <c r="A63" s="64" t="s">
        <v>852</v>
      </c>
      <c r="B63" s="66" t="s">
        <v>773</v>
      </c>
      <c r="C63" s="65" t="s">
        <v>814</v>
      </c>
      <c r="D63" s="65" t="s">
        <v>776</v>
      </c>
      <c r="E63" s="67">
        <v>43677</v>
      </c>
      <c r="F63" s="68">
        <v>208.33</v>
      </c>
      <c r="G63" s="74" t="s">
        <v>2</v>
      </c>
      <c r="H63">
        <v>1150000</v>
      </c>
      <c r="I63" s="2">
        <v>2180000</v>
      </c>
      <c r="K63" s="18">
        <f t="shared" si="2"/>
        <v>34.534534534534536</v>
      </c>
      <c r="L63" s="18">
        <f t="shared" si="3"/>
        <v>65.465465465465471</v>
      </c>
    </row>
    <row r="64" spans="1:12" ht="45.75" thickBot="1">
      <c r="A64" s="64" t="s">
        <v>852</v>
      </c>
      <c r="B64" s="66" t="s">
        <v>773</v>
      </c>
      <c r="C64" s="65" t="s">
        <v>814</v>
      </c>
      <c r="D64" s="65" t="s">
        <v>776</v>
      </c>
      <c r="E64" s="67">
        <v>43661</v>
      </c>
      <c r="F64" s="68">
        <v>208.33</v>
      </c>
      <c r="G64" s="74" t="s">
        <v>2</v>
      </c>
      <c r="H64">
        <v>1150000</v>
      </c>
      <c r="I64" s="2">
        <v>2180000</v>
      </c>
      <c r="K64" s="18">
        <f t="shared" si="2"/>
        <v>34.534534534534536</v>
      </c>
      <c r="L64" s="18">
        <f t="shared" si="3"/>
        <v>65.465465465465471</v>
      </c>
    </row>
    <row r="65" spans="1:12" ht="45.75" thickBot="1">
      <c r="A65" s="64" t="s">
        <v>852</v>
      </c>
      <c r="B65" s="66" t="s">
        <v>773</v>
      </c>
      <c r="C65" s="65" t="s">
        <v>814</v>
      </c>
      <c r="D65" s="65" t="s">
        <v>776</v>
      </c>
      <c r="E65" s="67">
        <v>43644</v>
      </c>
      <c r="F65" s="68">
        <v>208.33</v>
      </c>
      <c r="G65" s="74" t="s">
        <v>2</v>
      </c>
      <c r="H65">
        <v>1150000</v>
      </c>
      <c r="I65" s="2">
        <v>2180000</v>
      </c>
      <c r="K65" s="18">
        <f t="shared" si="2"/>
        <v>34.534534534534536</v>
      </c>
      <c r="L65" s="18">
        <f t="shared" si="3"/>
        <v>65.465465465465471</v>
      </c>
    </row>
    <row r="66" spans="1:12" ht="45.75" thickBot="1">
      <c r="A66" s="64" t="s">
        <v>852</v>
      </c>
      <c r="B66" s="66" t="s">
        <v>773</v>
      </c>
      <c r="C66" s="65" t="s">
        <v>814</v>
      </c>
      <c r="D66" s="65" t="s">
        <v>776</v>
      </c>
      <c r="E66" s="67">
        <v>43630</v>
      </c>
      <c r="F66" s="68">
        <v>208.33</v>
      </c>
      <c r="G66" s="74" t="s">
        <v>2</v>
      </c>
      <c r="H66">
        <v>1150000</v>
      </c>
      <c r="I66" s="2">
        <v>2180000</v>
      </c>
      <c r="K66" s="18">
        <f t="shared" ref="K66:K97" si="4">(+H66/(H66+I66))*100</f>
        <v>34.534534534534536</v>
      </c>
      <c r="L66" s="18">
        <f t="shared" ref="L66:L97" si="5">(+I66/(H66+I66))*100</f>
        <v>65.465465465465471</v>
      </c>
    </row>
    <row r="67" spans="1:12" ht="45.75" thickBot="1">
      <c r="A67" s="64" t="s">
        <v>852</v>
      </c>
      <c r="B67" s="66" t="s">
        <v>773</v>
      </c>
      <c r="C67" s="65" t="s">
        <v>814</v>
      </c>
      <c r="D67" s="65" t="s">
        <v>776</v>
      </c>
      <c r="E67" s="67">
        <v>43616</v>
      </c>
      <c r="F67" s="68">
        <v>208.33</v>
      </c>
      <c r="G67" s="74" t="s">
        <v>2</v>
      </c>
      <c r="H67">
        <v>1150000</v>
      </c>
      <c r="I67" s="2">
        <v>2180000</v>
      </c>
      <c r="K67" s="18">
        <f t="shared" si="4"/>
        <v>34.534534534534536</v>
      </c>
      <c r="L67" s="18">
        <f t="shared" si="5"/>
        <v>65.465465465465471</v>
      </c>
    </row>
    <row r="68" spans="1:12" ht="45.75" thickBot="1">
      <c r="A68" s="64" t="s">
        <v>852</v>
      </c>
      <c r="B68" s="66" t="s">
        <v>773</v>
      </c>
      <c r="C68" s="65" t="s">
        <v>814</v>
      </c>
      <c r="D68" s="65" t="s">
        <v>776</v>
      </c>
      <c r="E68" s="67">
        <v>43600</v>
      </c>
      <c r="F68" s="68">
        <v>208.33</v>
      </c>
      <c r="G68" s="74" t="s">
        <v>2</v>
      </c>
      <c r="H68">
        <v>1150000</v>
      </c>
      <c r="I68" s="2">
        <v>2180000</v>
      </c>
      <c r="K68" s="18">
        <f t="shared" si="4"/>
        <v>34.534534534534536</v>
      </c>
      <c r="L68" s="18">
        <f t="shared" si="5"/>
        <v>65.465465465465471</v>
      </c>
    </row>
    <row r="69" spans="1:12" ht="45.75" thickBot="1">
      <c r="A69" s="64" t="s">
        <v>852</v>
      </c>
      <c r="B69" s="66" t="s">
        <v>773</v>
      </c>
      <c r="C69" s="65" t="s">
        <v>814</v>
      </c>
      <c r="D69" s="65" t="s">
        <v>776</v>
      </c>
      <c r="E69" s="67">
        <v>43585</v>
      </c>
      <c r="F69" s="68">
        <v>208.33</v>
      </c>
      <c r="G69" s="74" t="s">
        <v>2</v>
      </c>
      <c r="H69">
        <v>1150000</v>
      </c>
      <c r="I69" s="2">
        <v>2180000</v>
      </c>
      <c r="K69" s="18">
        <f t="shared" si="4"/>
        <v>34.534534534534536</v>
      </c>
      <c r="L69" s="18">
        <f t="shared" si="5"/>
        <v>65.465465465465471</v>
      </c>
    </row>
    <row r="70" spans="1:12" ht="45.75" thickBot="1">
      <c r="A70" s="64" t="s">
        <v>852</v>
      </c>
      <c r="B70" s="66" t="s">
        <v>773</v>
      </c>
      <c r="C70" s="65" t="s">
        <v>814</v>
      </c>
      <c r="D70" s="65" t="s">
        <v>776</v>
      </c>
      <c r="E70" s="67">
        <v>43570</v>
      </c>
      <c r="F70" s="68">
        <v>208.33</v>
      </c>
      <c r="G70" s="74" t="s">
        <v>2</v>
      </c>
      <c r="H70">
        <v>1150000</v>
      </c>
      <c r="I70" s="2">
        <v>2180000</v>
      </c>
      <c r="K70" s="18">
        <f t="shared" si="4"/>
        <v>34.534534534534536</v>
      </c>
      <c r="L70" s="18">
        <f t="shared" si="5"/>
        <v>65.465465465465471</v>
      </c>
    </row>
    <row r="71" spans="1:12" ht="45.75" thickBot="1">
      <c r="A71" s="64" t="s">
        <v>852</v>
      </c>
      <c r="B71" s="66" t="s">
        <v>773</v>
      </c>
      <c r="C71" s="65" t="s">
        <v>814</v>
      </c>
      <c r="D71" s="65" t="s">
        <v>776</v>
      </c>
      <c r="E71" s="67">
        <v>43553</v>
      </c>
      <c r="F71" s="68">
        <v>208.33</v>
      </c>
      <c r="G71" s="74" t="s">
        <v>2</v>
      </c>
      <c r="H71">
        <v>1150000</v>
      </c>
      <c r="I71" s="2">
        <v>2180000</v>
      </c>
      <c r="K71" s="18">
        <f t="shared" si="4"/>
        <v>34.534534534534536</v>
      </c>
      <c r="L71" s="18">
        <f t="shared" si="5"/>
        <v>65.465465465465471</v>
      </c>
    </row>
    <row r="72" spans="1:12" ht="45.75" thickBot="1">
      <c r="A72" s="64" t="s">
        <v>852</v>
      </c>
      <c r="B72" s="66" t="s">
        <v>773</v>
      </c>
      <c r="C72" s="65" t="s">
        <v>814</v>
      </c>
      <c r="D72" s="65" t="s">
        <v>776</v>
      </c>
      <c r="E72" s="67">
        <v>43539</v>
      </c>
      <c r="F72" s="68">
        <v>208.33</v>
      </c>
      <c r="G72" s="74" t="s">
        <v>2</v>
      </c>
      <c r="H72">
        <v>1150000</v>
      </c>
      <c r="I72" s="2">
        <v>2180000</v>
      </c>
      <c r="K72" s="18">
        <f t="shared" si="4"/>
        <v>34.534534534534536</v>
      </c>
      <c r="L72" s="18">
        <f t="shared" si="5"/>
        <v>65.465465465465471</v>
      </c>
    </row>
    <row r="73" spans="1:12" ht="45.75" thickBot="1">
      <c r="A73" s="64" t="s">
        <v>852</v>
      </c>
      <c r="B73" s="66" t="s">
        <v>773</v>
      </c>
      <c r="C73" s="65" t="s">
        <v>814</v>
      </c>
      <c r="D73" s="65" t="s">
        <v>776</v>
      </c>
      <c r="E73" s="67">
        <v>43524</v>
      </c>
      <c r="F73" s="68">
        <v>208.33</v>
      </c>
      <c r="G73" s="74" t="s">
        <v>2</v>
      </c>
      <c r="H73">
        <v>1150000</v>
      </c>
      <c r="I73" s="2">
        <v>2180000</v>
      </c>
      <c r="K73" s="18">
        <f t="shared" si="4"/>
        <v>34.534534534534536</v>
      </c>
      <c r="L73" s="18">
        <f t="shared" si="5"/>
        <v>65.465465465465471</v>
      </c>
    </row>
    <row r="74" spans="1:12" ht="45.75" thickBot="1">
      <c r="A74" s="64" t="s">
        <v>852</v>
      </c>
      <c r="B74" s="66" t="s">
        <v>773</v>
      </c>
      <c r="C74" s="65" t="s">
        <v>814</v>
      </c>
      <c r="D74" s="65" t="s">
        <v>776</v>
      </c>
      <c r="E74" s="67">
        <v>43511</v>
      </c>
      <c r="F74" s="68">
        <v>208.33</v>
      </c>
      <c r="G74" s="74" t="s">
        <v>2</v>
      </c>
      <c r="H74">
        <v>1150000</v>
      </c>
      <c r="I74" s="2">
        <v>2180000</v>
      </c>
      <c r="K74" s="18">
        <f t="shared" si="4"/>
        <v>34.534534534534536</v>
      </c>
      <c r="L74" s="18">
        <f t="shared" si="5"/>
        <v>65.465465465465471</v>
      </c>
    </row>
    <row r="75" spans="1:12" ht="45.75" thickBot="1">
      <c r="A75" s="64" t="s">
        <v>852</v>
      </c>
      <c r="B75" s="66" t="s">
        <v>773</v>
      </c>
      <c r="C75" s="65" t="s">
        <v>814</v>
      </c>
      <c r="D75" s="65" t="s">
        <v>776</v>
      </c>
      <c r="E75" s="67">
        <v>43483</v>
      </c>
      <c r="F75" s="68">
        <v>416.66</v>
      </c>
      <c r="G75" s="74" t="s">
        <v>2</v>
      </c>
      <c r="H75">
        <v>1150000</v>
      </c>
      <c r="I75" s="2">
        <v>2180000</v>
      </c>
      <c r="K75" s="18">
        <f t="shared" si="4"/>
        <v>34.534534534534536</v>
      </c>
      <c r="L75" s="18">
        <f t="shared" si="5"/>
        <v>65.465465465465471</v>
      </c>
    </row>
    <row r="76" spans="1:12" ht="90.75" thickBot="1">
      <c r="A76" s="64" t="s">
        <v>852</v>
      </c>
      <c r="B76" s="66" t="s">
        <v>862</v>
      </c>
      <c r="C76" s="65" t="s">
        <v>814</v>
      </c>
      <c r="D76" s="65" t="s">
        <v>776</v>
      </c>
      <c r="E76" s="67">
        <v>44029</v>
      </c>
      <c r="F76" s="68">
        <v>1000</v>
      </c>
      <c r="G76" s="74" t="s">
        <v>2</v>
      </c>
      <c r="H76" s="35">
        <v>0</v>
      </c>
      <c r="I76" s="35">
        <v>100</v>
      </c>
      <c r="K76" s="18">
        <f t="shared" si="4"/>
        <v>0</v>
      </c>
      <c r="L76" s="18">
        <f t="shared" si="5"/>
        <v>100</v>
      </c>
    </row>
    <row r="77" spans="1:12" ht="29.25" thickBot="1">
      <c r="A77" s="64" t="s">
        <v>852</v>
      </c>
      <c r="B77" s="66" t="s">
        <v>202</v>
      </c>
      <c r="C77" s="65" t="s">
        <v>814</v>
      </c>
      <c r="D77" s="65" t="s">
        <v>776</v>
      </c>
      <c r="E77" s="67">
        <v>44130</v>
      </c>
      <c r="F77" s="68">
        <v>2500</v>
      </c>
      <c r="G77" s="74" t="s">
        <v>2</v>
      </c>
      <c r="H77" s="35">
        <v>0</v>
      </c>
      <c r="I77" s="35">
        <v>100</v>
      </c>
      <c r="K77" s="18">
        <f t="shared" si="4"/>
        <v>0</v>
      </c>
      <c r="L77" s="18">
        <f t="shared" si="5"/>
        <v>100</v>
      </c>
    </row>
    <row r="78" spans="1:12" ht="29.25" thickBot="1">
      <c r="A78" s="64" t="s">
        <v>852</v>
      </c>
      <c r="B78" s="66" t="s">
        <v>202</v>
      </c>
      <c r="C78" s="65" t="s">
        <v>814</v>
      </c>
      <c r="D78" s="65" t="s">
        <v>776</v>
      </c>
      <c r="E78" s="67">
        <v>44054</v>
      </c>
      <c r="F78" s="68">
        <v>500</v>
      </c>
      <c r="G78" s="74" t="s">
        <v>2</v>
      </c>
      <c r="H78" s="35">
        <v>0</v>
      </c>
      <c r="I78" s="35">
        <v>100</v>
      </c>
      <c r="K78" s="18">
        <f t="shared" si="4"/>
        <v>0</v>
      </c>
      <c r="L78" s="18">
        <f t="shared" si="5"/>
        <v>100</v>
      </c>
    </row>
    <row r="79" spans="1:12" ht="29.25" thickBot="1">
      <c r="A79" s="64" t="s">
        <v>852</v>
      </c>
      <c r="B79" s="66" t="s">
        <v>202</v>
      </c>
      <c r="C79" s="65" t="s">
        <v>814</v>
      </c>
      <c r="D79" s="65" t="s">
        <v>776</v>
      </c>
      <c r="E79" s="67">
        <v>44029</v>
      </c>
      <c r="F79" s="68">
        <v>1000</v>
      </c>
      <c r="G79" s="74" t="s">
        <v>2</v>
      </c>
      <c r="H79" s="35">
        <v>0</v>
      </c>
      <c r="I79" s="35">
        <v>100</v>
      </c>
      <c r="K79" s="18">
        <f t="shared" si="4"/>
        <v>0</v>
      </c>
      <c r="L79" s="18">
        <f t="shared" si="5"/>
        <v>100</v>
      </c>
    </row>
    <row r="80" spans="1:12" ht="29.25" thickBot="1">
      <c r="A80" s="64" t="s">
        <v>852</v>
      </c>
      <c r="B80" s="66" t="s">
        <v>202</v>
      </c>
      <c r="C80" s="65" t="s">
        <v>814</v>
      </c>
      <c r="D80" s="65" t="s">
        <v>776</v>
      </c>
      <c r="E80" s="67">
        <v>43999</v>
      </c>
      <c r="F80" s="68">
        <v>250</v>
      </c>
      <c r="G80" s="74" t="s">
        <v>2</v>
      </c>
      <c r="H80" s="35">
        <v>0</v>
      </c>
      <c r="I80" s="35">
        <v>100</v>
      </c>
      <c r="K80" s="18">
        <f t="shared" si="4"/>
        <v>0</v>
      </c>
      <c r="L80" s="18">
        <f t="shared" si="5"/>
        <v>100</v>
      </c>
    </row>
    <row r="81" spans="1:12" ht="29.25" thickBot="1">
      <c r="A81" s="64" t="s">
        <v>852</v>
      </c>
      <c r="B81" s="66" t="s">
        <v>202</v>
      </c>
      <c r="C81" s="65" t="s">
        <v>814</v>
      </c>
      <c r="D81" s="65" t="s">
        <v>776</v>
      </c>
      <c r="E81" s="67">
        <v>43999</v>
      </c>
      <c r="F81" s="68">
        <v>375</v>
      </c>
      <c r="G81" s="74" t="s">
        <v>2</v>
      </c>
      <c r="H81" s="35">
        <v>0</v>
      </c>
      <c r="I81" s="35">
        <v>100</v>
      </c>
      <c r="K81" s="18">
        <f t="shared" si="4"/>
        <v>0</v>
      </c>
      <c r="L81" s="18">
        <f t="shared" si="5"/>
        <v>100</v>
      </c>
    </row>
    <row r="82" spans="1:12" ht="29.25" thickBot="1">
      <c r="A82" s="64" t="s">
        <v>852</v>
      </c>
      <c r="B82" s="66" t="s">
        <v>202</v>
      </c>
      <c r="C82" s="65" t="s">
        <v>814</v>
      </c>
      <c r="D82" s="65" t="s">
        <v>776</v>
      </c>
      <c r="E82" s="67">
        <v>43999</v>
      </c>
      <c r="F82" s="68">
        <v>500</v>
      </c>
      <c r="G82" s="74" t="s">
        <v>2</v>
      </c>
      <c r="H82" s="35">
        <v>0</v>
      </c>
      <c r="I82" s="35">
        <v>100</v>
      </c>
      <c r="K82" s="18">
        <f t="shared" si="4"/>
        <v>0</v>
      </c>
      <c r="L82" s="18">
        <f t="shared" si="5"/>
        <v>100</v>
      </c>
    </row>
    <row r="83" spans="1:12" ht="60.75" thickBot="1">
      <c r="A83" s="64" t="s">
        <v>852</v>
      </c>
      <c r="B83" s="66" t="s">
        <v>863</v>
      </c>
      <c r="C83" s="65" t="s">
        <v>814</v>
      </c>
      <c r="D83" s="65" t="s">
        <v>776</v>
      </c>
      <c r="E83" s="67">
        <v>44029</v>
      </c>
      <c r="F83" s="68">
        <v>1000</v>
      </c>
      <c r="G83" s="74" t="s">
        <v>2</v>
      </c>
      <c r="H83" s="35">
        <v>0</v>
      </c>
      <c r="I83" s="35">
        <v>100</v>
      </c>
      <c r="K83" s="18">
        <f t="shared" si="4"/>
        <v>0</v>
      </c>
      <c r="L83" s="18">
        <f t="shared" si="5"/>
        <v>100</v>
      </c>
    </row>
    <row r="84" spans="1:12" ht="60.75" thickBot="1">
      <c r="A84" s="64" t="s">
        <v>852</v>
      </c>
      <c r="B84" s="66" t="s">
        <v>863</v>
      </c>
      <c r="C84" s="65" t="s">
        <v>814</v>
      </c>
      <c r="D84" s="65" t="s">
        <v>776</v>
      </c>
      <c r="E84" s="67">
        <v>43969</v>
      </c>
      <c r="F84" s="68">
        <v>1000</v>
      </c>
      <c r="G84" s="74" t="s">
        <v>2</v>
      </c>
      <c r="H84" s="35">
        <v>0</v>
      </c>
      <c r="I84" s="35">
        <v>100</v>
      </c>
      <c r="K84" s="18">
        <f t="shared" si="4"/>
        <v>0</v>
      </c>
      <c r="L84" s="18">
        <f t="shared" si="5"/>
        <v>100</v>
      </c>
    </row>
    <row r="85" spans="1:12" ht="60.75" thickBot="1">
      <c r="A85" s="64" t="s">
        <v>852</v>
      </c>
      <c r="B85" s="66" t="s">
        <v>863</v>
      </c>
      <c r="C85" s="65" t="s">
        <v>814</v>
      </c>
      <c r="D85" s="65" t="s">
        <v>776</v>
      </c>
      <c r="E85" s="67">
        <v>43936</v>
      </c>
      <c r="F85" s="68">
        <v>1000</v>
      </c>
      <c r="G85" s="74" t="s">
        <v>2</v>
      </c>
      <c r="H85" s="35">
        <v>0</v>
      </c>
      <c r="I85" s="35">
        <v>100</v>
      </c>
      <c r="K85" s="18">
        <f t="shared" si="4"/>
        <v>0</v>
      </c>
      <c r="L85" s="18">
        <f t="shared" si="5"/>
        <v>100</v>
      </c>
    </row>
    <row r="86" spans="1:12" ht="60.75" thickBot="1">
      <c r="A86" s="64" t="s">
        <v>852</v>
      </c>
      <c r="B86" s="66" t="s">
        <v>863</v>
      </c>
      <c r="C86" s="65" t="s">
        <v>814</v>
      </c>
      <c r="D86" s="65" t="s">
        <v>776</v>
      </c>
      <c r="E86" s="67">
        <v>43891</v>
      </c>
      <c r="F86" s="68">
        <v>1000</v>
      </c>
      <c r="G86" s="74" t="s">
        <v>2</v>
      </c>
      <c r="H86" s="35">
        <v>0</v>
      </c>
      <c r="I86" s="35">
        <v>100</v>
      </c>
      <c r="K86" s="18">
        <f t="shared" si="4"/>
        <v>0</v>
      </c>
      <c r="L86" s="18">
        <f t="shared" si="5"/>
        <v>100</v>
      </c>
    </row>
    <row r="87" spans="1:12" ht="75.75" thickBot="1">
      <c r="A87" s="64" t="s">
        <v>852</v>
      </c>
      <c r="B87" s="66" t="s">
        <v>857</v>
      </c>
      <c r="C87" s="65" t="s">
        <v>814</v>
      </c>
      <c r="D87" s="65" t="s">
        <v>776</v>
      </c>
      <c r="E87" s="67">
        <v>44082</v>
      </c>
      <c r="F87" s="68">
        <v>1800</v>
      </c>
      <c r="G87" s="74" t="s">
        <v>2</v>
      </c>
      <c r="H87" s="35">
        <v>0</v>
      </c>
      <c r="I87" s="35">
        <v>100</v>
      </c>
      <c r="K87" s="18">
        <f t="shared" si="4"/>
        <v>0</v>
      </c>
      <c r="L87" s="18">
        <f t="shared" si="5"/>
        <v>100</v>
      </c>
    </row>
    <row r="88" spans="1:12" ht="75.75" thickBot="1">
      <c r="A88" s="64" t="s">
        <v>852</v>
      </c>
      <c r="B88" s="66" t="s">
        <v>857</v>
      </c>
      <c r="C88" s="65" t="s">
        <v>814</v>
      </c>
      <c r="D88" s="65" t="s">
        <v>776</v>
      </c>
      <c r="E88" s="67">
        <v>44029</v>
      </c>
      <c r="F88" s="68">
        <v>1000</v>
      </c>
      <c r="G88" s="74" t="s">
        <v>2</v>
      </c>
      <c r="H88" s="35">
        <v>0</v>
      </c>
      <c r="I88" s="35">
        <v>100</v>
      </c>
      <c r="K88" s="18">
        <f t="shared" si="4"/>
        <v>0</v>
      </c>
      <c r="L88" s="18">
        <f t="shared" si="5"/>
        <v>100</v>
      </c>
    </row>
    <row r="89" spans="1:12" ht="60.75" thickBot="1">
      <c r="A89" s="64" t="s">
        <v>852</v>
      </c>
      <c r="B89" s="66" t="s">
        <v>36</v>
      </c>
      <c r="C89" s="65" t="s">
        <v>814</v>
      </c>
      <c r="D89" s="65" t="s">
        <v>776</v>
      </c>
      <c r="E89" s="67">
        <v>44071</v>
      </c>
      <c r="F89" s="68">
        <v>1000</v>
      </c>
      <c r="G89" s="74" t="s">
        <v>2</v>
      </c>
      <c r="H89" s="35">
        <v>0</v>
      </c>
      <c r="I89" s="35">
        <v>100</v>
      </c>
      <c r="K89" s="18">
        <f t="shared" si="4"/>
        <v>0</v>
      </c>
      <c r="L89" s="18">
        <f t="shared" si="5"/>
        <v>100</v>
      </c>
    </row>
    <row r="90" spans="1:12" ht="60.75" thickBot="1">
      <c r="A90" s="64" t="s">
        <v>852</v>
      </c>
      <c r="B90" s="66" t="s">
        <v>36</v>
      </c>
      <c r="C90" s="65" t="s">
        <v>814</v>
      </c>
      <c r="D90" s="65" t="s">
        <v>776</v>
      </c>
      <c r="E90" s="67">
        <v>44021</v>
      </c>
      <c r="F90" s="68">
        <v>500</v>
      </c>
      <c r="G90" s="74" t="s">
        <v>2</v>
      </c>
      <c r="H90" s="35">
        <v>0</v>
      </c>
      <c r="I90" s="35">
        <v>100</v>
      </c>
      <c r="K90" s="18">
        <f t="shared" si="4"/>
        <v>0</v>
      </c>
      <c r="L90" s="18">
        <f t="shared" si="5"/>
        <v>100</v>
      </c>
    </row>
    <row r="91" spans="1:12" ht="60.75" thickBot="1">
      <c r="A91" s="64" t="s">
        <v>852</v>
      </c>
      <c r="B91" s="66" t="s">
        <v>36</v>
      </c>
      <c r="C91" s="65" t="s">
        <v>814</v>
      </c>
      <c r="D91" s="65" t="s">
        <v>776</v>
      </c>
      <c r="E91" s="67">
        <v>43969</v>
      </c>
      <c r="F91" s="68">
        <v>250</v>
      </c>
      <c r="G91" s="74" t="s">
        <v>2</v>
      </c>
      <c r="H91" s="35">
        <v>0</v>
      </c>
      <c r="I91" s="35">
        <v>100</v>
      </c>
      <c r="K91" s="18">
        <f t="shared" si="4"/>
        <v>0</v>
      </c>
      <c r="L91" s="18">
        <f t="shared" si="5"/>
        <v>100</v>
      </c>
    </row>
    <row r="92" spans="1:12" ht="60.75" thickBot="1">
      <c r="A92" s="64" t="s">
        <v>852</v>
      </c>
      <c r="B92" s="66" t="s">
        <v>36</v>
      </c>
      <c r="C92" s="65" t="s">
        <v>814</v>
      </c>
      <c r="D92" s="65" t="s">
        <v>776</v>
      </c>
      <c r="E92" s="67">
        <v>43934</v>
      </c>
      <c r="F92" s="68">
        <v>250</v>
      </c>
      <c r="G92" s="74" t="s">
        <v>2</v>
      </c>
      <c r="H92" s="35">
        <v>0</v>
      </c>
      <c r="I92" s="35">
        <v>100</v>
      </c>
      <c r="K92" s="18">
        <f t="shared" si="4"/>
        <v>0</v>
      </c>
      <c r="L92" s="18">
        <f t="shared" si="5"/>
        <v>100</v>
      </c>
    </row>
    <row r="93" spans="1:12" ht="60.75" thickBot="1">
      <c r="A93" s="64" t="s">
        <v>852</v>
      </c>
      <c r="B93" s="66" t="s">
        <v>36</v>
      </c>
      <c r="C93" s="65" t="s">
        <v>814</v>
      </c>
      <c r="D93" s="65" t="s">
        <v>776</v>
      </c>
      <c r="E93" s="67">
        <v>43891</v>
      </c>
      <c r="F93" s="68">
        <v>500</v>
      </c>
      <c r="G93" s="74" t="s">
        <v>2</v>
      </c>
      <c r="H93" s="35">
        <v>0</v>
      </c>
      <c r="I93" s="35">
        <v>100</v>
      </c>
      <c r="K93" s="18">
        <f t="shared" si="4"/>
        <v>0</v>
      </c>
      <c r="L93" s="18">
        <f t="shared" si="5"/>
        <v>100</v>
      </c>
    </row>
    <row r="94" spans="1:12" ht="60.75" thickBot="1">
      <c r="A94" s="64" t="s">
        <v>852</v>
      </c>
      <c r="B94" s="66" t="s">
        <v>853</v>
      </c>
      <c r="C94" s="65" t="s">
        <v>814</v>
      </c>
      <c r="D94" s="65" t="s">
        <v>776</v>
      </c>
      <c r="E94" s="67">
        <v>44187</v>
      </c>
      <c r="F94" s="68">
        <v>1000</v>
      </c>
      <c r="G94" s="74" t="s">
        <v>2</v>
      </c>
      <c r="H94" s="35">
        <v>0</v>
      </c>
      <c r="I94" s="35">
        <v>100</v>
      </c>
      <c r="K94" s="18">
        <f t="shared" si="4"/>
        <v>0</v>
      </c>
      <c r="L94" s="18">
        <f t="shared" si="5"/>
        <v>100</v>
      </c>
    </row>
    <row r="95" spans="1:12" ht="60.75" thickBot="1">
      <c r="A95" s="64" t="s">
        <v>852</v>
      </c>
      <c r="B95" s="66" t="s">
        <v>853</v>
      </c>
      <c r="C95" s="65" t="s">
        <v>814</v>
      </c>
      <c r="D95" s="65" t="s">
        <v>776</v>
      </c>
      <c r="E95" s="67">
        <v>44071</v>
      </c>
      <c r="F95" s="68">
        <v>1000</v>
      </c>
      <c r="G95" s="74" t="s">
        <v>2</v>
      </c>
      <c r="H95" s="35">
        <v>0</v>
      </c>
      <c r="I95" s="35">
        <v>100</v>
      </c>
      <c r="K95" s="18">
        <f t="shared" si="4"/>
        <v>0</v>
      </c>
      <c r="L95" s="18">
        <f t="shared" si="5"/>
        <v>100</v>
      </c>
    </row>
    <row r="96" spans="1:12" ht="30.75" thickBot="1">
      <c r="A96" s="64" t="s">
        <v>852</v>
      </c>
      <c r="B96" s="66" t="s">
        <v>854</v>
      </c>
      <c r="C96" s="65" t="s">
        <v>814</v>
      </c>
      <c r="D96" s="65" t="s">
        <v>776</v>
      </c>
      <c r="E96" s="67">
        <v>44187</v>
      </c>
      <c r="F96" s="68">
        <v>500</v>
      </c>
      <c r="G96" s="74" t="s">
        <v>2</v>
      </c>
      <c r="H96" s="35">
        <v>0</v>
      </c>
      <c r="I96" s="35">
        <v>100</v>
      </c>
      <c r="K96" s="18">
        <f t="shared" si="4"/>
        <v>0</v>
      </c>
      <c r="L96" s="18">
        <f t="shared" si="5"/>
        <v>100</v>
      </c>
    </row>
    <row r="97" spans="1:12" ht="30.75" thickBot="1">
      <c r="A97" s="64" t="s">
        <v>852</v>
      </c>
      <c r="B97" s="66" t="s">
        <v>854</v>
      </c>
      <c r="C97" s="65" t="s">
        <v>814</v>
      </c>
      <c r="D97" s="65" t="s">
        <v>776</v>
      </c>
      <c r="E97" s="67">
        <v>44089</v>
      </c>
      <c r="F97" s="68">
        <v>1000</v>
      </c>
      <c r="G97" s="74" t="s">
        <v>2</v>
      </c>
      <c r="H97" s="35">
        <v>0</v>
      </c>
      <c r="I97" s="35">
        <v>100</v>
      </c>
      <c r="K97" s="18">
        <f t="shared" si="4"/>
        <v>0</v>
      </c>
      <c r="L97" s="18">
        <f t="shared" si="5"/>
        <v>100</v>
      </c>
    </row>
    <row r="98" spans="1:12" ht="30.75" thickBot="1">
      <c r="A98" s="64" t="s">
        <v>852</v>
      </c>
      <c r="B98" s="66" t="s">
        <v>859</v>
      </c>
      <c r="C98" s="65" t="s">
        <v>814</v>
      </c>
      <c r="D98" s="65" t="s">
        <v>776</v>
      </c>
      <c r="E98" s="67">
        <v>44071</v>
      </c>
      <c r="F98" s="68">
        <v>800</v>
      </c>
      <c r="G98" s="74" t="s">
        <v>2</v>
      </c>
      <c r="H98" s="35">
        <v>0</v>
      </c>
      <c r="I98" s="35">
        <v>100</v>
      </c>
      <c r="K98" s="18">
        <f t="shared" ref="K98:K113" si="6">(+H98/(H98+I98))*100</f>
        <v>0</v>
      </c>
      <c r="L98" s="18">
        <f t="shared" ref="L98:L113" si="7">(+I98/(H98+I98))*100</f>
        <v>100</v>
      </c>
    </row>
    <row r="99" spans="1:12" ht="30.75" thickBot="1">
      <c r="A99" s="64" t="s">
        <v>852</v>
      </c>
      <c r="B99" s="66" t="s">
        <v>859</v>
      </c>
      <c r="C99" s="65" t="s">
        <v>814</v>
      </c>
      <c r="D99" s="65" t="s">
        <v>776</v>
      </c>
      <c r="E99" s="67">
        <v>44029</v>
      </c>
      <c r="F99" s="68">
        <v>1000</v>
      </c>
      <c r="G99" s="74" t="s">
        <v>2</v>
      </c>
      <c r="H99" s="35">
        <v>0</v>
      </c>
      <c r="I99" s="35">
        <v>100</v>
      </c>
      <c r="K99" s="18">
        <f t="shared" si="6"/>
        <v>0</v>
      </c>
      <c r="L99" s="18">
        <f t="shared" si="7"/>
        <v>100</v>
      </c>
    </row>
    <row r="100" spans="1:12" ht="30.75" thickBot="1">
      <c r="A100" s="64" t="s">
        <v>852</v>
      </c>
      <c r="B100" s="66" t="s">
        <v>859</v>
      </c>
      <c r="C100" s="65" t="s">
        <v>814</v>
      </c>
      <c r="D100" s="65" t="s">
        <v>776</v>
      </c>
      <c r="E100" s="67">
        <v>44029</v>
      </c>
      <c r="F100" s="68">
        <v>1000</v>
      </c>
      <c r="G100" s="74" t="s">
        <v>2</v>
      </c>
      <c r="H100" s="35">
        <v>0</v>
      </c>
      <c r="I100" s="35">
        <v>100</v>
      </c>
      <c r="K100" s="18">
        <f t="shared" si="6"/>
        <v>0</v>
      </c>
      <c r="L100" s="18">
        <f t="shared" si="7"/>
        <v>100</v>
      </c>
    </row>
    <row r="101" spans="1:12" ht="60.75" thickBot="1">
      <c r="A101" s="64" t="s">
        <v>852</v>
      </c>
      <c r="B101" s="66" t="s">
        <v>860</v>
      </c>
      <c r="C101" s="65" t="s">
        <v>814</v>
      </c>
      <c r="D101" s="65" t="s">
        <v>776</v>
      </c>
      <c r="E101" s="67">
        <v>44071</v>
      </c>
      <c r="F101" s="68">
        <v>800</v>
      </c>
      <c r="G101" s="74" t="s">
        <v>2</v>
      </c>
      <c r="H101" s="35">
        <v>0</v>
      </c>
      <c r="I101" s="35">
        <v>100</v>
      </c>
      <c r="K101" s="18">
        <f t="shared" si="6"/>
        <v>0</v>
      </c>
      <c r="L101" s="18">
        <f t="shared" si="7"/>
        <v>100</v>
      </c>
    </row>
    <row r="102" spans="1:12" ht="60.75" thickBot="1">
      <c r="A102" s="64" t="s">
        <v>852</v>
      </c>
      <c r="B102" s="66" t="s">
        <v>860</v>
      </c>
      <c r="C102" s="65" t="s">
        <v>814</v>
      </c>
      <c r="D102" s="65" t="s">
        <v>776</v>
      </c>
      <c r="E102" s="67">
        <v>44029</v>
      </c>
      <c r="F102" s="68">
        <v>1000</v>
      </c>
      <c r="G102" s="74" t="s">
        <v>2</v>
      </c>
      <c r="H102" s="35">
        <v>0</v>
      </c>
      <c r="I102" s="35">
        <v>100</v>
      </c>
      <c r="K102" s="18">
        <f t="shared" si="6"/>
        <v>0</v>
      </c>
      <c r="L102" s="18">
        <f t="shared" si="7"/>
        <v>100</v>
      </c>
    </row>
    <row r="103" spans="1:12" ht="60.75" thickBot="1">
      <c r="A103" s="64" t="s">
        <v>852</v>
      </c>
      <c r="B103" s="66" t="s">
        <v>860</v>
      </c>
      <c r="C103" s="65" t="s">
        <v>814</v>
      </c>
      <c r="D103" s="65" t="s">
        <v>776</v>
      </c>
      <c r="E103" s="67">
        <v>44021</v>
      </c>
      <c r="F103" s="68">
        <v>1000</v>
      </c>
      <c r="G103" s="74" t="s">
        <v>2</v>
      </c>
      <c r="H103" s="35">
        <v>0</v>
      </c>
      <c r="I103" s="35">
        <v>100</v>
      </c>
      <c r="K103" s="18">
        <f t="shared" si="6"/>
        <v>0</v>
      </c>
      <c r="L103" s="18">
        <f t="shared" si="7"/>
        <v>100</v>
      </c>
    </row>
    <row r="104" spans="1:12" ht="60.75" thickBot="1">
      <c r="A104" s="64" t="s">
        <v>852</v>
      </c>
      <c r="B104" s="66" t="s">
        <v>833</v>
      </c>
      <c r="C104" s="65" t="s">
        <v>814</v>
      </c>
      <c r="D104" s="65" t="s">
        <v>776</v>
      </c>
      <c r="E104" s="67">
        <v>44021</v>
      </c>
      <c r="F104" s="68">
        <v>1000</v>
      </c>
      <c r="G104" s="74" t="s">
        <v>2</v>
      </c>
      <c r="H104" s="35">
        <v>0</v>
      </c>
      <c r="I104" s="35">
        <v>100</v>
      </c>
      <c r="K104" s="18">
        <f t="shared" si="6"/>
        <v>0</v>
      </c>
      <c r="L104" s="18">
        <f t="shared" si="7"/>
        <v>100</v>
      </c>
    </row>
    <row r="105" spans="1:12" ht="60.75" thickBot="1">
      <c r="A105" s="64" t="s">
        <v>852</v>
      </c>
      <c r="B105" s="66" t="s">
        <v>833</v>
      </c>
      <c r="C105" s="65" t="s">
        <v>814</v>
      </c>
      <c r="D105" s="65" t="s">
        <v>776</v>
      </c>
      <c r="E105" s="67">
        <v>43969</v>
      </c>
      <c r="F105" s="68">
        <v>1000</v>
      </c>
      <c r="G105" s="74" t="s">
        <v>2</v>
      </c>
      <c r="H105" s="35">
        <v>0</v>
      </c>
      <c r="I105" s="35">
        <v>100</v>
      </c>
      <c r="K105" s="18">
        <f t="shared" si="6"/>
        <v>0</v>
      </c>
      <c r="L105" s="18">
        <f t="shared" si="7"/>
        <v>100</v>
      </c>
    </row>
    <row r="106" spans="1:12" ht="60.75" thickBot="1">
      <c r="A106" s="64" t="s">
        <v>852</v>
      </c>
      <c r="B106" s="66" t="s">
        <v>833</v>
      </c>
      <c r="C106" s="65" t="s">
        <v>814</v>
      </c>
      <c r="D106" s="65" t="s">
        <v>776</v>
      </c>
      <c r="E106" s="67">
        <v>43939</v>
      </c>
      <c r="F106" s="68">
        <v>550</v>
      </c>
      <c r="G106" s="74" t="s">
        <v>2</v>
      </c>
      <c r="H106" s="35">
        <v>0</v>
      </c>
      <c r="I106" s="35">
        <v>100</v>
      </c>
      <c r="K106" s="18">
        <f t="shared" si="6"/>
        <v>0</v>
      </c>
      <c r="L106" s="18">
        <f t="shared" si="7"/>
        <v>100</v>
      </c>
    </row>
    <row r="107" spans="1:12" ht="45.75" thickBot="1">
      <c r="A107" s="64" t="s">
        <v>852</v>
      </c>
      <c r="B107" s="66" t="s">
        <v>817</v>
      </c>
      <c r="C107" s="65" t="s">
        <v>814</v>
      </c>
      <c r="D107" s="65" t="s">
        <v>776</v>
      </c>
      <c r="E107" s="67">
        <v>44071</v>
      </c>
      <c r="F107" s="68">
        <v>2800</v>
      </c>
      <c r="G107" s="74" t="s">
        <v>2</v>
      </c>
      <c r="H107" s="35">
        <v>0</v>
      </c>
      <c r="I107" s="35">
        <v>100</v>
      </c>
      <c r="K107" s="18">
        <f t="shared" si="6"/>
        <v>0</v>
      </c>
      <c r="L107" s="18">
        <f t="shared" si="7"/>
        <v>100</v>
      </c>
    </row>
    <row r="108" spans="1:12" ht="45.75" thickBot="1">
      <c r="A108" s="64" t="s">
        <v>852</v>
      </c>
      <c r="B108" s="66" t="s">
        <v>864</v>
      </c>
      <c r="C108" s="65" t="s">
        <v>814</v>
      </c>
      <c r="D108" s="65" t="s">
        <v>776</v>
      </c>
      <c r="E108" s="67">
        <v>44003</v>
      </c>
      <c r="F108" s="68">
        <v>500</v>
      </c>
      <c r="G108" s="74" t="s">
        <v>2</v>
      </c>
      <c r="H108" s="35">
        <v>0</v>
      </c>
      <c r="I108" s="35">
        <v>100</v>
      </c>
      <c r="K108" s="18">
        <f t="shared" si="6"/>
        <v>0</v>
      </c>
      <c r="L108" s="18">
        <f t="shared" si="7"/>
        <v>100</v>
      </c>
    </row>
    <row r="109" spans="1:12" ht="45.75" thickBot="1">
      <c r="A109" s="64" t="s">
        <v>852</v>
      </c>
      <c r="B109" s="66" t="s">
        <v>825</v>
      </c>
      <c r="C109" s="65" t="s">
        <v>814</v>
      </c>
      <c r="D109" s="65" t="s">
        <v>776</v>
      </c>
      <c r="E109" s="67">
        <v>43999</v>
      </c>
      <c r="F109" s="68">
        <v>250</v>
      </c>
      <c r="G109" s="74" t="s">
        <v>2</v>
      </c>
      <c r="H109" s="35">
        <v>0</v>
      </c>
      <c r="I109" s="35">
        <v>100</v>
      </c>
      <c r="K109" s="18">
        <f t="shared" si="6"/>
        <v>0</v>
      </c>
      <c r="L109" s="18">
        <f t="shared" si="7"/>
        <v>100</v>
      </c>
    </row>
    <row r="110" spans="1:12" ht="45.75" thickBot="1">
      <c r="A110" s="64" t="s">
        <v>852</v>
      </c>
      <c r="B110" s="66" t="s">
        <v>825</v>
      </c>
      <c r="C110" s="65" t="s">
        <v>814</v>
      </c>
      <c r="D110" s="65" t="s">
        <v>776</v>
      </c>
      <c r="E110" s="67">
        <v>43999</v>
      </c>
      <c r="F110" s="68">
        <v>375</v>
      </c>
      <c r="G110" s="74" t="s">
        <v>2</v>
      </c>
      <c r="H110" s="35">
        <v>0</v>
      </c>
      <c r="I110" s="35">
        <v>100</v>
      </c>
      <c r="K110" s="18">
        <f t="shared" si="6"/>
        <v>0</v>
      </c>
      <c r="L110" s="18">
        <f t="shared" si="7"/>
        <v>100</v>
      </c>
    </row>
    <row r="111" spans="1:12" ht="60.75" thickBot="1">
      <c r="A111" s="64" t="s">
        <v>852</v>
      </c>
      <c r="B111" s="66" t="s">
        <v>856</v>
      </c>
      <c r="C111" s="65" t="s">
        <v>814</v>
      </c>
      <c r="D111" s="65" t="s">
        <v>776</v>
      </c>
      <c r="E111" s="67">
        <v>44083</v>
      </c>
      <c r="F111" s="68">
        <v>800</v>
      </c>
      <c r="G111" s="74" t="s">
        <v>2</v>
      </c>
      <c r="H111" s="35">
        <v>0</v>
      </c>
      <c r="I111" s="35">
        <v>100</v>
      </c>
      <c r="K111" s="18">
        <f t="shared" si="6"/>
        <v>0</v>
      </c>
      <c r="L111" s="18">
        <f t="shared" si="7"/>
        <v>100</v>
      </c>
    </row>
    <row r="112" spans="1:12" ht="60.75" thickBot="1">
      <c r="A112" s="64" t="s">
        <v>852</v>
      </c>
      <c r="B112" s="66" t="s">
        <v>856</v>
      </c>
      <c r="C112" s="65" t="s">
        <v>814</v>
      </c>
      <c r="D112" s="65" t="s">
        <v>776</v>
      </c>
      <c r="E112" s="67">
        <v>44071</v>
      </c>
      <c r="F112" s="68">
        <v>1000</v>
      </c>
      <c r="G112" s="74" t="s">
        <v>2</v>
      </c>
      <c r="H112" s="35">
        <v>0</v>
      </c>
      <c r="I112" s="35">
        <v>100</v>
      </c>
      <c r="K112" s="18">
        <f t="shared" si="6"/>
        <v>0</v>
      </c>
      <c r="L112" s="18">
        <f t="shared" si="7"/>
        <v>100</v>
      </c>
    </row>
    <row r="113" spans="1:12" ht="60.75" thickBot="1">
      <c r="A113" s="64" t="s">
        <v>852</v>
      </c>
      <c r="B113" s="66" t="s">
        <v>856</v>
      </c>
      <c r="C113" s="65" t="s">
        <v>814</v>
      </c>
      <c r="D113" s="65" t="s">
        <v>776</v>
      </c>
      <c r="E113" s="67">
        <v>44029</v>
      </c>
      <c r="F113" s="68">
        <v>1000</v>
      </c>
      <c r="G113" s="74" t="s">
        <v>2</v>
      </c>
      <c r="H113" s="35">
        <v>0</v>
      </c>
      <c r="I113" s="35">
        <v>100</v>
      </c>
      <c r="K113" s="18">
        <f t="shared" si="6"/>
        <v>0</v>
      </c>
      <c r="L113" s="18">
        <f t="shared" si="7"/>
        <v>100</v>
      </c>
    </row>
    <row r="114" spans="1:12" ht="16.5" thickBot="1">
      <c r="A114" s="64"/>
      <c r="B114" s="66"/>
      <c r="C114" s="65"/>
      <c r="D114" s="65"/>
      <c r="E114" s="67"/>
      <c r="F114" s="68">
        <f>SUM(F2:F113)</f>
        <v>60524.840000000084</v>
      </c>
      <c r="G114" s="74"/>
      <c r="H114" s="35"/>
      <c r="I114" s="35"/>
      <c r="K114" s="18"/>
      <c r="L114" s="18"/>
    </row>
    <row r="115" spans="1:12" ht="16.5" thickBot="1">
      <c r="A115" s="64"/>
      <c r="B115" s="66"/>
      <c r="C115" s="65"/>
      <c r="D115" s="65"/>
      <c r="E115" s="67"/>
      <c r="F115" s="68"/>
      <c r="G115" s="74"/>
      <c r="H115" s="35"/>
      <c r="I115" s="35"/>
      <c r="K115" s="18"/>
      <c r="L115" s="18"/>
    </row>
    <row r="116" spans="1:12" ht="195.75" thickBot="1">
      <c r="A116" s="64" t="s">
        <v>852</v>
      </c>
      <c r="B116" s="66" t="s">
        <v>865</v>
      </c>
      <c r="C116" s="65" t="s">
        <v>774</v>
      </c>
      <c r="D116" s="65" t="s">
        <v>776</v>
      </c>
      <c r="E116" s="67">
        <v>43993</v>
      </c>
      <c r="F116" s="68">
        <v>5000</v>
      </c>
      <c r="G116" s="74" t="s">
        <v>1</v>
      </c>
      <c r="H116" s="35">
        <v>67090</v>
      </c>
      <c r="I116" s="35">
        <v>55500</v>
      </c>
      <c r="K116" s="18">
        <f>(+H116/(H116+I116))*100</f>
        <v>54.727139244636589</v>
      </c>
      <c r="L116" s="18">
        <f>(+I116/(H116+I116))*100</f>
        <v>45.272860755363411</v>
      </c>
    </row>
    <row r="117" spans="1:12">
      <c r="F117" s="82">
        <v>5000</v>
      </c>
    </row>
  </sheetData>
  <sortState xmlns:xlrd2="http://schemas.microsoft.com/office/spreadsheetml/2017/richdata2" ref="A2:P116">
    <sortCondition ref="G2:G116"/>
  </sortState>
  <hyperlinks>
    <hyperlink ref="B29" r:id="rId1" tooltip="CVS HEALTH PAC" display="https://www.fec.gov/data/committee/C00384818/" xr:uid="{775207CD-4E86-4A6D-AF94-FE8AD380AD68}"/>
    <hyperlink ref="B94" r:id="rId2" tooltip="JON OSSOFF FOR SENATE" display="https://www.fec.gov/data/committee/C00718866/" xr:uid="{AAAEA4FA-5373-433B-85DE-5CA79C3C8632}"/>
    <hyperlink ref="B96" r:id="rId3" tooltip="MEIDASTOUCH" display="https://www.fec.gov/data/committee/C00746073/" xr:uid="{33CDD6B6-B426-4FBA-85C0-30A3597515B4}"/>
    <hyperlink ref="B30" r:id="rId4" tooltip="CVS HEALTH PAC" display="https://www.fec.gov/data/committee/C00384818/" xr:uid="{58741899-8723-44A2-B6E3-A5484249842B}"/>
    <hyperlink ref="B31" r:id="rId5" tooltip="CVS HEALTH PAC" display="https://www.fec.gov/data/committee/C00384818/" xr:uid="{40E16D85-F10F-4C99-AC8B-0BE69318BAF0}"/>
    <hyperlink ref="B32" r:id="rId6" tooltip="CVS HEALTH PAC" display="https://www.fec.gov/data/committee/C00384818/" xr:uid="{057672E5-CB0B-414F-B97A-9CB9232A9B7E}"/>
    <hyperlink ref="B2" r:id="rId7" tooltip="314 ACTION FUND" display="https://www.fec.gov/data/committee/C00633248/" xr:uid="{64F0CC33-1FD1-45DC-ABEA-76FF4EF278A4}"/>
    <hyperlink ref="B33" r:id="rId8" tooltip="CVS HEALTH PAC" display="https://www.fec.gov/data/committee/C00384818/" xr:uid="{5CA4BAD3-CD42-4269-ADB2-CAAE25EA39BD}"/>
    <hyperlink ref="B77" r:id="rId9" tooltip="DSCC" display="https://www.fec.gov/data/committee/C00042366/" xr:uid="{CDB999BA-88C0-4B32-B8D6-8520D0B2B32F}"/>
    <hyperlink ref="B34" r:id="rId10" tooltip="CVS HEALTH PAC" display="https://www.fec.gov/data/committee/C00384818/" xr:uid="{B361B3D0-EFA0-486F-AEA2-8A5993665304}"/>
    <hyperlink ref="B15" r:id="rId11" tooltip="BIDEN FOR PRESIDENT" display="https://www.fec.gov/data/committee/C00703975/" xr:uid="{11E286D5-7CE8-4F5A-B019-638FD4BD397F}"/>
    <hyperlink ref="B28" r:id="rId12" tooltip="CICILLINE COMMITTEE" display="https://www.fec.gov/data/committee/C00476564/" xr:uid="{D4363FD6-067B-4F6C-92F3-EEB539746E06}"/>
    <hyperlink ref="B19" r:id="rId13" tooltip="BIDEN VICTORY FUND" display="https://www.fec.gov/data/committee/C00744946/" xr:uid="{EFB0988B-3A4C-450F-B41B-EC257D87A038}"/>
    <hyperlink ref="B3" r:id="rId14" tooltip="ACTBLUE" display="https://www.fec.gov/data/committee/C00401224/" xr:uid="{8C7ED0B4-FC64-4C4B-98CE-CBA827312405}"/>
    <hyperlink ref="B35" r:id="rId15" tooltip="CVS HEALTH PAC" display="https://www.fec.gov/data/committee/C00384818/" xr:uid="{814FF9E4-601A-4C37-B2C7-3D315F9C9B26}"/>
    <hyperlink ref="B36" r:id="rId16" tooltip="CVS HEALTH PAC" display="https://www.fec.gov/data/committee/C00384818/" xr:uid="{6AB3FB40-9AB2-4EBC-BCB3-0C9337CA8E78}"/>
    <hyperlink ref="B16" r:id="rId17" tooltip="BIDEN FOR PRESIDENT" display="https://www.fec.gov/data/committee/C00703975/" xr:uid="{AAD243A2-C52C-4612-99DC-529E2643F41F}"/>
    <hyperlink ref="B20" r:id="rId18" tooltip="BIDEN VICTORY FUND" display="https://www.fec.gov/data/committee/C00744946/" xr:uid="{7FF1C387-092B-40D9-B6E6-AABFAF8A7241}"/>
    <hyperlink ref="B4" r:id="rId19" tooltip="ACTBLUE" display="https://www.fec.gov/data/committee/C00401224/" xr:uid="{9F5864F7-DA5D-4F82-BFF6-5B5786591A41}"/>
    <hyperlink ref="B97" r:id="rId20" tooltip="MEIDASTOUCH" display="https://www.fec.gov/data/committee/C00746073/" xr:uid="{161F0BAC-A6CF-4AF4-82E4-283D429322FF}"/>
    <hyperlink ref="B111" r:id="rId21" tooltip="THERESA GREENFIELD FOR IOWA" display="https://www.fec.gov/data/committee/C00708164/" xr:uid="{A64659F4-82D2-4F26-9C6B-241E504F8BCC}"/>
    <hyperlink ref="B87" r:id="rId22" tooltip="HICKENLOOPER FOR COLORADO" display="https://www.fec.gov/data/committee/C00716720/" xr:uid="{8F3DC840-1CB2-4060-BAB1-913C9B72C124}"/>
    <hyperlink ref="B37" r:id="rId23" tooltip="CVS HEALTH PAC" display="https://www.fec.gov/data/committee/C00384818/" xr:uid="{85A2B236-A395-4EB6-A7AD-4230501B0727}"/>
    <hyperlink ref="B17" r:id="rId24" tooltip="BIDEN FOR PRESIDENT" display="https://www.fec.gov/data/committee/C00703975/" xr:uid="{BC1A07AA-B59F-4860-826D-DF28F1066DBA}"/>
    <hyperlink ref="B107" r:id="rId25" tooltip="SHAHEEN FOR SENATE" display="https://www.fec.gov/data/committee/C00457325/" xr:uid="{5E624182-6317-41DF-9476-4AB16EF365C7}"/>
    <hyperlink ref="B26" r:id="rId26" tooltip="CAL FOR NC" display="https://www.fec.gov/data/committee/C00709410/" xr:uid="{E387E623-0E4E-40B9-8CD0-376CB8474B70}"/>
    <hyperlink ref="B95" r:id="rId27" tooltip="JON OSSOFF FOR SENATE" display="https://www.fec.gov/data/committee/C00718866/" xr:uid="{FC27DE58-4D4A-432D-A8CA-FE2CC0F0F589}"/>
    <hyperlink ref="B89" r:id="rId28" tooltip="JAIME HARRISON FOR US SENATE" display="https://www.fec.gov/data/committee/C00696153/" xr:uid="{DAD9C149-743D-4594-9141-AC9A44EBB9C6}"/>
    <hyperlink ref="B98" r:id="rId29" tooltip="MJ FOR TEXAS" display="https://www.fec.gov/data/committee/C00649350/" xr:uid="{99140EC4-CAA5-488D-ADFA-B30D0F39633C}"/>
    <hyperlink ref="B112" r:id="rId30" tooltip="THERESA GREENFIELD FOR IOWA" display="https://www.fec.gov/data/committee/C00708164/" xr:uid="{0AFF5D3B-DA8A-445F-9E86-09741842937C}"/>
    <hyperlink ref="B101" r:id="rId31" tooltip="MONTANANS FOR BULLOCK" display="https://www.fec.gov/data/committee/C00741611/" xr:uid="{71718C2D-72B8-4141-9AF0-1DC5D4342699}"/>
    <hyperlink ref="B22" r:id="rId32" tooltip="BOLLIER FOR KANSAS" display="https://www.fec.gov/data/committee/C00723122/" xr:uid="{83BFBDDC-7214-428F-B768-93D6361CDF4E}"/>
    <hyperlink ref="B21" r:id="rId33" tooltip="BIDEN VICTORY FUND" display="https://www.fec.gov/data/committee/C00744946/" xr:uid="{48C9B30F-5573-4061-B34A-C7A1CE2617CC}"/>
    <hyperlink ref="B38" r:id="rId34" tooltip="CVS HEALTH PAC" display="https://www.fec.gov/data/committee/C00384818/" xr:uid="{A33215C4-70AF-4697-B633-A04D62A8FFA9}"/>
    <hyperlink ref="B78" r:id="rId35" tooltip="DSCC" display="https://www.fec.gov/data/committee/C00042366/" xr:uid="{2FF8D6AD-89FB-4FDD-BA52-666059E5F09C}"/>
    <hyperlink ref="B39" r:id="rId36" tooltip="CVS HEALTH PAC" display="https://www.fec.gov/data/committee/C00384818/" xr:uid="{935685DC-204C-4B68-AA4E-50F2668BF508}"/>
    <hyperlink ref="B27" r:id="rId37" tooltip="CAL FOR NC" display="https://www.fec.gov/data/committee/C00709410/" xr:uid="{70450691-E4C9-4A22-9B5F-F875BCE86259}"/>
    <hyperlink ref="B99" r:id="rId38" tooltip="MJ FOR TEXAS" display="https://www.fec.gov/data/committee/C00649350/" xr:uid="{025DAC52-11D7-43B8-8826-C66DB3E615EC}"/>
    <hyperlink ref="B100" r:id="rId39" tooltip="MJ FOR TEXAS" display="https://www.fec.gov/data/committee/C00649350/" xr:uid="{3E2C2E53-BF0A-4D95-BBC9-C55C46885DF4}"/>
    <hyperlink ref="B76" r:id="rId40" tooltip="DOUG JONES FOR SENATE COMMITTEE" display="https://www.fec.gov/data/committee/C00640623/" xr:uid="{ADDB8FA9-6E03-40DB-BAF0-D92D94FB75FB}"/>
    <hyperlink ref="B113" r:id="rId41" tooltip="THERESA GREENFIELD FOR IOWA" display="https://www.fec.gov/data/committee/C00708164/" xr:uid="{59E2B1AC-4E31-4FE1-BB81-FB292AC1E6E5}"/>
    <hyperlink ref="B79" r:id="rId42" tooltip="DSCC" display="https://www.fec.gov/data/committee/C00042366/" xr:uid="{E6F04ACA-F9E3-4B4C-823F-6A4092D9D9FE}"/>
    <hyperlink ref="B83" r:id="rId43" tooltip="FLIPPABLE (FEDERAL)" display="https://www.fec.gov/data/committee/C00632091/" xr:uid="{CF6C4A4B-F717-4E7E-96DD-83792C887D4C}"/>
    <hyperlink ref="B5" r:id="rId44" tooltip="ACTBLUE" display="https://www.fec.gov/data/committee/C00401224/" xr:uid="{4455C15A-3B9C-4A0C-88C9-330C056085D6}"/>
    <hyperlink ref="B18" r:id="rId45" tooltip="BIDEN FOR PRESIDENT" display="https://www.fec.gov/data/committee/C00703975/" xr:uid="{D50BCB25-9F93-42ED-8679-94C828D87A1E}"/>
    <hyperlink ref="B102" r:id="rId46" tooltip="MONTANANS FOR BULLOCK" display="https://www.fec.gov/data/committee/C00741611/" xr:uid="{56A5348C-E1CA-47D8-943F-D6D521207317}"/>
    <hyperlink ref="B23" r:id="rId47" tooltip="BOLLIER FOR KANSAS" display="https://www.fec.gov/data/committee/C00723122/" xr:uid="{7A25A9F6-91FC-41E8-BB3D-30ACCA581A89}"/>
    <hyperlink ref="B88" r:id="rId48" tooltip="HICKENLOOPER FOR COLORADO" display="https://www.fec.gov/data/committee/C00716720/" xr:uid="{D2BBDACA-4AEF-4292-AB61-B5935D668623}"/>
    <hyperlink ref="B40" r:id="rId49" tooltip="CVS HEALTH PAC" display="https://www.fec.gov/data/committee/C00384818/" xr:uid="{AD550CEC-E821-4EED-A96B-8283E16B875A}"/>
    <hyperlink ref="B90" r:id="rId50" tooltip="JAIME HARRISON FOR US SENATE" display="https://www.fec.gov/data/committee/C00696153/" xr:uid="{F52E2132-90AB-460A-BFE0-DDDBC0F05401}"/>
    <hyperlink ref="B103" r:id="rId51" tooltip="MONTANANS FOR BULLOCK" display="https://www.fec.gov/data/committee/C00741611/" xr:uid="{1BFD34E7-002A-46B4-BBEA-094573616295}"/>
    <hyperlink ref="B104" r:id="rId52" tooltip="SARA GIDEON FOR MAINE" display="https://www.fec.gov/data/committee/C00709899/" xr:uid="{3F41A186-8ED4-4285-96CE-C302A0D10395}"/>
    <hyperlink ref="B41" r:id="rId53" tooltip="CVS HEALTH PAC" display="https://www.fec.gov/data/committee/C00384818/" xr:uid="{E45C613E-2C59-4BD0-93E4-C9880F8AD6D8}"/>
    <hyperlink ref="B108" r:id="rId54" tooltip="SINEMA FOR ARIZONA" display="https://www.fec.gov/data/committee/C00508804/" xr:uid="{1D84A0FF-CDE6-46B4-B110-9D3C5B7C453E}"/>
    <hyperlink ref="B6" r:id="rId55" tooltip="ACTBLUE" display="https://www.fec.gov/data/committee/C00401224/" xr:uid="{2181DCAC-3802-4356-A5D8-87C8BE32ECFF}"/>
    <hyperlink ref="B80" r:id="rId56" tooltip="DSCC" display="https://www.fec.gov/data/committee/C00042366/" xr:uid="{EBE05352-8C0F-405C-ADDF-B4A2C132FF75}"/>
    <hyperlink ref="B81" r:id="rId57" tooltip="DSCC" display="https://www.fec.gov/data/committee/C00042366/" xr:uid="{EF985D5B-1CD3-4284-B5B0-CCF671217C33}"/>
    <hyperlink ref="B82" r:id="rId58" tooltip="DSCC" display="https://www.fec.gov/data/committee/C00042366/" xr:uid="{CD318398-7885-453F-BEF7-7CD66C37F510}"/>
    <hyperlink ref="B109" r:id="rId59" tooltip="THE REED COMMITTEE" display="https://www.fec.gov/data/committee/C00238907/" xr:uid="{554C537B-A095-4C06-BD61-D793001F8BC0}"/>
    <hyperlink ref="B110" r:id="rId60" tooltip="THE REED COMMITTEE" display="https://www.fec.gov/data/committee/C00238907/" xr:uid="{7CDD00AD-AF45-4643-8E33-35EF4292A041}"/>
    <hyperlink ref="B24" r:id="rId61" tooltip="BOLLIER FOR KANSAS" display="https://www.fec.gov/data/committee/C00723122/" xr:uid="{38345041-5E7D-4E14-AEF4-F0585662431C}"/>
    <hyperlink ref="B25" r:id="rId62" tooltip="BOLLIER FOR KANSAS" display="https://www.fec.gov/data/committee/C00723122/" xr:uid="{8F1AE270-D63D-4A51-91E0-28BE2BA6DA9B}"/>
    <hyperlink ref="B42" r:id="rId63" tooltip="CVS HEALTH PAC" display="https://www.fec.gov/data/committee/C00384818/" xr:uid="{550F8F4F-CFCA-4360-98B5-F04E414DBA3D}"/>
    <hyperlink ref="B116" r:id="rId64" tooltip="PHARMACEUTICAL CARE MANAGEMENT ASSOCIATION POLITICAL ACTION COMMITTEE (PCMA PAC)" display="https://www.fec.gov/data/committee/C00388819/" xr:uid="{62B51FBE-B38C-4D56-8FA0-74FDE2876455}"/>
    <hyperlink ref="B43" r:id="rId65" tooltip="CVS HEALTH PAC" display="https://www.fec.gov/data/committee/C00384818/" xr:uid="{4BF886FD-C040-4F22-BFC9-22822F93496D}"/>
    <hyperlink ref="B105" r:id="rId66" tooltip="SARA GIDEON FOR MAINE" display="https://www.fec.gov/data/committee/C00709899/" xr:uid="{08AF4C58-28E6-4D97-B982-CFED15DB9676}"/>
    <hyperlink ref="B84" r:id="rId67" tooltip="FLIPPABLE (FEDERAL)" display="https://www.fec.gov/data/committee/C00632091/" xr:uid="{F9643A1C-7ED4-4AAD-88F2-A1AE68372EB9}"/>
    <hyperlink ref="B7" r:id="rId68" tooltip="ACTBLUE" display="https://www.fec.gov/data/committee/C00401224/" xr:uid="{D7177B59-5A1D-4AD9-9E44-6C2D1597EC38}"/>
    <hyperlink ref="B8" r:id="rId69" tooltip="ACTBLUE" display="https://www.fec.gov/data/committee/C00401224/" xr:uid="{743B7F84-0C61-4AE5-BE27-F18B3C1C0583}"/>
    <hyperlink ref="B11" r:id="rId70" tooltip="AMY MCGRATH FOR SENATE, INC." display="https://www.fec.gov/data/committee/C00711549/" xr:uid="{9611BB81-B972-46EA-BA11-5D702F388EEE}"/>
    <hyperlink ref="B91" r:id="rId71" tooltip="JAIME HARRISON FOR US SENATE" display="https://www.fec.gov/data/committee/C00696153/" xr:uid="{299937B8-B408-4290-B6B7-32A09CDCD00D}"/>
    <hyperlink ref="B44" r:id="rId72" tooltip="CVS HEALTH PAC" display="https://www.fec.gov/data/committee/C00384818/" xr:uid="{EA34D710-AC72-4F6A-981C-D543AFC288C4}"/>
    <hyperlink ref="B45" r:id="rId73" tooltip="CVS HEALTH PAC" display="https://www.fec.gov/data/committee/C00384818/" xr:uid="{149095AB-A77C-438F-B74B-031EB9C3925B}"/>
    <hyperlink ref="B106" r:id="rId74" tooltip="SARA GIDEON FOR MAINE" display="https://www.fec.gov/data/committee/C00709899/" xr:uid="{D7F1784A-4E36-4795-B87E-B5AB09891911}"/>
    <hyperlink ref="B12" r:id="rId75" tooltip="AMY MCGRATH FOR SENATE, INC." display="https://www.fec.gov/data/committee/C00711549/" xr:uid="{4742EC2F-C4F9-4CEC-8395-3FAD125CA31D}"/>
    <hyperlink ref="B9" r:id="rId76" tooltip="ACTBLUE" display="https://www.fec.gov/data/committee/C00401224/" xr:uid="{41D5B591-78C5-41FE-90DC-80562B560D27}"/>
    <hyperlink ref="B85" r:id="rId77" tooltip="FLIPPABLE (FEDERAL)" display="https://www.fec.gov/data/committee/C00632091/" xr:uid="{308256B4-E240-45D7-8877-D024DD77BDFB}"/>
    <hyperlink ref="B46" r:id="rId78" tooltip="CVS HEALTH PAC" display="https://www.fec.gov/data/committee/C00384818/" xr:uid="{DE0C414D-921C-4E20-930C-FA5816F764E2}"/>
    <hyperlink ref="B13" r:id="rId79" tooltip="AMY MCGRATH FOR SENATE, INC." display="https://www.fec.gov/data/committee/C00711549/" xr:uid="{93F19622-61C8-4722-A561-F064E6BB010B}"/>
    <hyperlink ref="B92" r:id="rId80" tooltip="JAIME HARRISON FOR US SENATE" display="https://www.fec.gov/data/committee/C00696153/" xr:uid="{F86B0D8E-3AE7-45DD-9F73-291875D10FB8}"/>
    <hyperlink ref="B10" r:id="rId81" tooltip="ACTBLUE" display="https://www.fec.gov/data/committee/C00401224/" xr:uid="{82C86EE9-F1D1-4E97-921E-9470CBF0349A}"/>
    <hyperlink ref="B47" r:id="rId82" tooltip="CVS HEALTH PAC" display="https://www.fec.gov/data/committee/C00384818/" xr:uid="{2C096D11-49FF-4552-98DA-AEB0E0F1EA16}"/>
    <hyperlink ref="B48" r:id="rId83" tooltip="CVS HEALTH PAC" display="https://www.fec.gov/data/committee/C00384818/" xr:uid="{0744E0BC-182F-4868-8666-26FC512D4F5A}"/>
    <hyperlink ref="B14" r:id="rId84" tooltip="AMY MCGRATH FOR SENATE, INC." display="https://www.fec.gov/data/committee/C00711549/" xr:uid="{283007F6-F2BA-4B74-B850-59F32107C4D5}"/>
    <hyperlink ref="B93" r:id="rId85" tooltip="JAIME HARRISON FOR US SENATE" display="https://www.fec.gov/data/committee/C00696153/" xr:uid="{113AA2B9-EEB0-4456-8112-0DCE2824B3BC}"/>
    <hyperlink ref="B86" r:id="rId86" tooltip="FLIPPABLE (FEDERAL)" display="https://www.fec.gov/data/committee/C00632091/" xr:uid="{E77DC42A-3239-4DB2-AA9E-4B0B8BB600BC}"/>
    <hyperlink ref="B49" r:id="rId87" tooltip="CVS HEALTH PAC" display="https://www.fec.gov/data/committee/C00384818/" xr:uid="{4011D04D-B8AD-495D-8D64-1D74C39CD2B2}"/>
    <hyperlink ref="B50" r:id="rId88" tooltip="CVS HEALTH PAC" display="https://www.fec.gov/data/committee/C00384818/" xr:uid="{B9E4E6AB-C7EC-4191-A51A-87358045D282}"/>
    <hyperlink ref="B51" r:id="rId89" tooltip="CVS HEALTH PAC" display="https://www.fec.gov/data/committee/C00384818/" xr:uid="{A7CEBFA9-C85F-4DF5-835F-E50DE5F6FE88}"/>
    <hyperlink ref="B52" r:id="rId90" tooltip="CVS HEALTH PAC" display="https://www.fec.gov/data/committee/C00384818/" xr:uid="{D985A84B-DA64-423E-B4E3-E8499582D5C4}"/>
    <hyperlink ref="B53" r:id="rId91" tooltip="CVS HEALTH PAC" display="https://www.fec.gov/data/committee/C00384818/" xr:uid="{10511EF3-9825-435A-85AA-8810680171A4}"/>
    <hyperlink ref="B54" r:id="rId92" tooltip="CVS HEALTH PAC" display="https://www.fec.gov/data/committee/C00384818/" xr:uid="{9D363B3E-9F09-413A-8E2E-3D2B019236A3}"/>
    <hyperlink ref="B55" r:id="rId93" tooltip="CVS HEALTH PAC" display="https://www.fec.gov/data/committee/C00384818/" xr:uid="{166F8515-223E-4848-B37E-BEECFB3308B0}"/>
    <hyperlink ref="B56" r:id="rId94" tooltip="CVS HEALTH PAC" display="https://www.fec.gov/data/committee/C00384818/" xr:uid="{504A44E7-FD5A-42D7-87FD-24EA1AC8913B}"/>
    <hyperlink ref="B57" r:id="rId95" tooltip="CVS HEALTH PAC" display="https://www.fec.gov/data/committee/C00384818/" xr:uid="{15A7AF54-4072-4EC8-A5D7-806E9E6C99BC}"/>
    <hyperlink ref="B58" r:id="rId96" tooltip="CVS HEALTH PAC" display="https://www.fec.gov/data/committee/C00384818/" xr:uid="{DE6559C0-3CA6-4247-9BE4-8D75E26ABD40}"/>
    <hyperlink ref="B59" r:id="rId97" tooltip="CVS HEALTH PAC" display="https://www.fec.gov/data/committee/C00384818/" xr:uid="{6E776F86-CD2D-4BDA-9060-D6EAD44F87D7}"/>
    <hyperlink ref="B60" r:id="rId98" tooltip="CVS HEALTH PAC" display="https://www.fec.gov/data/committee/C00384818/" xr:uid="{53667816-336C-4D17-AC70-CB9BA07F23B9}"/>
    <hyperlink ref="B61" r:id="rId99" tooltip="CVS HEALTH PAC" display="https://www.fec.gov/data/committee/C00384818/" xr:uid="{287858AB-C586-4FF6-82B4-9DB6B6848E7A}"/>
    <hyperlink ref="B62" r:id="rId100" tooltip="CVS HEALTH PAC" display="https://www.fec.gov/data/committee/C00384818/" xr:uid="{054CE9BC-A1DB-46DD-93FE-969A287A638A}"/>
    <hyperlink ref="B63" r:id="rId101" tooltip="CVS HEALTH PAC" display="https://www.fec.gov/data/committee/C00384818/" xr:uid="{6048971D-2EFD-427A-9C46-B1EF4F73AC27}"/>
    <hyperlink ref="B64" r:id="rId102" tooltip="CVS HEALTH PAC" display="https://www.fec.gov/data/committee/C00384818/" xr:uid="{38B17379-0B2A-4A4B-BE01-1BBDFAC16A35}"/>
    <hyperlink ref="B65" r:id="rId103" tooltip="CVS HEALTH PAC" display="https://www.fec.gov/data/committee/C00384818/" xr:uid="{86292F7A-6891-4B2E-8F09-4098E002FFA4}"/>
    <hyperlink ref="B66" r:id="rId104" tooltip="CVS HEALTH PAC" display="https://www.fec.gov/data/committee/C00384818/" xr:uid="{5B761303-7B8F-4A98-87A2-D0783415B684}"/>
    <hyperlink ref="B67" r:id="rId105" tooltip="CVS HEALTH PAC" display="https://www.fec.gov/data/committee/C00384818/" xr:uid="{6EB2765D-1795-41ED-BBD5-A73647E0FFEB}"/>
    <hyperlink ref="B68" r:id="rId106" tooltip="CVS HEALTH PAC" display="https://www.fec.gov/data/committee/C00384818/" xr:uid="{53EDD045-CF42-4926-ABAF-645CBB792E61}"/>
    <hyperlink ref="B69" r:id="rId107" tooltip="CVS HEALTH PAC" display="https://www.fec.gov/data/committee/C00384818/" xr:uid="{4F14452D-6C11-4B8A-B118-8D9123B180FA}"/>
    <hyperlink ref="B70" r:id="rId108" tooltip="CVS HEALTH PAC" display="https://www.fec.gov/data/committee/C00384818/" xr:uid="{086A6EAF-D4ED-402F-9476-9C7197034207}"/>
    <hyperlink ref="B71" r:id="rId109" tooltip="CVS HEALTH PAC" display="https://www.fec.gov/data/committee/C00384818/" xr:uid="{D940C4CE-EE3C-4CBA-BC3C-6F1A9A750D93}"/>
    <hyperlink ref="B72" r:id="rId110" tooltip="CVS HEALTH PAC" display="https://www.fec.gov/data/committee/C00384818/" xr:uid="{65C157F2-132C-4677-A50F-256DED77A7CE}"/>
    <hyperlink ref="B73" r:id="rId111" tooltip="CVS HEALTH PAC" display="https://www.fec.gov/data/committee/C00384818/" xr:uid="{525BC586-A586-4A0A-901F-30D4ED1AC8C7}"/>
    <hyperlink ref="B74" r:id="rId112" tooltip="CVS HEALTH PAC" display="https://www.fec.gov/data/committee/C00384818/" xr:uid="{D83AFDB3-E64F-4FA2-B547-1D00DC05CFCE}"/>
    <hyperlink ref="B75" r:id="rId113" tooltip="CVS HEALTH PAC" display="https://www.fec.gov/data/committee/C00384818/" xr:uid="{FE13B855-1654-4476-AA05-69CEBD38FAF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54"/>
  <sheetViews>
    <sheetView topLeftCell="A2" workbookViewId="0">
      <selection activeCell="A2" sqref="A2"/>
    </sheetView>
  </sheetViews>
  <sheetFormatPr defaultRowHeight="15"/>
  <cols>
    <col min="6" max="6" width="13.5703125" customWidth="1"/>
  </cols>
  <sheetData>
    <row r="1" spans="1:16">
      <c r="A1" s="12" t="s">
        <v>16</v>
      </c>
      <c r="B1" s="12" t="s">
        <v>17</v>
      </c>
      <c r="C1" s="12" t="s">
        <v>11</v>
      </c>
      <c r="D1" s="12" t="s">
        <v>18</v>
      </c>
      <c r="E1" s="12" t="s">
        <v>19</v>
      </c>
      <c r="F1" s="12" t="s">
        <v>20</v>
      </c>
      <c r="G1" s="12" t="s">
        <v>24</v>
      </c>
      <c r="H1" s="12" t="s">
        <v>4</v>
      </c>
      <c r="I1" s="15" t="s">
        <v>6</v>
      </c>
      <c r="J1" s="12" t="s">
        <v>5</v>
      </c>
      <c r="K1" s="12" t="s">
        <v>13</v>
      </c>
      <c r="L1" s="12" t="s">
        <v>14</v>
      </c>
      <c r="M1" s="12" t="s">
        <v>25</v>
      </c>
      <c r="N1" s="12"/>
      <c r="O1" s="12"/>
      <c r="P1" s="12"/>
    </row>
    <row r="2" spans="1:16" ht="57.75" thickBot="1">
      <c r="A2" s="64" t="s">
        <v>868</v>
      </c>
      <c r="B2" s="66" t="s">
        <v>773</v>
      </c>
      <c r="C2" s="65" t="s">
        <v>774</v>
      </c>
      <c r="D2" s="65" t="s">
        <v>776</v>
      </c>
      <c r="E2" s="67">
        <v>44196</v>
      </c>
      <c r="F2" s="68">
        <v>208.33</v>
      </c>
      <c r="G2" s="63" t="s">
        <v>2</v>
      </c>
      <c r="H2">
        <v>1150000</v>
      </c>
      <c r="I2" s="2">
        <v>2180000</v>
      </c>
    </row>
    <row r="3" spans="1:16" ht="57.75" thickBot="1">
      <c r="A3" s="64" t="s">
        <v>868</v>
      </c>
      <c r="B3" s="66" t="s">
        <v>773</v>
      </c>
      <c r="C3" s="65" t="s">
        <v>774</v>
      </c>
      <c r="D3" s="65" t="s">
        <v>776</v>
      </c>
      <c r="E3" s="67">
        <v>44180</v>
      </c>
      <c r="F3" s="68">
        <v>208.33</v>
      </c>
      <c r="G3" s="63" t="s">
        <v>2</v>
      </c>
      <c r="H3">
        <v>1150000</v>
      </c>
      <c r="I3" s="2">
        <v>2180000</v>
      </c>
    </row>
    <row r="4" spans="1:16" ht="57.75" thickBot="1">
      <c r="A4" s="64" t="s">
        <v>868</v>
      </c>
      <c r="B4" s="66" t="s">
        <v>773</v>
      </c>
      <c r="C4" s="65" t="s">
        <v>774</v>
      </c>
      <c r="D4" s="65" t="s">
        <v>776</v>
      </c>
      <c r="E4" s="67">
        <v>44165</v>
      </c>
      <c r="F4" s="68">
        <v>208.33</v>
      </c>
      <c r="G4" s="63" t="s">
        <v>2</v>
      </c>
      <c r="H4">
        <v>1150000</v>
      </c>
      <c r="I4" s="2">
        <v>2180000</v>
      </c>
    </row>
    <row r="5" spans="1:16" ht="57.75" thickBot="1">
      <c r="A5" s="64" t="s">
        <v>868</v>
      </c>
      <c r="B5" s="66" t="s">
        <v>773</v>
      </c>
      <c r="C5" s="65" t="s">
        <v>774</v>
      </c>
      <c r="D5" s="65" t="s">
        <v>776</v>
      </c>
      <c r="E5" s="67">
        <v>44148</v>
      </c>
      <c r="F5" s="68">
        <v>208.33</v>
      </c>
      <c r="G5" s="63" t="s">
        <v>2</v>
      </c>
      <c r="H5">
        <v>1150000</v>
      </c>
      <c r="I5" s="2">
        <v>2180000</v>
      </c>
    </row>
    <row r="6" spans="1:16" ht="57.75" thickBot="1">
      <c r="A6" s="64" t="s">
        <v>868</v>
      </c>
      <c r="B6" s="66" t="s">
        <v>773</v>
      </c>
      <c r="C6" s="65" t="s">
        <v>774</v>
      </c>
      <c r="D6" s="65" t="s">
        <v>776</v>
      </c>
      <c r="E6" s="67">
        <v>44134</v>
      </c>
      <c r="F6" s="68">
        <v>208.33</v>
      </c>
      <c r="G6" s="63" t="s">
        <v>2</v>
      </c>
      <c r="H6">
        <v>1150000</v>
      </c>
      <c r="I6" s="2">
        <v>2180000</v>
      </c>
    </row>
    <row r="7" spans="1:16" ht="57.75" thickBot="1">
      <c r="A7" s="64" t="s">
        <v>868</v>
      </c>
      <c r="B7" s="66" t="s">
        <v>773</v>
      </c>
      <c r="C7" s="65" t="s">
        <v>774</v>
      </c>
      <c r="D7" s="65" t="s">
        <v>776</v>
      </c>
      <c r="E7" s="67">
        <v>44119</v>
      </c>
      <c r="F7" s="68">
        <v>208.33</v>
      </c>
      <c r="G7" s="63" t="s">
        <v>2</v>
      </c>
      <c r="H7">
        <v>1150000</v>
      </c>
      <c r="I7" s="2">
        <v>2180000</v>
      </c>
    </row>
    <row r="8" spans="1:16" ht="57.75" thickBot="1">
      <c r="A8" s="64" t="s">
        <v>868</v>
      </c>
      <c r="B8" s="66" t="s">
        <v>773</v>
      </c>
      <c r="C8" s="65" t="s">
        <v>774</v>
      </c>
      <c r="D8" s="65" t="s">
        <v>776</v>
      </c>
      <c r="E8" s="67">
        <v>44104</v>
      </c>
      <c r="F8" s="68">
        <v>208.33</v>
      </c>
      <c r="G8" s="74" t="s">
        <v>2</v>
      </c>
      <c r="H8">
        <v>1150000</v>
      </c>
      <c r="I8" s="2">
        <v>2180000</v>
      </c>
    </row>
    <row r="9" spans="1:16" ht="57.75" thickBot="1">
      <c r="A9" s="64" t="s">
        <v>868</v>
      </c>
      <c r="B9" s="66" t="s">
        <v>773</v>
      </c>
      <c r="C9" s="65" t="s">
        <v>774</v>
      </c>
      <c r="D9" s="65" t="s">
        <v>776</v>
      </c>
      <c r="E9" s="67">
        <v>44089</v>
      </c>
      <c r="F9" s="68">
        <v>208.33</v>
      </c>
      <c r="G9" s="74" t="s">
        <v>2</v>
      </c>
      <c r="H9">
        <v>1150000</v>
      </c>
      <c r="I9" s="2">
        <v>2180000</v>
      </c>
    </row>
    <row r="10" spans="1:16" ht="57.75" thickBot="1">
      <c r="A10" s="64" t="s">
        <v>868</v>
      </c>
      <c r="B10" s="66" t="s">
        <v>773</v>
      </c>
      <c r="C10" s="65" t="s">
        <v>774</v>
      </c>
      <c r="D10" s="65" t="s">
        <v>776</v>
      </c>
      <c r="E10" s="67">
        <v>44074</v>
      </c>
      <c r="F10" s="68">
        <v>208.33</v>
      </c>
      <c r="G10" s="63" t="s">
        <v>2</v>
      </c>
      <c r="H10">
        <v>1150000</v>
      </c>
      <c r="I10" s="2">
        <v>2180000</v>
      </c>
    </row>
    <row r="11" spans="1:16" ht="57.75" thickBot="1">
      <c r="A11" s="64" t="s">
        <v>868</v>
      </c>
      <c r="B11" s="66" t="s">
        <v>773</v>
      </c>
      <c r="C11" s="65" t="s">
        <v>774</v>
      </c>
      <c r="D11" s="65" t="s">
        <v>776</v>
      </c>
      <c r="E11" s="67">
        <v>44057</v>
      </c>
      <c r="F11" s="68">
        <v>208.33</v>
      </c>
      <c r="G11" s="63" t="s">
        <v>2</v>
      </c>
      <c r="H11">
        <v>1150000</v>
      </c>
      <c r="I11" s="2">
        <v>2180000</v>
      </c>
    </row>
    <row r="12" spans="1:16" ht="57.75" thickBot="1">
      <c r="A12" s="64" t="s">
        <v>868</v>
      </c>
      <c r="B12" s="66" t="s">
        <v>773</v>
      </c>
      <c r="C12" s="65" t="s">
        <v>774</v>
      </c>
      <c r="D12" s="65" t="s">
        <v>776</v>
      </c>
      <c r="E12" s="67">
        <v>44043</v>
      </c>
      <c r="F12" s="68">
        <v>208.33</v>
      </c>
      <c r="G12" s="63" t="s">
        <v>2</v>
      </c>
      <c r="H12">
        <v>1150000</v>
      </c>
      <c r="I12" s="2">
        <v>2180000</v>
      </c>
    </row>
    <row r="13" spans="1:16" ht="57.75" thickBot="1">
      <c r="A13" s="64" t="s">
        <v>868</v>
      </c>
      <c r="B13" s="66" t="s">
        <v>773</v>
      </c>
      <c r="C13" s="65" t="s">
        <v>774</v>
      </c>
      <c r="D13" s="65" t="s">
        <v>776</v>
      </c>
      <c r="E13" s="67">
        <v>44027</v>
      </c>
      <c r="F13" s="68">
        <v>208.33</v>
      </c>
      <c r="G13" s="63" t="s">
        <v>2</v>
      </c>
      <c r="H13">
        <v>1150000</v>
      </c>
      <c r="I13" s="2">
        <v>2180000</v>
      </c>
    </row>
    <row r="14" spans="1:16" ht="57.75" thickBot="1">
      <c r="A14" s="64" t="s">
        <v>868</v>
      </c>
      <c r="B14" s="66" t="s">
        <v>773</v>
      </c>
      <c r="C14" s="65" t="s">
        <v>774</v>
      </c>
      <c r="D14" s="65" t="s">
        <v>776</v>
      </c>
      <c r="E14" s="67">
        <v>44012</v>
      </c>
      <c r="F14" s="68">
        <v>208.33</v>
      </c>
      <c r="G14" s="63" t="s">
        <v>2</v>
      </c>
      <c r="H14">
        <v>1150000</v>
      </c>
      <c r="I14" s="2">
        <v>2180000</v>
      </c>
    </row>
    <row r="15" spans="1:16" ht="57.75" thickBot="1">
      <c r="A15" s="64" t="s">
        <v>868</v>
      </c>
      <c r="B15" s="66" t="s">
        <v>773</v>
      </c>
      <c r="C15" s="65" t="s">
        <v>774</v>
      </c>
      <c r="D15" s="65" t="s">
        <v>776</v>
      </c>
      <c r="E15" s="67">
        <v>43997</v>
      </c>
      <c r="F15" s="68">
        <v>208.33</v>
      </c>
      <c r="G15" s="63" t="s">
        <v>2</v>
      </c>
      <c r="H15">
        <v>1150000</v>
      </c>
      <c r="I15" s="2">
        <v>2180000</v>
      </c>
    </row>
    <row r="16" spans="1:16" ht="57.75" thickBot="1">
      <c r="A16" s="64" t="s">
        <v>868</v>
      </c>
      <c r="B16" s="66" t="s">
        <v>773</v>
      </c>
      <c r="C16" s="65" t="s">
        <v>774</v>
      </c>
      <c r="D16" s="65" t="s">
        <v>776</v>
      </c>
      <c r="E16" s="67">
        <v>43980</v>
      </c>
      <c r="F16" s="68">
        <v>208.33</v>
      </c>
      <c r="G16" s="63" t="s">
        <v>2</v>
      </c>
      <c r="H16">
        <v>1150000</v>
      </c>
      <c r="I16" s="2">
        <v>2180000</v>
      </c>
    </row>
    <row r="17" spans="1:9" ht="57.75" thickBot="1">
      <c r="A17" s="64" t="s">
        <v>868</v>
      </c>
      <c r="B17" s="66" t="s">
        <v>773</v>
      </c>
      <c r="C17" s="65" t="s">
        <v>774</v>
      </c>
      <c r="D17" s="65" t="s">
        <v>776</v>
      </c>
      <c r="E17" s="67">
        <v>43966</v>
      </c>
      <c r="F17" s="68">
        <v>208.33</v>
      </c>
      <c r="G17" s="63" t="s">
        <v>2</v>
      </c>
      <c r="H17">
        <v>1150000</v>
      </c>
      <c r="I17" s="2">
        <v>2180000</v>
      </c>
    </row>
    <row r="18" spans="1:9" ht="57.75" thickBot="1">
      <c r="A18" s="64" t="s">
        <v>868</v>
      </c>
      <c r="B18" s="66" t="s">
        <v>773</v>
      </c>
      <c r="C18" s="65" t="s">
        <v>774</v>
      </c>
      <c r="D18" s="65" t="s">
        <v>776</v>
      </c>
      <c r="E18" s="67">
        <v>43951</v>
      </c>
      <c r="F18" s="68">
        <v>208.33</v>
      </c>
      <c r="G18" s="63" t="s">
        <v>2</v>
      </c>
      <c r="H18">
        <v>1150000</v>
      </c>
      <c r="I18" s="2">
        <v>2180000</v>
      </c>
    </row>
    <row r="19" spans="1:9" ht="57.75" thickBot="1">
      <c r="A19" s="64" t="s">
        <v>868</v>
      </c>
      <c r="B19" s="66" t="s">
        <v>773</v>
      </c>
      <c r="C19" s="65" t="s">
        <v>774</v>
      </c>
      <c r="D19" s="65" t="s">
        <v>776</v>
      </c>
      <c r="E19" s="67">
        <v>43936</v>
      </c>
      <c r="F19" s="68">
        <v>208.33</v>
      </c>
      <c r="G19" s="63" t="s">
        <v>2</v>
      </c>
      <c r="H19">
        <v>1150000</v>
      </c>
      <c r="I19" s="2">
        <v>2180000</v>
      </c>
    </row>
    <row r="20" spans="1:9" ht="57.75" thickBot="1">
      <c r="A20" s="64" t="s">
        <v>868</v>
      </c>
      <c r="B20" s="66" t="s">
        <v>773</v>
      </c>
      <c r="C20" s="65" t="s">
        <v>774</v>
      </c>
      <c r="D20" s="65" t="s">
        <v>776</v>
      </c>
      <c r="E20" s="67">
        <v>43921</v>
      </c>
      <c r="F20" s="68">
        <v>208.33</v>
      </c>
      <c r="G20" s="63" t="s">
        <v>2</v>
      </c>
      <c r="H20">
        <v>1150000</v>
      </c>
      <c r="I20" s="2">
        <v>2180000</v>
      </c>
    </row>
    <row r="21" spans="1:9" ht="57.75" thickBot="1">
      <c r="A21" s="64" t="s">
        <v>868</v>
      </c>
      <c r="B21" s="66" t="s">
        <v>773</v>
      </c>
      <c r="C21" s="65" t="s">
        <v>774</v>
      </c>
      <c r="D21" s="65" t="s">
        <v>776</v>
      </c>
      <c r="E21" s="67">
        <v>43903</v>
      </c>
      <c r="F21" s="68">
        <v>208.33</v>
      </c>
      <c r="G21" s="63" t="s">
        <v>2</v>
      </c>
      <c r="H21">
        <v>1150000</v>
      </c>
      <c r="I21" s="2">
        <v>2180000</v>
      </c>
    </row>
    <row r="22" spans="1:9" ht="57.75" thickBot="1">
      <c r="A22" s="64" t="s">
        <v>868</v>
      </c>
      <c r="B22" s="66" t="s">
        <v>773</v>
      </c>
      <c r="C22" s="65" t="s">
        <v>774</v>
      </c>
      <c r="D22" s="65" t="s">
        <v>776</v>
      </c>
      <c r="E22" s="67">
        <v>43889</v>
      </c>
      <c r="F22" s="68">
        <v>208.33</v>
      </c>
      <c r="G22" s="63" t="s">
        <v>2</v>
      </c>
      <c r="H22">
        <v>1150000</v>
      </c>
      <c r="I22" s="2">
        <v>2180000</v>
      </c>
    </row>
    <row r="23" spans="1:9" ht="57.75" thickBot="1">
      <c r="A23" s="64" t="s">
        <v>868</v>
      </c>
      <c r="B23" s="66" t="s">
        <v>773</v>
      </c>
      <c r="C23" s="65" t="s">
        <v>774</v>
      </c>
      <c r="D23" s="65" t="s">
        <v>776</v>
      </c>
      <c r="E23" s="67">
        <v>43875</v>
      </c>
      <c r="F23" s="68">
        <v>208.33</v>
      </c>
      <c r="G23" s="63" t="s">
        <v>2</v>
      </c>
      <c r="H23">
        <v>1150000</v>
      </c>
      <c r="I23" s="2">
        <v>2180000</v>
      </c>
    </row>
    <row r="24" spans="1:9" ht="57.75" thickBot="1">
      <c r="A24" s="64" t="s">
        <v>868</v>
      </c>
      <c r="B24" s="66" t="s">
        <v>773</v>
      </c>
      <c r="C24" s="65" t="s">
        <v>774</v>
      </c>
      <c r="D24" s="65" t="s">
        <v>776</v>
      </c>
      <c r="E24" s="67">
        <v>43861</v>
      </c>
      <c r="F24" s="68">
        <v>208.33</v>
      </c>
      <c r="G24" s="63" t="s">
        <v>2</v>
      </c>
      <c r="H24">
        <v>1150000</v>
      </c>
      <c r="I24" s="2">
        <v>2180000</v>
      </c>
    </row>
    <row r="25" spans="1:9" ht="57.75" thickBot="1">
      <c r="A25" s="64" t="s">
        <v>868</v>
      </c>
      <c r="B25" s="66" t="s">
        <v>773</v>
      </c>
      <c r="C25" s="65" t="s">
        <v>774</v>
      </c>
      <c r="D25" s="65" t="s">
        <v>776</v>
      </c>
      <c r="E25" s="67">
        <v>43845</v>
      </c>
      <c r="F25" s="68">
        <v>208.33</v>
      </c>
      <c r="G25" s="63" t="s">
        <v>2</v>
      </c>
      <c r="H25">
        <v>1150000</v>
      </c>
      <c r="I25" s="2">
        <v>2180000</v>
      </c>
    </row>
    <row r="26" spans="1:9" ht="57.75" thickBot="1">
      <c r="A26" s="64" t="s">
        <v>868</v>
      </c>
      <c r="B26" s="66" t="s">
        <v>773</v>
      </c>
      <c r="C26" s="65" t="s">
        <v>774</v>
      </c>
      <c r="D26" s="65" t="s">
        <v>776</v>
      </c>
      <c r="E26" s="67">
        <v>43830</v>
      </c>
      <c r="F26" s="68">
        <v>208.33</v>
      </c>
      <c r="G26" s="63" t="s">
        <v>2</v>
      </c>
      <c r="H26">
        <v>1150000</v>
      </c>
      <c r="I26" s="2">
        <v>2180000</v>
      </c>
    </row>
    <row r="27" spans="1:9" ht="57.75" thickBot="1">
      <c r="A27" s="64" t="s">
        <v>868</v>
      </c>
      <c r="B27" s="66" t="s">
        <v>773</v>
      </c>
      <c r="C27" s="65" t="s">
        <v>774</v>
      </c>
      <c r="D27" s="65" t="s">
        <v>776</v>
      </c>
      <c r="E27" s="67">
        <v>43812</v>
      </c>
      <c r="F27" s="68">
        <v>208.33</v>
      </c>
      <c r="G27" s="63" t="s">
        <v>2</v>
      </c>
      <c r="H27">
        <v>1150000</v>
      </c>
      <c r="I27" s="2">
        <v>2180000</v>
      </c>
    </row>
    <row r="28" spans="1:9" ht="57.75" thickBot="1">
      <c r="A28" s="64" t="s">
        <v>868</v>
      </c>
      <c r="B28" s="66" t="s">
        <v>773</v>
      </c>
      <c r="C28" s="65" t="s">
        <v>774</v>
      </c>
      <c r="D28" s="65" t="s">
        <v>776</v>
      </c>
      <c r="E28" s="67">
        <v>43798</v>
      </c>
      <c r="F28" s="68">
        <v>208.33</v>
      </c>
      <c r="G28" s="63" t="s">
        <v>2</v>
      </c>
      <c r="H28">
        <v>1150000</v>
      </c>
      <c r="I28" s="2">
        <v>2180000</v>
      </c>
    </row>
    <row r="29" spans="1:9" ht="57.75" thickBot="1">
      <c r="A29" s="64" t="s">
        <v>868</v>
      </c>
      <c r="B29" s="66" t="s">
        <v>773</v>
      </c>
      <c r="C29" s="65" t="s">
        <v>774</v>
      </c>
      <c r="D29" s="65" t="s">
        <v>776</v>
      </c>
      <c r="E29" s="67">
        <v>43784</v>
      </c>
      <c r="F29" s="68">
        <v>208.33</v>
      </c>
      <c r="G29" s="63" t="s">
        <v>2</v>
      </c>
      <c r="H29">
        <v>1150000</v>
      </c>
      <c r="I29" s="2">
        <v>2180000</v>
      </c>
    </row>
    <row r="30" spans="1:9" ht="57.75" thickBot="1">
      <c r="A30" s="64" t="s">
        <v>868</v>
      </c>
      <c r="B30" s="66" t="s">
        <v>773</v>
      </c>
      <c r="C30" s="65" t="s">
        <v>774</v>
      </c>
      <c r="D30" s="65" t="s">
        <v>776</v>
      </c>
      <c r="E30" s="67">
        <v>43769</v>
      </c>
      <c r="F30" s="68">
        <v>208.33</v>
      </c>
      <c r="G30" s="63" t="s">
        <v>2</v>
      </c>
      <c r="H30">
        <v>1150000</v>
      </c>
      <c r="I30" s="2">
        <v>2180000</v>
      </c>
    </row>
    <row r="31" spans="1:9" ht="57.75" thickBot="1">
      <c r="A31" s="64" t="s">
        <v>868</v>
      </c>
      <c r="B31" s="66" t="s">
        <v>773</v>
      </c>
      <c r="C31" s="65" t="s">
        <v>774</v>
      </c>
      <c r="D31" s="65" t="s">
        <v>776</v>
      </c>
      <c r="E31" s="67">
        <v>43753</v>
      </c>
      <c r="F31" s="68">
        <v>208.33</v>
      </c>
      <c r="G31" s="63" t="s">
        <v>2</v>
      </c>
      <c r="H31">
        <v>1150000</v>
      </c>
      <c r="I31" s="2">
        <v>2180000</v>
      </c>
    </row>
    <row r="32" spans="1:9" ht="57.75" thickBot="1">
      <c r="A32" s="64" t="s">
        <v>868</v>
      </c>
      <c r="B32" s="66" t="s">
        <v>773</v>
      </c>
      <c r="C32" s="65" t="s">
        <v>774</v>
      </c>
      <c r="D32" s="65" t="s">
        <v>776</v>
      </c>
      <c r="E32" s="67">
        <v>43738</v>
      </c>
      <c r="F32" s="68">
        <v>208.33</v>
      </c>
      <c r="G32" s="63" t="s">
        <v>2</v>
      </c>
      <c r="H32">
        <v>1150000</v>
      </c>
      <c r="I32" s="2">
        <v>2180000</v>
      </c>
    </row>
    <row r="33" spans="1:9" ht="57.75" thickBot="1">
      <c r="A33" s="64" t="s">
        <v>868</v>
      </c>
      <c r="B33" s="66" t="s">
        <v>773</v>
      </c>
      <c r="C33" s="65" t="s">
        <v>774</v>
      </c>
      <c r="D33" s="65" t="s">
        <v>776</v>
      </c>
      <c r="E33" s="67">
        <v>43721</v>
      </c>
      <c r="F33" s="68">
        <v>208.33</v>
      </c>
      <c r="G33" s="63" t="s">
        <v>2</v>
      </c>
      <c r="H33">
        <v>1150000</v>
      </c>
      <c r="I33" s="2">
        <v>2180000</v>
      </c>
    </row>
    <row r="34" spans="1:9" ht="57.75" thickBot="1">
      <c r="A34" s="64" t="s">
        <v>868</v>
      </c>
      <c r="B34" s="66" t="s">
        <v>773</v>
      </c>
      <c r="C34" s="65" t="s">
        <v>774</v>
      </c>
      <c r="D34" s="65" t="s">
        <v>776</v>
      </c>
      <c r="E34" s="67">
        <v>43707</v>
      </c>
      <c r="F34" s="68">
        <v>208.33</v>
      </c>
      <c r="G34" s="63" t="s">
        <v>2</v>
      </c>
      <c r="H34">
        <v>1150000</v>
      </c>
      <c r="I34" s="2">
        <v>2180000</v>
      </c>
    </row>
    <row r="35" spans="1:9" ht="57.75" thickBot="1">
      <c r="A35" s="64" t="s">
        <v>868</v>
      </c>
      <c r="B35" s="66" t="s">
        <v>773</v>
      </c>
      <c r="C35" s="65" t="s">
        <v>774</v>
      </c>
      <c r="D35" s="65" t="s">
        <v>776</v>
      </c>
      <c r="E35" s="67">
        <v>43692</v>
      </c>
      <c r="F35" s="68">
        <v>208.33</v>
      </c>
      <c r="G35" s="63" t="s">
        <v>2</v>
      </c>
      <c r="H35">
        <v>1150000</v>
      </c>
      <c r="I35" s="2">
        <v>2180000</v>
      </c>
    </row>
    <row r="36" spans="1:9" ht="57.75" thickBot="1">
      <c r="A36" s="64" t="s">
        <v>868</v>
      </c>
      <c r="B36" s="66" t="s">
        <v>773</v>
      </c>
      <c r="C36" s="65" t="s">
        <v>774</v>
      </c>
      <c r="D36" s="65" t="s">
        <v>776</v>
      </c>
      <c r="E36" s="67">
        <v>43677</v>
      </c>
      <c r="F36" s="68">
        <v>208.33</v>
      </c>
      <c r="G36" s="63" t="s">
        <v>2</v>
      </c>
      <c r="H36">
        <v>1150000</v>
      </c>
      <c r="I36" s="2">
        <v>2180000</v>
      </c>
    </row>
    <row r="37" spans="1:9" ht="57.75" thickBot="1">
      <c r="A37" s="64" t="s">
        <v>868</v>
      </c>
      <c r="B37" s="66" t="s">
        <v>773</v>
      </c>
      <c r="C37" s="65" t="s">
        <v>774</v>
      </c>
      <c r="D37" s="65" t="s">
        <v>776</v>
      </c>
      <c r="E37" s="67">
        <v>43661</v>
      </c>
      <c r="F37" s="68">
        <v>208.33</v>
      </c>
      <c r="G37" s="63" t="s">
        <v>2</v>
      </c>
      <c r="H37">
        <v>1150000</v>
      </c>
      <c r="I37" s="2">
        <v>2180000</v>
      </c>
    </row>
    <row r="38" spans="1:9" ht="57.75" thickBot="1">
      <c r="A38" s="64" t="s">
        <v>868</v>
      </c>
      <c r="B38" s="66" t="s">
        <v>773</v>
      </c>
      <c r="C38" s="65" t="s">
        <v>774</v>
      </c>
      <c r="D38" s="65" t="s">
        <v>776</v>
      </c>
      <c r="E38" s="67">
        <v>43644</v>
      </c>
      <c r="F38" s="68">
        <v>208.33</v>
      </c>
      <c r="G38" s="63" t="s">
        <v>2</v>
      </c>
      <c r="H38">
        <v>1150000</v>
      </c>
      <c r="I38" s="2">
        <v>2180000</v>
      </c>
    </row>
    <row r="39" spans="1:9" ht="57.75" thickBot="1">
      <c r="A39" s="64" t="s">
        <v>868</v>
      </c>
      <c r="B39" s="66" t="s">
        <v>773</v>
      </c>
      <c r="C39" s="65" t="s">
        <v>774</v>
      </c>
      <c r="D39" s="65" t="s">
        <v>776</v>
      </c>
      <c r="E39" s="67">
        <v>43630</v>
      </c>
      <c r="F39" s="68">
        <v>208.33</v>
      </c>
      <c r="G39" s="63" t="s">
        <v>2</v>
      </c>
      <c r="H39">
        <v>1150000</v>
      </c>
      <c r="I39" s="2">
        <v>2180000</v>
      </c>
    </row>
    <row r="40" spans="1:9" ht="57.75" thickBot="1">
      <c r="A40" s="64" t="s">
        <v>868</v>
      </c>
      <c r="B40" s="66" t="s">
        <v>773</v>
      </c>
      <c r="C40" s="65" t="s">
        <v>774</v>
      </c>
      <c r="D40" s="65" t="s">
        <v>776</v>
      </c>
      <c r="E40" s="67">
        <v>43616</v>
      </c>
      <c r="F40" s="68">
        <v>208.33</v>
      </c>
      <c r="G40" s="63" t="s">
        <v>2</v>
      </c>
      <c r="H40">
        <v>1150000</v>
      </c>
      <c r="I40" s="2">
        <v>2180000</v>
      </c>
    </row>
    <row r="41" spans="1:9" ht="57.75" thickBot="1">
      <c r="A41" s="64" t="s">
        <v>868</v>
      </c>
      <c r="B41" s="66" t="s">
        <v>773</v>
      </c>
      <c r="C41" s="65" t="s">
        <v>774</v>
      </c>
      <c r="D41" s="65" t="s">
        <v>776</v>
      </c>
      <c r="E41" s="67">
        <v>43600</v>
      </c>
      <c r="F41" s="68">
        <v>208.33</v>
      </c>
      <c r="G41" s="63" t="s">
        <v>2</v>
      </c>
      <c r="H41">
        <v>1150000</v>
      </c>
      <c r="I41" s="2">
        <v>2180000</v>
      </c>
    </row>
    <row r="42" spans="1:9" ht="57.75" thickBot="1">
      <c r="A42" s="64" t="s">
        <v>868</v>
      </c>
      <c r="B42" s="66" t="s">
        <v>773</v>
      </c>
      <c r="C42" s="65" t="s">
        <v>774</v>
      </c>
      <c r="D42" s="65" t="s">
        <v>776</v>
      </c>
      <c r="E42" s="67">
        <v>43585</v>
      </c>
      <c r="F42" s="68">
        <v>208.33</v>
      </c>
      <c r="G42" s="63" t="s">
        <v>2</v>
      </c>
      <c r="H42">
        <v>1150000</v>
      </c>
      <c r="I42" s="2">
        <v>2180000</v>
      </c>
    </row>
    <row r="43" spans="1:9" ht="57.75" thickBot="1">
      <c r="A43" s="64" t="s">
        <v>868</v>
      </c>
      <c r="B43" s="66" t="s">
        <v>773</v>
      </c>
      <c r="C43" s="65" t="s">
        <v>774</v>
      </c>
      <c r="D43" s="65" t="s">
        <v>776</v>
      </c>
      <c r="E43" s="67">
        <v>43570</v>
      </c>
      <c r="F43" s="68">
        <v>208.33</v>
      </c>
      <c r="G43" s="63" t="s">
        <v>2</v>
      </c>
      <c r="H43">
        <v>1150000</v>
      </c>
      <c r="I43" s="2">
        <v>2180000</v>
      </c>
    </row>
    <row r="44" spans="1:9" ht="57.75" thickBot="1">
      <c r="A44" s="64" t="s">
        <v>868</v>
      </c>
      <c r="B44" s="66" t="s">
        <v>773</v>
      </c>
      <c r="C44" s="65" t="s">
        <v>774</v>
      </c>
      <c r="D44" s="65" t="s">
        <v>776</v>
      </c>
      <c r="E44" s="67">
        <v>43553</v>
      </c>
      <c r="F44" s="68">
        <v>208.33</v>
      </c>
      <c r="G44" s="63" t="s">
        <v>2</v>
      </c>
      <c r="H44">
        <v>1150000</v>
      </c>
      <c r="I44" s="2">
        <v>2180000</v>
      </c>
    </row>
    <row r="45" spans="1:9" ht="57.75" thickBot="1">
      <c r="A45" s="64" t="s">
        <v>868</v>
      </c>
      <c r="B45" s="66" t="s">
        <v>773</v>
      </c>
      <c r="C45" s="65" t="s">
        <v>774</v>
      </c>
      <c r="D45" s="65" t="s">
        <v>776</v>
      </c>
      <c r="E45" s="67">
        <v>43539</v>
      </c>
      <c r="F45" s="68">
        <v>208.33</v>
      </c>
      <c r="G45" s="63" t="s">
        <v>2</v>
      </c>
      <c r="H45">
        <v>1150000</v>
      </c>
      <c r="I45" s="2">
        <v>2180000</v>
      </c>
    </row>
    <row r="46" spans="1:9" ht="57.75" thickBot="1">
      <c r="A46" s="64" t="s">
        <v>868</v>
      </c>
      <c r="B46" s="66" t="s">
        <v>773</v>
      </c>
      <c r="C46" s="65" t="s">
        <v>774</v>
      </c>
      <c r="D46" s="65" t="s">
        <v>776</v>
      </c>
      <c r="E46" s="67">
        <v>43524</v>
      </c>
      <c r="F46" s="68">
        <v>208.33</v>
      </c>
      <c r="G46" s="63" t="s">
        <v>2</v>
      </c>
      <c r="H46">
        <v>1150000</v>
      </c>
      <c r="I46" s="2">
        <v>2180000</v>
      </c>
    </row>
    <row r="47" spans="1:9" ht="57.75" thickBot="1">
      <c r="A47" s="64" t="s">
        <v>868</v>
      </c>
      <c r="B47" s="66" t="s">
        <v>773</v>
      </c>
      <c r="C47" s="65" t="s">
        <v>774</v>
      </c>
      <c r="D47" s="65" t="s">
        <v>776</v>
      </c>
      <c r="E47" s="67">
        <v>43511</v>
      </c>
      <c r="F47" s="68">
        <v>208.33</v>
      </c>
      <c r="G47" s="63" t="s">
        <v>2</v>
      </c>
      <c r="H47">
        <v>1150000</v>
      </c>
      <c r="I47" s="2">
        <v>2180000</v>
      </c>
    </row>
    <row r="48" spans="1:9" ht="57.75" thickBot="1">
      <c r="A48" s="64" t="s">
        <v>868</v>
      </c>
      <c r="B48" s="66" t="s">
        <v>773</v>
      </c>
      <c r="C48" s="65" t="s">
        <v>774</v>
      </c>
      <c r="D48" s="65" t="s">
        <v>776</v>
      </c>
      <c r="E48" s="67">
        <v>43476</v>
      </c>
      <c r="F48" s="68">
        <v>416.66</v>
      </c>
      <c r="G48" s="63" t="s">
        <v>2</v>
      </c>
      <c r="H48">
        <v>1150000</v>
      </c>
      <c r="I48" s="2">
        <v>2180000</v>
      </c>
    </row>
    <row r="49" spans="1:9" ht="15.75" thickBot="1">
      <c r="A49" s="64"/>
      <c r="B49" s="66"/>
      <c r="C49" s="65"/>
      <c r="D49" s="65"/>
      <c r="E49" s="67"/>
      <c r="F49" s="68">
        <f>SUM(F2:F48)</f>
        <v>9999.8399999999983</v>
      </c>
      <c r="G49" s="63"/>
      <c r="I49" s="2"/>
    </row>
    <row r="50" spans="1:9" ht="15.75" thickBot="1">
      <c r="A50" s="64"/>
      <c r="B50" s="66"/>
      <c r="C50" s="65"/>
      <c r="D50" s="65"/>
      <c r="E50" s="67"/>
      <c r="F50" s="68"/>
      <c r="G50" s="63"/>
      <c r="I50" s="2"/>
    </row>
    <row r="51" spans="1:9" ht="15.75" thickBot="1">
      <c r="A51" s="64"/>
      <c r="B51" s="66"/>
      <c r="C51" s="65"/>
      <c r="D51" s="65"/>
      <c r="E51" s="67"/>
      <c r="F51" s="68"/>
      <c r="G51" s="63"/>
      <c r="I51" s="2"/>
    </row>
    <row r="52" spans="1:9" ht="57.75" thickBot="1">
      <c r="A52" s="64" t="s">
        <v>868</v>
      </c>
      <c r="B52" s="66" t="s">
        <v>112</v>
      </c>
      <c r="C52" s="65" t="s">
        <v>774</v>
      </c>
      <c r="D52" s="65" t="s">
        <v>776</v>
      </c>
      <c r="E52" s="67">
        <v>44117</v>
      </c>
      <c r="F52" s="68">
        <v>1000</v>
      </c>
      <c r="G52" s="75" t="s">
        <v>3</v>
      </c>
      <c r="H52">
        <v>100</v>
      </c>
      <c r="I52" s="2">
        <v>0</v>
      </c>
    </row>
    <row r="53" spans="1:9" ht="57.75" thickBot="1">
      <c r="A53" s="64" t="s">
        <v>868</v>
      </c>
      <c r="B53" s="66" t="s">
        <v>162</v>
      </c>
      <c r="C53" s="65" t="s">
        <v>774</v>
      </c>
      <c r="D53" s="65" t="s">
        <v>776</v>
      </c>
      <c r="E53" s="67">
        <v>44117</v>
      </c>
      <c r="F53" s="68">
        <v>1000</v>
      </c>
      <c r="G53" s="75" t="s">
        <v>3</v>
      </c>
      <c r="H53">
        <v>100</v>
      </c>
      <c r="I53" s="2">
        <v>0</v>
      </c>
    </row>
    <row r="54" spans="1:9">
      <c r="F54" s="14">
        <f>SUM(F52:F53)</f>
        <v>2000</v>
      </c>
      <c r="G54" s="63"/>
      <c r="I54" s="2"/>
    </row>
  </sheetData>
  <sortState xmlns:xlrd2="http://schemas.microsoft.com/office/spreadsheetml/2017/richdata2" ref="A2:P53">
    <sortCondition ref="B2:B53"/>
  </sortState>
  <hyperlinks>
    <hyperlink ref="B2" r:id="rId1" tooltip="CVS HEALTH PAC" display="https://www.fec.gov/data/committee/C00384818/" xr:uid="{4DE2D308-E067-4EC6-8E1A-640CB52F9BCF}"/>
    <hyperlink ref="B3" r:id="rId2" tooltip="CVS HEALTH PAC" display="https://www.fec.gov/data/committee/C00384818/" xr:uid="{DB2F9C51-30F0-47DD-A288-15EDA74556BF}"/>
    <hyperlink ref="B4" r:id="rId3" tooltip="CVS HEALTH PAC" display="https://www.fec.gov/data/committee/C00384818/" xr:uid="{CB758DEA-4916-4CB6-A0A6-1A924E59F629}"/>
    <hyperlink ref="B5" r:id="rId4" tooltip="CVS HEALTH PAC" display="https://www.fec.gov/data/committee/C00384818/" xr:uid="{9169F8C2-C2CE-4D92-B832-44792F7DD103}"/>
    <hyperlink ref="B6" r:id="rId5" tooltip="CVS HEALTH PAC" display="https://www.fec.gov/data/committee/C00384818/" xr:uid="{C9927C0D-2173-48B4-B93B-00873BB1F961}"/>
    <hyperlink ref="B7" r:id="rId6" tooltip="CVS HEALTH PAC" display="https://www.fec.gov/data/committee/C00384818/" xr:uid="{096594EE-4072-40F1-8E3D-61B7C0C18543}"/>
    <hyperlink ref="B52" r:id="rId7" tooltip="PERDUE FOR SENATE" display="https://www.fec.gov/data/committee/C00547570/" xr:uid="{9CF70709-4E5F-4E82-B4B8-DEEF58202CD4}"/>
    <hyperlink ref="B53" r:id="rId8" tooltip="WINRED" display="https://www.fec.gov/data/committee/C00694323/" xr:uid="{BADB9D9B-2E93-4C41-8272-5A23EE810394}"/>
    <hyperlink ref="B8" r:id="rId9" tooltip="CVS HEALTH PAC" display="https://www.fec.gov/data/committee/C00384818/" xr:uid="{1AAC19BD-7DAE-483C-8681-1D465F12EEC8}"/>
    <hyperlink ref="B9" r:id="rId10" tooltip="CVS HEALTH PAC" display="https://www.fec.gov/data/committee/C00384818/" xr:uid="{79F7938E-0EB6-4414-ACA5-724E5C83AA2C}"/>
    <hyperlink ref="B10" r:id="rId11" tooltip="CVS HEALTH PAC" display="https://www.fec.gov/data/committee/C00384818/" xr:uid="{9F4B950D-EFD7-4E62-A76F-5ECFC9B972FD}"/>
    <hyperlink ref="B11" r:id="rId12" tooltip="CVS HEALTH PAC" display="https://www.fec.gov/data/committee/C00384818/" xr:uid="{C7286E53-51EC-4D0D-B90F-19FA8AEC9316}"/>
    <hyperlink ref="B12" r:id="rId13" tooltip="CVS HEALTH PAC" display="https://www.fec.gov/data/committee/C00384818/" xr:uid="{F1CFF789-AD69-4500-BF60-ACACDAA1C288}"/>
    <hyperlink ref="B13" r:id="rId14" tooltip="CVS HEALTH PAC" display="https://www.fec.gov/data/committee/C00384818/" xr:uid="{A0D67F3A-8C70-4A7B-B7AB-EAB4904290B8}"/>
    <hyperlink ref="B14" r:id="rId15" tooltip="CVS HEALTH PAC" display="https://www.fec.gov/data/committee/C00384818/" xr:uid="{6A884A49-F925-4FE3-B338-46F8025E1940}"/>
    <hyperlink ref="B15" r:id="rId16" tooltip="CVS HEALTH PAC" display="https://www.fec.gov/data/committee/C00384818/" xr:uid="{579D2BE2-A66B-457A-9883-7D3968420C1E}"/>
    <hyperlink ref="B16" r:id="rId17" tooltip="CVS HEALTH PAC" display="https://www.fec.gov/data/committee/C00384818/" xr:uid="{783E9C9E-BAF4-40D5-90A2-45D92A18C658}"/>
    <hyperlink ref="B17" r:id="rId18" tooltip="CVS HEALTH PAC" display="https://www.fec.gov/data/committee/C00384818/" xr:uid="{7884DDAF-1077-4A6D-BED6-A5DD07E6287C}"/>
    <hyperlink ref="B18" r:id="rId19" tooltip="CVS HEALTH PAC" display="https://www.fec.gov/data/committee/C00384818/" xr:uid="{898F2F41-6115-42B5-B4A8-E318A15E0F7F}"/>
    <hyperlink ref="B19" r:id="rId20" tooltip="CVS HEALTH PAC" display="https://www.fec.gov/data/committee/C00384818/" xr:uid="{BA3BEAAB-B05F-4E14-A237-BA1F7EC01762}"/>
    <hyperlink ref="B20" r:id="rId21" tooltip="CVS HEALTH PAC" display="https://www.fec.gov/data/committee/C00384818/" xr:uid="{12A6F2E3-DED2-4789-B62F-EFC9E5293731}"/>
    <hyperlink ref="B21" r:id="rId22" tooltip="CVS HEALTH PAC" display="https://www.fec.gov/data/committee/C00384818/" xr:uid="{76957A3B-9BB3-4D84-BC17-554B1AEA8E57}"/>
    <hyperlink ref="B22" r:id="rId23" tooltip="CVS HEALTH PAC" display="https://www.fec.gov/data/committee/C00384818/" xr:uid="{D23E42B8-977D-45F0-B817-B95AC1B589D7}"/>
    <hyperlink ref="B23" r:id="rId24" tooltip="CVS HEALTH PAC" display="https://www.fec.gov/data/committee/C00384818/" xr:uid="{567BA523-DD12-4971-A2AC-F601B48D336E}"/>
    <hyperlink ref="B24" r:id="rId25" tooltip="CVS HEALTH PAC" display="https://www.fec.gov/data/committee/C00384818/" xr:uid="{85168CEF-C27B-4B56-91BD-3D54C110BA53}"/>
    <hyperlink ref="B25" r:id="rId26" tooltip="CVS HEALTH PAC" display="https://www.fec.gov/data/committee/C00384818/" xr:uid="{723AC000-8C19-489F-96BB-9514A988493D}"/>
    <hyperlink ref="B26" r:id="rId27" tooltip="CVS HEALTH PAC" display="https://www.fec.gov/data/committee/C00384818/" xr:uid="{34E94673-CA98-44EA-B073-8BD0A6D3A67E}"/>
    <hyperlink ref="B27" r:id="rId28" tooltip="CVS HEALTH PAC" display="https://www.fec.gov/data/committee/C00384818/" xr:uid="{B68B44B2-CBAE-4ABD-AB2A-96FB57A0CE07}"/>
    <hyperlink ref="B28" r:id="rId29" tooltip="CVS HEALTH PAC" display="https://www.fec.gov/data/committee/C00384818/" xr:uid="{23226F30-CC86-49E6-AA3C-15609DE206C3}"/>
    <hyperlink ref="B29" r:id="rId30" tooltip="CVS HEALTH PAC" display="https://www.fec.gov/data/committee/C00384818/" xr:uid="{0617DD5E-8682-4AC9-B7C9-D3B915087DA0}"/>
    <hyperlink ref="B30" r:id="rId31" tooltip="CVS HEALTH PAC" display="https://www.fec.gov/data/committee/C00384818/" xr:uid="{2DD5C785-F500-467B-B8AD-05E557043C5F}"/>
    <hyperlink ref="B31" r:id="rId32" tooltip="CVS HEALTH PAC" display="https://www.fec.gov/data/committee/C00384818/" xr:uid="{C0E408DD-EBE7-465E-8248-151894A03D91}"/>
    <hyperlink ref="B32" r:id="rId33" tooltip="CVS HEALTH PAC" display="https://www.fec.gov/data/committee/C00384818/" xr:uid="{2A544B4D-B4F5-4A58-92DC-E56D99E24590}"/>
    <hyperlink ref="B33" r:id="rId34" tooltip="CVS HEALTH PAC" display="https://www.fec.gov/data/committee/C00384818/" xr:uid="{8E6CCFAE-2496-4929-9322-5A0B7FF36416}"/>
    <hyperlink ref="B34" r:id="rId35" tooltip="CVS HEALTH PAC" display="https://www.fec.gov/data/committee/C00384818/" xr:uid="{3C43BBC2-5C21-4814-B3DE-E59C7D6F46D7}"/>
    <hyperlink ref="B35" r:id="rId36" tooltip="CVS HEALTH PAC" display="https://www.fec.gov/data/committee/C00384818/" xr:uid="{1CBDB503-DCE4-4ADB-85A5-7B17CB02523A}"/>
    <hyperlink ref="B36" r:id="rId37" tooltip="CVS HEALTH PAC" display="https://www.fec.gov/data/committee/C00384818/" xr:uid="{9204E61F-5F42-4F2D-919A-8CC54AB52FBE}"/>
    <hyperlink ref="B37" r:id="rId38" tooltip="CVS HEALTH PAC" display="https://www.fec.gov/data/committee/C00384818/" xr:uid="{6AA37F7F-A1B1-4924-87DE-6AC6EB769E19}"/>
    <hyperlink ref="B38" r:id="rId39" tooltip="CVS HEALTH PAC" display="https://www.fec.gov/data/committee/C00384818/" xr:uid="{3B29993C-F49D-4B76-BBA3-8ADF750C13D0}"/>
    <hyperlink ref="B39" r:id="rId40" tooltip="CVS HEALTH PAC" display="https://www.fec.gov/data/committee/C00384818/" xr:uid="{E3A95D7D-72A8-44C4-9DCC-400558194705}"/>
    <hyperlink ref="B40" r:id="rId41" tooltip="CVS HEALTH PAC" display="https://www.fec.gov/data/committee/C00384818/" xr:uid="{0B32AC7F-7BAF-4A6E-8E2F-D1B6BDA2AE23}"/>
    <hyperlink ref="B41" r:id="rId42" tooltip="CVS HEALTH PAC" display="https://www.fec.gov/data/committee/C00384818/" xr:uid="{D6743D6F-9352-42F6-9691-D780FD09FCFD}"/>
    <hyperlink ref="B42" r:id="rId43" tooltip="CVS HEALTH PAC" display="https://www.fec.gov/data/committee/C00384818/" xr:uid="{385BA80E-4B38-472E-87EF-119149C59F89}"/>
    <hyperlink ref="B43" r:id="rId44" tooltip="CVS HEALTH PAC" display="https://www.fec.gov/data/committee/C00384818/" xr:uid="{C87F441B-49B5-46EE-9D8C-58A14A196997}"/>
    <hyperlink ref="B44" r:id="rId45" tooltip="CVS HEALTH PAC" display="https://www.fec.gov/data/committee/C00384818/" xr:uid="{C2A52715-C32F-40BD-B667-D05158D70D58}"/>
    <hyperlink ref="B45" r:id="rId46" tooltip="CVS HEALTH PAC" display="https://www.fec.gov/data/committee/C00384818/" xr:uid="{95E34E1E-1C2F-4869-A691-84BCEA23C9B8}"/>
    <hyperlink ref="B46" r:id="rId47" tooltip="CVS HEALTH PAC" display="https://www.fec.gov/data/committee/C00384818/" xr:uid="{A55BC611-AB19-48BF-B395-2021A18FD348}"/>
    <hyperlink ref="B47" r:id="rId48" tooltip="CVS HEALTH PAC" display="https://www.fec.gov/data/committee/C00384818/" xr:uid="{F52C90F9-6A2D-46F2-857E-CB3AD2C9D5E7}"/>
    <hyperlink ref="B48" r:id="rId49" tooltip="CVS HEALTH PAC" display="https://www.fec.gov/data/committee/C00384818/" xr:uid="{64565647-2911-4083-9D82-9774AECC226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D689E-DE0B-474D-A9D0-D02F1C7AECF2}">
  <dimension ref="A1"/>
  <sheetViews>
    <sheetView topLeftCell="A4" workbookViewId="0"/>
  </sheetViews>
  <sheetFormatPr defaultRowHeight="1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1EE9-BC7E-415B-9EB5-F248AC52BC4D}">
  <dimension ref="A1"/>
  <sheetViews>
    <sheetView workbookViewId="0"/>
  </sheetViews>
  <sheetFormatPr defaultRowHeight="1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12"/>
  <sheetViews>
    <sheetView workbookViewId="0">
      <selection activeCell="C2" sqref="C2"/>
    </sheetView>
  </sheetViews>
  <sheetFormatPr defaultRowHeight="15"/>
  <cols>
    <col min="1" max="1" width="79.140625" customWidth="1"/>
  </cols>
  <sheetData>
    <row r="1" spans="1:1">
      <c r="A1" t="s">
        <v>31</v>
      </c>
    </row>
    <row r="2" spans="1:1" ht="252">
      <c r="A2" s="41" t="s">
        <v>135</v>
      </c>
    </row>
    <row r="3" spans="1:1">
      <c r="A3" s="42" t="s">
        <v>136</v>
      </c>
    </row>
    <row r="4" spans="1:1">
      <c r="A4" s="42" t="s">
        <v>137</v>
      </c>
    </row>
    <row r="5" spans="1:1">
      <c r="A5" t="s">
        <v>138</v>
      </c>
    </row>
    <row r="6" spans="1:1">
      <c r="A6" s="42" t="s">
        <v>139</v>
      </c>
    </row>
    <row r="7" spans="1:1">
      <c r="A7" s="42" t="s">
        <v>140</v>
      </c>
    </row>
    <row r="8" spans="1:1">
      <c r="A8" s="42" t="s">
        <v>141</v>
      </c>
    </row>
    <row r="9" spans="1:1">
      <c r="A9" s="42" t="s">
        <v>142</v>
      </c>
    </row>
    <row r="10" spans="1:1">
      <c r="A10" s="42"/>
    </row>
    <row r="11" spans="1:1">
      <c r="A11" s="42"/>
    </row>
    <row r="12" spans="1:1">
      <c r="A12"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Board &amp; Executives</vt:lpstr>
      <vt:lpstr>CVS Rank and File</vt:lpstr>
      <vt:lpstr>Company PAC</vt:lpstr>
      <vt:lpstr>Fernando Aquirre</vt:lpstr>
      <vt:lpstr>C David Brown</vt:lpstr>
      <vt:lpstr>Alecia A DeCoudreaux</vt:lpstr>
      <vt:lpstr>Nancy-Ann M DeParle</vt:lpstr>
      <vt:lpstr>David W Dorman</vt:lpstr>
      <vt:lpstr>Roger N Farah</vt:lpstr>
      <vt:lpstr>Anne N Finucane</vt:lpstr>
      <vt:lpstr>Edward J Ludwig</vt:lpstr>
      <vt:lpstr>Karen S Lynch</vt:lpstr>
      <vt:lpstr>Jean-Pierre Millon</vt:lpstr>
      <vt:lpstr>Mary L Schapiro</vt:lpstr>
      <vt:lpstr>William C Weldon</vt:lpstr>
      <vt:lpstr>Tony L White</vt:lpstr>
      <vt:lpstr>Larry J Merlo</vt:lpstr>
      <vt:lpstr>Eva C Boratto</vt:lpstr>
      <vt:lpstr>Alan M Lotvin</vt:lpstr>
      <vt:lpstr>Jonathon C Roberts </vt:lpstr>
      <vt:lpstr>exported company data</vt:lpstr>
      <vt:lpstr>Sheet2</vt:lpstr>
      <vt:lpstr>notes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punya</dc:creator>
  <cp:lastModifiedBy>19144</cp:lastModifiedBy>
  <dcterms:created xsi:type="dcterms:W3CDTF">2021-06-27T17:25:36Z</dcterms:created>
  <dcterms:modified xsi:type="dcterms:W3CDTF">2021-07-15T12:45:26Z</dcterms:modified>
</cp:coreProperties>
</file>