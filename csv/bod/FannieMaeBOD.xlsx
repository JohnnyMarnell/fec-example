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ne\Documents\Special Analysis\"/>
    </mc:Choice>
  </mc:AlternateContent>
  <bookViews>
    <workbookView xWindow="0" yWindow="0" windowWidth="23040" windowHeight="9720"/>
  </bookViews>
  <sheets>
    <sheet name="Board &amp; Executives" sheetId="4" r:id="rId1"/>
    <sheet name="Stergios Theologides" sheetId="12" r:id="rId2"/>
    <sheet name="Richard Blackley" sheetId="11" r:id="rId3"/>
    <sheet name="Karin Kimbrough" sheetId="10" r:id="rId4"/>
    <sheet name="Michael Heid" sheetId="9" r:id="rId5"/>
    <sheet name="Renee Glover" sheetId="8" r:id="rId6"/>
    <sheet name="Robert Herz" sheetId="7" r:id="rId7"/>
    <sheet name="Sheila Bair" sheetId="6" r:id="rId8"/>
    <sheet name="Company PAC" sheetId="2" r:id="rId9"/>
    <sheet name="Amazon Example" sheetId="5" r:id="rId10"/>
  </sheets>
  <definedNames>
    <definedName name="_xlnm._FilterDatabase" localSheetId="2" hidden="1">'Richard Blackley'!$A$1:$CA$1</definedName>
  </definedNames>
  <calcPr calcId="152511"/>
  <pivotCaches>
    <pivotCache cacheId="0" r:id="rId11"/>
    <pivotCache cacheId="3" r:id="rId12"/>
    <pivotCache cacheId="6" r:id="rId13"/>
    <pivotCache cacheId="9" r:id="rId14"/>
    <pivotCache cacheId="13" r:id="rId15"/>
  </pivotCaches>
</workbook>
</file>

<file path=xl/calcChain.xml><?xml version="1.0" encoding="utf-8"?>
<calcChain xmlns="http://schemas.openxmlformats.org/spreadsheetml/2006/main">
  <c r="N23" i="4" l="1"/>
  <c r="M23" i="4"/>
  <c r="L23" i="4"/>
  <c r="V19" i="12"/>
  <c r="V35" i="11"/>
  <c r="L14" i="4"/>
  <c r="V5" i="10"/>
  <c r="AJ5" i="10"/>
  <c r="V9" i="9"/>
  <c r="V410" i="8"/>
  <c r="V4" i="7"/>
  <c r="L7" i="4"/>
  <c r="L21" i="4"/>
  <c r="N19" i="4"/>
  <c r="L11" i="4"/>
  <c r="L10" i="4"/>
  <c r="V8" i="6" l="1"/>
  <c r="J5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" i="4"/>
  <c r="M5" i="4"/>
</calcChain>
</file>

<file path=xl/sharedStrings.xml><?xml version="1.0" encoding="utf-8"?>
<sst xmlns="http://schemas.openxmlformats.org/spreadsheetml/2006/main" count="15393" uniqueCount="1242">
  <si>
    <t>N</t>
  </si>
  <si>
    <t>R</t>
  </si>
  <si>
    <t>Republican</t>
  </si>
  <si>
    <t>Independent</t>
  </si>
  <si>
    <t>Democratic</t>
  </si>
  <si>
    <t>Age</t>
  </si>
  <si>
    <t>Political Affiliation</t>
  </si>
  <si>
    <t>From Open Secrets.com</t>
  </si>
  <si>
    <t>State</t>
  </si>
  <si>
    <t>%Republican</t>
  </si>
  <si>
    <t>%Democrat</t>
  </si>
  <si>
    <t>Company PAC Name</t>
  </si>
  <si>
    <t>Employer</t>
  </si>
  <si>
    <t>Company</t>
  </si>
  <si>
    <t>Board</t>
  </si>
  <si>
    <t>Exec</t>
  </si>
  <si>
    <t>Fname</t>
  </si>
  <si>
    <t>MI</t>
  </si>
  <si>
    <t>Lname</t>
  </si>
  <si>
    <t>Gender</t>
  </si>
  <si>
    <t>DOB</t>
  </si>
  <si>
    <t>Dem </t>
  </si>
  <si>
    <t>Rep </t>
  </si>
  <si>
    <t>Reg</t>
  </si>
  <si>
    <t>Address</t>
  </si>
  <si>
    <t>Amazon</t>
  </si>
  <si>
    <t>Y</t>
  </si>
  <si>
    <t>Jeffrey</t>
  </si>
  <si>
    <t>P</t>
  </si>
  <si>
    <t>Bezos</t>
  </si>
  <si>
    <t>M</t>
  </si>
  <si>
    <t>WA</t>
  </si>
  <si>
    <t>Seattle</t>
  </si>
  <si>
    <t>Keith</t>
  </si>
  <si>
    <t>B</t>
  </si>
  <si>
    <t>Alexander</t>
  </si>
  <si>
    <t>Seattle 98109</t>
  </si>
  <si>
    <t>Wilmer Cutler Pickering</t>
  </si>
  <si>
    <t>Jamie</t>
  </si>
  <si>
    <t>S</t>
  </si>
  <si>
    <t>Gorelick</t>
  </si>
  <si>
    <t>F</t>
  </si>
  <si>
    <t>DC</t>
  </si>
  <si>
    <t>Cambridge 02138</t>
  </si>
  <si>
    <t>MIT</t>
  </si>
  <si>
    <t>Daniel</t>
  </si>
  <si>
    <t>Huttenlocher</t>
  </si>
  <si>
    <t>MA</t>
  </si>
  <si>
    <t>MTV</t>
  </si>
  <si>
    <t>Judith</t>
  </si>
  <si>
    <t>A</t>
  </si>
  <si>
    <t>McGrath</t>
  </si>
  <si>
    <t>NY</t>
  </si>
  <si>
    <t>Pepsico</t>
  </si>
  <si>
    <t>Indra</t>
  </si>
  <si>
    <t>K</t>
  </si>
  <si>
    <t>Nooyi</t>
  </si>
  <si>
    <t>CT</t>
  </si>
  <si>
    <t>.</t>
  </si>
  <si>
    <t>Jonathan</t>
  </si>
  <si>
    <t>J</t>
  </si>
  <si>
    <t>Rubinstein</t>
  </si>
  <si>
    <t>Thomas</t>
  </si>
  <si>
    <t>O</t>
  </si>
  <si>
    <t>Ryder</t>
  </si>
  <si>
    <t>Patricia</t>
  </si>
  <si>
    <t>Q</t>
  </si>
  <si>
    <t>Stonesifer</t>
  </si>
  <si>
    <t>Wendell</t>
  </si>
  <si>
    <t>Weeks</t>
  </si>
  <si>
    <t>Brian</t>
  </si>
  <si>
    <t>T</t>
  </si>
  <si>
    <t>Olsavsky</t>
  </si>
  <si>
    <t>Mercer Island, WA</t>
  </si>
  <si>
    <t>David</t>
  </si>
  <si>
    <t>H</t>
  </si>
  <si>
    <t>Clark</t>
  </si>
  <si>
    <t>Andrew</t>
  </si>
  <si>
    <t>Jassy</t>
  </si>
  <si>
    <t>Zapolsky</t>
  </si>
  <si>
    <t xml:space="preserve"> C.</t>
  </si>
  <si>
    <t xml:space="preserve"> Benson</t>
  </si>
  <si>
    <t>Fannie Mae</t>
  </si>
  <si>
    <t>President &amp; Interim CFO</t>
  </si>
  <si>
    <t xml:space="preserve">Christopher </t>
  </si>
  <si>
    <t>Brummer </t>
  </si>
  <si>
    <t>Johnson</t>
  </si>
  <si>
    <t xml:space="preserve">Sheila </t>
  </si>
  <si>
    <t>Colleen</t>
  </si>
  <si>
    <t xml:space="preserve"> Bair</t>
  </si>
  <si>
    <t>Chairman</t>
  </si>
  <si>
    <t xml:space="preserve">Hugh </t>
  </si>
  <si>
    <t xml:space="preserve">R. </t>
  </si>
  <si>
    <t>Frater</t>
  </si>
  <si>
    <t>Chief Executive Officer &amp; Director</t>
  </si>
  <si>
    <t>Independent Director</t>
  </si>
  <si>
    <t xml:space="preserve">Robert </t>
  </si>
  <si>
    <t xml:space="preserve">H. </t>
  </si>
  <si>
    <t>Herz</t>
  </si>
  <si>
    <t xml:space="preserve">Amy </t>
  </si>
  <si>
    <t xml:space="preserve">E. </t>
  </si>
  <si>
    <t>Alving</t>
  </si>
  <si>
    <t xml:space="preserve">Diane </t>
  </si>
  <si>
    <t xml:space="preserve">C. </t>
  </si>
  <si>
    <t>Nordin</t>
  </si>
  <si>
    <t xml:space="preserve">Renée </t>
  </si>
  <si>
    <t xml:space="preserve">Lewis </t>
  </si>
  <si>
    <t>Glover</t>
  </si>
  <si>
    <t>Michael</t>
  </si>
  <si>
    <t xml:space="preserve"> J. </t>
  </si>
  <si>
    <t>Heid</t>
  </si>
  <si>
    <t xml:space="preserve">Antony </t>
  </si>
  <si>
    <t xml:space="preserve">Peter </t>
  </si>
  <si>
    <t>Jenkins</t>
  </si>
  <si>
    <t>Manuel</t>
  </si>
  <si>
    <t xml:space="preserve"> Sánchez </t>
  </si>
  <si>
    <t>Rodríguez</t>
  </si>
  <si>
    <t xml:space="preserve">Karin </t>
  </si>
  <si>
    <t xml:space="preserve">J. </t>
  </si>
  <si>
    <t>Kimbrough</t>
  </si>
  <si>
    <t xml:space="preserve">Jeffery </t>
  </si>
  <si>
    <t>R.</t>
  </si>
  <si>
    <t xml:space="preserve"> Hayward</t>
  </si>
  <si>
    <t>Chief Administrative Officer &amp; Executive VP</t>
  </si>
  <si>
    <t>Douglas</t>
  </si>
  <si>
    <t xml:space="preserve"> G. </t>
  </si>
  <si>
    <t>Duncan</t>
  </si>
  <si>
    <t>Senior Vice President</t>
  </si>
  <si>
    <t xml:space="preserve">Ryan </t>
  </si>
  <si>
    <t>A.</t>
  </si>
  <si>
    <t xml:space="preserve"> Zanin</t>
  </si>
  <si>
    <t>Chief Risk Officer &amp; Executive Vice President</t>
  </si>
  <si>
    <t xml:space="preserve">Richard </t>
  </si>
  <si>
    <t xml:space="preserve">Scott </t>
  </si>
  <si>
    <t>Blackley</t>
  </si>
  <si>
    <t xml:space="preserve">Chryssa </t>
  </si>
  <si>
    <t>Halley</t>
  </si>
  <si>
    <t>Senior Vice President &amp; Controller</t>
  </si>
  <si>
    <t>EXECUTIVES</t>
  </si>
  <si>
    <t xml:space="preserve">Stergios </t>
  </si>
  <si>
    <t>Theologides</t>
  </si>
  <si>
    <t>Secretary, Executive VP &amp; General Counsel</t>
  </si>
  <si>
    <t xml:space="preserve">Simon </t>
  </si>
  <si>
    <t>No FEC Data</t>
  </si>
  <si>
    <t>committee_id</t>
  </si>
  <si>
    <t>committee_name</t>
  </si>
  <si>
    <t>report_year</t>
  </si>
  <si>
    <t>report_type</t>
  </si>
  <si>
    <t>image_number</t>
  </si>
  <si>
    <t>line_number</t>
  </si>
  <si>
    <t>transaction_id</t>
  </si>
  <si>
    <t>file_number</t>
  </si>
  <si>
    <t>entity_type</t>
  </si>
  <si>
    <t>entity_type_desc</t>
  </si>
  <si>
    <t>unused_contbr_id</t>
  </si>
  <si>
    <t>contributor_prefix</t>
  </si>
  <si>
    <t>contributor_name</t>
  </si>
  <si>
    <t>recipient_committee_type</t>
  </si>
  <si>
    <t>recipient_committee_org_type</t>
  </si>
  <si>
    <t>recipient_committee_designation</t>
  </si>
  <si>
    <t>contributor_first_name</t>
  </si>
  <si>
    <t>contributor_middle_name</t>
  </si>
  <si>
    <t>contributor_last_name</t>
  </si>
  <si>
    <t>contributor_suffix</t>
  </si>
  <si>
    <t>contributor_street_1</t>
  </si>
  <si>
    <t>contributor_street_2</t>
  </si>
  <si>
    <t>contributor_city</t>
  </si>
  <si>
    <t>contributor_state</t>
  </si>
  <si>
    <t>contributor_zip</t>
  </si>
  <si>
    <t>contributor_employer</t>
  </si>
  <si>
    <t>contributor_occupation</t>
  </si>
  <si>
    <t>contributor_id</t>
  </si>
  <si>
    <t>receipt_type</t>
  </si>
  <si>
    <t>receipt_type_desc</t>
  </si>
  <si>
    <t>receipt_type_full</t>
  </si>
  <si>
    <t>memo_code</t>
  </si>
  <si>
    <t>memo_code_full</t>
  </si>
  <si>
    <t>contribution_receipt_date</t>
  </si>
  <si>
    <t>contribution_receipt_amount</t>
  </si>
  <si>
    <t>contributor_aggregate_ytd</t>
  </si>
  <si>
    <t>candidate_id</t>
  </si>
  <si>
    <t>candidate_name</t>
  </si>
  <si>
    <t>candidate_first_name</t>
  </si>
  <si>
    <t>candidate_last_name</t>
  </si>
  <si>
    <t>candidate_middle_name</t>
  </si>
  <si>
    <t>candidate_prefix</t>
  </si>
  <si>
    <t>candidate_suffix</t>
  </si>
  <si>
    <t>candidate_office</t>
  </si>
  <si>
    <t>candidate_office_full</t>
  </si>
  <si>
    <t>candidate_office_state</t>
  </si>
  <si>
    <t>candidate_office_state_full</t>
  </si>
  <si>
    <t>candidate_office_district</t>
  </si>
  <si>
    <t>conduit_committee_id</t>
  </si>
  <si>
    <t>conduit_committee_name</t>
  </si>
  <si>
    <t>conduit_committee_street1</t>
  </si>
  <si>
    <t>conduit_committee_street2</t>
  </si>
  <si>
    <t>conduit_committee_city</t>
  </si>
  <si>
    <t>conduit_committee_state</t>
  </si>
  <si>
    <t>conduit_committee_zip</t>
  </si>
  <si>
    <t>donor_committee_name</t>
  </si>
  <si>
    <t>national_committee_nonfederal_account</t>
  </si>
  <si>
    <t>election_type</t>
  </si>
  <si>
    <t>election_type_full</t>
  </si>
  <si>
    <t>fec_election_type_desc</t>
  </si>
  <si>
    <t>fec_election_year</t>
  </si>
  <si>
    <t>amendment_indicator</t>
  </si>
  <si>
    <t>amendment_indicator_desc</t>
  </si>
  <si>
    <t>schedule_type_full</t>
  </si>
  <si>
    <t>load_date</t>
  </si>
  <si>
    <t>original_sub_id</t>
  </si>
  <si>
    <t>back_reference_transaction_id</t>
  </si>
  <si>
    <t>back_reference_schedule_name</t>
  </si>
  <si>
    <t>filing_form</t>
  </si>
  <si>
    <t>link_id</t>
  </si>
  <si>
    <t>is_individual</t>
  </si>
  <si>
    <t>memo_text</t>
  </si>
  <si>
    <t>two_year_transaction_period</t>
  </si>
  <si>
    <t>schedule_type</t>
  </si>
  <si>
    <t>increased_limit</t>
  </si>
  <si>
    <t>sub_id</t>
  </si>
  <si>
    <t>pdf_url</t>
  </si>
  <si>
    <t>line_number_label</t>
  </si>
  <si>
    <t>C00314575</t>
  </si>
  <si>
    <t>COLLINS FOR SENATOR</t>
  </si>
  <si>
    <t>30G</t>
  </si>
  <si>
    <t>11AI</t>
  </si>
  <si>
    <t>A3D58225CEB7E491796C</t>
  </si>
  <si>
    <t>IND</t>
  </si>
  <si>
    <t>INDIVIDUAL</t>
  </si>
  <si>
    <t>BAIR, SHEILA</t>
  </si>
  <si>
    <t>SHEILA</t>
  </si>
  <si>
    <t>BAIR</t>
  </si>
  <si>
    <t>14145 SHALLCROSS WHARF RD</t>
  </si>
  <si>
    <t>KENNEDYVILLE</t>
  </si>
  <si>
    <t>MD</t>
  </si>
  <si>
    <t>SELF-EMPLOYED</t>
  </si>
  <si>
    <t>CORPORATE DIRECTOR/ADVISOR</t>
  </si>
  <si>
    <t>15E</t>
  </si>
  <si>
    <t>EARMARKED CONTRIBUTION</t>
  </si>
  <si>
    <t>EARMARKED (NON-DIRECTED) THROUGH WINRED</t>
  </si>
  <si>
    <t>G2020</t>
  </si>
  <si>
    <t>GENERAL</t>
  </si>
  <si>
    <t>ADD</t>
  </si>
  <si>
    <t>ITEMIZED RECEIPTS</t>
  </si>
  <si>
    <t>F3</t>
  </si>
  <si>
    <t>t</t>
  </si>
  <si>
    <t>SA</t>
  </si>
  <si>
    <t>https://docquery.fec.gov/cgi-bin/fecimg/?202107029450959688</t>
  </si>
  <si>
    <t>Contributions From Individuals/Persons Other Than Political Committees</t>
  </si>
  <si>
    <t>A9F9DF98DF03D4F3A97E</t>
  </si>
  <si>
    <t>https://docquery.fec.gov/cgi-bin/fecimg/?202107029450968062</t>
  </si>
  <si>
    <t>C00694323</t>
  </si>
  <si>
    <t>WINRED</t>
  </si>
  <si>
    <t>AA944DEAA056345CA925</t>
  </si>
  <si>
    <t>V</t>
  </si>
  <si>
    <t>U</t>
  </si>
  <si>
    <t>EARMARKED FOR COLLINS FOR SENATOR (C00314575)</t>
  </si>
  <si>
    <t>F3X</t>
  </si>
  <si>
    <t>https://docquery.fec.gov/cgi-bin/fecimg/?202103039432628266</t>
  </si>
  <si>
    <t>A73CC33162A4F431F960</t>
  </si>
  <si>
    <t>https://docquery.fec.gov/cgi-bin/fecimg/?202103039433544201</t>
  </si>
  <si>
    <t>Row Labels</t>
  </si>
  <si>
    <t>Grand Total</t>
  </si>
  <si>
    <t>Sum of contribution_receipt_amount</t>
  </si>
  <si>
    <t>14145 SHALLCROSS WHARF RD KENNEDYVILLE MD 216453447 &amp; KS</t>
  </si>
  <si>
    <t>MD &amp; KS</t>
  </si>
  <si>
    <t>C00703975</t>
  </si>
  <si>
    <t>BIDEN FOR PRESIDENT</t>
  </si>
  <si>
    <t>YE</t>
  </si>
  <si>
    <t>17A</t>
  </si>
  <si>
    <t>HERZ, ROBERT</t>
  </si>
  <si>
    <t>ROBERT</t>
  </si>
  <si>
    <t>HERZ</t>
  </si>
  <si>
    <t>186 NORTHWOODS DR</t>
  </si>
  <si>
    <t>SOUTH ORANGE</t>
  </si>
  <si>
    <t>NJ</t>
  </si>
  <si>
    <t>ROBERT H HERZ LLC</t>
  </si>
  <si>
    <t>CONSULTANT</t>
  </si>
  <si>
    <t>P2020</t>
  </si>
  <si>
    <t>PRIMARY</t>
  </si>
  <si>
    <t>1833690E</t>
  </si>
  <si>
    <t>SA17A</t>
  </si>
  <si>
    <t>F3P</t>
  </si>
  <si>
    <t>* EARMARKED CONTRIBUTION: SEE BELOW</t>
  </si>
  <si>
    <t>http://docquery.fec.gov/cgi-bin/fecimg/?202003199203953982</t>
  </si>
  <si>
    <t>186 NORTHWOODS DR SOUTH ORANGE NJ 70791123</t>
  </si>
  <si>
    <t>C00147512</t>
  </si>
  <si>
    <t>CONGRESSIONAL BLACK CAUCUS PAC</t>
  </si>
  <si>
    <t>M9</t>
  </si>
  <si>
    <t>VNW66J06GJ1</t>
  </si>
  <si>
    <t>GLOVER, RENEE</t>
  </si>
  <si>
    <t>RENEE</t>
  </si>
  <si>
    <t>GLOVER</t>
  </si>
  <si>
    <t>553 AUBURN AVE NE</t>
  </si>
  <si>
    <t>ATLANTA</t>
  </si>
  <si>
    <t>GA</t>
  </si>
  <si>
    <t>THE CATALYST GROUP LLC</t>
  </si>
  <si>
    <t>BUSINESS CONSULTANT</t>
  </si>
  <si>
    <t>CONTRIBUTION</t>
  </si>
  <si>
    <t>http://docquery.fec.gov/cgi-bin/fecimg/?202009199275282561</t>
  </si>
  <si>
    <t>VNW66J1QCZ1</t>
  </si>
  <si>
    <t>VNW66JYTNE1</t>
  </si>
  <si>
    <t>https://docquery.fec.gov/cgi-bin/fecimg/?202101299413841311</t>
  </si>
  <si>
    <t>12G</t>
  </si>
  <si>
    <t>VNW66JEQW66</t>
  </si>
  <si>
    <t>http://docquery.fec.gov/cgi-bin/fecimg/?202010229332830242</t>
  </si>
  <si>
    <t>VNW66HZB528</t>
  </si>
  <si>
    <t>http://docquery.fec.gov/cgi-bin/fecimg/?202009199275282560</t>
  </si>
  <si>
    <t>VNW66HZW9N1</t>
  </si>
  <si>
    <t>VNW66J1BHC9</t>
  </si>
  <si>
    <t>M10</t>
  </si>
  <si>
    <t>VNW66J6JRY7</t>
  </si>
  <si>
    <t>http://docquery.fec.gov/cgi-bin/fecimg/?202010209298294278</t>
  </si>
  <si>
    <t>VNW66J6JS53</t>
  </si>
  <si>
    <t>C00042366</t>
  </si>
  <si>
    <t>DSCC</t>
  </si>
  <si>
    <t>C00401224</t>
  </si>
  <si>
    <t>13548096E</t>
  </si>
  <si>
    <t>SA11AI</t>
  </si>
  <si>
    <t>http://docquery.fec.gov/cgi-bin/fecimg/?202001319184184886</t>
  </si>
  <si>
    <t>C00000935</t>
  </si>
  <si>
    <t>DCCC</t>
  </si>
  <si>
    <t>31827833E</t>
  </si>
  <si>
    <t>* EARMARKED CONTRIBUTION: SEE BELOW EARMARKED THROUGH ACTBLUE</t>
  </si>
  <si>
    <t>https://docquery.fec.gov/cgi-bin/fecimg/?202103309442644757</t>
  </si>
  <si>
    <t>ACTBLUE</t>
  </si>
  <si>
    <t>SA11AI_302862221</t>
  </si>
  <si>
    <t>553 AUBURN AVENUE NE</t>
  </si>
  <si>
    <t>THE CATALYST GROUP, LLC</t>
  </si>
  <si>
    <t>24T</t>
  </si>
  <si>
    <t>EARMARKED INTERMEDIARY TREASURY OUT</t>
  </si>
  <si>
    <t>EARMARK</t>
  </si>
  <si>
    <t>_x000D_</t>
  </si>
  <si>
    <t>EARMARKED FOR CONGRESSIONAL BLACK CAUCUS PAC (C00147512)</t>
  </si>
  <si>
    <t>https://docquery.fec.gov/cgi-bin/fecimg/?202012149376634937</t>
  </si>
  <si>
    <t>SA11AI_302862367</t>
  </si>
  <si>
    <t>CONTRIBUTION TO ACT BLUE</t>
  </si>
  <si>
    <t>CONTRIBUTION TO ACTBLUE</t>
  </si>
  <si>
    <t>https://docquery.fec.gov/cgi-bin/fecimg/?202012149376634936</t>
  </si>
  <si>
    <t>SA11AI_302861527</t>
  </si>
  <si>
    <t>SA11AI_298099587</t>
  </si>
  <si>
    <t>C00633404</t>
  </si>
  <si>
    <t>EARMARKED FOR STOP REPUBLICANS (C00633404)</t>
  </si>
  <si>
    <t>https://docquery.fec.gov/cgi-bin/fecimg/?202012149376634935</t>
  </si>
  <si>
    <t>SA11AI_298100311</t>
  </si>
  <si>
    <t>https://docquery.fec.gov/cgi-bin/fecimg/?202012149376634934</t>
  </si>
  <si>
    <t>SA11AI_298096693</t>
  </si>
  <si>
    <t>SA11AI_298095941</t>
  </si>
  <si>
    <t>SA11AI_185291281</t>
  </si>
  <si>
    <t>553 AUBURN AVENUE NORTHEAST</t>
  </si>
  <si>
    <t>http://docquery.fec.gov/cgi-bin/fecimg/?202001299170114951</t>
  </si>
  <si>
    <t>SA11AI_191886470</t>
  </si>
  <si>
    <t>http://docquery.fec.gov/cgi-bin/fecimg/?202001299170114952</t>
  </si>
  <si>
    <t>SA11AI_191005101</t>
  </si>
  <si>
    <t>EARMARKED FOR DCCC (C00000935)</t>
  </si>
  <si>
    <t>SA11AI_185291183</t>
  </si>
  <si>
    <t>SA11AI_197247381</t>
  </si>
  <si>
    <t>EARMARKED FOR DSCC (C00042366)</t>
  </si>
  <si>
    <t>http://docquery.fec.gov/cgi-bin/fecimg/?202001299170114954</t>
  </si>
  <si>
    <t>SA11AI_191005150</t>
  </si>
  <si>
    <t>SA11AI_197247511</t>
  </si>
  <si>
    <t>http://docquery.fec.gov/cgi-bin/fecimg/?202001299170114953</t>
  </si>
  <si>
    <t>SA11AI_193005992</t>
  </si>
  <si>
    <t>SA11AI_191886450</t>
  </si>
  <si>
    <t>SA11AI_193005969</t>
  </si>
  <si>
    <t>M12</t>
  </si>
  <si>
    <t>GLOVER, RENEE L.</t>
  </si>
  <si>
    <t>L.</t>
  </si>
  <si>
    <t>27978234E</t>
  </si>
  <si>
    <t>http://docquery.fec.gov/cgi-bin/fecimg/?202003029203611611</t>
  </si>
  <si>
    <t>28209176E</t>
  </si>
  <si>
    <t>http://docquery.fec.gov/cgi-bin/fecimg/?202003039203705747</t>
  </si>
  <si>
    <t>28232437E</t>
  </si>
  <si>
    <t>http://docquery.fec.gov/cgi-bin/fecimg/?202003039203705748</t>
  </si>
  <si>
    <t>M2</t>
  </si>
  <si>
    <t>SA11AI_204143161</t>
  </si>
  <si>
    <t>http://docquery.fec.gov/cgi-bin/fecimg/?202002219200603947</t>
  </si>
  <si>
    <t>SA11AI_204368485</t>
  </si>
  <si>
    <t>SA11AI_204176446</t>
  </si>
  <si>
    <t>http://docquery.fec.gov/cgi-bin/fecimg/?202002219200603948</t>
  </si>
  <si>
    <t>SA11AI_204368369</t>
  </si>
  <si>
    <t>EARMARKED FOR FRIENDS OF LUCY MCBATH (C00672295)</t>
  </si>
  <si>
    <t>http://docquery.fec.gov/cgi-bin/fecimg/?202002219200603946</t>
  </si>
  <si>
    <t>SA11AI_204176338</t>
  </si>
  <si>
    <t>SA11AI_204143058</t>
  </si>
  <si>
    <t>EARMARKED FOR WARNOCK FOR GEORGIA (C00736876)</t>
  </si>
  <si>
    <t>M3</t>
  </si>
  <si>
    <t>SA11AI_206626764</t>
  </si>
  <si>
    <t>http://docquery.fec.gov/cgi-bin/fecimg/?202003209211179326</t>
  </si>
  <si>
    <t>SA11AI_206626657</t>
  </si>
  <si>
    <t>http://docquery.fec.gov/cgi-bin/fecimg/?202003209211179327</t>
  </si>
  <si>
    <t>SA11AI_214639668</t>
  </si>
  <si>
    <t>http://docquery.fec.gov/cgi-bin/fecimg/?202003209211179330</t>
  </si>
  <si>
    <t>SA11AI_214747462</t>
  </si>
  <si>
    <t>SA11AI_207999046</t>
  </si>
  <si>
    <t>SA11AI_209914296</t>
  </si>
  <si>
    <t>http://docquery.fec.gov/cgi-bin/fecimg/?202003209211179328</t>
  </si>
  <si>
    <t>SA11AI_211232680</t>
  </si>
  <si>
    <t>SA11AI_207998979</t>
  </si>
  <si>
    <t>SA11AI_212263974</t>
  </si>
  <si>
    <t>http://docquery.fec.gov/cgi-bin/fecimg/?202003209211179329</t>
  </si>
  <si>
    <t>SA11AI_214747533</t>
  </si>
  <si>
    <t>SA11AI_206858020</t>
  </si>
  <si>
    <t>SA11AI_206857877</t>
  </si>
  <si>
    <t>C00736876</t>
  </si>
  <si>
    <t>S0GA00559</t>
  </si>
  <si>
    <t>SA11AI_211232635</t>
  </si>
  <si>
    <t>EARMARKED FOR GEORGIA FEDERAL ELECTIONS COMMITTEE - FEDERAL ACCOUNT (C00041269)</t>
  </si>
  <si>
    <t>M4</t>
  </si>
  <si>
    <t>2825331E</t>
  </si>
  <si>
    <t>http://docquery.fec.gov/cgi-bin/fecimg/?202004209224203248</t>
  </si>
  <si>
    <t>2825441E</t>
  </si>
  <si>
    <t>http://docquery.fec.gov/cgi-bin/fecimg/?202004209224203249</t>
  </si>
  <si>
    <t>3060865E</t>
  </si>
  <si>
    <t>http://docquery.fec.gov/cgi-bin/fecimg/?202004209224203250</t>
  </si>
  <si>
    <t>X</t>
  </si>
  <si>
    <t>http://docquery.fec.gov/cgi-bin/fecimg/?202004209224203251</t>
  </si>
  <si>
    <t>3076999E</t>
  </si>
  <si>
    <t>C00672295</t>
  </si>
  <si>
    <t>FRIENDS OF LUCY MCBATH</t>
  </si>
  <si>
    <t>Q1</t>
  </si>
  <si>
    <t>VVBPDQMW128</t>
  </si>
  <si>
    <t>VVBPDQMW128E</t>
  </si>
  <si>
    <t>http://docquery.fec.gov/cgi-bin/fecimg/?202004159219277143</t>
  </si>
  <si>
    <t>WARNOCK FOR GEORGIA</t>
  </si>
  <si>
    <t>SPECIAL GENERAL</t>
  </si>
  <si>
    <t>3613631E</t>
  </si>
  <si>
    <t>http://docquery.fec.gov/cgi-bin/fecimg/?202004159219483705</t>
  </si>
  <si>
    <t>3874032E</t>
  </si>
  <si>
    <t>http://docquery.fec.gov/cgi-bin/fecimg/?202004159219483790</t>
  </si>
  <si>
    <t>3810453E</t>
  </si>
  <si>
    <t>http://docquery.fec.gov/cgi-bin/fecimg/?202004159219483896</t>
  </si>
  <si>
    <t>3965924E</t>
  </si>
  <si>
    <t>http://docquery.fec.gov/cgi-bin/fecimg/?202004159219483953</t>
  </si>
  <si>
    <t>3195625E</t>
  </si>
  <si>
    <t>http://docquery.fec.gov/cgi-bin/fecimg/?202004159219484042</t>
  </si>
  <si>
    <t>3202028E</t>
  </si>
  <si>
    <t>http://docquery.fec.gov/cgi-bin/fecimg/?202004159219484304</t>
  </si>
  <si>
    <t>3611128E</t>
  </si>
  <si>
    <t>http://docquery.fec.gov/cgi-bin/fecimg/?202004159219484312</t>
  </si>
  <si>
    <t>3611129E</t>
  </si>
  <si>
    <t>http://docquery.fec.gov/cgi-bin/fecimg/?202004159219484404</t>
  </si>
  <si>
    <t>SA11AI_220719778</t>
  </si>
  <si>
    <t>http://docquery.fec.gov/cgi-bin/fecimg/?202004219229015406</t>
  </si>
  <si>
    <t>SA11AI_215717881</t>
  </si>
  <si>
    <t>P80000722</t>
  </si>
  <si>
    <t>EARMARKED FOR BIDEN FOR PRESIDENT (C00703975)</t>
  </si>
  <si>
    <t>http://docquery.fec.gov/cgi-bin/fecimg/?202004219229015403</t>
  </si>
  <si>
    <t>SA11AI_215717196</t>
  </si>
  <si>
    <t>http://docquery.fec.gov/cgi-bin/fecimg/?202004219229015404</t>
  </si>
  <si>
    <t>SA11AI_217365387</t>
  </si>
  <si>
    <t>http://docquery.fec.gov/cgi-bin/fecimg/?202004219229015405</t>
  </si>
  <si>
    <t>SA11AI_222356447</t>
  </si>
  <si>
    <t>SA11AI_220719808</t>
  </si>
  <si>
    <t>SA11AI_223581241</t>
  </si>
  <si>
    <t>http://docquery.fec.gov/cgi-bin/fecimg/?202004219229015407</t>
  </si>
  <si>
    <t>SA11AI_223581202</t>
  </si>
  <si>
    <t>SA11AI_217365595</t>
  </si>
  <si>
    <t>SA11AI_217115152</t>
  </si>
  <si>
    <t>C00562983</t>
  </si>
  <si>
    <t>DEMOCRATIC ACTION</t>
  </si>
  <si>
    <t>M5</t>
  </si>
  <si>
    <t>VN8EQMT7ZB1</t>
  </si>
  <si>
    <t>VN8EQMT7ZB1E</t>
  </si>
  <si>
    <t>http://docquery.fec.gov/cgi-bin/fecimg/?202005209232889037</t>
  </si>
  <si>
    <t>VN8EQMWT2R6</t>
  </si>
  <si>
    <t>VN8EQMWT2R6E</t>
  </si>
  <si>
    <t>SA11AI_226397004</t>
  </si>
  <si>
    <t>http://docquery.fec.gov/cgi-bin/fecimg/?202005209236529318</t>
  </si>
  <si>
    <t>SA11AI_226999801</t>
  </si>
  <si>
    <t>http://docquery.fec.gov/cgi-bin/fecimg/?202005209236529319</t>
  </si>
  <si>
    <t>SA11AI_226996960</t>
  </si>
  <si>
    <t>http://docquery.fec.gov/cgi-bin/fecimg/?202005209236529320</t>
  </si>
  <si>
    <t>SA11AI_228238816</t>
  </si>
  <si>
    <t>http://docquery.fec.gov/cgi-bin/fecimg/?202005209236529321</t>
  </si>
  <si>
    <t>SA11AI_231217606</t>
  </si>
  <si>
    <t>http://docquery.fec.gov/cgi-bin/fecimg/?202005209236529322</t>
  </si>
  <si>
    <t>SA11AI_226397016</t>
  </si>
  <si>
    <t>SA11AI_226997014</t>
  </si>
  <si>
    <t>SA11AI_226999841</t>
  </si>
  <si>
    <t>SA11AI_231218299</t>
  </si>
  <si>
    <t>http://docquery.fec.gov/cgi-bin/fecimg/?202005209236529323</t>
  </si>
  <si>
    <t>SA11AI_231218135</t>
  </si>
  <si>
    <t>http://docquery.fec.gov/cgi-bin/fecimg/?202005209236529324</t>
  </si>
  <si>
    <t>SA11AI_229968421</t>
  </si>
  <si>
    <t>SA11AI_227678602</t>
  </si>
  <si>
    <t>SA11AI_231158614</t>
  </si>
  <si>
    <t>SA11AI_229968410</t>
  </si>
  <si>
    <t>SA11AI_231217695</t>
  </si>
  <si>
    <t>4102359E</t>
  </si>
  <si>
    <t>http://docquery.fec.gov/cgi-bin/fecimg/?202005209239386155</t>
  </si>
  <si>
    <t>4502811E</t>
  </si>
  <si>
    <t>4503011E</t>
  </si>
  <si>
    <t>http://docquery.fec.gov/cgi-bin/fecimg/?202005209239386156</t>
  </si>
  <si>
    <t>12P</t>
  </si>
  <si>
    <t>VVBPDRKFHW0</t>
  </si>
  <si>
    <t>VVBPDRKFHW0E</t>
  </si>
  <si>
    <t>http://docquery.fec.gov/cgi-bin/fecimg/?202005289239511411</t>
  </si>
  <si>
    <t>M6</t>
  </si>
  <si>
    <t>4979515E</t>
  </si>
  <si>
    <t>http://docquery.fec.gov/cgi-bin/fecimg/?202006209243747140</t>
  </si>
  <si>
    <t>http://docquery.fec.gov/cgi-bin/fecimg/?202006209243747141</t>
  </si>
  <si>
    <t>4568516E</t>
  </si>
  <si>
    <t>http://docquery.fec.gov/cgi-bin/fecimg/?202006209243747139</t>
  </si>
  <si>
    <t>5264739E</t>
  </si>
  <si>
    <t>M8</t>
  </si>
  <si>
    <t>14848206E</t>
  </si>
  <si>
    <t>http://docquery.fec.gov/cgi-bin/fecimg/?202010239336483008</t>
  </si>
  <si>
    <t>14856044E</t>
  </si>
  <si>
    <t>14923341E</t>
  </si>
  <si>
    <t>http://docquery.fec.gov/cgi-bin/fecimg/?202010239336483009</t>
  </si>
  <si>
    <t>SA11AI_235227410</t>
  </si>
  <si>
    <t>http://docquery.fec.gov/cgi-bin/fecimg/?202006209240820800</t>
  </si>
  <si>
    <t>SA11AI_232319552</t>
  </si>
  <si>
    <t>http://docquery.fec.gov/cgi-bin/fecimg/?202006209240820798</t>
  </si>
  <si>
    <t>SA11AI_238714060</t>
  </si>
  <si>
    <t>http://docquery.fec.gov/cgi-bin/fecimg/?202006209240820803</t>
  </si>
  <si>
    <t>SA11AI_232319397</t>
  </si>
  <si>
    <t>SA11AI_237250207</t>
  </si>
  <si>
    <t>http://docquery.fec.gov/cgi-bin/fecimg/?202006209240820801</t>
  </si>
  <si>
    <t>14044547E</t>
  </si>
  <si>
    <t>http://docquery.fec.gov/cgi-bin/fecimg/?202007089244380683</t>
  </si>
  <si>
    <t>SA11AI_235227583</t>
  </si>
  <si>
    <t>http://docquery.fec.gov/cgi-bin/fecimg/?202006209240820799</t>
  </si>
  <si>
    <t>SA11AI_235227657</t>
  </si>
  <si>
    <t>SA11AI_235227428</t>
  </si>
  <si>
    <t>SA11AI_231819581</t>
  </si>
  <si>
    <t>http://docquery.fec.gov/cgi-bin/fecimg/?202006209240820797</t>
  </si>
  <si>
    <t>SA11AI_237249545</t>
  </si>
  <si>
    <t>http://docquery.fec.gov/cgi-bin/fecimg/?202006209240820802</t>
  </si>
  <si>
    <t>SA11AI_231819543</t>
  </si>
  <si>
    <t>SA11AI_232318916</t>
  </si>
  <si>
    <t>SA11AI_238714173</t>
  </si>
  <si>
    <t>14044965E</t>
  </si>
  <si>
    <t>http://docquery.fec.gov/cgi-bin/fecimg/?202007089244380684</t>
  </si>
  <si>
    <t>SA11AI_234772288</t>
  </si>
  <si>
    <t>SA11AI_235228389</t>
  </si>
  <si>
    <t>SA11AI_234772709</t>
  </si>
  <si>
    <t>14052090E</t>
  </si>
  <si>
    <t>14123952E</t>
  </si>
  <si>
    <t>http://docquery.fec.gov/cgi-bin/fecimg/?202007089244380685</t>
  </si>
  <si>
    <t>14320885E</t>
  </si>
  <si>
    <t>http://docquery.fec.gov/cgi-bin/fecimg/?202007149244537572</t>
  </si>
  <si>
    <t>C00010603</t>
  </si>
  <si>
    <t>DNC SERVICES CORP / DEMOCRATIC NATIONAL COMMITTEE</t>
  </si>
  <si>
    <t>15J</t>
  </si>
  <si>
    <t>MEMO (FILER'S % OF CONTRIBUTION GIVEN TO JOIN</t>
  </si>
  <si>
    <t>SA12</t>
  </si>
  <si>
    <t>* BIDEN VICTORY FUND</t>
  </si>
  <si>
    <t>https://docquery.fec.gov/cgi-bin/fecimg/?202012149387340602</t>
  </si>
  <si>
    <t>Transfers from Authorized Committees</t>
  </si>
  <si>
    <t>STOP REPUBLICANS</t>
  </si>
  <si>
    <t>VTR0FW4SNA5</t>
  </si>
  <si>
    <t>VTR0FW4SNA5E</t>
  </si>
  <si>
    <t>https://docquery.fec.gov/cgi-bin/fecimg/?202010229326842630</t>
  </si>
  <si>
    <t>VTR0FVSS4K5</t>
  </si>
  <si>
    <t>VTR0FVSS4K5E</t>
  </si>
  <si>
    <t>https://docquery.fec.gov/cgi-bin/fecimg/?202010229326844373</t>
  </si>
  <si>
    <t>Q2</t>
  </si>
  <si>
    <t>VVBPDS0P454</t>
  </si>
  <si>
    <t>VVBPDS0P454E</t>
  </si>
  <si>
    <t>http://docquery.fec.gov/cgi-bin/fecimg/?202007159245045496</t>
  </si>
  <si>
    <t>VTR0FVSETD7</t>
  </si>
  <si>
    <t>VTR0FVSETD7E</t>
  </si>
  <si>
    <t>https://docquery.fec.gov/cgi-bin/fecimg/?202010229326855539</t>
  </si>
  <si>
    <t>SA11AI_313377766</t>
  </si>
  <si>
    <t>https://docquery.fec.gov/cgi-bin/fecimg/?202012149376634940</t>
  </si>
  <si>
    <t>SA11AI_313377612</t>
  </si>
  <si>
    <t>SA11AI_313377611</t>
  </si>
  <si>
    <t>https://docquery.fec.gov/cgi-bin/fecimg/?202012149376634941</t>
  </si>
  <si>
    <t>SA11AI_303995591</t>
  </si>
  <si>
    <t>SA11AI_303995734</t>
  </si>
  <si>
    <t>M7</t>
  </si>
  <si>
    <t>14538879E</t>
  </si>
  <si>
    <t>http://docquery.fec.gov/cgi-bin/fecimg/?202007209250486108</t>
  </si>
  <si>
    <t>14571291E</t>
  </si>
  <si>
    <t>VN8EQN5GZ07</t>
  </si>
  <si>
    <t>VN8EQN5GZ07E</t>
  </si>
  <si>
    <t>http://docquery.fec.gov/cgi-bin/fecimg/?202007209255231905</t>
  </si>
  <si>
    <t>SA11AI_256837649</t>
  </si>
  <si>
    <t>H8GA06393</t>
  </si>
  <si>
    <t>http://docquery.fec.gov/cgi-bin/fecimg/?202007209256067568</t>
  </si>
  <si>
    <t>SA11AI_249908857</t>
  </si>
  <si>
    <t>http://docquery.fec.gov/cgi-bin/fecimg/?202007209256067567</t>
  </si>
  <si>
    <t>SA11AI_262077332</t>
  </si>
  <si>
    <t>http://docquery.fec.gov/cgi-bin/fecimg/?202007209256067570</t>
  </si>
  <si>
    <t>SA11AI_259678556</t>
  </si>
  <si>
    <t>http://docquery.fec.gov/cgi-bin/fecimg/?202007209256067569</t>
  </si>
  <si>
    <t>SA11AI_262077421</t>
  </si>
  <si>
    <t>SA11AI_248811681</t>
  </si>
  <si>
    <t>http://docquery.fec.gov/cgi-bin/fecimg/?202007209256067566</t>
  </si>
  <si>
    <t>SA11AI_250794958</t>
  </si>
  <si>
    <t>SA11AI_256837754</t>
  </si>
  <si>
    <t>SA11AI_259678611</t>
  </si>
  <si>
    <t>SA11AI_260596776</t>
  </si>
  <si>
    <t>SA11AI_248811877</t>
  </si>
  <si>
    <t>SA11AI_265500622</t>
  </si>
  <si>
    <t>http://docquery.fec.gov/cgi-bin/fecimg/?202008209262476416</t>
  </si>
  <si>
    <t>SA11AI_265500591</t>
  </si>
  <si>
    <t>SA11AI_265726326</t>
  </si>
  <si>
    <t>http://docquery.fec.gov/cgi-bin/fecimg/?202008209262476417</t>
  </si>
  <si>
    <t>SA11AI_265726371</t>
  </si>
  <si>
    <t>SA11AI_267324914</t>
  </si>
  <si>
    <t>SA11AI_268682147</t>
  </si>
  <si>
    <t>http://docquery.fec.gov/cgi-bin/fecimg/?202008209262476418</t>
  </si>
  <si>
    <t>SA11AI_268682177</t>
  </si>
  <si>
    <t>SA11AI_269625792</t>
  </si>
  <si>
    <t>http://docquery.fec.gov/cgi-bin/fecimg/?202008209262476419</t>
  </si>
  <si>
    <t>SA11AI_270632573</t>
  </si>
  <si>
    <t>SA11AI_270632591</t>
  </si>
  <si>
    <t>http://docquery.fec.gov/cgi-bin/fecimg/?202008209262476420</t>
  </si>
  <si>
    <t>SA11AI_271324943</t>
  </si>
  <si>
    <t>SA11AI_271324994</t>
  </si>
  <si>
    <t>SA11AI_263409589</t>
  </si>
  <si>
    <t>C00603084</t>
  </si>
  <si>
    <t>NATIONAL DEMOCRATIC TRAINING COMMITTEE PAC</t>
  </si>
  <si>
    <t>VSGVDQXN4R6</t>
  </si>
  <si>
    <t>VSGVDQXN4R6E</t>
  </si>
  <si>
    <t>https://docquery.fec.gov/cgi-bin/fecimg/?202012299394444659</t>
  </si>
  <si>
    <t>VN8EQNS3766</t>
  </si>
  <si>
    <t>VN8EQNS3766E</t>
  </si>
  <si>
    <t>http://docquery.fec.gov/cgi-bin/fecimg/?202009189267361865</t>
  </si>
  <si>
    <t>C00718866</t>
  </si>
  <si>
    <t>JON OSSOFF FOR SENATE</t>
  </si>
  <si>
    <t>Q3</t>
  </si>
  <si>
    <t>VTE6ZZEX839</t>
  </si>
  <si>
    <t>CATALYST GROUP</t>
  </si>
  <si>
    <t>FOUNDER</t>
  </si>
  <si>
    <t>VTE6ZZEX839E</t>
  </si>
  <si>
    <t>http://docquery.fec.gov/cgi-bin/fecimg/?202010159295106603</t>
  </si>
  <si>
    <t>VTR0FW77Z01</t>
  </si>
  <si>
    <t>VTR0FW77Z01E</t>
  </si>
  <si>
    <t>https://docquery.fec.gov/cgi-bin/fecimg/?202012039338407801</t>
  </si>
  <si>
    <t>NO CHANGE</t>
  </si>
  <si>
    <t>4707722E</t>
  </si>
  <si>
    <t>http://docquery.fec.gov/cgi-bin/fecimg/?202010149285915295</t>
  </si>
  <si>
    <t>4552792E</t>
  </si>
  <si>
    <t>http://docquery.fec.gov/cgi-bin/fecimg/?202010149285915543</t>
  </si>
  <si>
    <t>4552765E</t>
  </si>
  <si>
    <t>http://docquery.fec.gov/cgi-bin/fecimg/?202010149285916504</t>
  </si>
  <si>
    <t>4555565E</t>
  </si>
  <si>
    <t>http://docquery.fec.gov/cgi-bin/fecimg/?202010149285916506</t>
  </si>
  <si>
    <t>4839736E</t>
  </si>
  <si>
    <t>http://docquery.fec.gov/cgi-bin/fecimg/?202010149285916759</t>
  </si>
  <si>
    <t>4483228E</t>
  </si>
  <si>
    <t>http://docquery.fec.gov/cgi-bin/fecimg/?202010149285917414</t>
  </si>
  <si>
    <t>4616629E</t>
  </si>
  <si>
    <t>http://docquery.fec.gov/cgi-bin/fecimg/?202010149285917739</t>
  </si>
  <si>
    <t>12R</t>
  </si>
  <si>
    <t>RUN-OFF GENERAL</t>
  </si>
  <si>
    <t>4313760E</t>
  </si>
  <si>
    <t>https://docquery.fec.gov/cgi-bin/fecimg/?202106029448480894</t>
  </si>
  <si>
    <t>VTR0FRG3C21</t>
  </si>
  <si>
    <t>VTR0FRG3C21E</t>
  </si>
  <si>
    <t>http://docquery.fec.gov/cgi-bin/fecimg/?202010129285170996</t>
  </si>
  <si>
    <t>VTR0FSQCHM6</t>
  </si>
  <si>
    <t>VTR0FSQCHM6E</t>
  </si>
  <si>
    <t>http://docquery.fec.gov/cgi-bin/fecimg/?202010129285353645</t>
  </si>
  <si>
    <t>VTR0FRG3DJ8</t>
  </si>
  <si>
    <t>VTR0FRG3DJ8E</t>
  </si>
  <si>
    <t>http://docquery.fec.gov/cgi-bin/fecimg/?202010129285417564</t>
  </si>
  <si>
    <t>VTR0FRDENB1</t>
  </si>
  <si>
    <t>VTR0FRDENB1E</t>
  </si>
  <si>
    <t>http://docquery.fec.gov/cgi-bin/fecimg/?202010129285180891</t>
  </si>
  <si>
    <t>VTR0FR86DY0</t>
  </si>
  <si>
    <t>VTR0FR86DY0E</t>
  </si>
  <si>
    <t>http://docquery.fec.gov/cgi-bin/fecimg/?202010129285167197</t>
  </si>
  <si>
    <t>VTR0FR86FT2</t>
  </si>
  <si>
    <t>VTR0FR86FT2E</t>
  </si>
  <si>
    <t>http://docquery.fec.gov/cgi-bin/fecimg/?202010129285228657</t>
  </si>
  <si>
    <t>VTR0FRQY5N4</t>
  </si>
  <si>
    <t>VTR0FRQY5N4E</t>
  </si>
  <si>
    <t>http://docquery.fec.gov/cgi-bin/fecimg/?202010129285288810</t>
  </si>
  <si>
    <t>VTR0FRV13D5</t>
  </si>
  <si>
    <t>VTR0FRV13D5E</t>
  </si>
  <si>
    <t>http://docquery.fec.gov/cgi-bin/fecimg/?202010129285313532</t>
  </si>
  <si>
    <t>VTR0FRQY666</t>
  </si>
  <si>
    <t>VTR0FRQY666E</t>
  </si>
  <si>
    <t>http://docquery.fec.gov/cgi-bin/fecimg/?202010129285339189</t>
  </si>
  <si>
    <t>VTR0FRV13H6</t>
  </si>
  <si>
    <t>VTR0FRV13H6E</t>
  </si>
  <si>
    <t>http://docquery.fec.gov/cgi-bin/fecimg/?202010129285350484</t>
  </si>
  <si>
    <t>VTR0FSQK5S6</t>
  </si>
  <si>
    <t>VTR0FSQK5S6E</t>
  </si>
  <si>
    <t>http://docquery.fec.gov/cgi-bin/fecimg/?202010129285358805</t>
  </si>
  <si>
    <t>VTR0FRDEKT6</t>
  </si>
  <si>
    <t>VTR0FRDEKT6E</t>
  </si>
  <si>
    <t>http://docquery.fec.gov/cgi-bin/fecimg/?202010129285360745</t>
  </si>
  <si>
    <t>VTR0FQWVYX8</t>
  </si>
  <si>
    <t>VTR0FQWVYX8E</t>
  </si>
  <si>
    <t>http://docquery.fec.gov/cgi-bin/fecimg/?202010129285428683</t>
  </si>
  <si>
    <t>VTR0FQXSE69</t>
  </si>
  <si>
    <t>VTR0FQXSE69E</t>
  </si>
  <si>
    <t>http://docquery.fec.gov/cgi-bin/fecimg/?202010129285438384</t>
  </si>
  <si>
    <t>VSGVDR99JC0</t>
  </si>
  <si>
    <t>VSGVDR99JC0E</t>
  </si>
  <si>
    <t>https://docquery.fec.gov/cgi-bin/fecimg/?202101289413568325</t>
  </si>
  <si>
    <t>VSGVDRAXP54</t>
  </si>
  <si>
    <t>VSGVDRAXP54E</t>
  </si>
  <si>
    <t>https://docquery.fec.gov/cgi-bin/fecimg/?202101289413568326</t>
  </si>
  <si>
    <t>VN8EQPY1PE2</t>
  </si>
  <si>
    <t>VN8EQPY1PE2E</t>
  </si>
  <si>
    <t>https://docquery.fec.gov/cgi-bin/fecimg/?202101299413849637</t>
  </si>
  <si>
    <t>VN8EQPY66K7</t>
  </si>
  <si>
    <t>VN8EQPY66K7E</t>
  </si>
  <si>
    <t>https://docquery.fec.gov/cgi-bin/fecimg/?202101299413849638</t>
  </si>
  <si>
    <t>17356044E</t>
  </si>
  <si>
    <t>https://docquery.fec.gov/cgi-bin/fecimg/?202105269447420156</t>
  </si>
  <si>
    <t>SA11AI_317348937</t>
  </si>
  <si>
    <t>EARMARKED FOR CONGRESSIONAL PROGRESSIVE CAUCUS PAC (C00513176)</t>
  </si>
  <si>
    <t>https://docquery.fec.gov/cgi-bin/fecimg/?202012179388387278</t>
  </si>
  <si>
    <t>SA11AI_317349021</t>
  </si>
  <si>
    <t>https://docquery.fec.gov/cgi-bin/fecimg/?202012179388387279</t>
  </si>
  <si>
    <t>SA11AI_317344995</t>
  </si>
  <si>
    <t>SA11AI_317345046</t>
  </si>
  <si>
    <t>https://docquery.fec.gov/cgi-bin/fecimg/?202012179388387280</t>
  </si>
  <si>
    <t>SA11AI_321299281</t>
  </si>
  <si>
    <t>https://docquery.fec.gov/cgi-bin/fecimg/?202012179388387282</t>
  </si>
  <si>
    <t>SA11AI_321299233</t>
  </si>
  <si>
    <t>EARMARKED FOR NATIONAL DEMOCRATIC TRAINING COMMITTEE PAC (C00603084)</t>
  </si>
  <si>
    <t>SA11AI_322148132</t>
  </si>
  <si>
    <t>https://docquery.fec.gov/cgi-bin/fecimg/?202012179388387283</t>
  </si>
  <si>
    <t>C00744946</t>
  </si>
  <si>
    <t>BIDEN VICTORY FUND</t>
  </si>
  <si>
    <t>https://docquery.fec.gov/cgi-bin/fecimg/?202101149404673038</t>
  </si>
  <si>
    <t>SA11AI_325159307</t>
  </si>
  <si>
    <t>SA11AI_317344258</t>
  </si>
  <si>
    <t>EARMARKED FOR MARCH ON PAC (C00748228)</t>
  </si>
  <si>
    <t>SA11AI_317344323</t>
  </si>
  <si>
    <t>SA11AI_316797281</t>
  </si>
  <si>
    <t>SA11AI_325159219</t>
  </si>
  <si>
    <t>https://docquery.fec.gov/cgi-bin/fecimg/?202012179388387284</t>
  </si>
  <si>
    <t>SA11AI_319042875</t>
  </si>
  <si>
    <t>https://docquery.fec.gov/cgi-bin/fecimg/?202012179388387281</t>
  </si>
  <si>
    <t>SA11AI_319041324</t>
  </si>
  <si>
    <t>SA11AI_319042584</t>
  </si>
  <si>
    <t>SA11AI_319041048</t>
  </si>
  <si>
    <t>O2020</t>
  </si>
  <si>
    <t>5672702E</t>
  </si>
  <si>
    <t>https://docquery.fec.gov/cgi-bin/fecimg/?202106029448515616</t>
  </si>
  <si>
    <t>VTR0FXFWV04</t>
  </si>
  <si>
    <t>VTR0FXFWV04E</t>
  </si>
  <si>
    <t>https://docquery.fec.gov/cgi-bin/fecimg/?202012039338493867</t>
  </si>
  <si>
    <t>15035476E</t>
  </si>
  <si>
    <t>http://docquery.fec.gov/cgi-bin/fecimg/?202011239337088489</t>
  </si>
  <si>
    <t>15276438E</t>
  </si>
  <si>
    <t>http://docquery.fec.gov/cgi-bin/fecimg/?202011239337088490</t>
  </si>
  <si>
    <t>VTR0FWFPTR4</t>
  </si>
  <si>
    <t>VTR0FWFPTR4E</t>
  </si>
  <si>
    <t>https://docquery.fec.gov/cgi-bin/fecimg/?202012039338515233</t>
  </si>
  <si>
    <t>12S</t>
  </si>
  <si>
    <t>7694021E</t>
  </si>
  <si>
    <t>http://docquery.fec.gov/cgi-bin/fecimg/?202010229335350073</t>
  </si>
  <si>
    <t>RUN-OFF SPECIAL</t>
  </si>
  <si>
    <t>7963057E</t>
  </si>
  <si>
    <t>http://docquery.fec.gov/cgi-bin/fecimg/?202010229335354854</t>
  </si>
  <si>
    <t>7929699E</t>
  </si>
  <si>
    <t>http://docquery.fec.gov/cgi-bin/fecimg/?202010229335356619</t>
  </si>
  <si>
    <t>5815277E</t>
  </si>
  <si>
    <t>http://docquery.fec.gov/cgi-bin/fecimg/?202010159295854388</t>
  </si>
  <si>
    <t>http://docquery.fec.gov/cgi-bin/fecimg/?202010159295856425</t>
  </si>
  <si>
    <t>5292919E</t>
  </si>
  <si>
    <t>http://docquery.fec.gov/cgi-bin/fecimg/?202010159295857116</t>
  </si>
  <si>
    <t>6279515E</t>
  </si>
  <si>
    <t>http://docquery.fec.gov/cgi-bin/fecimg/?202010159295849638</t>
  </si>
  <si>
    <t>http://docquery.fec.gov/cgi-bin/fecimg/?202010159295857980</t>
  </si>
  <si>
    <t>25776011E</t>
  </si>
  <si>
    <t>http://docquery.fec.gov/cgi-bin/fecimg/?202012039341941491</t>
  </si>
  <si>
    <t>25776275E</t>
  </si>
  <si>
    <t>https://docquery.fec.gov/cgi-bin/fecimg/?202106029448713514</t>
  </si>
  <si>
    <t>Transfers from authorized committees</t>
  </si>
  <si>
    <t>4924175E</t>
  </si>
  <si>
    <t>https://docquery.fec.gov/cgi-bin/fecimg/?202106029448605525</t>
  </si>
  <si>
    <t>VTR0FX7KFJ1</t>
  </si>
  <si>
    <t>VTR0FX7KFJ1E</t>
  </si>
  <si>
    <t>https://docquery.fec.gov/cgi-bin/fecimg/?202012039338423549</t>
  </si>
  <si>
    <t>VTR0FXA27T1</t>
  </si>
  <si>
    <t>VTR0FXA27T1E</t>
  </si>
  <si>
    <t>https://docquery.fec.gov/cgi-bin/fecimg/?202012039338430910</t>
  </si>
  <si>
    <t>VTR0FXA1R62</t>
  </si>
  <si>
    <t>VTR0FXA1R62E</t>
  </si>
  <si>
    <t>https://docquery.fec.gov/cgi-bin/fecimg/?202012039338441645</t>
  </si>
  <si>
    <t>VTR0FX6GJ83</t>
  </si>
  <si>
    <t>VTR0FX6GJ83E</t>
  </si>
  <si>
    <t>https://docquery.fec.gov/cgi-bin/fecimg/?202012039338471911</t>
  </si>
  <si>
    <t>SA11AI_346260358</t>
  </si>
  <si>
    <t>https://docquery.fec.gov/cgi-bin/fecimg/?202012049354553937</t>
  </si>
  <si>
    <t>SA11AI_353885081</t>
  </si>
  <si>
    <t>https://docquery.fec.gov/cgi-bin/fecimg/?202012049354553945</t>
  </si>
  <si>
    <t>SA11AI_353881308</t>
  </si>
  <si>
    <t>https://docquery.fec.gov/cgi-bin/fecimg/?202012049354553944</t>
  </si>
  <si>
    <t>SA11AI_329673112</t>
  </si>
  <si>
    <t>https://docquery.fec.gov/cgi-bin/fecimg/?202012049354553928</t>
  </si>
  <si>
    <t>SA11AI_329673183</t>
  </si>
  <si>
    <t>https://docquery.fec.gov/cgi-bin/fecimg/?202012049354553927</t>
  </si>
  <si>
    <t>SA11AI_334317078</t>
  </si>
  <si>
    <t>https://docquery.fec.gov/cgi-bin/fecimg/?202012049354553930</t>
  </si>
  <si>
    <t>SA11AI_334317145</t>
  </si>
  <si>
    <t>SA11AI_334316338</t>
  </si>
  <si>
    <t>SA11AI_348393661</t>
  </si>
  <si>
    <t>https://docquery.fec.gov/cgi-bin/fecimg/?202012049354553940</t>
  </si>
  <si>
    <t>SA11AI_348393690</t>
  </si>
  <si>
    <t>https://docquery.fec.gov/cgi-bin/fecimg/?202012049354553939</t>
  </si>
  <si>
    <t>SA11AI_352021049</t>
  </si>
  <si>
    <t>S8GA00180</t>
  </si>
  <si>
    <t>EARMARKED FOR JON OSSOFF FOR SENATE (C00718866)</t>
  </si>
  <si>
    <t>https://docquery.fec.gov/cgi-bin/fecimg/?202012049354553943</t>
  </si>
  <si>
    <t>SA11AI_352021050</t>
  </si>
  <si>
    <t>https://docquery.fec.gov/cgi-bin/fecimg/?202012049354553942</t>
  </si>
  <si>
    <t>SA11AI_352021077</t>
  </si>
  <si>
    <t>SA11AI_351914236</t>
  </si>
  <si>
    <t>SA11AI_351912662</t>
  </si>
  <si>
    <t>https://docquery.fec.gov/cgi-bin/fecimg/?202012049354553941</t>
  </si>
  <si>
    <t>VVBPDV7KW51</t>
  </si>
  <si>
    <t>VVBPDV7KW51E</t>
  </si>
  <si>
    <t>http://docquery.fec.gov/cgi-bin/fecimg/?202010159295131360</t>
  </si>
  <si>
    <t>VVBPDTZZNB0</t>
  </si>
  <si>
    <t>VVBPDTZZNB0E</t>
  </si>
  <si>
    <t>http://docquery.fec.gov/cgi-bin/fecimg/?202010159295131096</t>
  </si>
  <si>
    <t>SA11AI_351914194</t>
  </si>
  <si>
    <t>SA11AI_341207579</t>
  </si>
  <si>
    <t>https://docquery.fec.gov/cgi-bin/fecimg/?202012049354553933</t>
  </si>
  <si>
    <t>SA11AI_341208497</t>
  </si>
  <si>
    <t>https://docquery.fec.gov/cgi-bin/fecimg/?202012049354553932</t>
  </si>
  <si>
    <t>SA11AI_326569638</t>
  </si>
  <si>
    <t>https://docquery.fec.gov/cgi-bin/fecimg/?202012049354553926</t>
  </si>
  <si>
    <t>SA11AI_326569753</t>
  </si>
  <si>
    <t>SA11AI_343636062</t>
  </si>
  <si>
    <t>https://docquery.fec.gov/cgi-bin/fecimg/?202012049354553935</t>
  </si>
  <si>
    <t>SA11AI_343636064</t>
  </si>
  <si>
    <t>SA11AI_343636134</t>
  </si>
  <si>
    <t>SA11AI_342790368</t>
  </si>
  <si>
    <t>https://docquery.fec.gov/cgi-bin/fecimg/?202012049354553934</t>
  </si>
  <si>
    <t>SA11AI_342790457</t>
  </si>
  <si>
    <t>SA11AI_342788777</t>
  </si>
  <si>
    <t>SA11AI_342788895</t>
  </si>
  <si>
    <t>SA11AI_345064519</t>
  </si>
  <si>
    <t>https://docquery.fec.gov/cgi-bin/fecimg/?202012049354553936</t>
  </si>
  <si>
    <t>SA11AI_332523399</t>
  </si>
  <si>
    <t>https://docquery.fec.gov/cgi-bin/fecimg/?202012049354553929</t>
  </si>
  <si>
    <t>SA11AI_332523458</t>
  </si>
  <si>
    <t>SA11AI_345063769</t>
  </si>
  <si>
    <t>SA11AI_345064598</t>
  </si>
  <si>
    <t>SA11AI_345063839</t>
  </si>
  <si>
    <t>SA11AI_346474936</t>
  </si>
  <si>
    <t>C00365536</t>
  </si>
  <si>
    <t>EARMARKED FOR CHC BOLD PAC/COMMITTEE FOR HISPANIC CAUSES BUILDING OUR LEADERSHIP DIVERSITY (C0036553</t>
  </si>
  <si>
    <t>SA11AI_346475000</t>
  </si>
  <si>
    <t>https://docquery.fec.gov/cgi-bin/fecimg/?202012049354553938</t>
  </si>
  <si>
    <t>SA11AI_350218008</t>
  </si>
  <si>
    <t>SA11AI_347384673</t>
  </si>
  <si>
    <t>SA11AI_347384729</t>
  </si>
  <si>
    <t>SA11AI_347393838</t>
  </si>
  <si>
    <t>SA11AI_351699154</t>
  </si>
  <si>
    <t>SA11AI_330810601</t>
  </si>
  <si>
    <t>SA11AI_330810660</t>
  </si>
  <si>
    <t>SA11AI_293817669</t>
  </si>
  <si>
    <t>https://docquery.fec.gov/cgi-bin/fecimg/?202012149376634932</t>
  </si>
  <si>
    <t>SA11AI_293817703</t>
  </si>
  <si>
    <t>SA11AI_293816879</t>
  </si>
  <si>
    <t>https://docquery.fec.gov/cgi-bin/fecimg/?202012149376634931</t>
  </si>
  <si>
    <t>SA11AI_293816927</t>
  </si>
  <si>
    <t>SA11AI_294748888</t>
  </si>
  <si>
    <t>https://docquery.fec.gov/cgi-bin/fecimg/?202012149376634933</t>
  </si>
  <si>
    <t>SA11AI_294750430</t>
  </si>
  <si>
    <t>SA11AI_310565408</t>
  </si>
  <si>
    <t>https://docquery.fec.gov/cgi-bin/fecimg/?202012149376634938</t>
  </si>
  <si>
    <t>SA11AI_310180569</t>
  </si>
  <si>
    <t>https://docquery.fec.gov/cgi-bin/fecimg/?202012149376634939</t>
  </si>
  <si>
    <t>SA11AI_310565499</t>
  </si>
  <si>
    <t>SA11AI_290087713</t>
  </si>
  <si>
    <t>https://docquery.fec.gov/cgi-bin/fecimg/?202012149376634930</t>
  </si>
  <si>
    <t>SA11AI_291759760</t>
  </si>
  <si>
    <t>SA11AI_302861307</t>
  </si>
  <si>
    <t>SA11AI_311347253</t>
  </si>
  <si>
    <t>SA11AI_311347158</t>
  </si>
  <si>
    <t>R2020</t>
  </si>
  <si>
    <t>RUNOFF</t>
  </si>
  <si>
    <t>9139090E</t>
  </si>
  <si>
    <t>https://docquery.fec.gov/cgi-bin/fecimg/?202012249394100611</t>
  </si>
  <si>
    <t>11079693E</t>
  </si>
  <si>
    <t>https://docquery.fec.gov/cgi-bin/fecimg/?202012249394155975</t>
  </si>
  <si>
    <t>8894119E</t>
  </si>
  <si>
    <t>https://docquery.fec.gov/cgi-bin/fecimg/?202012249394250854</t>
  </si>
  <si>
    <t>11312305E</t>
  </si>
  <si>
    <t>https://docquery.fec.gov/cgi-bin/fecimg/?202012249394175595</t>
  </si>
  <si>
    <t>10741415E</t>
  </si>
  <si>
    <t>https://docquery.fec.gov/cgi-bin/fecimg/?202012249394176959</t>
  </si>
  <si>
    <t>https://docquery.fec.gov/cgi-bin/fecimg/?202012249394194314</t>
  </si>
  <si>
    <t>10486326E</t>
  </si>
  <si>
    <t>https://docquery.fec.gov/cgi-bin/fecimg/?202012249394197697</t>
  </si>
  <si>
    <t>11065946E</t>
  </si>
  <si>
    <t>https://docquery.fec.gov/cgi-bin/fecimg/?202012249394202244</t>
  </si>
  <si>
    <t>9877727E</t>
  </si>
  <si>
    <t>https://docquery.fec.gov/cgi-bin/fecimg/?202012249394216768</t>
  </si>
  <si>
    <t>10781647E</t>
  </si>
  <si>
    <t>https://docquery.fec.gov/cgi-bin/fecimg/?202012249394219424</t>
  </si>
  <si>
    <t>8365691E</t>
  </si>
  <si>
    <t>https://docquery.fec.gov/cgi-bin/fecimg/?202012249394118020</t>
  </si>
  <si>
    <t>9907091E</t>
  </si>
  <si>
    <t>https://docquery.fec.gov/cgi-bin/fecimg/?202012249394118942</t>
  </si>
  <si>
    <t>https://docquery.fec.gov/cgi-bin/fecimg/?202012249394268323</t>
  </si>
  <si>
    <t>https://docquery.fec.gov/cgi-bin/fecimg/?202012249394120308</t>
  </si>
  <si>
    <t>9478592E</t>
  </si>
  <si>
    <t>https://docquery.fec.gov/cgi-bin/fecimg/?202012249394136524</t>
  </si>
  <si>
    <t>SA11AI_339386361</t>
  </si>
  <si>
    <t>https://docquery.fec.gov/cgi-bin/fecimg/?202012049354553931</t>
  </si>
  <si>
    <t>SA11AI_339386419</t>
  </si>
  <si>
    <t>SA11AI_354345074</t>
  </si>
  <si>
    <t>SA11AI_354345076</t>
  </si>
  <si>
    <t>SA11AI_365424502</t>
  </si>
  <si>
    <t>EARMARKED FOR DEMOCRATIC ACTION (C00562983)</t>
  </si>
  <si>
    <t>https://docquery.fec.gov/cgi-bin/fecimg/?202101319419580679</t>
  </si>
  <si>
    <t>SA11AI_365424589</t>
  </si>
  <si>
    <t>https://docquery.fec.gov/cgi-bin/fecimg/?202101319419580680</t>
  </si>
  <si>
    <t>SA11AI_365422556</t>
  </si>
  <si>
    <t>SA11AI_356370456</t>
  </si>
  <si>
    <t>https://docquery.fec.gov/cgi-bin/fecimg/?202101319419580671</t>
  </si>
  <si>
    <t>SA11AI_356370459</t>
  </si>
  <si>
    <t>SA11AI_363099818</t>
  </si>
  <si>
    <t>https://docquery.fec.gov/cgi-bin/fecimg/?202101319419580677</t>
  </si>
  <si>
    <t>SA11AI_363099817</t>
  </si>
  <si>
    <t>SA11AI_357378491</t>
  </si>
  <si>
    <t>https://docquery.fec.gov/cgi-bin/fecimg/?202101319419580672</t>
  </si>
  <si>
    <t>SA11AI_363603235</t>
  </si>
  <si>
    <t>https://docquery.fec.gov/cgi-bin/fecimg/?202101319419580678</t>
  </si>
  <si>
    <t>SA11AI_358748199</t>
  </si>
  <si>
    <t>https://docquery.fec.gov/cgi-bin/fecimg/?202101319419580674</t>
  </si>
  <si>
    <t>SA11AI_358748200</t>
  </si>
  <si>
    <t>SA11AI_356524635</t>
  </si>
  <si>
    <t>https://docquery.fec.gov/cgi-bin/fecimg/?202101319419580669</t>
  </si>
  <si>
    <t>SA11AI_356524636</t>
  </si>
  <si>
    <t>https://docquery.fec.gov/cgi-bin/fecimg/?202101319419580670</t>
  </si>
  <si>
    <t>SA11AI_356524670</t>
  </si>
  <si>
    <t>SA11AI_356544392</t>
  </si>
  <si>
    <t>SA11AI_356544393</t>
  </si>
  <si>
    <t>SA11AI_356544404</t>
  </si>
  <si>
    <t>SA11AI_361639839</t>
  </si>
  <si>
    <t>https://docquery.fec.gov/cgi-bin/fecimg/?202101319419580675</t>
  </si>
  <si>
    <t>SA11AI_361639840</t>
  </si>
  <si>
    <t>https://docquery.fec.gov/cgi-bin/fecimg/?202101319419580676</t>
  </si>
  <si>
    <t>SA11AI_361639842</t>
  </si>
  <si>
    <t>SA11AI_361015023</t>
  </si>
  <si>
    <t>SA11AI_361015025</t>
  </si>
  <si>
    <t>SA11AI_358369936</t>
  </si>
  <si>
    <t>https://docquery.fec.gov/cgi-bin/fecimg/?202101319419580673</t>
  </si>
  <si>
    <t>SA11AI_364715308</t>
  </si>
  <si>
    <t>SA11AI_364715310</t>
  </si>
  <si>
    <t>C00751339</t>
  </si>
  <si>
    <t>GEORGIA SENATE VICTORY FUND</t>
  </si>
  <si>
    <t>3445816E</t>
  </si>
  <si>
    <t>https://docquery.fec.gov/cgi-bin/fecimg/?202012249393804767</t>
  </si>
  <si>
    <t>SA11AI_362999274</t>
  </si>
  <si>
    <t>SA11AI_358312221</t>
  </si>
  <si>
    <t>SA11AI_358312232</t>
  </si>
  <si>
    <t>16872805E</t>
  </si>
  <si>
    <t>https://docquery.fec.gov/cgi-bin/fecimg/?202106189449528270</t>
  </si>
  <si>
    <t>16993003E</t>
  </si>
  <si>
    <t>https://docquery.fec.gov/cgi-bin/fecimg/?202106189449528271</t>
  </si>
  <si>
    <t>17052895E</t>
  </si>
  <si>
    <t>https://docquery.fec.gov/cgi-bin/fecimg/?202106189449528272</t>
  </si>
  <si>
    <t>17054121E</t>
  </si>
  <si>
    <t>VTR0FY6D906</t>
  </si>
  <si>
    <t>VTR0FY6D906E</t>
  </si>
  <si>
    <t>https://docquery.fec.gov/cgi-bin/fecimg/?202101289413790128</t>
  </si>
  <si>
    <t>SA11AI_281670998</t>
  </si>
  <si>
    <t>https://docquery.fec.gov/cgi-bin/fecimg/?202012119367915068</t>
  </si>
  <si>
    <t>SA11AI_281670656</t>
  </si>
  <si>
    <t>https://docquery.fec.gov/cgi-bin/fecimg/?202012119367915067</t>
  </si>
  <si>
    <t>SA11AI_281672760</t>
  </si>
  <si>
    <t>https://docquery.fec.gov/cgi-bin/fecimg/?202012119367915069</t>
  </si>
  <si>
    <t>SA11AI_281672441</t>
  </si>
  <si>
    <t>SA11AI_281666356</t>
  </si>
  <si>
    <t>SA11AI_280933521</t>
  </si>
  <si>
    <t>https://docquery.fec.gov/cgi-bin/fecimg/?202012119367915066</t>
  </si>
  <si>
    <t>SA11AI_280934368</t>
  </si>
  <si>
    <t>SA11AI_280933284</t>
  </si>
  <si>
    <t>SA11AI_281477139</t>
  </si>
  <si>
    <t>SA11AI_280934607</t>
  </si>
  <si>
    <t>https://docquery.fec.gov/cgi-bin/fecimg/?202012119367915065</t>
  </si>
  <si>
    <t>SA11AI_281666674</t>
  </si>
  <si>
    <t>SA11AI_280204219</t>
  </si>
  <si>
    <t>SA11AI_280204271</t>
  </si>
  <si>
    <t>SA11AI_287023687</t>
  </si>
  <si>
    <t>https://docquery.fec.gov/cgi-bin/fecimg/?202012119367915074</t>
  </si>
  <si>
    <t>SA11AI_287023420</t>
  </si>
  <si>
    <t>https://docquery.fec.gov/cgi-bin/fecimg/?202012119367915073</t>
  </si>
  <si>
    <t>SA11AI_287023459</t>
  </si>
  <si>
    <t>SA11AI_287025460</t>
  </si>
  <si>
    <t>https://docquery.fec.gov/cgi-bin/fecimg/?202012119367915072</t>
  </si>
  <si>
    <t>SA11AI_287023650</t>
  </si>
  <si>
    <t>SA11AI_272165811</t>
  </si>
  <si>
    <t>https://docquery.fec.gov/cgi-bin/fecimg/?202012119367915055</t>
  </si>
  <si>
    <t>SA11AI_272165898</t>
  </si>
  <si>
    <t>SA11AI_276832339</t>
  </si>
  <si>
    <t>https://docquery.fec.gov/cgi-bin/fecimg/?202012119367915061</t>
  </si>
  <si>
    <t>SA11AI_272886314</t>
  </si>
  <si>
    <t>https://docquery.fec.gov/cgi-bin/fecimg/?202012119367915056</t>
  </si>
  <si>
    <t>SA11AI_272886378</t>
  </si>
  <si>
    <t>SA11AI_284225074</t>
  </si>
  <si>
    <t>https://docquery.fec.gov/cgi-bin/fecimg/?202012119367915070</t>
  </si>
  <si>
    <t>SA11AI_278213021</t>
  </si>
  <si>
    <t>https://docquery.fec.gov/cgi-bin/fecimg/?202012119367915062</t>
  </si>
  <si>
    <t>SA11AI_278214350</t>
  </si>
  <si>
    <t>SA11AI_278212629</t>
  </si>
  <si>
    <t>https://docquery.fec.gov/cgi-bin/fecimg/?202012119367915063</t>
  </si>
  <si>
    <t>SA11AI_278212681</t>
  </si>
  <si>
    <t>SA11AI_274635339</t>
  </si>
  <si>
    <t>https://docquery.fec.gov/cgi-bin/fecimg/?202012119367915058</t>
  </si>
  <si>
    <t>SA11AI_274635375</t>
  </si>
  <si>
    <t>https://docquery.fec.gov/cgi-bin/fecimg/?202012119367915057</t>
  </si>
  <si>
    <t>SA11AI_284914403</t>
  </si>
  <si>
    <t>https://docquery.fec.gov/cgi-bin/fecimg/?202012119367915071</t>
  </si>
  <si>
    <t>SA11AI_284914501</t>
  </si>
  <si>
    <t>SA11AI_273387873</t>
  </si>
  <si>
    <t>SA11AI_278212976</t>
  </si>
  <si>
    <t>SA11AI_278214280</t>
  </si>
  <si>
    <t>SA11AI_279378619</t>
  </si>
  <si>
    <t>https://docquery.fec.gov/cgi-bin/fecimg/?202012119367915064</t>
  </si>
  <si>
    <t>SA11AI_276223542</t>
  </si>
  <si>
    <t>https://docquery.fec.gov/cgi-bin/fecimg/?202012119367915060</t>
  </si>
  <si>
    <t>SA11AI_276223630</t>
  </si>
  <si>
    <t>https://docquery.fec.gov/cgi-bin/fecimg/?202012119367915059</t>
  </si>
  <si>
    <t>SA11AI_284914681</t>
  </si>
  <si>
    <t>SA11AI_284914744</t>
  </si>
  <si>
    <t>SA11AI_275039174</t>
  </si>
  <si>
    <t>SA11AI_275039192</t>
  </si>
  <si>
    <t>SA11AI_275038462</t>
  </si>
  <si>
    <t>SA11AI_275038481</t>
  </si>
  <si>
    <t>SA11AI_276613446</t>
  </si>
  <si>
    <t>SA11AI_276613547</t>
  </si>
  <si>
    <t>SA11AI_284225137</t>
  </si>
  <si>
    <t>SA11AI_273262812</t>
  </si>
  <si>
    <t>SA11AI_273262878</t>
  </si>
  <si>
    <t>15739383E</t>
  </si>
  <si>
    <t>https://docquery.fec.gov/cgi-bin/fecimg/?202102119427706505</t>
  </si>
  <si>
    <t>15750911E</t>
  </si>
  <si>
    <t>15770358E</t>
  </si>
  <si>
    <t>https://docquery.fec.gov/cgi-bin/fecimg/?202102119427706506</t>
  </si>
  <si>
    <t>16081324E</t>
  </si>
  <si>
    <t>https://docquery.fec.gov/cgi-bin/fecimg/?202102119427706507</t>
  </si>
  <si>
    <t>* EARMARKED CONTRIBUTION THROUGH ACTBLUE PAC ON 05/31/2020</t>
  </si>
  <si>
    <t>https://docquery.fec.gov/cgi-bin/fecimg/?202103249442074730</t>
  </si>
  <si>
    <t>30251625E</t>
  </si>
  <si>
    <t>https://docquery.fec.gov/cgi-bin/fecimg/?202103299442324175</t>
  </si>
  <si>
    <t>30508242E</t>
  </si>
  <si>
    <t>30008012E</t>
  </si>
  <si>
    <t>https://docquery.fec.gov/cgi-bin/fecimg/?202103299442284368</t>
  </si>
  <si>
    <t>30097140E</t>
  </si>
  <si>
    <t>https://docquery.fec.gov/cgi-bin/fecimg/?202103299442284369</t>
  </si>
  <si>
    <t>* EARMARKED CONTRIBUTION THROUGH ACTBLUE PAC ON 03/30/2020</t>
  </si>
  <si>
    <t>https://docquery.fec.gov/cgi-bin/fecimg/?202103239442048941</t>
  </si>
  <si>
    <t>* EARMARKED CONTRIBUTION THROUGH ACTBLUE PAC ON 10/22/2020</t>
  </si>
  <si>
    <t>https://docquery.fec.gov/cgi-bin/fecimg/?202103309442791696</t>
  </si>
  <si>
    <t>* EARMARKED CONTRIBUTION THROUGH ACTBLUE PAC ON 10/28/2020</t>
  </si>
  <si>
    <t>https://docquery.fec.gov/cgi-bin/fecimg/?202103309442791697</t>
  </si>
  <si>
    <t>* EARMARKED CONTRIBUTION THROUGH ACTBLUE PAC ON 10/31/2020</t>
  </si>
  <si>
    <t>30619441E</t>
  </si>
  <si>
    <t>https://docquery.fec.gov/cgi-bin/fecimg/?202103299442566085</t>
  </si>
  <si>
    <t>30668609E</t>
  </si>
  <si>
    <t>https://docquery.fec.gov/cgi-bin/fecimg/?202103299442566086</t>
  </si>
  <si>
    <t>30746513E</t>
  </si>
  <si>
    <t>https://docquery.fec.gov/cgi-bin/fecimg/?202103299442566087</t>
  </si>
  <si>
    <t>30895646E</t>
  </si>
  <si>
    <t>D</t>
  </si>
  <si>
    <t>553 AUBURN AVE NE ATLANTA GA 303121941</t>
  </si>
  <si>
    <t>SA11AI_193740683</t>
  </si>
  <si>
    <t>HEID, MICHAEL</t>
  </si>
  <si>
    <t>MICHAEL</t>
  </si>
  <si>
    <t>HEID</t>
  </si>
  <si>
    <t>117 LEE ROAD</t>
  </si>
  <si>
    <t>PITTSBURGH</t>
  </si>
  <si>
    <t>PA</t>
  </si>
  <si>
    <t>NOT EMPLOYED</t>
  </si>
  <si>
    <t>EARMARKED FOR AMY FOR AMERICA (C00696419)</t>
  </si>
  <si>
    <t>http://docquery.fec.gov/cgi-bin/fecimg/?202001299170592378</t>
  </si>
  <si>
    <t>SA11AI_197813221</t>
  </si>
  <si>
    <t>http://docquery.fec.gov/cgi-bin/fecimg/?202002219200710831</t>
  </si>
  <si>
    <t>SA11AI_204921141</t>
  </si>
  <si>
    <t>http://docquery.fec.gov/cgi-bin/fecimg/?202003209211349729</t>
  </si>
  <si>
    <t>SA11AI_215550876</t>
  </si>
  <si>
    <t>http://docquery.fec.gov/cgi-bin/fecimg/?202004219229138920</t>
  </si>
  <si>
    <t>C00696419</t>
  </si>
  <si>
    <t>AMY FOR AMERICA</t>
  </si>
  <si>
    <t>117 LEE RD</t>
  </si>
  <si>
    <t>1611598E</t>
  </si>
  <si>
    <t>http://docquery.fec.gov/cgi-bin/fecimg/?202007159249971242</t>
  </si>
  <si>
    <t>1250568E</t>
  </si>
  <si>
    <t>http://docquery.fec.gov/cgi-bin/fecimg/?202007159249951823</t>
  </si>
  <si>
    <t>117 LEE ROAD PITTSBURGH PA 15237</t>
  </si>
  <si>
    <t>UK</t>
  </si>
  <si>
    <t>TX</t>
  </si>
  <si>
    <t>https://docquery.fec.gov/cgi-bin/fecimg/?202012249394094609</t>
  </si>
  <si>
    <t>11438160E</t>
  </si>
  <si>
    <t>ECONOMIST</t>
  </si>
  <si>
    <t>LINKEDIN</t>
  </si>
  <si>
    <t>NEW YORK</t>
  </si>
  <si>
    <t>APT 2E</t>
  </si>
  <si>
    <t>420 RIVERSIDE DR</t>
  </si>
  <si>
    <t>KIMBROUGH</t>
  </si>
  <si>
    <t>KARIN</t>
  </si>
  <si>
    <t>KIMBROUGH, KARIN</t>
  </si>
  <si>
    <t>https://docquery.fec.gov/cgi-bin/fecimg/?202106029448611499</t>
  </si>
  <si>
    <t>5518895E</t>
  </si>
  <si>
    <t>420 RIVERSIDE DR NEW YORK NY 100257755</t>
  </si>
  <si>
    <t>https://docquery.fec.gov/cgi-bin/fecimg/?202012039340006655</t>
  </si>
  <si>
    <t>EXECUTIVE COMMITTEE</t>
  </si>
  <si>
    <t>CAPITAL ONE</t>
  </si>
  <si>
    <t>VA</t>
  </si>
  <si>
    <t>LEESBURG</t>
  </si>
  <si>
    <t>43414 TURNBERRY ISLE COURT</t>
  </si>
  <si>
    <t>BLACKLEY</t>
  </si>
  <si>
    <t>RICHARD</t>
  </si>
  <si>
    <t>C</t>
  </si>
  <si>
    <t>BLACKLEY, RICHARD S</t>
  </si>
  <si>
    <t>A2020-2501812</t>
  </si>
  <si>
    <t>CAPITAL ONE FINANCIAL CORP. ASSOC. POLITICAL FUND</t>
  </si>
  <si>
    <t>C00326595</t>
  </si>
  <si>
    <t>A2020-2405187</t>
  </si>
  <si>
    <t>A2020-2335860</t>
  </si>
  <si>
    <t>https://docquery.fec.gov/cgi-bin/fecimg/?202101299413971655</t>
  </si>
  <si>
    <t>A2020-2730498</t>
  </si>
  <si>
    <t>A2020-2631552</t>
  </si>
  <si>
    <t>http://docquery.fec.gov/cgi-bin/fecimg/?202010219326760383</t>
  </si>
  <si>
    <t>A2020-2303748</t>
  </si>
  <si>
    <t>http://docquery.fec.gov/cgi-bin/fecimg/?202010209297389465</t>
  </si>
  <si>
    <t>A2020-2139241</t>
  </si>
  <si>
    <t>A2020-1965939</t>
  </si>
  <si>
    <t>http://docquery.fec.gov/cgi-bin/fecimg/?202009179267237273</t>
  </si>
  <si>
    <t>A2020-1879031</t>
  </si>
  <si>
    <t>http://docquery.fec.gov/cgi-bin/fecimg/?202009179267237272</t>
  </si>
  <si>
    <t>A2020-1842072</t>
  </si>
  <si>
    <t>http://docquery.fec.gov/cgi-bin/fecimg/?202007209250465654</t>
  </si>
  <si>
    <t>A2020-1353708</t>
  </si>
  <si>
    <t>A2020-1162286</t>
  </si>
  <si>
    <t>http://docquery.fec.gov/cgi-bin/fecimg/?202006199240011653</t>
  </si>
  <si>
    <t>A2020-1102359</t>
  </si>
  <si>
    <t>A2020-982908</t>
  </si>
  <si>
    <t>http://docquery.fec.gov/cgi-bin/fecimg/?202008199261399498</t>
  </si>
  <si>
    <t>A2020-1638947</t>
  </si>
  <si>
    <t>http://docquery.fec.gov/cgi-bin/fecimg/?202008199261399497</t>
  </si>
  <si>
    <t>A2020-1604969</t>
  </si>
  <si>
    <t>A2020-1409111</t>
  </si>
  <si>
    <t>http://docquery.fec.gov/cgi-bin/fecimg/?202005129232673098</t>
  </si>
  <si>
    <t>A2020-849242</t>
  </si>
  <si>
    <t>A2020-765601</t>
  </si>
  <si>
    <t>http://docquery.fec.gov/cgi-bin/fecimg/?202004179219700996</t>
  </si>
  <si>
    <t>A2020-555628</t>
  </si>
  <si>
    <t>http://docquery.fec.gov/cgi-bin/fecimg/?202004179219700995</t>
  </si>
  <si>
    <t>A2020-532829</t>
  </si>
  <si>
    <t>http://docquery.fec.gov/cgi-bin/fecimg/?202003189203897184</t>
  </si>
  <si>
    <t>A2020-313442</t>
  </si>
  <si>
    <t>http://docquery.fec.gov/cgi-bin/fecimg/?202003189203897183</t>
  </si>
  <si>
    <t>A2020-283789</t>
  </si>
  <si>
    <t>http://docquery.fec.gov/cgi-bin/fecimg/?202002189186519495</t>
  </si>
  <si>
    <t>A2020-85690</t>
  </si>
  <si>
    <t>A2020-40733</t>
  </si>
  <si>
    <t>http://docquery.fec.gov/cgi-bin/fecimg/?202001309182502729</t>
  </si>
  <si>
    <t>A2019-2954736</t>
  </si>
  <si>
    <t>A2019-2948511</t>
  </si>
  <si>
    <t>http://docquery.fec.gov/cgi-bin/fecimg/?201912179166318425</t>
  </si>
  <si>
    <t>A2019-2714183</t>
  </si>
  <si>
    <t>A2019-2621013</t>
  </si>
  <si>
    <t>http://docquery.fec.gov/cgi-bin/fecimg/?201911209165667838</t>
  </si>
  <si>
    <t>A2019-2488881</t>
  </si>
  <si>
    <t>M11</t>
  </si>
  <si>
    <t>A2019-2463543</t>
  </si>
  <si>
    <t>Neu</t>
  </si>
  <si>
    <t>43414 TURNBERRY ISLE COURT LEESBURG VA 20176</t>
  </si>
  <si>
    <t>https://docquery.fec.gov/cgi-bin/fecimg/?202012039337639643</t>
  </si>
  <si>
    <t>VVC97W6FQY5E</t>
  </si>
  <si>
    <t>ATTORNEY</t>
  </si>
  <si>
    <t>FANNIE MAE</t>
  </si>
  <si>
    <t>WASHINGTON</t>
  </si>
  <si>
    <t>950 WESTMINSTER ST NW</t>
  </si>
  <si>
    <t>THEOLOGIDES</t>
  </si>
  <si>
    <t>STERGIOS</t>
  </si>
  <si>
    <t>THEOLOGIDES, STERGIOS</t>
  </si>
  <si>
    <t>VVC97W6FQY5</t>
  </si>
  <si>
    <t>SARA GIDEON FOR MAINE</t>
  </si>
  <si>
    <t>C00709899</t>
  </si>
  <si>
    <t>https://docquery.fec.gov/cgi-bin/fecimg/?202012039341042127</t>
  </si>
  <si>
    <t>VTEFSZXPN76E</t>
  </si>
  <si>
    <t>THEOLOGIDES LAW, PC</t>
  </si>
  <si>
    <t>1441 U ST NW</t>
  </si>
  <si>
    <t>VTEFSZXPN76</t>
  </si>
  <si>
    <t>KATIE PORTER FOR CONGRESS</t>
  </si>
  <si>
    <t>C00636571</t>
  </si>
  <si>
    <t>https://docquery.fec.gov/cgi-bin/fecimg/?202012019337326982</t>
  </si>
  <si>
    <t>VVC0QW4VT20E</t>
  </si>
  <si>
    <t>VVC0QW4VT20</t>
  </si>
  <si>
    <t>CAL FOR NC</t>
  </si>
  <si>
    <t>C00709410</t>
  </si>
  <si>
    <t>http://docquery.fec.gov/cgi-bin/fecimg/?202010159294115307</t>
  </si>
  <si>
    <t>VVC3HSZAZ01E</t>
  </si>
  <si>
    <t>VVC3HSZAZ01</t>
  </si>
  <si>
    <t>JAIME HARRISON FOR US SENATE</t>
  </si>
  <si>
    <t>C00696153</t>
  </si>
  <si>
    <t>http://docquery.fec.gov/cgi-bin/fecimg/?202010159295663761</t>
  </si>
  <si>
    <t>7710037E</t>
  </si>
  <si>
    <t>CORELOGIC</t>
  </si>
  <si>
    <t>APT 1021</t>
  </si>
  <si>
    <t>CANDACE FOR 24</t>
  </si>
  <si>
    <t>C00702225</t>
  </si>
  <si>
    <t>http://docquery.fec.gov/cgi-bin/fecimg/?202011179337013466</t>
  </si>
  <si>
    <t>VTQYMTMQDQ7E</t>
  </si>
  <si>
    <t>VTQYMTMQDQ7</t>
  </si>
  <si>
    <t>DOUG JONES FOR SENATE COMMITTEE</t>
  </si>
  <si>
    <t>C00640623</t>
  </si>
  <si>
    <t>https://docquery.fec.gov/cgi-bin/fecimg/?202106079448844695</t>
  </si>
  <si>
    <t>2781675E</t>
  </si>
  <si>
    <t>MONTANANS FOR BULLOCK</t>
  </si>
  <si>
    <t>C00741611</t>
  </si>
  <si>
    <t>http://docquery.fec.gov/cgi-bin/fecimg/?202010159295101192</t>
  </si>
  <si>
    <t>VTE6ZZVN417E</t>
  </si>
  <si>
    <t>VTE6ZZVN417</t>
  </si>
  <si>
    <t>http://docquery.fec.gov/cgi-bin/fecimg/?202009209276472405</t>
  </si>
  <si>
    <t>11782640E</t>
  </si>
  <si>
    <t>https://docquery.fec.gov/cgi-bin/fecimg/?202103089440311386</t>
  </si>
  <si>
    <t>https://docquery.fec.gov/cgi-bin/fecimg/?202104019443054960</t>
  </si>
  <si>
    <t>https://docquery.fec.gov/cgi-bin/fecimg/?202012039341014768</t>
  </si>
  <si>
    <t>VTEFSYCT318E</t>
  </si>
  <si>
    <t>VTEFSYCT318</t>
  </si>
  <si>
    <t>https://docquery.fec.gov/cgi-bin/fecimg/?202012039342557361</t>
  </si>
  <si>
    <t>http://docquery.fec.gov/cgi-bin/fecimg/?202005209239448762</t>
  </si>
  <si>
    <t>4320367E</t>
  </si>
  <si>
    <t>CA</t>
  </si>
  <si>
    <t>IRVINE</t>
  </si>
  <si>
    <t>521 LUMINOUS</t>
  </si>
  <si>
    <t>https://docquery.fec.gov/cgi-bin/fecimg/?202107019450925380</t>
  </si>
  <si>
    <t>EARMARKED THROUGH ACTBLUE 09-27-2020 $1,234,374.47 - SEE MEMO ON SCH A FOR LINE 11C</t>
  </si>
  <si>
    <t>950 WESTMINSTER STREET NW</t>
  </si>
  <si>
    <t>11AI-001990681</t>
  </si>
  <si>
    <t>AMY MCGRATH FOR SENATE, INC.</t>
  </si>
  <si>
    <t>C00711549</t>
  </si>
  <si>
    <t>http://docquery.fec.gov/cgi-bin/fecimg/?202005259239494338</t>
  </si>
  <si>
    <t>VSHA8K8ANZ8E</t>
  </si>
  <si>
    <t>EXECUTIVE VICE PRESIDENT</t>
  </si>
  <si>
    <t>VSHA8K8ANZ8</t>
  </si>
  <si>
    <t>CHRIS PAPPAS FOR CONGRESS</t>
  </si>
  <si>
    <t>C00660464</t>
  </si>
  <si>
    <t>950 WESTMINSTER ST NW WASHINGTON DC 200014130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</si>
</sst>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</font>
    <font>
      <u/>
      <sz val="11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0"/>
      <color rgb="FF212B4A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u/>
      <sz val="11"/>
      <color rgb="FF000000"/>
      <name val="Times New Roman"/>
      <family val="1"/>
    </font>
    <font>
      <b/>
      <u/>
      <sz val="11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9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Font="1" applyAlignment="1" applyProtection="1"/>
    <xf numFmtId="3" fontId="11" fillId="0" borderId="0" xfId="0" applyNumberFormat="1" applyFont="1"/>
    <xf numFmtId="0" fontId="11" fillId="0" borderId="0" xfId="0" applyNumberFormat="1" applyFont="1"/>
    <xf numFmtId="0" fontId="7" fillId="0" borderId="0" xfId="0" applyFont="1"/>
    <xf numFmtId="0" fontId="0" fillId="2" borderId="0" xfId="0" applyFill="1"/>
    <xf numFmtId="0" fontId="13" fillId="2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0" fontId="13" fillId="2" borderId="0" xfId="0" applyFont="1" applyFill="1" applyAlignment="1">
      <alignment horizontal="right" wrapText="1"/>
    </xf>
    <xf numFmtId="14" fontId="13" fillId="2" borderId="0" xfId="0" applyNumberFormat="1" applyFont="1" applyFill="1" applyAlignment="1">
      <alignment horizontal="right" wrapText="1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>
      <alignment horizontal="right" wrapText="1"/>
    </xf>
    <xf numFmtId="14" fontId="14" fillId="2" borderId="0" xfId="0" applyNumberFormat="1" applyFont="1" applyFill="1" applyAlignment="1">
      <alignment horizontal="right" wrapText="1"/>
    </xf>
    <xf numFmtId="0" fontId="15" fillId="2" borderId="0" xfId="0" applyFont="1" applyFill="1" applyAlignment="1">
      <alignment wrapText="1"/>
    </xf>
    <xf numFmtId="0" fontId="16" fillId="0" borderId="0" xfId="0" applyFont="1"/>
    <xf numFmtId="0" fontId="17" fillId="2" borderId="0" xfId="0" applyFont="1" applyFill="1" applyAlignment="1">
      <alignment wrapText="1"/>
    </xf>
    <xf numFmtId="0" fontId="2" fillId="0" borderId="0" xfId="1" applyFont="1" applyAlignment="1" applyProtection="1"/>
    <xf numFmtId="22" fontId="0" fillId="0" borderId="0" xfId="0" applyNumberFormat="1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5" fontId="2" fillId="0" borderId="0" xfId="0" applyNumberFormat="1" applyFont="1"/>
    <xf numFmtId="0" fontId="14" fillId="2" borderId="0" xfId="0" applyFont="1" applyFill="1" applyAlignment="1">
      <alignment wrapText="1"/>
    </xf>
    <xf numFmtId="0" fontId="18" fillId="0" borderId="0" xfId="0" applyFont="1"/>
    <xf numFmtId="22" fontId="18" fillId="0" borderId="0" xfId="0" applyNumberFormat="1" applyFont="1"/>
    <xf numFmtId="47" fontId="18" fillId="0" borderId="0" xfId="0" applyNumberFormat="1" applyFont="1"/>
    <xf numFmtId="0" fontId="1" fillId="0" borderId="0" xfId="2"/>
    <xf numFmtId="47" fontId="1" fillId="0" borderId="0" xfId="2" applyNumberFormat="1"/>
    <xf numFmtId="22" fontId="1" fillId="0" borderId="0" xfId="2" applyNumberFormat="1"/>
    <xf numFmtId="10" fontId="1" fillId="0" borderId="0" xfId="2" applyNumberFormat="1"/>
    <xf numFmtId="0" fontId="2" fillId="0" borderId="1" xfId="0" applyFont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t Marnell" refreshedDate="44408.482679398148" createdVersion="5" refreshedVersion="5" minRefreshableVersion="3" recordCount="4">
  <cacheSource type="worksheet">
    <worksheetSource ref="A1:AJ5" sheet="Sheila Bair"/>
  </cacheSource>
  <cacheFields count="36">
    <cacheField name="committee_id" numFmtId="0">
      <sharedItems/>
    </cacheField>
    <cacheField name="committee_name" numFmtId="0">
      <sharedItems count="2">
        <s v="COLLINS FOR SENATOR"/>
        <s v="WINRED"/>
      </sharedItems>
    </cacheField>
    <cacheField name="report_year" numFmtId="0">
      <sharedItems containsSemiMixedTypes="0" containsString="0" containsNumber="1" containsInteger="1" minValue="2020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103039432628E+17" maxValue="2.02107029450968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502683" maxValue="1522397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1645" maxValue="216453447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/>
    </cacheField>
    <cacheField name="receipt_type_desc" numFmtId="0">
      <sharedItems/>
    </cacheField>
    <cacheField name="receipt_type_full" numFmtId="0">
      <sharedItems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20-10-26T00:00:00" maxDate="2020-11-03T00:00:00"/>
    </cacheField>
    <cacheField name="contribution_receipt_amount" numFmtId="0">
      <sharedItems containsSemiMixedTypes="0" containsString="0" containsNumber="1" containsInteger="1" minValue="2800" maxValue="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tt Marnell" refreshedDate="44410.343735995368" createdVersion="5" refreshedVersion="5" minRefreshableVersion="3" recordCount="407">
  <cacheSource type="worksheet">
    <worksheetSource ref="A1:CA408" sheet="Renee Glover"/>
  </cacheSource>
  <cacheFields count="79">
    <cacheField name="committee_id" numFmtId="0">
      <sharedItems/>
    </cacheField>
    <cacheField name="committee_name" numFmtId="0">
      <sharedItems count="14">
        <s v="CONGRESSIONAL BLACK CAUCUS PAC"/>
        <s v="DSCC"/>
        <s v="DCCC"/>
        <s v="ACTBLUE"/>
        <s v="BIDEN FOR PRESIDENT"/>
        <s v="FRIENDS OF LUCY MCBATH"/>
        <s v="WARNOCK FOR GEORGIA"/>
        <s v="DEMOCRATIC ACTION"/>
        <s v="DNC SERVICES CORP / DEMOCRATIC NATIONAL COMMITTEE"/>
        <s v="STOP REPUBLICANS"/>
        <s v="NATIONAL DEMOCRATIC TRAINING COMMITTEE PAC"/>
        <s v="JON OSSOFF FOR SENATE"/>
        <s v="BIDEN VICTORY FUND"/>
        <s v="GEORGIA SENATE VICTORY FUND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00129917011398E+17" maxValue="2.02106189449528E+17"/>
    </cacheField>
    <cacheField name="line_number" numFmtId="0">
      <sharedItems containsMixedTypes="1" containsNumber="1" containsInteger="1" minValue="12" maxValue="12"/>
    </cacheField>
    <cacheField name="transaction_id" numFmtId="0">
      <sharedItems containsMixedTypes="1" containsNumber="1" containsInteger="1" minValue="2825331" maxValue="36779634"/>
    </cacheField>
    <cacheField name="file_number" numFmtId="0">
      <sharedItems containsSemiMixedTypes="0" containsString="0" containsNumber="1" containsInteger="1" minValue="1376980" maxValue="1520930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30312" maxValue="303121941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 containsMixedTypes="1" containsNumber="1" containsInteger="1" minValue="15" maxValue="15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10-29T00:00:00" maxDate="2020-12-30T00:00:00"/>
    </cacheField>
    <cacheField name="contribution_receipt_amount" numFmtId="0">
      <sharedItems containsSemiMixedTypes="0" containsString="0" containsNumber="1" minValue="-266" maxValue="2484"/>
    </cacheField>
    <cacheField name="contributor_aggregate_ytd" numFmtId="0">
      <sharedItems containsSemiMixedTypes="0" containsString="0" containsNumber="1" minValue="25" maxValue="5854"/>
    </cacheField>
    <cacheField name="candidate_id" numFmtId="0">
      <sharedItems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Blank="1"/>
    </cacheField>
    <cacheField name="election_type" numFmtId="0">
      <sharedItems containsBlank="1"/>
    </cacheField>
    <cacheField name="election_type_full" numFmtId="0">
      <sharedItems containsBlank="1"/>
    </cacheField>
    <cacheField name="fec_election_type_desc" numFmtId="0">
      <sharedItems containsBlank="1"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NonDate="0" containsDate="1" containsString="0" minDate="2020-02-08T01:42:14" maxDate="2021-06-30T05:43:27"/>
    </cacheField>
    <cacheField name="original_sub_id" numFmtId="0">
      <sharedItems containsNonDate="0" containsString="0" containsBlank="1"/>
    </cacheField>
    <cacheField name="back_reference_transaction_id" numFmtId="0">
      <sharedItems containsBlank="1" containsMixedTypes="1" containsNumber="1" containsInteger="1" minValue="3569698" maxValue="36524305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15202120936602E+18" maxValue="4.1230202019866798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042021198978E+18" maxValue="4.1231202019880202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att Marnell" refreshedDate="44410.34949641204" createdVersion="5" refreshedVersion="5" minRefreshableVersion="3" recordCount="6">
  <cacheSource type="worksheet">
    <worksheetSource ref="A1:CA7" sheet="Michael Heid"/>
  </cacheSource>
  <cacheFields count="79">
    <cacheField name="committee_id" numFmtId="0">
      <sharedItems/>
    </cacheField>
    <cacheField name="committee_name" numFmtId="0">
      <sharedItems count="2">
        <s v="ACTBLUE"/>
        <s v="AMY FOR AMERICA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001299170592E+17" maxValue="2.0200715924997101E+17"/>
    </cacheField>
    <cacheField name="line_number" numFmtId="0">
      <sharedItems/>
    </cacheField>
    <cacheField name="transaction_id" numFmtId="0">
      <sharedItems containsMixedTypes="1" containsNumber="1" containsInteger="1" minValue="1250568" maxValue="1611598"/>
    </cacheField>
    <cacheField name="file_number" numFmtId="0">
      <sharedItems containsSemiMixedTypes="0" containsString="0" containsNumber="1" containsInteger="1" minValue="1378435" maxValue="1424519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5237" maxValue="152373908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815" maxValue="43892"/>
    </cacheField>
    <cacheField name="contribution_receipt_amount" numFmtId="0">
      <sharedItems containsSemiMixedTypes="0" containsString="0" containsNumber="1" containsInteger="1" minValue="25" maxValue="100"/>
    </cacheField>
    <cacheField name="contributor_aggregate_ytd" numFmtId="0">
      <sharedItems containsSemiMixedTypes="0" containsString="0" containsNumber="1" containsInteger="1" minValue="100" maxValue="25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Blank="1"/>
    </cacheField>
    <cacheField name="election_type" numFmtId="0">
      <sharedItems containsBlank="1"/>
    </cacheField>
    <cacheField name="election_type_full" numFmtId="0">
      <sharedItems containsNonDate="0" containsString="0" containsBlank="1"/>
    </cacheField>
    <cacheField name="fec_election_type_desc" numFmtId="0">
      <sharedItems containsBlank="1"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894.298203321756" maxValue="44033.136889791669"/>
    </cacheField>
    <cacheField name="original_sub_id" numFmtId="0">
      <sharedItems containsNonDate="0" containsString="0" containsBlank="1"/>
    </cacheField>
    <cacheField name="back_reference_transaction_id" numFmtId="0">
      <sharedItems containsBlank="1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2012020168638E+18" maxValue="4.0716202017908598E+18"/>
    </cacheField>
    <cacheField name="is_individual" numFmtId="0">
      <sharedItems/>
    </cacheField>
    <cacheField name="memo_text" numFmtId="0">
      <sharedItems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302202012296602E+18" maxValue="4.0720202017919698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att Marnell" refreshedDate="44410.381351157404" createdVersion="5" refreshedVersion="5" minRefreshableVersion="3" recordCount="31">
  <cacheSource type="worksheet">
    <worksheetSource ref="A1:CA32" sheet="Richard Blackley"/>
  </cacheSource>
  <cacheFields count="79">
    <cacheField name="committee_id" numFmtId="0">
      <sharedItems/>
    </cacheField>
    <cacheField name="committee_name" numFmtId="0">
      <sharedItems count="1">
        <s v="CAPITAL ONE FINANCIAL CORP. ASSOC. POLITICAL FUND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120916566701E+17" maxValue="2.0210129941397101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63758" maxValue="1493829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0176" maxValue="20176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10-11T00:00:00" maxDate="2020-12-19T00:00:00"/>
    </cacheField>
    <cacheField name="contribution_receipt_amount" numFmtId="0">
      <sharedItems containsSemiMixedTypes="0" containsString="0" containsNumber="1" minValue="192.25" maxValue="192.31"/>
    </cacheField>
    <cacheField name="contributor_aggregate_ytd" numFmtId="0">
      <sharedItems containsSemiMixedTypes="0" containsString="0" containsNumber="1" minValue="384.62" maxValue="50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47">
      <sharedItems containsSemiMixedTypes="0" containsNonDate="0" containsDate="1" containsString="0" minDate="2019-11-21T02:17:17" maxDate="2021-02-03T03:42:05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30202016861302E+18" maxValue="4.1218201916816502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01202119889603E+18" maxValue="4.1218201916816599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Matt Marnell" refreshedDate="44410.416985185184" createdVersion="5" refreshedVersion="5" minRefreshableVersion="3" recordCount="16">
  <cacheSource type="worksheet">
    <worksheetSource ref="A1:CA17" sheet="Stergios Theologides"/>
  </cacheSource>
  <cacheFields count="79">
    <cacheField name="committee_id" numFmtId="0">
      <sharedItems/>
    </cacheField>
    <cacheField name="committee_name" numFmtId="0">
      <sharedItems count="13">
        <s v="CHRIS PAPPAS FOR CONGRESS"/>
        <s v="AMY MCGRATH FOR SENATE, INC."/>
        <s v="BIDEN FOR PRESIDENT"/>
        <s v="BIDEN VICTORY FUND"/>
        <s v="KATIE PORTER FOR CONGRESS"/>
        <s v="DNC SERVICES CORP / DEMOCRATIC NATIONAL COMMITTEE"/>
        <s v="JON OSSOFF FOR SENATE"/>
        <s v="MONTANANS FOR BULLOCK"/>
        <s v="DOUG JONES FOR SENATE COMMITTEE"/>
        <s v="CANDACE FOR 24"/>
        <s v="JAIME HARRISON FOR US SENATE"/>
        <s v="CAL FOR NC"/>
        <s v="SARA GIDEON FOR MAINE"/>
      </sharedItems>
    </cacheField>
    <cacheField name="report_year" numFmtId="0">
      <sharedItems containsSemiMixedTypes="0" containsString="0" containsNumber="1" containsInteger="1" minValue="2020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005209239448E+17" maxValue="2.0210701945092499E+17"/>
    </cacheField>
    <cacheField name="line_number" numFmtId="0">
      <sharedItems containsMixedTypes="1" containsNumber="1" containsInteger="1" minValue="12" maxValue="12"/>
    </cacheField>
    <cacheField name="transaction_id" numFmtId="0">
      <sharedItems containsMixedTypes="1" containsNumber="1" containsInteger="1" minValue="2781675" maxValue="38196215"/>
    </cacheField>
    <cacheField name="file_number" numFmtId="0">
      <sharedItems containsSemiMixedTypes="0" containsString="0" containsNumber="1" containsInteger="1" minValue="1407726" maxValue="1522129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0001" maxValue="926034238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MixedTypes="1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20-02-19T00:00:00" maxDate="2020-11-03T00:00:00"/>
    </cacheField>
    <cacheField name="contribution_receipt_amount" numFmtId="0">
      <sharedItems containsSemiMixedTypes="0" containsString="0" containsNumber="1" containsInteger="1" minValue="500" maxValue="2800"/>
    </cacheField>
    <cacheField name="contributor_aggregate_ytd" numFmtId="0">
      <sharedItems containsSemiMixedTypes="0" containsString="0" containsNumber="1" containsInteger="1" minValue="500" maxValue="56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47">
      <sharedItems containsSemiMixedTypes="0" containsNonDate="0" containsDate="1" containsString="0" minDate="2020-05-27T01:41:54" maxDate="2021-07-07T03:46:08"/>
    </cacheField>
    <cacheField name="original_sub_id" numFmtId="0">
      <sharedItems containsNonDate="0" containsString="0" containsBlank="1"/>
    </cacheField>
    <cacheField name="back_reference_transaction_id" numFmtId="0">
      <sharedItems containsBlank="1" containsMixedTypes="1" containsNumber="1" containsInteger="1" minValue="38194002" maxValue="38194002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309202112269302E+18" maxValue="4.1205202019644498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042021203245E+18" maxValue="4.1224202019859702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s v="C00314575"/>
    <x v="0"/>
    <n v="2020"/>
    <s v="30G"/>
    <n v="2.0210702945095901E+17"/>
    <s v="11AI"/>
    <s v="A3D58225CEB7E491796C"/>
    <n v="1522397"/>
    <m/>
    <s v="IND"/>
    <s v="INDIVIDUAL"/>
    <m/>
    <m/>
    <s v="BAIR, SHEILA"/>
    <s v="S"/>
    <m/>
    <s v="P"/>
    <s v="SHEILA"/>
    <m/>
    <s v="BAIR"/>
    <m/>
    <s v="14145 SHALLCROSS WHARF RD"/>
    <m/>
    <s v="KENNEDYVILLE"/>
    <s v="MD"/>
    <n v="21645"/>
    <s v="SELF-EMPLOYED"/>
    <s v="CORPORATE DIRECTOR/ADVISOR"/>
    <m/>
    <s v="15E"/>
    <s v="EARMARKED CONTRIBUTION"/>
    <s v="EARMARKED (NON-DIRECTED) THROUGH WINRED"/>
    <m/>
    <m/>
    <d v="2020-11-02T00:00:00"/>
    <n v="2800"/>
  </r>
  <r>
    <s v="C00314575"/>
    <x v="0"/>
    <n v="2020"/>
    <s v="30G"/>
    <n v="2.02107029450968E+17"/>
    <s v="11AI"/>
    <s v="A9F9DF98DF03D4F3A97E"/>
    <n v="1522397"/>
    <m/>
    <s v="IND"/>
    <s v="INDIVIDUAL"/>
    <m/>
    <m/>
    <s v="BAIR, SHEILA"/>
    <s v="S"/>
    <m/>
    <s v="P"/>
    <s v="SHEILA"/>
    <m/>
    <s v="BAIR"/>
    <m/>
    <s v="14145 SHALLCROSS WHARF RD"/>
    <m/>
    <s v="KENNEDYVILLE"/>
    <s v="MD"/>
    <n v="21645"/>
    <s v="SELF-EMPLOYED"/>
    <s v="CORPORATE DIRECTOR/ADVISOR"/>
    <m/>
    <s v="15E"/>
    <s v="EARMARKED CONTRIBUTION"/>
    <s v="EARMARKED (NON-DIRECTED) THROUGH WINRED"/>
    <m/>
    <m/>
    <d v="2020-10-26T00:00:00"/>
    <n v="2800"/>
  </r>
  <r>
    <s v="C00694323"/>
    <x v="1"/>
    <n v="2020"/>
    <s v="30G"/>
    <n v="2.02103039432628E+17"/>
    <s v="11AI"/>
    <s v="AA944DEAA056345CA925"/>
    <n v="1502683"/>
    <m/>
    <s v="IND"/>
    <s v="INDIVIDUAL"/>
    <s v="C00314575"/>
    <m/>
    <s v="BAIR, SHEILA"/>
    <s v="V"/>
    <m/>
    <s v="U"/>
    <s v="SHEILA"/>
    <m/>
    <s v="BAIR"/>
    <m/>
    <s v="14145 SHALLCROSS WHARF RD"/>
    <m/>
    <s v="KENNEDYVILLE"/>
    <s v="MD"/>
    <n v="216453447"/>
    <s v="SELF-EMPLOYED"/>
    <s v="CORPORATE DIRECTOR/ADVISOR"/>
    <s v="C00314575"/>
    <s v="15E"/>
    <s v="EARMARKED CONTRIBUTION"/>
    <s v="EARMARKED FOR COLLINS FOR SENATOR (C00314575)"/>
    <m/>
    <m/>
    <d v="2020-10-26T00:00:00"/>
    <n v="2800"/>
  </r>
  <r>
    <s v="C00694323"/>
    <x v="1"/>
    <n v="2020"/>
    <s v="30G"/>
    <n v="2.02103039433544E+17"/>
    <s v="11AI"/>
    <s v="A73CC33162A4F431F960"/>
    <n v="1502683"/>
    <m/>
    <s v="IND"/>
    <s v="INDIVIDUAL"/>
    <s v="C00314575"/>
    <m/>
    <s v="BAIR, SHEILA"/>
    <s v="V"/>
    <m/>
    <s v="U"/>
    <s v="SHEILA"/>
    <m/>
    <s v="BAIR"/>
    <m/>
    <s v="14145 SHALLCROSS WHARF RD"/>
    <m/>
    <s v="KENNEDYVILLE"/>
    <s v="MD"/>
    <n v="216453447"/>
    <s v="SELF-EMPLOYED"/>
    <s v="CORPORATE DIRECTOR/ADVISOR"/>
    <s v="C00314575"/>
    <s v="15E"/>
    <s v="EARMARKED CONTRIBUTION"/>
    <s v="EARMARKED FOR COLLINS FOR SENATOR (C00314575)"/>
    <m/>
    <m/>
    <d v="2020-11-02T00:00:00"/>
    <n v="2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7">
  <r>
    <s v="C00147512"/>
    <x v="0"/>
    <n v="2020"/>
    <s v="M9"/>
    <n v="2.0200919927528198E+17"/>
    <s v="11AI"/>
    <s v="VNW66J06GJ1"/>
    <n v="1439904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8-10T00:00:00"/>
    <n v="25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02T03:37:40"/>
    <m/>
    <m/>
    <m/>
    <s v="F3X"/>
    <n v="4.0920202018491402E+18"/>
    <s v="t"/>
    <m/>
    <n v="2020"/>
    <s v="SA"/>
    <m/>
    <n v="4.1002202018559401E+18"/>
    <s v="http://docquery.fec.gov/cgi-bin/fecimg/?202009199275282561"/>
    <s v="Contributions From Individuals/Persons Other Than Political Committees"/>
  </r>
  <r>
    <s v="C00147512"/>
    <x v="0"/>
    <n v="2020"/>
    <s v="M9"/>
    <n v="2.0200919927528198E+17"/>
    <s v="11AI"/>
    <s v="VNW66J1QCZ1"/>
    <n v="1439904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8-31T00:00:00"/>
    <n v="25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02T03:37:40"/>
    <m/>
    <m/>
    <m/>
    <s v="F3X"/>
    <n v="4.0920202018491402E+18"/>
    <s v="t"/>
    <m/>
    <n v="2020"/>
    <s v="SA"/>
    <m/>
    <n v="4.1002202018559401E+18"/>
    <s v="http://docquery.fec.gov/cgi-bin/fecimg/?202009199275282561"/>
    <s v="Contributions From Individuals/Persons Other Than Political Committees"/>
  </r>
  <r>
    <s v="C00147512"/>
    <x v="0"/>
    <n v="2020"/>
    <s v="YE"/>
    <n v="2.0210129941384099E+17"/>
    <s v="11AI"/>
    <s v="VNW66JYTNE1"/>
    <n v="1492994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11-30T00:00:00"/>
    <n v="50"/>
    <n v="7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2T03:38:08"/>
    <m/>
    <m/>
    <m/>
    <s v="F3X"/>
    <n v="4.01302021213907E+18"/>
    <s v="t"/>
    <m/>
    <n v="2020"/>
    <s v="SA"/>
    <m/>
    <n v="4.0202202121401098E+18"/>
    <s v="https://docquery.fec.gov/cgi-bin/fecimg/?202101299413841311"/>
    <s v="Contributions From Individuals/Persons Other Than Political Committees"/>
  </r>
  <r>
    <s v="C00147512"/>
    <x v="0"/>
    <n v="2020"/>
    <s v="12G"/>
    <n v="2.0201022933283002E+17"/>
    <s v="11AI"/>
    <s v="VNW66JEQW66"/>
    <n v="1462303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10-01T00:00:00"/>
    <n v="50"/>
    <n v="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4T04:33:40"/>
    <m/>
    <m/>
    <m/>
    <s v="F3X"/>
    <n v="4.1023202018827602E+18"/>
    <s v="t"/>
    <m/>
    <n v="2020"/>
    <s v="SA"/>
    <m/>
    <n v="4.1204202019644201E+18"/>
    <s v="http://docquery.fec.gov/cgi-bin/fecimg/?202010229332830242"/>
    <s v="Contributions From Individuals/Persons Other Than Political Committees"/>
  </r>
  <r>
    <s v="C00147512"/>
    <x v="0"/>
    <n v="2020"/>
    <s v="M9"/>
    <n v="2.0200919927528198E+17"/>
    <s v="11AI"/>
    <s v="VNW66HZB528"/>
    <n v="1439904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8-03T00:00:00"/>
    <n v="100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02T03:37:40"/>
    <m/>
    <m/>
    <m/>
    <s v="F3X"/>
    <n v="4.0920202018491402E+18"/>
    <s v="t"/>
    <m/>
    <n v="2020"/>
    <s v="SA"/>
    <m/>
    <n v="4.1002202018559401E+18"/>
    <s v="http://docquery.fec.gov/cgi-bin/fecimg/?202009199275282560"/>
    <s v="Contributions From Individuals/Persons Other Than Political Committees"/>
  </r>
  <r>
    <s v="C00147512"/>
    <x v="0"/>
    <n v="2020"/>
    <s v="M9"/>
    <n v="2.0200919927528198E+17"/>
    <s v="11AI"/>
    <s v="VNW66HZW9N1"/>
    <n v="1439904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8-10T00:00:00"/>
    <n v="100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02T03:37:40"/>
    <m/>
    <m/>
    <m/>
    <s v="F3X"/>
    <n v="4.0920202018491402E+18"/>
    <s v="t"/>
    <m/>
    <n v="2020"/>
    <s v="SA"/>
    <m/>
    <n v="4.1002202018559401E+18"/>
    <s v="http://docquery.fec.gov/cgi-bin/fecimg/?202009199275282560"/>
    <s v="Contributions From Individuals/Persons Other Than Political Committees"/>
  </r>
  <r>
    <s v="C00147512"/>
    <x v="0"/>
    <n v="2020"/>
    <s v="M9"/>
    <n v="2.0200919927528198E+17"/>
    <s v="11AI"/>
    <s v="VNW66J1BHC9"/>
    <n v="1439904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8-24T00:00:00"/>
    <n v="100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02T03:37:40"/>
    <m/>
    <m/>
    <m/>
    <s v="F3X"/>
    <n v="4.0920202018491402E+18"/>
    <s v="t"/>
    <m/>
    <n v="2020"/>
    <s v="SA"/>
    <m/>
    <n v="4.1002202018559401E+18"/>
    <s v="http://docquery.fec.gov/cgi-bin/fecimg/?202009199275282561"/>
    <s v="Contributions From Individuals/Persons Other Than Political Committees"/>
  </r>
  <r>
    <s v="C00147512"/>
    <x v="0"/>
    <n v="2020"/>
    <s v="M10"/>
    <n v="2.0201020929829402E+17"/>
    <s v="11AI"/>
    <s v="VNW66J6JRY7"/>
    <n v="1458645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9-21T00:00:00"/>
    <n v="100"/>
    <n v="6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5T03:53:29"/>
    <m/>
    <m/>
    <m/>
    <s v="F3X"/>
    <n v="4.1022202018826598E+18"/>
    <s v="t"/>
    <m/>
    <n v="2020"/>
    <s v="SA"/>
    <m/>
    <n v="4.1205202019660698E+18"/>
    <s v="http://docquery.fec.gov/cgi-bin/fecimg/?202010209298294278"/>
    <s v="Contributions From Individuals/Persons Other Than Political Committees"/>
  </r>
  <r>
    <s v="C00147512"/>
    <x v="0"/>
    <n v="2020"/>
    <s v="M10"/>
    <n v="2.0201020929829402E+17"/>
    <s v="11AI"/>
    <s v="VNW66J6JS53"/>
    <n v="1458645"/>
    <m/>
    <s v="IND"/>
    <s v="INDIVIDUAL"/>
    <m/>
    <m/>
    <s v="GLOVER, RENEE"/>
    <s v="Q"/>
    <m/>
    <s v="U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9-21T00:00:00"/>
    <n v="100"/>
    <n v="6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5T03:53:29"/>
    <m/>
    <m/>
    <m/>
    <s v="F3X"/>
    <n v="4.1022202018826598E+18"/>
    <s v="t"/>
    <m/>
    <n v="2020"/>
    <s v="SA"/>
    <m/>
    <n v="4.1205202019660698E+18"/>
    <s v="http://docquery.fec.gov/cgi-bin/fecimg/?202010209298294278"/>
    <s v="Contributions From Individuals/Persons Other Than Political Committees"/>
  </r>
  <r>
    <s v="C00042366"/>
    <x v="1"/>
    <n v="2019"/>
    <s v="YE"/>
    <n v="2.02001319184184E+17"/>
    <s v="11AI"/>
    <n v="13548096"/>
    <n v="1376980"/>
    <m/>
    <s v="IND"/>
    <s v="INDIVIDUAL"/>
    <s v="C00401224"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19-12-31T00:00:00"/>
    <n v="10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08T01:42:14"/>
    <m/>
    <s v="13548096E"/>
    <s v="SA11AI"/>
    <s v="F3X"/>
    <n v="4.0131202016861901E+18"/>
    <s v="t"/>
    <s v="* EARMARKED CONTRIBUTION: SEE BELOW"/>
    <n v="2020"/>
    <s v="SA"/>
    <m/>
    <n v="4.0207202016877102E+18"/>
    <s v="http://docquery.fec.gov/cgi-bin/fecimg/?202001319184184886"/>
    <s v="Contributions From Individuals/Persons Other Than Political Committees"/>
  </r>
  <r>
    <s v="C00000935"/>
    <x v="2"/>
    <n v="2020"/>
    <s v="M10"/>
    <n v="2.02103309442644E+17"/>
    <s v="11AI"/>
    <n v="31827833"/>
    <n v="1506705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9-29T00:00:00"/>
    <n v="125"/>
    <n v="147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6T04:15:16"/>
    <m/>
    <s v="31827833E"/>
    <s v="SA11AI"/>
    <s v="F3X"/>
    <n v="4.0331202112704102E+18"/>
    <s v="t"/>
    <s v="* EARMARKED CONTRIBUTION: SEE BELOW EARMARKED THROUGH ACTBLUE"/>
    <n v="2020"/>
    <s v="SA"/>
    <m/>
    <n v="4.0406202112750397E+18"/>
    <s v="https://docquery.fec.gov/cgi-bin/fecimg/?202103309442644757"/>
    <s v="Contributions From Individuals/Persons Other Than Political Committees"/>
  </r>
  <r>
    <s v="C00401224"/>
    <x v="3"/>
    <n v="2020"/>
    <s v="M10"/>
    <n v="2.0201214937663398E+17"/>
    <s v="11AI"/>
    <s v="SA11AI_302862221"/>
    <n v="1482832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09-20T00:00:00"/>
    <n v="100"/>
    <n v="7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29:33"/>
    <m/>
    <m/>
    <m/>
    <s v="F3X"/>
    <n v="4.1216202019742802E+18"/>
    <s v="t"/>
    <s v="EARMARKED FOR CONGRESSIONAL BLACK CAUCUS PAC (C00147512)"/>
    <n v="2020"/>
    <s v="SA"/>
    <m/>
    <n v="4.0121202121183498E+18"/>
    <s v="https://docquery.fec.gov/cgi-bin/fecimg/?202012149376634937"/>
    <s v="Contributions From Individuals/Persons Other Than Political Committees"/>
  </r>
  <r>
    <s v="C00401224"/>
    <x v="3"/>
    <n v="2020"/>
    <s v="M10"/>
    <n v="2.0201214937663398E+17"/>
    <s v="11AI"/>
    <s v="SA11AI_302862367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20T00:00:00"/>
    <n v="1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29:50"/>
    <m/>
    <m/>
    <m/>
    <s v="F3X"/>
    <n v="4.1216202019742802E+18"/>
    <s v="t"/>
    <s v="CONTRIBUTION TO ACTBLUE"/>
    <n v="2020"/>
    <s v="SA"/>
    <m/>
    <n v="4.0121202121183601E+18"/>
    <s v="https://docquery.fec.gov/cgi-bin/fecimg/?202012149376634936"/>
    <s v="Contributions From Individuals/Persons Other Than Political Committees"/>
  </r>
  <r>
    <s v="C00401224"/>
    <x v="3"/>
    <n v="2020"/>
    <s v="M10"/>
    <n v="2.0201214937663398E+17"/>
    <s v="11AI"/>
    <s v="SA11AI_302861527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20T00:00:00"/>
    <n v="1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29:54"/>
    <m/>
    <m/>
    <m/>
    <s v="F3X"/>
    <n v="4.1216202019742802E+18"/>
    <s v="t"/>
    <s v="CONTRIBUTION TO ACTBLUE"/>
    <n v="2020"/>
    <s v="SA"/>
    <m/>
    <n v="4.0121202121183601E+18"/>
    <s v="https://docquery.fec.gov/cgi-bin/fecimg/?202012149376634936"/>
    <s v="Contributions From Individuals/Persons Other Than Political Committees"/>
  </r>
  <r>
    <s v="C00401224"/>
    <x v="3"/>
    <n v="2020"/>
    <s v="M10"/>
    <n v="2.0201214937663398E+17"/>
    <s v="11AI"/>
    <s v="SA11AI_298099587"/>
    <n v="1482832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9-18T00:00:00"/>
    <n v="100"/>
    <n v="14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0:03"/>
    <m/>
    <m/>
    <m/>
    <s v="F3X"/>
    <n v="4.1216202019742802E+18"/>
    <s v="t"/>
    <s v="EARMARKED FOR STOP REPUBLICANS (C00633404)"/>
    <n v="2020"/>
    <s v="SA"/>
    <m/>
    <n v="4.0121202121106002E+18"/>
    <s v="https://docquery.fec.gov/cgi-bin/fecimg/?202012149376634935"/>
    <s v="Contributions From Individuals/Persons Other Than Political Committees"/>
  </r>
  <r>
    <s v="C00401224"/>
    <x v="3"/>
    <n v="2020"/>
    <s v="M10"/>
    <n v="2.0201214937663398E+17"/>
    <s v="11AI"/>
    <s v="SA11AI_298100311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18T00:00:00"/>
    <n v="1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0:16"/>
    <m/>
    <m/>
    <m/>
    <s v="F3X"/>
    <n v="4.1216202019742802E+18"/>
    <s v="t"/>
    <s v="CONTRIBUTION TO ACTBLUE"/>
    <n v="2020"/>
    <s v="SA"/>
    <m/>
    <n v="4.0121202121106099E+18"/>
    <s v="https://docquery.fec.gov/cgi-bin/fecimg/?202012149376634934"/>
    <s v="Contributions From Individuals/Persons Other Than Political Committees"/>
  </r>
  <r>
    <s v="C00401224"/>
    <x v="3"/>
    <n v="2020"/>
    <s v="M10"/>
    <n v="2.0201214937663398E+17"/>
    <s v="11AI"/>
    <s v="SA11AI_298096693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18T00:00:00"/>
    <n v="1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0:20"/>
    <m/>
    <m/>
    <m/>
    <s v="F3X"/>
    <n v="4.1216202019742802E+18"/>
    <s v="t"/>
    <s v="CONTRIBUTION TO ACTBLUE"/>
    <n v="2020"/>
    <s v="SA"/>
    <m/>
    <n v="4.0121202121106099E+18"/>
    <s v="https://docquery.fec.gov/cgi-bin/fecimg/?202012149376634935"/>
    <s v="Contributions From Individuals/Persons Other Than Political Committees"/>
  </r>
  <r>
    <s v="C00401224"/>
    <x v="3"/>
    <n v="2020"/>
    <s v="M10"/>
    <n v="2.0201214937663398E+17"/>
    <s v="11AI"/>
    <s v="SA11AI_298095941"/>
    <n v="1482832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9-18T00:00:00"/>
    <n v="100"/>
    <n v="14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30:40"/>
    <m/>
    <m/>
    <m/>
    <s v="F3X"/>
    <n v="4.1216202019742802E+18"/>
    <s v="t"/>
    <s v="EARMARKED FOR STOP REPUBLICANS (C00633404)"/>
    <n v="2020"/>
    <s v="SA"/>
    <m/>
    <n v="4.0121202121106299E+18"/>
    <s v="https://docquery.fec.gov/cgi-bin/fecimg/?202012149376634934"/>
    <s v="Contributions From Individuals/Persons Other Than Political Committees"/>
  </r>
  <r>
    <s v="C00401224"/>
    <x v="3"/>
    <n v="2019"/>
    <s v="YE"/>
    <n v="2.0200129917011398E+17"/>
    <s v="11AI"/>
    <s v="SA11AI_185291281"/>
    <n v="1378435"/>
    <m/>
    <s v="IND"/>
    <s v="INDIVIDUAL"/>
    <m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m/>
    <m/>
    <m/>
    <s v="CONTRIBUTION TO ACT BLUE"/>
    <m/>
    <m/>
    <d v="2019-10-29T00:00:00"/>
    <n v="10"/>
    <n v="106.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07:08:05"/>
    <m/>
    <m/>
    <m/>
    <s v="F3X"/>
    <n v="4.02012020168638E+18"/>
    <s v="t"/>
    <s v="CONTRIBUTION TO ACTBLUE"/>
    <n v="2020"/>
    <s v="SA"/>
    <m/>
    <n v="4.0302202012257802E+18"/>
    <s v="http://docquery.fec.gov/cgi-bin/fecimg/?202001299170114951"/>
    <s v="Contributions From Individuals/Persons Other Than Political Committees"/>
  </r>
  <r>
    <s v="C00401224"/>
    <x v="3"/>
    <n v="2019"/>
    <s v="YE"/>
    <n v="2.0200129917011398E+17"/>
    <s v="11AI"/>
    <s v="SA11AI_191886470"/>
    <n v="1378435"/>
    <m/>
    <s v="IND"/>
    <s v="INDIVIDUAL"/>
    <m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m/>
    <m/>
    <m/>
    <s v="CONTRIBUTION TO ACT BLUE"/>
    <m/>
    <m/>
    <d v="2019-12-05T00:00:00"/>
    <n v="12.5"/>
    <n v="106.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07:36:12"/>
    <m/>
    <m/>
    <m/>
    <s v="F3X"/>
    <n v="4.02012020168638E+18"/>
    <s v="t"/>
    <s v="CONTRIBUTION TO ACTBLUE"/>
    <n v="2020"/>
    <s v="SA"/>
    <m/>
    <n v="4.0302202012387599E+18"/>
    <s v="http://docquery.fec.gov/cgi-bin/fecimg/?202001299170114952"/>
    <s v="Contributions From Individuals/Persons Other Than Political Committees"/>
  </r>
  <r>
    <s v="C00401224"/>
    <x v="3"/>
    <n v="2019"/>
    <s v="YE"/>
    <n v="2.0200129917011398E+17"/>
    <s v="11AI"/>
    <s v="SA11AI_191005101"/>
    <n v="1378435"/>
    <m/>
    <s v="IND"/>
    <s v="INDIVIDUAL"/>
    <s v="C00000935"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s v="C00000935"/>
    <s v="24T"/>
    <s v="EARMARKED INTERMEDIARY TREASURY OUT"/>
    <s v="EARMARK"/>
    <m/>
    <m/>
    <d v="2019-11-30T00:00:00"/>
    <n v="94"/>
    <n v="838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08:30:14"/>
    <m/>
    <m/>
    <m/>
    <s v="F3X"/>
    <n v="4.02012020168638E+18"/>
    <s v="t"/>
    <s v="EARMARKED FOR DCCC (C00000935)"/>
    <n v="2020"/>
    <s v="SA"/>
    <m/>
    <n v="4.0302202012386801E+18"/>
    <s v="http://docquery.fec.gov/cgi-bin/fecimg/?202001299170114952"/>
    <s v="Contributions From Individuals/Persons Other Than Political Committees"/>
  </r>
  <r>
    <s v="C00401224"/>
    <x v="3"/>
    <n v="2019"/>
    <s v="YE"/>
    <n v="2.0200129917011398E+17"/>
    <s v="11AI"/>
    <s v="SA11AI_185291183"/>
    <n v="1378435"/>
    <m/>
    <s v="IND"/>
    <s v="INDIVIDUAL"/>
    <s v="C00000935"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s v="C00000935"/>
    <s v="24T"/>
    <s v="EARMARKED INTERMEDIARY TREASURY OUT"/>
    <s v="EARMARK"/>
    <m/>
    <m/>
    <d v="2019-10-29T00:00:00"/>
    <n v="100"/>
    <n v="838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09:37:51"/>
    <m/>
    <m/>
    <m/>
    <s v="F3X"/>
    <n v="4.02012020168638E+18"/>
    <s v="t"/>
    <s v="EARMARKED FOR DCCC (C00000935)"/>
    <n v="2020"/>
    <s v="SA"/>
    <m/>
    <n v="4.0302202012381501E+18"/>
    <s v="http://docquery.fec.gov/cgi-bin/fecimg/?202001299170114951"/>
    <s v="Contributions From Individuals/Persons Other Than Political Committees"/>
  </r>
  <r>
    <s v="C00401224"/>
    <x v="3"/>
    <n v="2019"/>
    <s v="YE"/>
    <n v="2.0200129917011398E+17"/>
    <s v="11AI"/>
    <s v="SA11AI_197247381"/>
    <n v="1378435"/>
    <m/>
    <s v="IND"/>
    <s v="INDIVIDUAL"/>
    <s v="C00042366"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s v="C00042366"/>
    <s v="24T"/>
    <s v="EARMARKED INTERMEDIARY TREASURY OUT"/>
    <s v="EARMARK"/>
    <m/>
    <m/>
    <d v="2019-12-31T00:00:00"/>
    <n v="100"/>
    <n v="3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0:12:28"/>
    <m/>
    <m/>
    <m/>
    <s v="F3X"/>
    <n v="4.02012020168638E+18"/>
    <s v="t"/>
    <s v="EARMARKED FOR DSCC (C00042366)"/>
    <n v="2020"/>
    <s v="SA"/>
    <m/>
    <n v="4.03022020122383E+18"/>
    <s v="http://docquery.fec.gov/cgi-bin/fecimg/?202001299170114954"/>
    <s v="Contributions From Individuals/Persons Other Than Political Committees"/>
  </r>
  <r>
    <s v="C00401224"/>
    <x v="3"/>
    <n v="2019"/>
    <s v="YE"/>
    <n v="2.0200129917011398E+17"/>
    <s v="11AI"/>
    <s v="SA11AI_191005150"/>
    <n v="1378435"/>
    <m/>
    <s v="IND"/>
    <s v="INDIVIDUAL"/>
    <m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m/>
    <m/>
    <m/>
    <s v="CONTRIBUTION TO ACT BLUE"/>
    <m/>
    <m/>
    <d v="2019-11-30T00:00:00"/>
    <n v="9.4"/>
    <n v="106.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0:15:36"/>
    <m/>
    <m/>
    <m/>
    <s v="F3X"/>
    <n v="4.02012020168638E+18"/>
    <s v="t"/>
    <s v="CONTRIBUTION TO ACTBLUE"/>
    <n v="2020"/>
    <s v="SA"/>
    <m/>
    <n v="4.0302202012263199E+18"/>
    <s v="http://docquery.fec.gov/cgi-bin/fecimg/?202001299170114951"/>
    <s v="Contributions From Individuals/Persons Other Than Political Committees"/>
  </r>
  <r>
    <s v="C00401224"/>
    <x v="3"/>
    <n v="2019"/>
    <s v="YE"/>
    <n v="2.0200129917011398E+17"/>
    <s v="11AI"/>
    <s v="SA11AI_197247511"/>
    <n v="1378435"/>
    <m/>
    <s v="IND"/>
    <s v="INDIVIDUAL"/>
    <m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m/>
    <m/>
    <m/>
    <s v="CONTRIBUTION TO ACT BLUE"/>
    <m/>
    <m/>
    <d v="2019-12-31T00:00:00"/>
    <n v="10"/>
    <n v="106.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1:12:02"/>
    <m/>
    <m/>
    <m/>
    <s v="F3X"/>
    <n v="4.02012020168638E+18"/>
    <s v="t"/>
    <s v="CONTRIBUTION TO ACTBLUE"/>
    <n v="2020"/>
    <s v="SA"/>
    <m/>
    <n v="4.0302202012330998E+18"/>
    <s v="http://docquery.fec.gov/cgi-bin/fecimg/?202001299170114953"/>
    <s v="Contributions From Individuals/Persons Other Than Political Committees"/>
  </r>
  <r>
    <s v="C00401224"/>
    <x v="3"/>
    <n v="2019"/>
    <s v="YE"/>
    <n v="2.0200129917011398E+17"/>
    <s v="11AI"/>
    <s v="SA11AI_193005992"/>
    <n v="1378435"/>
    <m/>
    <s v="IND"/>
    <s v="INDIVIDUAL"/>
    <m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m/>
    <m/>
    <m/>
    <s v="CONTRIBUTION TO ACT BLUE"/>
    <m/>
    <m/>
    <d v="2019-12-12T00:00:00"/>
    <n v="9.4"/>
    <n v="106.3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1:45:59"/>
    <m/>
    <m/>
    <m/>
    <s v="F3X"/>
    <n v="4.02012020168638E+18"/>
    <s v="t"/>
    <s v="CONTRIBUTION TO ACTBLUE"/>
    <n v="2020"/>
    <s v="SA"/>
    <m/>
    <n v="4.0302202012159201E+18"/>
    <s v="http://docquery.fec.gov/cgi-bin/fecimg/?202001299170114953"/>
    <s v="Contributions From Individuals/Persons Other Than Political Committees"/>
  </r>
  <r>
    <s v="C00401224"/>
    <x v="3"/>
    <n v="2019"/>
    <s v="YE"/>
    <n v="2.0200129917011398E+17"/>
    <s v="11AI"/>
    <s v="SA11AI_191886450"/>
    <n v="1378435"/>
    <m/>
    <s v="IND"/>
    <s v="INDIVIDUAL"/>
    <s v="C00000935"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s v="C00000935"/>
    <s v="24T"/>
    <s v="EARMARKED INTERMEDIARY TREASURY OUT"/>
    <s v="EARMARK"/>
    <m/>
    <m/>
    <d v="2019-12-05T00:00:00"/>
    <n v="125"/>
    <n v="838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2:08:35"/>
    <m/>
    <m/>
    <m/>
    <s v="F3X"/>
    <n v="4.02012020168638E+18"/>
    <s v="t"/>
    <s v="EARMARKED FOR DCCC (C00000935)"/>
    <n v="2020"/>
    <s v="SA"/>
    <m/>
    <n v="4.03022020122639E+18"/>
    <s v="http://docquery.fec.gov/cgi-bin/fecimg/?202001299170114952"/>
    <s v="Contributions From Individuals/Persons Other Than Political Committees"/>
  </r>
  <r>
    <s v="C00401224"/>
    <x v="3"/>
    <n v="2019"/>
    <s v="YE"/>
    <n v="2.0200129917011398E+17"/>
    <s v="11AI"/>
    <s v="SA11AI_193005969"/>
    <n v="1378435"/>
    <m/>
    <s v="IND"/>
    <s v="INDIVIDUAL"/>
    <s v="C00000935"/>
    <m/>
    <s v="GLOVER, RENEE"/>
    <s v="V"/>
    <m/>
    <s v="U"/>
    <s v="RENEE"/>
    <m/>
    <s v="GLOVER"/>
    <m/>
    <s v="553 AUBURN AVENUE NORTHEAST"/>
    <m/>
    <s v="ATLANTA"/>
    <s v="GA"/>
    <n v="30312"/>
    <s v="THE CATALYST GROUP, LLC"/>
    <s v="BUSINESS CONSULTANT"/>
    <s v="C00000935"/>
    <s v="24T"/>
    <s v="EARMARKED INTERMEDIARY TREASURY OUT"/>
    <s v="EARMARK"/>
    <m/>
    <m/>
    <d v="2019-12-12T00:00:00"/>
    <n v="94"/>
    <n v="838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0-03-04T13:54:18"/>
    <m/>
    <m/>
    <m/>
    <s v="F3X"/>
    <n v="4.02012020168638E+18"/>
    <s v="t"/>
    <s v="EARMARKED FOR DCCC (C00000935)"/>
    <n v="2020"/>
    <s v="SA"/>
    <m/>
    <n v="4.0302202012234102E+18"/>
    <s v="http://docquery.fec.gov/cgi-bin/fecimg/?202001299170114953"/>
    <s v="Contributions From Individuals/Persons Other Than Political Committees"/>
  </r>
  <r>
    <s v="C00000935"/>
    <x v="2"/>
    <n v="2019"/>
    <s v="M12"/>
    <n v="2.0200302920361101E+17"/>
    <s v="11AI"/>
    <n v="27978234"/>
    <n v="1387464"/>
    <m/>
    <s v="IND"/>
    <s v="INDIVIDUAL"/>
    <m/>
    <m/>
    <s v="GLOVER, RENEE L."/>
    <s v="Y"/>
    <m/>
    <s v="U"/>
    <s v="RENEE"/>
    <s v="L."/>
    <s v="GLOVER"/>
    <m/>
    <s v="553 AUBURN AVE NE"/>
    <m/>
    <s v="ATLANTA"/>
    <s v="GA"/>
    <n v="303121941"/>
    <s v="THE CATALYST GROUP LLC"/>
    <s v="BUSINESS CONSULTANT"/>
    <m/>
    <m/>
    <m/>
    <m/>
    <m/>
    <m/>
    <d v="2019-11-30T00:00:00"/>
    <n v="94"/>
    <n v="619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05T12:11:14"/>
    <m/>
    <s v="27978234E"/>
    <s v="SA11AI"/>
    <s v="F3X"/>
    <n v="4.0304202017001298E+18"/>
    <s v="t"/>
    <s v="* EARMARKED CONTRIBUTION: SEE BELOW EARMARKED THROUGH ACTBLUE"/>
    <n v="2020"/>
    <s v="SA"/>
    <m/>
    <n v="4.0304202017018399E+18"/>
    <s v="http://docquery.fec.gov/cgi-bin/fecimg/?202003029203611611"/>
    <s v="Contributions From Individuals/Persons Other Than Political Committees"/>
  </r>
  <r>
    <s v="C00000935"/>
    <x v="2"/>
    <n v="2019"/>
    <s v="YE"/>
    <n v="2.0200303920370499E+17"/>
    <s v="11AI"/>
    <n v="28209176"/>
    <n v="1387576"/>
    <m/>
    <s v="IND"/>
    <s v="INDIVIDUAL"/>
    <m/>
    <m/>
    <s v="GLOVER, RENEE L."/>
    <s v="Y"/>
    <m/>
    <s v="U"/>
    <s v="RENEE"/>
    <s v="L."/>
    <s v="GLOVER"/>
    <m/>
    <s v="553 AUBURN AVE NE"/>
    <m/>
    <s v="ATLANTA"/>
    <s v="GA"/>
    <n v="303121941"/>
    <s v="THE CATALYST GROUP LLC"/>
    <s v="BUSINESS CONSULTANT"/>
    <m/>
    <m/>
    <m/>
    <m/>
    <m/>
    <m/>
    <d v="2019-12-05T00:00:00"/>
    <n v="125"/>
    <n v="74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07T02:28:12"/>
    <m/>
    <s v="28209176E"/>
    <s v="SA11AI"/>
    <s v="F3X"/>
    <n v="4.0304202017001298E+18"/>
    <s v="t"/>
    <s v="* EARMARKED CONTRIBUTION: SEE BELOW EARMARKED THROUGH ACTBLUE"/>
    <n v="2020"/>
    <s v="SA"/>
    <m/>
    <n v="4.03062020170238E+18"/>
    <s v="http://docquery.fec.gov/cgi-bin/fecimg/?202003039203705747"/>
    <s v="Contributions From Individuals/Persons Other Than Political Committees"/>
  </r>
  <r>
    <s v="C00000935"/>
    <x v="2"/>
    <n v="2019"/>
    <s v="YE"/>
    <n v="2.0200303920370499E+17"/>
    <s v="11AI"/>
    <n v="28232437"/>
    <n v="1387576"/>
    <m/>
    <s v="IND"/>
    <s v="INDIVIDUAL"/>
    <m/>
    <m/>
    <s v="GLOVER, RENEE L."/>
    <s v="Y"/>
    <m/>
    <s v="U"/>
    <s v="RENEE"/>
    <s v="L."/>
    <s v="GLOVER"/>
    <m/>
    <s v="553 AUBURN AVE NE"/>
    <m/>
    <s v="ATLANTA"/>
    <s v="GA"/>
    <n v="303121941"/>
    <s v="THE CATALYST GROUP LLC"/>
    <s v="BUSINESS CONSULTANT"/>
    <m/>
    <m/>
    <m/>
    <m/>
    <m/>
    <m/>
    <d v="2019-12-12T00:00:00"/>
    <n v="94"/>
    <n v="838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07T02:28:12"/>
    <m/>
    <s v="28232437E"/>
    <s v="SA11AI"/>
    <s v="F3X"/>
    <n v="4.0304202017001298E+18"/>
    <s v="t"/>
    <s v="* EARMARKED CONTRIBUTION: SEE BELOW EARMARKED THROUGH ACTBLUE"/>
    <n v="2020"/>
    <s v="SA"/>
    <m/>
    <n v="4.03062020170238E+18"/>
    <s v="http://docquery.fec.gov/cgi-bin/fecimg/?202003039203705748"/>
    <s v="Contributions From Individuals/Persons Other Than Political Committees"/>
  </r>
  <r>
    <s v="C00401224"/>
    <x v="3"/>
    <n v="2020"/>
    <s v="M2"/>
    <n v="2.0200221920060301E+17"/>
    <s v="11AI"/>
    <s v="SA11AI_204143161"/>
    <n v="138552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1-31T00:00:00"/>
    <n v="10"/>
    <n v="3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6:50:10"/>
    <m/>
    <m/>
    <m/>
    <s v="F3X"/>
    <n v="4.02212020169344E+18"/>
    <s v="t"/>
    <s v="CONTRIBUTION TO ACTBLUE"/>
    <n v="2020"/>
    <s v="SA"/>
    <m/>
    <n v="4.0324202017076797E+18"/>
    <s v="http://docquery.fec.gov/cgi-bin/fecimg/?202002219200603947"/>
    <s v="Contributions From Individuals/Persons Other Than Political Committees"/>
  </r>
  <r>
    <s v="C00401224"/>
    <x v="3"/>
    <n v="2020"/>
    <s v="M2"/>
    <n v="2.0200221920060301E+17"/>
    <s v="11AI"/>
    <s v="SA11AI_204368485"/>
    <n v="138552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1-31T00:00:00"/>
    <n v="10"/>
    <n v="3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7:01:14"/>
    <m/>
    <m/>
    <m/>
    <s v="F3X"/>
    <n v="4.02212020169344E+18"/>
    <s v="t"/>
    <s v="CONTRIBUTION TO ACTBLUE"/>
    <n v="2020"/>
    <s v="SA"/>
    <m/>
    <n v="4.0324202017076797E+18"/>
    <s v="http://docquery.fec.gov/cgi-bin/fecimg/?202002219200603947"/>
    <s v="Contributions From Individuals/Persons Other Than Political Committees"/>
  </r>
  <r>
    <s v="C00401224"/>
    <x v="3"/>
    <n v="2020"/>
    <s v="M2"/>
    <n v="2.0200221920060301E+17"/>
    <s v="11AI"/>
    <s v="SA11AI_204176446"/>
    <n v="138552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1-31T00:00:00"/>
    <n v="10"/>
    <n v="3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7:19:19"/>
    <m/>
    <m/>
    <m/>
    <s v="F3X"/>
    <n v="4.02212020169344E+18"/>
    <s v="t"/>
    <s v="CONTRIBUTION TO ACTBLUE"/>
    <n v="2020"/>
    <s v="SA"/>
    <m/>
    <n v="4.0324202017076797E+18"/>
    <s v="http://docquery.fec.gov/cgi-bin/fecimg/?202002219200603948"/>
    <s v="Contributions From Individuals/Persons Other Than Political Committees"/>
  </r>
  <r>
    <s v="C00401224"/>
    <x v="3"/>
    <n v="2020"/>
    <s v="M2"/>
    <n v="2.0200221920060301E+17"/>
    <s v="11AI"/>
    <s v="SA11AI_204368369"/>
    <n v="138552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1-31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7:44:41"/>
    <m/>
    <m/>
    <m/>
    <s v="F3X"/>
    <n v="4.02212020169344E+18"/>
    <s v="t"/>
    <s v="EARMARKED FOR FRIENDS OF LUCY MCBATH (C00672295)"/>
    <n v="2020"/>
    <s v="SA"/>
    <m/>
    <n v="4.0324202017076797E+18"/>
    <s v="http://docquery.fec.gov/cgi-bin/fecimg/?202002219200603946"/>
    <s v="Contributions From Individuals/Persons Other Than Political Committees"/>
  </r>
  <r>
    <s v="C00401224"/>
    <x v="3"/>
    <n v="2020"/>
    <s v="M2"/>
    <n v="2.0200221920060301E+17"/>
    <s v="11AI"/>
    <s v="SA11AI_204176338"/>
    <n v="138552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1-31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7:44:41"/>
    <m/>
    <m/>
    <m/>
    <s v="F3X"/>
    <n v="4.02212020169344E+18"/>
    <s v="t"/>
    <s v="EARMARKED FOR DSCC (C00042366)"/>
    <n v="2020"/>
    <s v="SA"/>
    <m/>
    <n v="4.0324202017076797E+18"/>
    <s v="http://docquery.fec.gov/cgi-bin/fecimg/?202002219200603947"/>
    <s v="Contributions From Individuals/Persons Other Than Political Committees"/>
  </r>
  <r>
    <s v="C00401224"/>
    <x v="3"/>
    <n v="2020"/>
    <s v="M2"/>
    <n v="2.0200221920060301E+17"/>
    <s v="11AI"/>
    <s v="SA11AI_204143058"/>
    <n v="138552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1-31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3-25T07:51:42"/>
    <m/>
    <m/>
    <m/>
    <s v="F3X"/>
    <n v="4.02212020169344E+18"/>
    <s v="t"/>
    <s v="EARMARKED FOR WARNOCK FOR GEORGIA (C00736876)"/>
    <n v="2020"/>
    <s v="SA"/>
    <m/>
    <n v="4.0324202017076797E+18"/>
    <s v="http://docquery.fec.gov/cgi-bin/fecimg/?202002219200603948"/>
    <s v="Contributions From Individuals/Persons Other Than Political Committees"/>
  </r>
  <r>
    <s v="C00401224"/>
    <x v="3"/>
    <n v="2020"/>
    <s v="M3"/>
    <n v="2.0200320921117901E+17"/>
    <s v="11AI"/>
    <s v="SA11AI_206626764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07T00:00:00"/>
    <n v="10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0:11:34"/>
    <m/>
    <m/>
    <m/>
    <s v="F3X"/>
    <n v="4.0323202017043999E+18"/>
    <s v="t"/>
    <s v="CONTRIBUTION TO ACTBLUE"/>
    <n v="2020"/>
    <s v="SA"/>
    <m/>
    <n v="4.04022020172429E+18"/>
    <s v="http://docquery.fec.gov/cgi-bin/fecimg/?202003209211179326"/>
    <s v="Contributions From Individuals/Persons Other Than Political Committees"/>
  </r>
  <r>
    <s v="C00401224"/>
    <x v="3"/>
    <n v="2020"/>
    <s v="M3"/>
    <n v="2.0200320921117901E+17"/>
    <s v="11AI"/>
    <s v="SA11AI_206626657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2-07T00:00:00"/>
    <n v="100"/>
    <n v="2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0:30:07"/>
    <m/>
    <m/>
    <m/>
    <s v="F3X"/>
    <n v="4.0323202017043999E+18"/>
    <s v="t"/>
    <s v="EARMARKED FOR DSCC (C00042366)"/>
    <n v="2020"/>
    <s v="SA"/>
    <m/>
    <n v="4.04022020172429E+18"/>
    <s v="http://docquery.fec.gov/cgi-bin/fecimg/?202003209211179327"/>
    <s v="Contributions From Individuals/Persons Other Than Political Committees"/>
  </r>
  <r>
    <s v="C00401224"/>
    <x v="3"/>
    <n v="2020"/>
    <s v="M3"/>
    <n v="2.0200320921117901E+17"/>
    <s v="11AI"/>
    <s v="SA11AI_214639668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29T00:00:00"/>
    <n v="40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0:30:07"/>
    <m/>
    <m/>
    <m/>
    <s v="F3X"/>
    <n v="4.0323202017043999E+18"/>
    <s v="t"/>
    <s v="CONTRIBUTION TO ACTBLUE"/>
    <n v="2020"/>
    <s v="SA"/>
    <m/>
    <n v="4.04022020172429E+18"/>
    <s v="http://docquery.fec.gov/cgi-bin/fecimg/?202003209211179330"/>
    <s v="Contributions From Individuals/Persons Other Than Political Committees"/>
  </r>
  <r>
    <s v="C00401224"/>
    <x v="3"/>
    <n v="2020"/>
    <s v="M3"/>
    <n v="2.0200320921117901E+17"/>
    <s v="11AI"/>
    <s v="SA11AI_214747462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2-29T00:00:00"/>
    <n v="94"/>
    <n v="19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0:54:23"/>
    <m/>
    <m/>
    <m/>
    <s v="F3X"/>
    <n v="4.0323202017043999E+18"/>
    <s v="t"/>
    <s v="EARMARKED FOR DCCC (C00000935)"/>
    <n v="2020"/>
    <s v="SA"/>
    <m/>
    <n v="4.04022020172429E+18"/>
    <s v="http://docquery.fec.gov/cgi-bin/fecimg/?202003209211179330"/>
    <s v="Contributions From Individuals/Persons Other Than Political Committees"/>
  </r>
  <r>
    <s v="C00401224"/>
    <x v="3"/>
    <n v="2020"/>
    <s v="M3"/>
    <n v="2.0200320921117901E+17"/>
    <s v="11AI"/>
    <s v="SA11AI_207999046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11T00:00:00"/>
    <n v="10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1:20:27"/>
    <m/>
    <m/>
    <m/>
    <s v="F3X"/>
    <n v="4.0323202017043999E+18"/>
    <s v="t"/>
    <s v="CONTRIBUTION TO ACTBLUE"/>
    <n v="2020"/>
    <s v="SA"/>
    <m/>
    <n v="4.04022020172429E+18"/>
    <s v="http://docquery.fec.gov/cgi-bin/fecimg/?202003209211179327"/>
    <s v="Contributions From Individuals/Persons Other Than Political Committees"/>
  </r>
  <r>
    <s v="C00401224"/>
    <x v="3"/>
    <n v="2020"/>
    <s v="M3"/>
    <n v="2.0200320921117901E+17"/>
    <s v="11AI"/>
    <s v="SA11AI_209914296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17T00:00:00"/>
    <n v="20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1:20:27"/>
    <m/>
    <m/>
    <m/>
    <s v="F3X"/>
    <n v="4.0323202017043999E+18"/>
    <s v="t"/>
    <s v="CONTRIBUTION TO ACTBLUE"/>
    <n v="2020"/>
    <s v="SA"/>
    <m/>
    <n v="4.04022020172429E+18"/>
    <s v="http://docquery.fec.gov/cgi-bin/fecimg/?202003209211179328"/>
    <s v="Contributions From Individuals/Persons Other Than Political Committees"/>
  </r>
  <r>
    <s v="C00401224"/>
    <x v="3"/>
    <n v="2020"/>
    <s v="M3"/>
    <n v="2.0200320921117901E+17"/>
    <s v="11AI"/>
    <s v="SA11AI_211232680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20T00:00:00"/>
    <n v="5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1:20:27"/>
    <m/>
    <m/>
    <m/>
    <s v="F3X"/>
    <n v="4.0323202017043999E+18"/>
    <s v="t"/>
    <s v="CONTRIBUTION TO ACTBLUE"/>
    <n v="2020"/>
    <s v="SA"/>
    <m/>
    <n v="4.04022020172429E+18"/>
    <s v="http://docquery.fec.gov/cgi-bin/fecimg/?202003209211179328"/>
    <s v="Contributions From Individuals/Persons Other Than Political Committees"/>
  </r>
  <r>
    <s v="C00401224"/>
    <x v="3"/>
    <n v="2020"/>
    <s v="M3"/>
    <n v="2.0200320921117901E+17"/>
    <s v="11AI"/>
    <s v="SA11AI_207998979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2-11T00:00:00"/>
    <n v="100"/>
    <n v="19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1:40:04"/>
    <m/>
    <m/>
    <m/>
    <s v="F3X"/>
    <n v="4.0323202017043999E+18"/>
    <s v="t"/>
    <s v="EARMARKED FOR DCCC (C00000935)"/>
    <n v="2020"/>
    <s v="SA"/>
    <m/>
    <n v="4.04022020172429E+18"/>
    <s v="http://docquery.fec.gov/cgi-bin/fecimg/?202003209211179327"/>
    <s v="Contributions From Individuals/Persons Other Than Political Committees"/>
  </r>
  <r>
    <s v="C00401224"/>
    <x v="3"/>
    <n v="2020"/>
    <s v="M3"/>
    <n v="2.0200320921117901E+17"/>
    <s v="11AI"/>
    <s v="SA11AI_212263974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23T00:00:00"/>
    <n v="20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1:40:04"/>
    <m/>
    <m/>
    <m/>
    <s v="F3X"/>
    <n v="4.0323202017043999E+18"/>
    <s v="t"/>
    <s v="CONTRIBUTION TO ACTBLUE"/>
    <n v="2020"/>
    <s v="SA"/>
    <m/>
    <n v="4.04022020172429E+18"/>
    <s v="http://docquery.fec.gov/cgi-bin/fecimg/?202003209211179329"/>
    <s v="Contributions From Individuals/Persons Other Than Political Committees"/>
  </r>
  <r>
    <s v="C00401224"/>
    <x v="3"/>
    <n v="2020"/>
    <s v="M3"/>
    <n v="2.0200320921117901E+17"/>
    <s v="11AI"/>
    <s v="SA11AI_214747533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29T00:00:00"/>
    <n v="9.4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2:06:07"/>
    <m/>
    <m/>
    <m/>
    <s v="F3X"/>
    <n v="4.0323202017043999E+18"/>
    <s v="t"/>
    <s v="CONTRIBUTION TO ACTBLUE"/>
    <n v="2020"/>
    <s v="SA"/>
    <m/>
    <n v="4.04022020172429E+18"/>
    <s v="http://docquery.fec.gov/cgi-bin/fecimg/?202003209211179330"/>
    <s v="Contributions From Individuals/Persons Other Than Political Committees"/>
  </r>
  <r>
    <s v="C00401224"/>
    <x v="3"/>
    <n v="2020"/>
    <s v="M3"/>
    <n v="2.0200320921117901E+17"/>
    <s v="11AI"/>
    <s v="SA11AI_206858020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CONTRIBUTION TO ACT BLUE"/>
    <m/>
    <m/>
    <d v="2020-02-07T00:00:00"/>
    <n v="10"/>
    <n v="154.4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2:08:17"/>
    <m/>
    <m/>
    <m/>
    <s v="F3X"/>
    <n v="4.0323202017043999E+18"/>
    <s v="t"/>
    <s v="CONTRIBUTION TO ACTBLUE"/>
    <n v="2020"/>
    <s v="SA"/>
    <m/>
    <n v="4.04022020172429E+18"/>
    <s v="http://docquery.fec.gov/cgi-bin/fecimg/?202003209211179326"/>
    <s v="Contributions From Individuals/Persons Other Than Political Committees"/>
  </r>
  <r>
    <s v="C00401224"/>
    <x v="3"/>
    <n v="2020"/>
    <s v="M3"/>
    <n v="2.0200320921117901E+17"/>
    <s v="11AI"/>
    <s v="SA11AI_206857877"/>
    <n v="1391686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2-07T00:00:00"/>
    <n v="100"/>
    <n v="1000"/>
    <s v="S0GA00559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03T12:20:25"/>
    <m/>
    <m/>
    <m/>
    <s v="F3X"/>
    <n v="4.0323202017043999E+18"/>
    <s v="t"/>
    <s v="EARMARKED FOR WARNOCK FOR GEORGIA (C00736876)"/>
    <n v="2020"/>
    <s v="SA"/>
    <m/>
    <n v="4.04022020172429E+18"/>
    <s v="http://docquery.fec.gov/cgi-bin/fecimg/?202003209211179326"/>
    <s v="Contributions From Individuals/Persons Other Than Political Committees"/>
  </r>
  <r>
    <s v="C00401224"/>
    <x v="3"/>
    <n v="2020"/>
    <s v="M3"/>
    <n v="2.0200320921117901E+17"/>
    <s v="11AI"/>
    <s v="SA11AI_211232635"/>
    <n v="1391686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2-20T00:00:00"/>
    <n v="50"/>
    <n v="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4-03T12:20:25"/>
    <m/>
    <m/>
    <m/>
    <s v="F3X"/>
    <n v="4.0323202017043999E+18"/>
    <s v="t"/>
    <s v="EARMARKED FOR GEORGIA FEDERAL ELECTIONS COMMITTEE - FEDERAL ACCOUNT (C00041269)"/>
    <n v="2020"/>
    <s v="SA"/>
    <m/>
    <n v="4.04022020172429E+18"/>
    <s v="http://docquery.fec.gov/cgi-bin/fecimg/?202003209211179329"/>
    <s v="Contributions From Individuals/Persons Other Than Political Committees"/>
  </r>
  <r>
    <s v="C00703975"/>
    <x v="4"/>
    <n v="2020"/>
    <s v="M4"/>
    <n v="2.0200420922420301E+17"/>
    <s v="17A"/>
    <n v="2825331"/>
    <n v="140298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3-02T00:00:00"/>
    <n v="25"/>
    <n v="27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4-24T02:44:09"/>
    <m/>
    <s v="2825331E"/>
    <s v="SA17A"/>
    <s v="F3P"/>
    <n v="4.0421202017375201E+18"/>
    <s v="t"/>
    <s v="* EARMARKED CONTRIBUTION: SEE BELOW"/>
    <n v="2020"/>
    <s v="SA"/>
    <m/>
    <n v="4.0423202017386798E+18"/>
    <s v="http://docquery.fec.gov/cgi-bin/fecimg/?202004209224203248"/>
    <s v="Contributions From Individuals/Persons Other Than Political Committees"/>
  </r>
  <r>
    <s v="C00703975"/>
    <x v="4"/>
    <n v="2020"/>
    <s v="M4"/>
    <n v="2.0200420922420301E+17"/>
    <s v="17A"/>
    <n v="2825441"/>
    <n v="140298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3-02T00:00:00"/>
    <n v="250"/>
    <n v="27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4-24T02:44:09"/>
    <m/>
    <s v="2825441E"/>
    <s v="SA17A"/>
    <s v="F3P"/>
    <n v="4.0421202017375201E+18"/>
    <s v="t"/>
    <s v="* EARMARKED CONTRIBUTION: SEE BELOW"/>
    <n v="2020"/>
    <s v="SA"/>
    <m/>
    <n v="4.0423202017386798E+18"/>
    <s v="http://docquery.fec.gov/cgi-bin/fecimg/?202004209224203249"/>
    <s v="Contributions From Individuals/Persons Other Than Political Committees"/>
  </r>
  <r>
    <s v="C00703975"/>
    <x v="4"/>
    <n v="2020"/>
    <s v="M4"/>
    <n v="2.0200420922420301E+17"/>
    <s v="17A"/>
    <n v="3060865"/>
    <n v="140298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3-05T00:00:00"/>
    <n v="2484"/>
    <n v="2759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4-24T02:46:44"/>
    <m/>
    <s v="3060865E"/>
    <s v="SA17A"/>
    <s v="F3P"/>
    <n v="4.0421202017375201E+18"/>
    <s v="t"/>
    <s v="* EARMARKED CONTRIBUTION: SEE BELOW"/>
    <n v="2020"/>
    <s v="SA"/>
    <m/>
    <n v="4.0423202017386798E+18"/>
    <s v="http://docquery.fec.gov/cgi-bin/fecimg/?202004209224203250"/>
    <s v="Contributions From Individuals/Persons Other Than Political Committees"/>
  </r>
  <r>
    <s v="C00703975"/>
    <x v="4"/>
    <n v="2020"/>
    <s v="M4"/>
    <n v="2.0200420922420301E+17"/>
    <s v="17A"/>
    <n v="3569698"/>
    <n v="1402986"/>
    <m/>
    <s v="IND"/>
    <s v="INDIVIDUAL"/>
    <m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s v="X"/>
    <m/>
    <d v="2020-03-08T00:00:00"/>
    <n v="-9"/>
    <n v="2809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4-24T03:04:13"/>
    <m/>
    <m/>
    <m/>
    <s v="F3P"/>
    <n v="4.0421202017375201E+18"/>
    <s v="t"/>
    <m/>
    <n v="2020"/>
    <s v="SA"/>
    <m/>
    <n v="4.0423202017386798E+18"/>
    <s v="http://docquery.fec.gov/cgi-bin/fecimg/?202004209224203251"/>
    <s v="Contributions From Individuals/Persons Other Than Political Committees"/>
  </r>
  <r>
    <s v="C00703975"/>
    <x v="4"/>
    <n v="2020"/>
    <s v="M4"/>
    <n v="2.0200420922420301E+17"/>
    <s v="17A"/>
    <n v="3076999"/>
    <n v="140298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3-06T00:00:00"/>
    <n v="50"/>
    <n v="2809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4-24T03:04:52"/>
    <m/>
    <s v="3076999E"/>
    <s v="SA17A"/>
    <s v="F3P"/>
    <n v="4.0421202017375201E+18"/>
    <s v="t"/>
    <s v="* EARMARKED CONTRIBUTION: SEE BELOW"/>
    <n v="2020"/>
    <s v="SA"/>
    <m/>
    <n v="4.0423202017386798E+18"/>
    <s v="http://docquery.fec.gov/cgi-bin/fecimg/?202004209224203250"/>
    <s v="Contributions From Individuals/Persons Other Than Political Committees"/>
  </r>
  <r>
    <s v="C00703975"/>
    <x v="4"/>
    <n v="2020"/>
    <s v="M4"/>
    <n v="2.0200420922420301E+17"/>
    <s v="17A"/>
    <n v="3570233"/>
    <n v="1402986"/>
    <m/>
    <s v="IND"/>
    <s v="INDIVIDUAL"/>
    <m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s v="X"/>
    <m/>
    <d v="2020-03-08T00:00:00"/>
    <n v="9"/>
    <n v="2809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4-24T03:05:15"/>
    <m/>
    <n v="3569698"/>
    <s v="SA17A"/>
    <s v="F3P"/>
    <n v="4.0421202017375201E+18"/>
    <s v="t"/>
    <m/>
    <n v="2020"/>
    <s v="SA"/>
    <m/>
    <n v="4.0423202017386798E+18"/>
    <s v="http://docquery.fec.gov/cgi-bin/fecimg/?202004209224203251"/>
    <s v="Contributions From Individuals/Persons Other Than Political Committees"/>
  </r>
  <r>
    <s v="C00672295"/>
    <x v="5"/>
    <n v="2020"/>
    <s v="Q1"/>
    <n v="2.0200415921927699E+17"/>
    <s v="11AI"/>
    <s v="VVBPDQMW128"/>
    <n v="1399908"/>
    <m/>
    <s v="IND"/>
    <s v="INDIVIDUAL"/>
    <s v="C00401224"/>
    <m/>
    <s v="GLOVER, RENEE"/>
    <s v="H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1-31T00:00:00"/>
    <n v="100"/>
    <n v="4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5-07T01:27:57"/>
    <m/>
    <s v="VVBPDQMW128E"/>
    <s v="SA11AI"/>
    <s v="F3"/>
    <n v="4.04152020173679E+18"/>
    <s v="t"/>
    <s v="* EARMARKED CONTRIBUTION: SEE BELOW"/>
    <n v="2020"/>
    <s v="SA"/>
    <m/>
    <n v="4.05062020174193E+18"/>
    <s v="http://docquery.fec.gov/cgi-bin/fecimg/?202004159219277143"/>
    <s v="Contributions From Individuals/Persons Other Than Political Committees"/>
  </r>
  <r>
    <s v="C00736876"/>
    <x v="6"/>
    <n v="2020"/>
    <s v="Q1"/>
    <n v="2.0200415921948301E+17"/>
    <s v="11AI"/>
    <n v="3613631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2-29T00:00:00"/>
    <n v="40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1"/>
    <m/>
    <s v="3613631E"/>
    <s v="SA11AI"/>
    <s v="F3"/>
    <n v="4.0416202017369098E+18"/>
    <s v="t"/>
    <s v="* EARMARKED CONTRIBUTION: SEE BELOW"/>
    <n v="2020"/>
    <s v="SA"/>
    <m/>
    <n v="4.0504202017415199E+18"/>
    <s v="http://docquery.fec.gov/cgi-bin/fecimg/?202004159219483705"/>
    <s v="Contributions From Individuals/Persons Other Than Political Committees"/>
  </r>
  <r>
    <s v="C00736876"/>
    <x v="6"/>
    <n v="2020"/>
    <s v="Q1"/>
    <n v="2.0200415921948301E+17"/>
    <s v="11AI"/>
    <n v="3874032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3-19T00:00:00"/>
    <n v="10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1"/>
    <m/>
    <s v="3874032E"/>
    <s v="SA11AI"/>
    <s v="F3"/>
    <n v="4.0416202017369098E+18"/>
    <s v="t"/>
    <s v="* EARMARKED CONTRIBUTION: SEE BELOW"/>
    <n v="2020"/>
    <s v="SA"/>
    <m/>
    <n v="4.0504202017415199E+18"/>
    <s v="http://docquery.fec.gov/cgi-bin/fecimg/?202004159219483790"/>
    <s v="Contributions From Individuals/Persons Other Than Political Committees"/>
  </r>
  <r>
    <s v="C00736876"/>
    <x v="6"/>
    <n v="2020"/>
    <s v="Q1"/>
    <n v="2.0200415921948301E+17"/>
    <s v="11AI"/>
    <n v="3810453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3-05T00:00:00"/>
    <n v="25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2"/>
    <m/>
    <s v="3810453E"/>
    <s v="SA11AI"/>
    <s v="F3"/>
    <n v="4.0416202017369098E+18"/>
    <s v="t"/>
    <s v="* EARMARKED CONTRIBUTION: SEE BELOW"/>
    <n v="2020"/>
    <s v="SA"/>
    <m/>
    <n v="4.0504202017415199E+18"/>
    <s v="http://docquery.fec.gov/cgi-bin/fecimg/?202004159219483896"/>
    <s v="Contributions From Individuals/Persons Other Than Political Committees"/>
  </r>
  <r>
    <s v="C00736876"/>
    <x v="6"/>
    <n v="2020"/>
    <s v="Q1"/>
    <n v="2.0200415921948301E+17"/>
    <s v="11AI"/>
    <n v="3965924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3-25T00:00:00"/>
    <n v="25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2"/>
    <m/>
    <s v="3965924E"/>
    <s v="SA11AI"/>
    <s v="F3"/>
    <n v="4.0416202017369098E+18"/>
    <s v="t"/>
    <s v="* EARMARKED CONTRIBUTION: SEE BELOW"/>
    <n v="2020"/>
    <s v="SA"/>
    <m/>
    <n v="4.0504202017415199E+18"/>
    <s v="http://docquery.fec.gov/cgi-bin/fecimg/?202004159219483953"/>
    <s v="Contributions From Individuals/Persons Other Than Political Committees"/>
  </r>
  <r>
    <s v="C00736876"/>
    <x v="6"/>
    <n v="2020"/>
    <s v="Q1"/>
    <n v="2.02004159219484E+17"/>
    <s v="11AI"/>
    <n v="3195625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1-31T00:00:00"/>
    <n v="10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4"/>
    <m/>
    <s v="3195625E"/>
    <s v="SA11AI"/>
    <s v="F3"/>
    <n v="4.0416202017369098E+18"/>
    <s v="t"/>
    <s v="* EARMARKED CONTRIBUTION: SEE BELOW"/>
    <n v="2020"/>
    <s v="SA"/>
    <m/>
    <n v="4.0504202017415301E+18"/>
    <s v="http://docquery.fec.gov/cgi-bin/fecimg/?202004159219484042"/>
    <s v="Contributions From Individuals/Persons Other Than Political Committees"/>
  </r>
  <r>
    <s v="C00736876"/>
    <x v="6"/>
    <n v="2020"/>
    <s v="Q1"/>
    <n v="2.02004159219484E+17"/>
    <s v="11AI"/>
    <n v="3202028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2-07T00:00:00"/>
    <n v="10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4"/>
    <m/>
    <s v="3202028E"/>
    <s v="SA11AI"/>
    <s v="F3"/>
    <n v="4.0416202017369098E+18"/>
    <s v="t"/>
    <s v="* EARMARKED CONTRIBUTION: SEE BELOW"/>
    <n v="2020"/>
    <s v="SA"/>
    <m/>
    <n v="4.0504202017415301E+18"/>
    <s v="http://docquery.fec.gov/cgi-bin/fecimg/?202004159219484304"/>
    <s v="Contributions From Individuals/Persons Other Than Political Committees"/>
  </r>
  <r>
    <s v="C00736876"/>
    <x v="6"/>
    <n v="2020"/>
    <s v="Q1"/>
    <n v="2.02004159219484E+17"/>
    <s v="11AI"/>
    <n v="3611128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2-17T00:00:00"/>
    <n v="20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4"/>
    <m/>
    <s v="3611128E"/>
    <s v="SA11AI"/>
    <s v="F3"/>
    <n v="4.0416202017369098E+18"/>
    <s v="t"/>
    <s v="* EARMARKED CONTRIBUTION: SEE BELOW"/>
    <n v="2020"/>
    <s v="SA"/>
    <m/>
    <n v="4.0504202017415301E+18"/>
    <s v="http://docquery.fec.gov/cgi-bin/fecimg/?202004159219484312"/>
    <s v="Contributions From Individuals/Persons Other Than Political Committees"/>
  </r>
  <r>
    <s v="C00736876"/>
    <x v="6"/>
    <n v="2020"/>
    <s v="Q1"/>
    <n v="2.02004159219484E+17"/>
    <s v="11AI"/>
    <n v="3611129"/>
    <n v="140043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2-23T00:00:00"/>
    <n v="200"/>
    <n v="160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05-05T01:29:36"/>
    <m/>
    <s v="3611129E"/>
    <s v="SA11AI"/>
    <s v="F3"/>
    <n v="4.0416202017369098E+18"/>
    <s v="t"/>
    <s v="* EARMARKED CONTRIBUTION: SEE BELOW"/>
    <n v="2020"/>
    <s v="SA"/>
    <m/>
    <n v="4.0504202017415301E+18"/>
    <s v="http://docquery.fec.gov/cgi-bin/fecimg/?202004159219484404"/>
    <s v="Contributions From Individuals/Persons Other Than Political Committees"/>
  </r>
  <r>
    <s v="C00401224"/>
    <x v="3"/>
    <n v="2020"/>
    <s v="M4"/>
    <n v="2.0200421922901501E+17"/>
    <s v="11AI"/>
    <s v="SA11AI_220719778"/>
    <n v="1402724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3-19T00:00:00"/>
    <n v="100"/>
    <n v="1600"/>
    <s v="S0GA00559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6:53:31"/>
    <m/>
    <m/>
    <m/>
    <s v="F3X"/>
    <n v="4.0420202017373501E+18"/>
    <s v="t"/>
    <s v="EARMARKED FOR WARNOCK FOR GEORGIA (C00736876)"/>
    <n v="2020"/>
    <s v="SA"/>
    <m/>
    <n v="4.0514202017468099E+18"/>
    <s v="http://docquery.fec.gov/cgi-bin/fecimg/?202004219229015406"/>
    <s v="Contributions From Individuals/Persons Other Than Political Committees"/>
  </r>
  <r>
    <s v="C00401224"/>
    <x v="3"/>
    <n v="2020"/>
    <s v="M4"/>
    <n v="2.0200421922901501E+17"/>
    <s v="11AI"/>
    <s v="SA11AI_215717881"/>
    <n v="1402724"/>
    <m/>
    <s v="IND"/>
    <s v="INDIVIDUAL"/>
    <s v="C0070397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03975"/>
    <s v="24T"/>
    <s v="EARMARKED INTERMEDIARY TREASURY OUT"/>
    <s v="EARMARK"/>
    <m/>
    <m/>
    <d v="2020-03-02T00:00:00"/>
    <n v="25"/>
    <n v="2809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6:56:09"/>
    <m/>
    <m/>
    <m/>
    <s v="F3X"/>
    <n v="4.0420202017373501E+18"/>
    <s v="t"/>
    <s v="EARMARKED FOR BIDEN FOR PRESIDENT (C00703975)"/>
    <n v="2020"/>
    <s v="SA"/>
    <m/>
    <n v="4.0514202017468099E+18"/>
    <s v="http://docquery.fec.gov/cgi-bin/fecimg/?202004219229015403"/>
    <s v="Contributions From Individuals/Persons Other Than Political Committees"/>
  </r>
  <r>
    <s v="C00401224"/>
    <x v="3"/>
    <n v="2020"/>
    <s v="M4"/>
    <n v="2.0200421922901501E+17"/>
    <s v="11AI"/>
    <s v="SA11AI_215717196"/>
    <n v="140272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3-02T00:00:00"/>
    <n v="25"/>
    <n v="256.899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6:56:09"/>
    <m/>
    <m/>
    <m/>
    <s v="F3X"/>
    <n v="4.0420202017373501E+18"/>
    <s v="t"/>
    <s v="CONTRIBUTION TO ACTBLUE"/>
    <n v="2020"/>
    <s v="SA"/>
    <m/>
    <n v="4.0514202017468099E+18"/>
    <s v="http://docquery.fec.gov/cgi-bin/fecimg/?202004219229015404"/>
    <s v="Contributions From Individuals/Persons Other Than Political Committees"/>
  </r>
  <r>
    <s v="C00401224"/>
    <x v="3"/>
    <n v="2020"/>
    <s v="M4"/>
    <n v="2.0200421922901501E+17"/>
    <s v="11AI"/>
    <s v="SA11AI_217365387"/>
    <n v="1402724"/>
    <m/>
    <s v="IND"/>
    <s v="INDIVIDUAL"/>
    <s v="C0070397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03975"/>
    <s v="24T"/>
    <s v="EARMARKED INTERMEDIARY TREASURY OUT"/>
    <s v="EARMARK"/>
    <m/>
    <m/>
    <d v="2020-03-06T00:00:00"/>
    <n v="50"/>
    <n v="2809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7:16:57"/>
    <m/>
    <m/>
    <m/>
    <s v="F3X"/>
    <n v="4.0420202017373501E+18"/>
    <s v="t"/>
    <s v="EARMARKED FOR BIDEN FOR PRESIDENT (C00703975)"/>
    <n v="2020"/>
    <s v="SA"/>
    <m/>
    <n v="4.0514202017468099E+18"/>
    <s v="http://docquery.fec.gov/cgi-bin/fecimg/?202004219229015405"/>
    <s v="Contributions From Individuals/Persons Other Than Political Committees"/>
  </r>
  <r>
    <s v="C00401224"/>
    <x v="3"/>
    <n v="2020"/>
    <s v="M4"/>
    <n v="2.0200421922901501E+17"/>
    <s v="11AI"/>
    <s v="SA11AI_222356447"/>
    <n v="140272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3-25T00:00:00"/>
    <n v="25"/>
    <n v="256.899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7:16:57"/>
    <m/>
    <m/>
    <m/>
    <s v="F3X"/>
    <n v="4.0420202017373501E+18"/>
    <s v="t"/>
    <s v="CONTRIBUTION TO ACTBLUE"/>
    <n v="2020"/>
    <s v="SA"/>
    <m/>
    <n v="4.0514202017468099E+18"/>
    <s v="http://docquery.fec.gov/cgi-bin/fecimg/?202004219229015406"/>
    <s v="Contributions From Individuals/Persons Other Than Political Committees"/>
  </r>
  <r>
    <s v="C00401224"/>
    <x v="3"/>
    <n v="2020"/>
    <s v="M4"/>
    <n v="2.0200421922901501E+17"/>
    <s v="11AI"/>
    <s v="SA11AI_220719808"/>
    <n v="140272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3-19T00:00:00"/>
    <n v="10"/>
    <n v="256.899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7:35:42"/>
    <m/>
    <m/>
    <m/>
    <s v="F3X"/>
    <n v="4.0420202017373501E+18"/>
    <s v="t"/>
    <s v="CONTRIBUTION TO ACTBLUE"/>
    <n v="2020"/>
    <s v="SA"/>
    <m/>
    <n v="4.0514202017468099E+18"/>
    <s v="http://docquery.fec.gov/cgi-bin/fecimg/?202004219229015406"/>
    <s v="Contributions From Individuals/Persons Other Than Political Committees"/>
  </r>
  <r>
    <s v="C00401224"/>
    <x v="3"/>
    <n v="2020"/>
    <s v="M4"/>
    <n v="2.0200421922901501E+17"/>
    <s v="11AI"/>
    <s v="SA11AI_223581241"/>
    <n v="140272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3-30T00:00:00"/>
    <n v="12.5"/>
    <n v="256.899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7:35:42"/>
    <m/>
    <m/>
    <m/>
    <s v="F3X"/>
    <n v="4.0420202017373501E+18"/>
    <s v="t"/>
    <s v="CONTRIBUTION TO ACTBLUE"/>
    <n v="2020"/>
    <s v="SA"/>
    <m/>
    <n v="4.0514202017468099E+18"/>
    <s v="http://docquery.fec.gov/cgi-bin/fecimg/?202004219229015407"/>
    <s v="Contributions From Individuals/Persons Other Than Political Committees"/>
  </r>
  <r>
    <s v="C00401224"/>
    <x v="3"/>
    <n v="2020"/>
    <s v="M4"/>
    <n v="2.0200421922901501E+17"/>
    <s v="11AI"/>
    <s v="SA11AI_223581202"/>
    <n v="1402724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3-30T00:00:00"/>
    <n v="125"/>
    <n v="3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7:40:05"/>
    <m/>
    <m/>
    <m/>
    <s v="F3X"/>
    <n v="4.0420202017373501E+18"/>
    <s v="t"/>
    <s v="EARMARKED FOR DCCC (C00000935)"/>
    <n v="2020"/>
    <s v="SA"/>
    <m/>
    <n v="4.0514202017468099E+18"/>
    <s v="http://docquery.fec.gov/cgi-bin/fecimg/?202004219229015407"/>
    <s v="Contributions From Individuals/Persons Other Than Political Committees"/>
  </r>
  <r>
    <s v="C00401224"/>
    <x v="3"/>
    <n v="2020"/>
    <s v="M4"/>
    <n v="2.0200421922901501E+17"/>
    <s v="11AI"/>
    <s v="SA11AI_217365595"/>
    <n v="140272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3-06T00:00:00"/>
    <n v="5"/>
    <n v="256.899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7:59:38"/>
    <m/>
    <m/>
    <m/>
    <s v="F3X"/>
    <n v="4.0420202017373501E+18"/>
    <s v="t"/>
    <s v="CONTRIBUTION TO ACTBLUE"/>
    <n v="2020"/>
    <s v="SA"/>
    <m/>
    <n v="4.0514202017468099E+18"/>
    <s v="http://docquery.fec.gov/cgi-bin/fecimg/?202004219229015405"/>
    <s v="Contributions From Individuals/Persons Other Than Political Committees"/>
  </r>
  <r>
    <s v="C00401224"/>
    <x v="3"/>
    <n v="2020"/>
    <s v="M4"/>
    <n v="2.0200421922901501E+17"/>
    <s v="11AI"/>
    <s v="SA11AI_217115152"/>
    <n v="140272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3-05T00:00:00"/>
    <n v="25"/>
    <n v="256.899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5T08:22:02"/>
    <m/>
    <m/>
    <m/>
    <s v="F3X"/>
    <n v="4.0420202017373501E+18"/>
    <s v="t"/>
    <s v="CONTRIBUTION TO ACTBLUE"/>
    <n v="2020"/>
    <s v="SA"/>
    <m/>
    <n v="4.0514202017468099E+18"/>
    <s v="http://docquery.fec.gov/cgi-bin/fecimg/?202004219229015404"/>
    <s v="Contributions From Individuals/Persons Other Than Political Committees"/>
  </r>
  <r>
    <s v="C00562983"/>
    <x v="7"/>
    <n v="2020"/>
    <s v="M5"/>
    <n v="2.0200520923288899E+17"/>
    <s v="11AI"/>
    <s v="VN8EQMT7ZB1"/>
    <n v="1407252"/>
    <m/>
    <s v="IND"/>
    <s v="INDIVIDUAL"/>
    <s v="C00401224"/>
    <m/>
    <s v="GLOVER, RENEE"/>
    <s v="N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4-19T00:00:00"/>
    <n v="20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1T01:44:35"/>
    <m/>
    <s v="VN8EQMT7ZB1E"/>
    <s v="SA11AI"/>
    <s v="F3X"/>
    <n v="4.0520202017621299E+18"/>
    <s v="t"/>
    <s v="* EARMARKED CONTRIBUTION: SEE BELOW"/>
    <n v="2020"/>
    <s v="SA"/>
    <m/>
    <n v="4.0520202017622001E+18"/>
    <s v="http://docquery.fec.gov/cgi-bin/fecimg/?202005209232889037"/>
    <s v="Contributions From Individuals/Persons Other Than Political Committees"/>
  </r>
  <r>
    <s v="C00562983"/>
    <x v="7"/>
    <n v="2020"/>
    <s v="M5"/>
    <n v="2.0200520923288899E+17"/>
    <s v="11AI"/>
    <s v="VN8EQMWT2R6"/>
    <n v="1407252"/>
    <m/>
    <s v="IND"/>
    <s v="INDIVIDUAL"/>
    <s v="C00401224"/>
    <m/>
    <s v="GLOVER, RENEE"/>
    <s v="N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4-30T00:00:00"/>
    <n v="20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1T01:44:35"/>
    <m/>
    <s v="VN8EQMWT2R6E"/>
    <s v="SA11AI"/>
    <s v="F3X"/>
    <n v="4.0520202017621299E+18"/>
    <s v="t"/>
    <s v="* EARMARKED CONTRIBUTION: SEE BELOW"/>
    <n v="2020"/>
    <s v="SA"/>
    <m/>
    <n v="4.0520202017622001E+18"/>
    <s v="http://docquery.fec.gov/cgi-bin/fecimg/?202005209232889037"/>
    <s v="Contributions From Individuals/Persons Other Than Political Committees"/>
  </r>
  <r>
    <s v="C00401224"/>
    <x v="3"/>
    <n v="2020"/>
    <s v="M5"/>
    <n v="2.0200520923652899E+17"/>
    <s v="11AI"/>
    <s v="SA11AI_226397004"/>
    <n v="1407307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4-11T00:00:00"/>
    <n v="1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6:52:00"/>
    <m/>
    <m/>
    <m/>
    <s v="F3X"/>
    <n v="4.05212020176224E+18"/>
    <s v="t"/>
    <s v="EARMARKED FOR DSCC (C00042366)"/>
    <n v="2020"/>
    <s v="SA"/>
    <m/>
    <n v="4.0527202017666202E+18"/>
    <s v="http://docquery.fec.gov/cgi-bin/fecimg/?202005209236529318"/>
    <s v="Contributions From Individuals/Persons Other Than Political Committees"/>
  </r>
  <r>
    <s v="C00401224"/>
    <x v="3"/>
    <n v="2020"/>
    <s v="M5"/>
    <n v="2.0200520923652899E+17"/>
    <s v="11AI"/>
    <s v="SA11AI_226999801"/>
    <n v="1407307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4-14T00:00:00"/>
    <n v="1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6:52:00"/>
    <m/>
    <m/>
    <m/>
    <s v="F3X"/>
    <n v="4.05212020176224E+18"/>
    <s v="t"/>
    <s v="EARMARKED FOR DSCC (C00042366)"/>
    <n v="2020"/>
    <s v="SA"/>
    <m/>
    <n v="4.0527202017666202E+18"/>
    <s v="http://docquery.fec.gov/cgi-bin/fecimg/?202005209236529319"/>
    <s v="Contributions From Individuals/Persons Other Than Political Committees"/>
  </r>
  <r>
    <s v="C00401224"/>
    <x v="3"/>
    <n v="2020"/>
    <s v="M5"/>
    <n v="2.0200520923652899E+17"/>
    <s v="11AI"/>
    <s v="SA11AI_226996960"/>
    <n v="1407307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4-14T00:00:00"/>
    <n v="1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6:52:00"/>
    <m/>
    <m/>
    <m/>
    <s v="F3X"/>
    <n v="4.05212020176224E+18"/>
    <s v="t"/>
    <s v="EARMARKED FOR DSCC (C00042366)"/>
    <n v="2020"/>
    <s v="SA"/>
    <m/>
    <n v="4.0527202017666202E+18"/>
    <s v="http://docquery.fec.gov/cgi-bin/fecimg/?202005209236529320"/>
    <s v="Contributions From Individuals/Persons Other Than Political Committees"/>
  </r>
  <r>
    <s v="C00401224"/>
    <x v="3"/>
    <n v="2020"/>
    <s v="M5"/>
    <n v="2.0200520923652899E+17"/>
    <s v="11AI"/>
    <s v="SA11AI_228238816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19T00:00:00"/>
    <n v="20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6:52:00"/>
    <m/>
    <m/>
    <m/>
    <s v="F3X"/>
    <n v="4.05212020176224E+18"/>
    <s v="t"/>
    <s v="CONTRIBUTION TO ACTBLUE"/>
    <n v="2020"/>
    <s v="SA"/>
    <m/>
    <n v="4.0527202017666202E+18"/>
    <s v="http://docquery.fec.gov/cgi-bin/fecimg/?202005209236529321"/>
    <s v="Contributions From Individuals/Persons Other Than Political Committees"/>
  </r>
  <r>
    <s v="C00401224"/>
    <x v="3"/>
    <n v="2020"/>
    <s v="M5"/>
    <n v="2.0200520923652899E+17"/>
    <s v="11AI"/>
    <s v="SA11AI_231217606"/>
    <n v="1407307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4-30T00:00:00"/>
    <n v="100"/>
    <n v="1700"/>
    <s v="S0GA00559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6:52:00"/>
    <m/>
    <m/>
    <m/>
    <s v="F3X"/>
    <n v="4.05212020176224E+18"/>
    <s v="t"/>
    <s v="EARMARKED FOR WARNOCK FOR GEORGIA (C00736876)"/>
    <n v="2020"/>
    <s v="SA"/>
    <m/>
    <n v="4.0527202017666202E+18"/>
    <s v="http://docquery.fec.gov/cgi-bin/fecimg/?202005209236529322"/>
    <s v="Contributions From Individuals/Persons Other Than Political Committees"/>
  </r>
  <r>
    <s v="C00401224"/>
    <x v="3"/>
    <n v="2020"/>
    <s v="M5"/>
    <n v="2.0200520923652899E+17"/>
    <s v="11AI"/>
    <s v="SA11AI_226397016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11T00:00:00"/>
    <n v="10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6:57:52"/>
    <m/>
    <m/>
    <m/>
    <s v="F3X"/>
    <n v="4.05212020176224E+18"/>
    <s v="t"/>
    <s v="CONTRIBUTION TO ACTBLUE"/>
    <n v="2020"/>
    <s v="SA"/>
    <m/>
    <n v="4.0527202017666202E+18"/>
    <s v="http://docquery.fec.gov/cgi-bin/fecimg/?202005209236529318"/>
    <s v="Contributions From Individuals/Persons Other Than Political Committees"/>
  </r>
  <r>
    <s v="C00401224"/>
    <x v="3"/>
    <n v="2020"/>
    <s v="M5"/>
    <n v="2.0200520923652899E+17"/>
    <s v="11AI"/>
    <s v="SA11AI_226997014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14T00:00:00"/>
    <n v="10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6:57:52"/>
    <m/>
    <m/>
    <m/>
    <s v="F3X"/>
    <n v="4.05212020176224E+18"/>
    <s v="t"/>
    <s v="CONTRIBUTION TO ACTBLUE"/>
    <n v="2020"/>
    <s v="SA"/>
    <m/>
    <n v="4.0527202017666202E+18"/>
    <s v="http://docquery.fec.gov/cgi-bin/fecimg/?202005209236529319"/>
    <s v="Contributions From Individuals/Persons Other Than Political Committees"/>
  </r>
  <r>
    <s v="C00401224"/>
    <x v="3"/>
    <n v="2020"/>
    <s v="M5"/>
    <n v="2.0200520923652899E+17"/>
    <s v="11AI"/>
    <s v="SA11AI_226999841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14T00:00:00"/>
    <n v="10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7:14:12"/>
    <m/>
    <m/>
    <m/>
    <s v="F3X"/>
    <n v="4.05212020176224E+18"/>
    <s v="t"/>
    <s v="CONTRIBUTION TO ACTBLUE"/>
    <n v="2020"/>
    <s v="SA"/>
    <m/>
    <n v="4.0527202017666202E+18"/>
    <s v="http://docquery.fec.gov/cgi-bin/fecimg/?202005209236529319"/>
    <s v="Contributions From Individuals/Persons Other Than Political Committees"/>
  </r>
  <r>
    <s v="C00401224"/>
    <x v="3"/>
    <n v="2020"/>
    <s v="M5"/>
    <n v="2.0200520923652899E+17"/>
    <s v="11AI"/>
    <s v="SA11AI_231218299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30T00:00:00"/>
    <n v="15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7:14:12"/>
    <m/>
    <m/>
    <m/>
    <s v="F3X"/>
    <n v="4.05212020176224E+18"/>
    <s v="t"/>
    <s v="CONTRIBUTION TO ACTBLUE"/>
    <n v="2020"/>
    <s v="SA"/>
    <m/>
    <n v="4.0527202017666202E+18"/>
    <s v="http://docquery.fec.gov/cgi-bin/fecimg/?202005209236529323"/>
    <s v="Contributions From Individuals/Persons Other Than Political Committees"/>
  </r>
  <r>
    <s v="C00401224"/>
    <x v="3"/>
    <n v="2020"/>
    <s v="M5"/>
    <n v="2.0200520923652899E+17"/>
    <s v="11AI"/>
    <s v="SA11AI_231218135"/>
    <n v="1407307"/>
    <m/>
    <s v="IND"/>
    <s v="INDIVIDUAL"/>
    <s v="C0070397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03975"/>
    <s v="24T"/>
    <s v="EARMARKED INTERMEDIARY TREASURY OUT"/>
    <s v="EARMARK"/>
    <m/>
    <m/>
    <d v="2020-04-30T00:00:00"/>
    <n v="150"/>
    <n v="5159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7:17:30"/>
    <m/>
    <m/>
    <m/>
    <s v="F3X"/>
    <n v="4.05212020176224E+18"/>
    <s v="t"/>
    <s v="EARMARKED FOR BIDEN FOR PRESIDENT (C00703975)"/>
    <n v="2020"/>
    <s v="SA"/>
    <m/>
    <n v="4.0527202017666202E+18"/>
    <s v="http://docquery.fec.gov/cgi-bin/fecimg/?202005209236529324"/>
    <s v="Contributions From Individuals/Persons Other Than Political Committees"/>
  </r>
  <r>
    <s v="C00401224"/>
    <x v="3"/>
    <n v="2020"/>
    <s v="M5"/>
    <n v="2.0200520923652899E+17"/>
    <s v="11AI"/>
    <s v="SA11AI_229968421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26T00:00:00"/>
    <n v="10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7:40:39"/>
    <m/>
    <m/>
    <m/>
    <s v="F3X"/>
    <n v="4.05212020176224E+18"/>
    <s v="t"/>
    <s v="CONTRIBUTION TO ACTBLUE"/>
    <n v="2020"/>
    <s v="SA"/>
    <m/>
    <n v="4.0527202017666202E+18"/>
    <s v="http://docquery.fec.gov/cgi-bin/fecimg/?202005209236529321"/>
    <s v="Contributions From Individuals/Persons Other Than Political Committees"/>
  </r>
  <r>
    <s v="C00401224"/>
    <x v="3"/>
    <n v="2020"/>
    <s v="M5"/>
    <n v="2.0200520923652899E+17"/>
    <s v="11AI"/>
    <s v="SA11AI_227678602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17T00:00:00"/>
    <n v="25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7:53:47"/>
    <m/>
    <m/>
    <m/>
    <s v="F3X"/>
    <n v="4.05212020176224E+18"/>
    <s v="t"/>
    <s v="CONTRIBUTION TO ACTBLUE"/>
    <n v="2020"/>
    <s v="SA"/>
    <m/>
    <n v="4.0527202017666202E+18"/>
    <s v="http://docquery.fec.gov/cgi-bin/fecimg/?202005209236529320"/>
    <s v="Contributions From Individuals/Persons Other Than Political Committees"/>
  </r>
  <r>
    <s v="C00401224"/>
    <x v="3"/>
    <n v="2020"/>
    <s v="M5"/>
    <n v="2.0200520923652899E+17"/>
    <s v="11AI"/>
    <s v="SA11AI_231158614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30T00:00:00"/>
    <n v="20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7:53:47"/>
    <m/>
    <m/>
    <m/>
    <s v="F3X"/>
    <n v="4.05212020176224E+18"/>
    <s v="t"/>
    <s v="CONTRIBUTION TO ACTBLUE"/>
    <n v="2020"/>
    <s v="SA"/>
    <m/>
    <n v="4.0527202017666202E+18"/>
    <s v="http://docquery.fec.gov/cgi-bin/fecimg/?202005209236529323"/>
    <s v="Contributions From Individuals/Persons Other Than Political Committees"/>
  </r>
  <r>
    <s v="C00401224"/>
    <x v="3"/>
    <n v="2020"/>
    <s v="M5"/>
    <n v="2.0200520923652899E+17"/>
    <s v="11AI"/>
    <s v="SA11AI_229968410"/>
    <n v="1407307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4-26T00:00:00"/>
    <n v="1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8:00:01"/>
    <m/>
    <m/>
    <m/>
    <s v="F3X"/>
    <n v="4.05212020176224E+18"/>
    <s v="t"/>
    <s v="EARMARKED FOR DSCC (C00042366)"/>
    <n v="2020"/>
    <s v="SA"/>
    <m/>
    <n v="4.0527202017666202E+18"/>
    <s v="http://docquery.fec.gov/cgi-bin/fecimg/?202005209236529322"/>
    <s v="Contributions From Individuals/Persons Other Than Political Committees"/>
  </r>
  <r>
    <s v="C00401224"/>
    <x v="3"/>
    <n v="2020"/>
    <s v="M5"/>
    <n v="2.0200520923652899E+17"/>
    <s v="11AI"/>
    <s v="SA11AI_231217695"/>
    <n v="140730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4-30T00:00:00"/>
    <n v="10"/>
    <n v="386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28T08:00:01"/>
    <m/>
    <m/>
    <m/>
    <s v="F3X"/>
    <n v="4.05212020176224E+18"/>
    <s v="t"/>
    <s v="CONTRIBUTION TO ACTBLUE"/>
    <n v="2020"/>
    <s v="SA"/>
    <m/>
    <n v="4.0527202017666202E+18"/>
    <s v="http://docquery.fec.gov/cgi-bin/fecimg/?202005209236529322"/>
    <s v="Contributions From Individuals/Persons Other Than Political Committees"/>
  </r>
  <r>
    <s v="C00703975"/>
    <x v="4"/>
    <n v="2020"/>
    <s v="M5"/>
    <n v="2.0200520923938598E+17"/>
    <s v="17A"/>
    <n v="4102359"/>
    <n v="140772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4-17T00:00:00"/>
    <n v="250"/>
    <n v="3059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5-30T02:45:09"/>
    <m/>
    <s v="4102359E"/>
    <s v="SA17A"/>
    <s v="F3P"/>
    <n v="4.05212020176224E+18"/>
    <s v="t"/>
    <s v="* EARMARKED CONTRIBUTION: SEE BELOW"/>
    <n v="2020"/>
    <s v="SA"/>
    <m/>
    <n v="4.0529202017734799E+18"/>
    <s v="http://docquery.fec.gov/cgi-bin/fecimg/?202005209239386155"/>
    <s v="Contributions From Individuals/Persons Other Than Political Committees"/>
  </r>
  <r>
    <s v="C00703975"/>
    <x v="4"/>
    <n v="2020"/>
    <s v="M5"/>
    <n v="2.0200520923938598E+17"/>
    <s v="17A"/>
    <n v="4502811"/>
    <n v="140772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4-30T00:00:00"/>
    <n v="150"/>
    <n v="5159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5-30T02:45:09"/>
    <m/>
    <s v="4502811E"/>
    <s v="SA17A"/>
    <s v="F3P"/>
    <n v="4.05212020176224E+18"/>
    <s v="t"/>
    <s v="* EARMARKED CONTRIBUTION: SEE BELOW"/>
    <n v="2020"/>
    <s v="SA"/>
    <m/>
    <n v="4.0529202017734799E+18"/>
    <s v="http://docquery.fec.gov/cgi-bin/fecimg/?202005209239386155"/>
    <s v="Contributions From Individuals/Persons Other Than Political Committees"/>
  </r>
  <r>
    <s v="C00703975"/>
    <x v="4"/>
    <n v="2020"/>
    <s v="M5"/>
    <n v="2.0200520923938598E+17"/>
    <s v="17A"/>
    <n v="4503011"/>
    <n v="140772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4-30T00:00:00"/>
    <n v="1950"/>
    <n v="5159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5-30T02:45:09"/>
    <m/>
    <s v="4503011E"/>
    <s v="SA17A"/>
    <s v="F3P"/>
    <n v="4.05212020176224E+18"/>
    <s v="t"/>
    <s v="* EARMARKED CONTRIBUTION: SEE BELOW"/>
    <n v="2020"/>
    <s v="SA"/>
    <m/>
    <n v="4.0529202017734799E+18"/>
    <s v="http://docquery.fec.gov/cgi-bin/fecimg/?202005209239386156"/>
    <s v="Contributions From Individuals/Persons Other Than Political Committees"/>
  </r>
  <r>
    <s v="C00672295"/>
    <x v="5"/>
    <n v="2020"/>
    <s v="12P"/>
    <n v="2.0200528923951101E+17"/>
    <s v="11AI"/>
    <s v="VVBPDRKFHW0"/>
    <n v="1408931"/>
    <m/>
    <s v="IND"/>
    <s v="INDIVIDUAL"/>
    <s v="C00401224"/>
    <m/>
    <s v="GLOVER, RENEE"/>
    <s v="H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5-17T00:00:00"/>
    <n v="100"/>
    <n v="5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5-30T02:48:00"/>
    <m/>
    <s v="VVBPDRKFHW0E"/>
    <s v="SA11AI"/>
    <s v="F3"/>
    <n v="4.05282020177282E+18"/>
    <s v="t"/>
    <s v="* EARMARKED CONTRIBUTION: SEE BELOW"/>
    <n v="2020"/>
    <s v="SA"/>
    <m/>
    <n v="4.0529202017737498E+18"/>
    <s v="http://docquery.fec.gov/cgi-bin/fecimg/?202005289239511411"/>
    <s v="Contributions From Individuals/Persons Other Than Political Committees"/>
  </r>
  <r>
    <s v="C00703975"/>
    <x v="4"/>
    <n v="2020"/>
    <s v="M6"/>
    <n v="2.0200620924374701E+17"/>
    <s v="17A"/>
    <n v="4979515"/>
    <n v="141418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5-17T00:00:00"/>
    <n v="150"/>
    <n v="5334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6-26T02:44:31"/>
    <m/>
    <s v="4979515E"/>
    <s v="SA17A"/>
    <s v="F3P"/>
    <n v="4.0620202017761101E+18"/>
    <s v="t"/>
    <s v="* EARMARKED CONTRIBUTION: SEE BELOW"/>
    <n v="2020"/>
    <s v="SA"/>
    <m/>
    <n v="4.0625202017775201E+18"/>
    <s v="http://docquery.fec.gov/cgi-bin/fecimg/?202006209243747140"/>
    <s v="Contributions From Individuals/Persons Other Than Political Committees"/>
  </r>
  <r>
    <s v="C00703975"/>
    <x v="4"/>
    <n v="2020"/>
    <s v="M6"/>
    <n v="2.0200620924374701E+17"/>
    <s v="17A"/>
    <n v="5340769"/>
    <n v="1414186"/>
    <m/>
    <s v="IND"/>
    <s v="INDIVIDUAL"/>
    <m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m/>
    <m/>
    <m/>
    <m/>
    <s v="X"/>
    <m/>
    <d v="2020-05-26T00:00:00"/>
    <n v="-266"/>
    <n v="5634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6-26T02:44:31"/>
    <m/>
    <m/>
    <m/>
    <s v="F3P"/>
    <n v="4.0620202017761101E+18"/>
    <s v="t"/>
    <m/>
    <n v="2020"/>
    <s v="SA"/>
    <m/>
    <n v="4.0625202017775201E+18"/>
    <s v="http://docquery.fec.gov/cgi-bin/fecimg/?202006209243747141"/>
    <s v="Contributions From Individuals/Persons Other Than Political Committees"/>
  </r>
  <r>
    <s v="C00703975"/>
    <x v="4"/>
    <n v="2020"/>
    <s v="M6"/>
    <n v="2.0200620924374701E+17"/>
    <s v="17A"/>
    <n v="4568516"/>
    <n v="141418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5-03T00:00:00"/>
    <n v="25"/>
    <n v="5184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6-26T02:45:04"/>
    <m/>
    <s v="4568516E"/>
    <s v="SA17A"/>
    <s v="F3P"/>
    <n v="4.0620202017761101E+18"/>
    <s v="t"/>
    <s v="* EARMARKED CONTRIBUTION: SEE BELOW"/>
    <n v="2020"/>
    <s v="SA"/>
    <m/>
    <n v="4.0625202017775201E+18"/>
    <s v="http://docquery.fec.gov/cgi-bin/fecimg/?202006209243747139"/>
    <s v="Contributions From Individuals/Persons Other Than Political Committees"/>
  </r>
  <r>
    <s v="C00703975"/>
    <x v="4"/>
    <n v="2020"/>
    <s v="M6"/>
    <n v="2.0200620924374701E+17"/>
    <s v="17A"/>
    <n v="5264739"/>
    <n v="1414186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5-26T00:00:00"/>
    <n v="300"/>
    <n v="5634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6-26T02:45:04"/>
    <m/>
    <s v="5264739E"/>
    <s v="SA17A"/>
    <s v="F3P"/>
    <n v="4.0620202017761101E+18"/>
    <s v="t"/>
    <s v="* EARMARKED CONTRIBUTION: SEE BELOW"/>
    <n v="2020"/>
    <s v="SA"/>
    <m/>
    <n v="4.0625202017775201E+18"/>
    <s v="http://docquery.fec.gov/cgi-bin/fecimg/?202006209243747141"/>
    <s v="Contributions From Individuals/Persons Other Than Political Committees"/>
  </r>
  <r>
    <s v="C00042366"/>
    <x v="1"/>
    <n v="2020"/>
    <s v="M8"/>
    <n v="2.0201023933648301E+17"/>
    <s v="11AI"/>
    <n v="14848206"/>
    <n v="1464425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7-12T00:00:00"/>
    <n v="100"/>
    <n v="1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26T03:37:12"/>
    <m/>
    <s v="14848206E"/>
    <s v="SA11AI"/>
    <s v="F3X"/>
    <n v="4.10242020188542E+18"/>
    <s v="t"/>
    <s v="* EARMARKED CONTRIBUTION: SEE BELOW"/>
    <n v="2020"/>
    <s v="SA"/>
    <m/>
    <n v="4.1026202018866299E+18"/>
    <s v="http://docquery.fec.gov/cgi-bin/fecimg/?202010239336483008"/>
    <s v="Contributions From Individuals/Persons Other Than Political Committees"/>
  </r>
  <r>
    <s v="C00042366"/>
    <x v="1"/>
    <n v="2020"/>
    <s v="M8"/>
    <n v="2.0201023933648301E+17"/>
    <s v="11AI"/>
    <n v="14856044"/>
    <n v="1464425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7-26T00:00:00"/>
    <n v="200"/>
    <n v="1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26T03:37:12"/>
    <m/>
    <s v="14856044E"/>
    <s v="SA11AI"/>
    <s v="F3X"/>
    <n v="4.10242020188542E+18"/>
    <s v="t"/>
    <s v="* EARMARKED CONTRIBUTION: SEE BELOW"/>
    <n v="2020"/>
    <s v="SA"/>
    <m/>
    <n v="4.1026202018866299E+18"/>
    <s v="http://docquery.fec.gov/cgi-bin/fecimg/?202010239336483008"/>
    <s v="Contributions From Individuals/Persons Other Than Political Committees"/>
  </r>
  <r>
    <s v="C00042366"/>
    <x v="1"/>
    <n v="2020"/>
    <s v="M8"/>
    <n v="2.0201023933648301E+17"/>
    <s v="11AI"/>
    <n v="14923341"/>
    <n v="1464425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7-18T00:00:00"/>
    <n v="200"/>
    <n v="1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26T03:37:12"/>
    <m/>
    <s v="14923341E"/>
    <s v="SA11AI"/>
    <s v="F3X"/>
    <n v="4.10242020188542E+18"/>
    <s v="t"/>
    <s v="* EARMARKED CONTRIBUTION: SEE BELOW"/>
    <n v="2020"/>
    <s v="SA"/>
    <m/>
    <n v="4.1026202018866299E+18"/>
    <s v="http://docquery.fec.gov/cgi-bin/fecimg/?202010239336483009"/>
    <s v="Contributions From Individuals/Persons Other Than Political Committees"/>
  </r>
  <r>
    <s v="C00401224"/>
    <x v="3"/>
    <n v="2020"/>
    <s v="M6"/>
    <n v="2.0200620924082E+17"/>
    <s v="11AI"/>
    <s v="SA11AI_235227410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5-17T00:00:00"/>
    <n v="100"/>
    <n v="2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7-10T06:43:31"/>
    <m/>
    <m/>
    <m/>
    <s v="F3X"/>
    <n v="4.0621202017761597E+18"/>
    <s v="t"/>
    <s v="EARMARKED FOR FRIENDS OF LUCY MCBATH (C00672295)"/>
    <n v="2020"/>
    <s v="SA"/>
    <m/>
    <n v="4.07092020178338E+18"/>
    <s v="http://docquery.fec.gov/cgi-bin/fecimg/?202006209240820800"/>
    <s v="Contributions From Individuals/Persons Other Than Political Committees"/>
  </r>
  <r>
    <s v="C00401224"/>
    <x v="3"/>
    <n v="2020"/>
    <s v="M6"/>
    <n v="2.0200620924082E+17"/>
    <s v="11AI"/>
    <s v="SA11AI_232319552"/>
    <n v="1413483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5-05T00:00:00"/>
    <n v="5"/>
    <n v="2605"/>
    <s v="S0GA00559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6:43:31"/>
    <m/>
    <m/>
    <m/>
    <s v="F3X"/>
    <n v="4.0621202017761597E+18"/>
    <s v="t"/>
    <s v="EARMARKED FOR WARNOCK FOR GEORGIA (C00736876)"/>
    <n v="2020"/>
    <s v="SA"/>
    <m/>
    <n v="4.07092020178338E+18"/>
    <s v="http://docquery.fec.gov/cgi-bin/fecimg/?202006209240820798"/>
    <s v="Contributions From Individuals/Persons Other Than Political Committees"/>
  </r>
  <r>
    <s v="C00401224"/>
    <x v="3"/>
    <n v="2020"/>
    <s v="M6"/>
    <n v="2.0200620924082E+17"/>
    <s v="11AI"/>
    <s v="SA11AI_238714060"/>
    <n v="1413483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5-30T00:00:00"/>
    <n v="125"/>
    <n v="44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6:43:31"/>
    <m/>
    <m/>
    <m/>
    <s v="F3X"/>
    <n v="4.0621202017761597E+18"/>
    <s v="t"/>
    <s v="EARMARKED FOR DCCC (C00000935)"/>
    <n v="2020"/>
    <s v="SA"/>
    <m/>
    <n v="4.07092020178338E+18"/>
    <s v="http://docquery.fec.gov/cgi-bin/fecimg/?202006209240820803"/>
    <s v="Contributions From Individuals/Persons Other Than Political Committees"/>
  </r>
  <r>
    <s v="C00401224"/>
    <x v="3"/>
    <n v="2020"/>
    <s v="M6"/>
    <n v="2.0200620924082E+17"/>
    <s v="11AI"/>
    <s v="SA11AI_232319397"/>
    <n v="1413483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5-05T00:00:00"/>
    <n v="150"/>
    <n v="2605"/>
    <s v="S0GA00559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6:43:52"/>
    <m/>
    <m/>
    <m/>
    <s v="F3X"/>
    <n v="4.0621202017761597E+18"/>
    <s v="t"/>
    <s v="EARMARKED FOR WARNOCK FOR GEORGIA (C00736876)"/>
    <n v="2020"/>
    <s v="SA"/>
    <m/>
    <n v="4.07092020178338E+18"/>
    <s v="http://docquery.fec.gov/cgi-bin/fecimg/?202006209240820798"/>
    <s v="Contributions From Individuals/Persons Other Than Political Committees"/>
  </r>
  <r>
    <s v="C00401224"/>
    <x v="3"/>
    <n v="2020"/>
    <s v="M6"/>
    <n v="2.0200620924082E+17"/>
    <s v="11AI"/>
    <s v="SA11AI_237250207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26T00:00:00"/>
    <n v="30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6:43:52"/>
    <m/>
    <m/>
    <m/>
    <s v="F3X"/>
    <n v="4.0621202017761597E+18"/>
    <s v="t"/>
    <s v="CONTRIBUTION TO ACTBLUE"/>
    <n v="2020"/>
    <s v="SA"/>
    <m/>
    <n v="4.07092020178338E+18"/>
    <s v="http://docquery.fec.gov/cgi-bin/fecimg/?202006209240820801"/>
    <s v="Contributions From Individuals/Persons Other Than Political Committees"/>
  </r>
  <r>
    <s v="C00042366"/>
    <x v="1"/>
    <n v="2020"/>
    <s v="M5"/>
    <n v="2.0200708924438E+17"/>
    <s v="11AI"/>
    <n v="14044547"/>
    <n v="141791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4-14T00:00:00"/>
    <n v="100"/>
    <n v="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03:55"/>
    <m/>
    <s v="14044547E"/>
    <s v="SA11AI"/>
    <s v="F3X"/>
    <n v="4.07082020177986E+18"/>
    <s v="t"/>
    <s v="* EARMARKED CONTRIBUTION: SEE BELOW"/>
    <n v="2020"/>
    <s v="SA"/>
    <m/>
    <n v="4.0709202017799997E+18"/>
    <s v="http://docquery.fec.gov/cgi-bin/fecimg/?202007089244380683"/>
    <s v="Contributions From Individuals/Persons Other Than Political Committees"/>
  </r>
  <r>
    <s v="C00401224"/>
    <x v="3"/>
    <n v="2020"/>
    <s v="M6"/>
    <n v="2.0200620924082E+17"/>
    <s v="11AI"/>
    <s v="SA11AI_235227583"/>
    <n v="1413483"/>
    <m/>
    <s v="IND"/>
    <s v="INDIVIDUAL"/>
    <s v="C0070397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03975"/>
    <s v="24T"/>
    <s v="EARMARKED INTERMEDIARY TREASURY OUT"/>
    <s v="EARMARK"/>
    <m/>
    <m/>
    <d v="2020-05-17T00:00:00"/>
    <n v="150"/>
    <n v="5634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06:01"/>
    <m/>
    <m/>
    <m/>
    <s v="F3X"/>
    <n v="4.0621202017761597E+18"/>
    <s v="t"/>
    <s v="EARMARKED FOR BIDEN FOR PRESIDENT (C00703975)"/>
    <n v="2020"/>
    <s v="SA"/>
    <m/>
    <n v="4.07092020178338E+18"/>
    <s v="http://docquery.fec.gov/cgi-bin/fecimg/?202006209240820799"/>
    <s v="Contributions From Individuals/Persons Other Than Political Committees"/>
  </r>
  <r>
    <s v="C00401224"/>
    <x v="3"/>
    <n v="2020"/>
    <s v="M6"/>
    <n v="2.0200620924082E+17"/>
    <s v="11AI"/>
    <s v="SA11AI_235227657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17T00:00:00"/>
    <n v="15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06:01"/>
    <m/>
    <m/>
    <m/>
    <s v="F3X"/>
    <n v="4.0621202017761597E+18"/>
    <s v="t"/>
    <s v="CONTRIBUTION TO ACTBLUE"/>
    <n v="2020"/>
    <s v="SA"/>
    <m/>
    <n v="4.07092020178338E+18"/>
    <s v="http://docquery.fec.gov/cgi-bin/fecimg/?202006209240820800"/>
    <s v="Contributions From Individuals/Persons Other Than Political Committees"/>
  </r>
  <r>
    <s v="C00401224"/>
    <x v="3"/>
    <n v="2020"/>
    <s v="M6"/>
    <n v="2.0200620924082E+17"/>
    <s v="11AI"/>
    <s v="SA11AI_235227428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17T00:00:00"/>
    <n v="10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06:01"/>
    <m/>
    <m/>
    <m/>
    <s v="F3X"/>
    <n v="4.0621202017761597E+18"/>
    <s v="t"/>
    <s v="CONTRIBUTION TO ACTBLUE"/>
    <n v="2020"/>
    <s v="SA"/>
    <m/>
    <n v="4.07092020178338E+18"/>
    <s v="http://docquery.fec.gov/cgi-bin/fecimg/?202006209240820801"/>
    <s v="Contributions From Individuals/Persons Other Than Political Committees"/>
  </r>
  <r>
    <s v="C00401224"/>
    <x v="3"/>
    <n v="2020"/>
    <s v="M6"/>
    <n v="2.0200620924082E+17"/>
    <s v="11AI"/>
    <s v="SA11AI_231819581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03T00:00:00"/>
    <n v="2.5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08:01"/>
    <m/>
    <m/>
    <m/>
    <s v="F3X"/>
    <n v="4.0621202017761597E+18"/>
    <s v="t"/>
    <s v="CONTRIBUTION TO ACTBLUE"/>
    <n v="2020"/>
    <s v="SA"/>
    <m/>
    <n v="4.07092020178338E+18"/>
    <s v="http://docquery.fec.gov/cgi-bin/fecimg/?202006209240820797"/>
    <s v="Contributions From Individuals/Persons Other Than Political Committees"/>
  </r>
  <r>
    <s v="C00401224"/>
    <x v="3"/>
    <n v="2020"/>
    <s v="M6"/>
    <n v="2.0200620924082E+17"/>
    <s v="11AI"/>
    <s v="SA11AI_237249545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26T00:00:00"/>
    <n v="25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08:01"/>
    <m/>
    <m/>
    <m/>
    <s v="F3X"/>
    <n v="4.0621202017761597E+18"/>
    <s v="t"/>
    <s v="CONTRIBUTION TO ACTBLUE"/>
    <n v="2020"/>
    <s v="SA"/>
    <m/>
    <n v="4.07092020178338E+18"/>
    <s v="http://docquery.fec.gov/cgi-bin/fecimg/?202006209240820802"/>
    <s v="Contributions From Individuals/Persons Other Than Political Committees"/>
  </r>
  <r>
    <s v="C00401224"/>
    <x v="3"/>
    <n v="2020"/>
    <s v="M6"/>
    <n v="2.0200620924082E+17"/>
    <s v="11AI"/>
    <s v="SA11AI_231819543"/>
    <n v="1413483"/>
    <m/>
    <s v="IND"/>
    <s v="INDIVIDUAL"/>
    <s v="C0070397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03975"/>
    <s v="24T"/>
    <s v="EARMARKED INTERMEDIARY TREASURY OUT"/>
    <s v="EARMARK"/>
    <m/>
    <m/>
    <d v="2020-05-03T00:00:00"/>
    <n v="25"/>
    <n v="5634"/>
    <s v="P80000722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29:00"/>
    <m/>
    <m/>
    <m/>
    <s v="F3X"/>
    <n v="4.0621202017761597E+18"/>
    <s v="t"/>
    <s v="EARMARKED FOR BIDEN FOR PRESIDENT (C00703975)"/>
    <n v="2020"/>
    <s v="SA"/>
    <m/>
    <n v="4.07092020178338E+18"/>
    <s v="http://docquery.fec.gov/cgi-bin/fecimg/?202006209240820797"/>
    <s v="Contributions From Individuals/Persons Other Than Political Committees"/>
  </r>
  <r>
    <s v="C00401224"/>
    <x v="3"/>
    <n v="2020"/>
    <s v="M6"/>
    <n v="2.0200620924082E+17"/>
    <s v="11AI"/>
    <s v="SA11AI_232318916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05T00:00:00"/>
    <n v="25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29:00"/>
    <m/>
    <m/>
    <m/>
    <s v="F3X"/>
    <n v="4.0621202017761597E+18"/>
    <s v="t"/>
    <s v="CONTRIBUTION TO ACTBLUE"/>
    <n v="2020"/>
    <s v="SA"/>
    <m/>
    <n v="4.07092020178338E+18"/>
    <s v="http://docquery.fec.gov/cgi-bin/fecimg/?202006209240820797"/>
    <s v="Contributions From Individuals/Persons Other Than Political Committees"/>
  </r>
  <r>
    <s v="C00401224"/>
    <x v="3"/>
    <n v="2020"/>
    <s v="M6"/>
    <n v="2.0200620924082E+17"/>
    <s v="11AI"/>
    <s v="SA11AI_238714173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30T00:00:00"/>
    <n v="12.5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29:00"/>
    <m/>
    <m/>
    <m/>
    <s v="F3X"/>
    <n v="4.0621202017761597E+18"/>
    <s v="t"/>
    <s v="CONTRIBUTION TO ACTBLUE"/>
    <n v="2020"/>
    <s v="SA"/>
    <m/>
    <n v="4.07092020178338E+18"/>
    <s v="http://docquery.fec.gov/cgi-bin/fecimg/?202006209240820803"/>
    <s v="Contributions From Individuals/Persons Other Than Political Committees"/>
  </r>
  <r>
    <s v="C00042366"/>
    <x v="1"/>
    <n v="2020"/>
    <s v="M5"/>
    <n v="2.0200708924438E+17"/>
    <s v="11AI"/>
    <n v="14044965"/>
    <n v="141791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4-14T00:00:00"/>
    <n v="100"/>
    <n v="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46:07"/>
    <m/>
    <s v="14044965E"/>
    <s v="SA11AI"/>
    <s v="F3X"/>
    <n v="4.07082020177986E+18"/>
    <s v="t"/>
    <s v="* EARMARKED CONTRIBUTION: SEE BELOW"/>
    <n v="2020"/>
    <s v="SA"/>
    <m/>
    <n v="4.0709202017799997E+18"/>
    <s v="http://docquery.fec.gov/cgi-bin/fecimg/?202007089244380684"/>
    <s v="Contributions From Individuals/Persons Other Than Political Committees"/>
  </r>
  <r>
    <s v="C00401224"/>
    <x v="3"/>
    <n v="2020"/>
    <s v="M6"/>
    <n v="2.0200620924082E+17"/>
    <s v="11AI"/>
    <s v="SA11AI_234772288"/>
    <n v="1413483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5-15T00:00:00"/>
    <n v="100"/>
    <n v="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50:11"/>
    <m/>
    <m/>
    <m/>
    <s v="F3X"/>
    <n v="4.0621202017761597E+18"/>
    <s v="t"/>
    <s v="EARMARKED FOR DSCC (C00042366)"/>
    <n v="2020"/>
    <s v="SA"/>
    <m/>
    <n v="4.07092020178338E+18"/>
    <s v="http://docquery.fec.gov/cgi-bin/fecimg/?202006209240820799"/>
    <s v="Contributions From Individuals/Persons Other Than Political Committees"/>
  </r>
  <r>
    <s v="C00401224"/>
    <x v="3"/>
    <n v="2020"/>
    <s v="M6"/>
    <n v="2.0200620924082E+17"/>
    <s v="11AI"/>
    <s v="SA11AI_235228389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17T00:00:00"/>
    <n v="25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50:11"/>
    <m/>
    <m/>
    <m/>
    <s v="F3X"/>
    <n v="4.0621202017761597E+18"/>
    <s v="t"/>
    <s v="CONTRIBUTION TO ACTBLUE"/>
    <n v="2020"/>
    <s v="SA"/>
    <m/>
    <n v="4.07092020178338E+18"/>
    <s v="http://docquery.fec.gov/cgi-bin/fecimg/?202006209240820800"/>
    <s v="Contributions From Individuals/Persons Other Than Political Committees"/>
  </r>
  <r>
    <s v="C00401224"/>
    <x v="3"/>
    <n v="2020"/>
    <s v="M6"/>
    <n v="2.0200620924082E+17"/>
    <s v="11AI"/>
    <s v="SA11AI_234772709"/>
    <n v="141348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5-15T00:00:00"/>
    <n v="10"/>
    <n v="541.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7:52:39"/>
    <m/>
    <m/>
    <m/>
    <s v="F3X"/>
    <n v="4.0621202017761597E+18"/>
    <s v="t"/>
    <s v="CONTRIBUTION TO ACTBLUE"/>
    <n v="2020"/>
    <s v="SA"/>
    <m/>
    <n v="4.07092020178338E+18"/>
    <s v="http://docquery.fec.gov/cgi-bin/fecimg/?202006209240820799"/>
    <s v="Contributions From Individuals/Persons Other Than Political Committees"/>
  </r>
  <r>
    <s v="C00042366"/>
    <x v="1"/>
    <n v="2020"/>
    <s v="M5"/>
    <n v="2.0200708924438E+17"/>
    <s v="11AI"/>
    <n v="14052090"/>
    <n v="141791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4-11T00:00:00"/>
    <n v="10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8:08:20"/>
    <m/>
    <s v="14052090E"/>
    <s v="SA11AI"/>
    <s v="F3X"/>
    <n v="4.07082020177986E+18"/>
    <s v="t"/>
    <s v="* EARMARKED CONTRIBUTION: SEE BELOW"/>
    <n v="2020"/>
    <s v="SA"/>
    <m/>
    <n v="4.0709202017799997E+18"/>
    <s v="http://docquery.fec.gov/cgi-bin/fecimg/?202007089244380684"/>
    <s v="Contributions From Individuals/Persons Other Than Political Committees"/>
  </r>
  <r>
    <s v="C00042366"/>
    <x v="1"/>
    <n v="2020"/>
    <s v="M5"/>
    <n v="2.0200708924438E+17"/>
    <s v="11AI"/>
    <n v="14123952"/>
    <n v="141791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4-26T00:00:00"/>
    <n v="1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0T08:08:20"/>
    <m/>
    <s v="14123952E"/>
    <s v="SA11AI"/>
    <s v="F3X"/>
    <n v="4.07082020177986E+18"/>
    <s v="t"/>
    <s v="* EARMARKED CONTRIBUTION: SEE BELOW"/>
    <n v="2020"/>
    <s v="SA"/>
    <m/>
    <n v="4.0709202017799997E+18"/>
    <s v="http://docquery.fec.gov/cgi-bin/fecimg/?202007089244380685"/>
    <s v="Contributions From Individuals/Persons Other Than Political Committees"/>
  </r>
  <r>
    <s v="C00042366"/>
    <x v="1"/>
    <n v="2020"/>
    <s v="M6"/>
    <n v="2.0200714924453699E+17"/>
    <s v="11AI"/>
    <n v="14320885"/>
    <n v="142065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5-15T00:00:00"/>
    <n v="100"/>
    <n v="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6T02:30:09"/>
    <m/>
    <s v="14320885E"/>
    <s v="SA11AI"/>
    <s v="F3X"/>
    <n v="4.07142020179053E+18"/>
    <s v="t"/>
    <s v="* EARMARKED CONTRIBUTION: SEE BELOW"/>
    <n v="2020"/>
    <s v="SA"/>
    <m/>
    <n v="4.07152020179074E+18"/>
    <s v="http://docquery.fec.gov/cgi-bin/fecimg/?202007149244537572"/>
    <s v="Contributions From Individuals/Persons Other Than Political Committees"/>
  </r>
  <r>
    <s v="C00010603"/>
    <x v="8"/>
    <n v="2020"/>
    <s v="M9"/>
    <n v="2.0201214938734E+17"/>
    <n v="12"/>
    <n v="36779634"/>
    <n v="148285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J"/>
    <s v="MEMO (FILER'S % OF CONTRIBUTION GIVEN TO JOIN"/>
    <m/>
    <s v="X"/>
    <m/>
    <d v="2020-07-21T00:00:00"/>
    <n v="250"/>
    <n v="25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18T03:41:06"/>
    <m/>
    <n v="36524305"/>
    <s v="SA12"/>
    <s v="F3X"/>
    <n v="4.1216202019742802E+18"/>
    <s v="t"/>
    <s v="* BIDEN VICTORY FUND"/>
    <n v="2020"/>
    <s v="SA"/>
    <m/>
    <n v="4.1218202019770301E+18"/>
    <s v="https://docquery.fec.gov/cgi-bin/fecimg/?202012149387340602"/>
    <s v="Transfers from Authorized Committees"/>
  </r>
  <r>
    <s v="C00633404"/>
    <x v="9"/>
    <n v="2020"/>
    <s v="12G"/>
    <n v="2.0201022932684198E+17"/>
    <s v="11AI"/>
    <s v="VTR0FW4SNA5"/>
    <n v="146087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14T00:00:00"/>
    <n v="100"/>
    <n v="1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3:48"/>
    <m/>
    <s v="VTR0FW4SNA5E"/>
    <s v="SA11AI"/>
    <s v="F3X"/>
    <n v="4.1023202018827602E+18"/>
    <s v="t"/>
    <s v="* EARMARKED CONTRIBUTION: SEE BELOW"/>
    <n v="2020"/>
    <s v="SA"/>
    <m/>
    <n v="4.1218202019779799E+18"/>
    <s v="https://docquery.fec.gov/cgi-bin/fecimg/?202010229326842630"/>
    <s v="Contributions From Individuals/Persons Other Than Political Committees"/>
  </r>
  <r>
    <s v="C00633404"/>
    <x v="9"/>
    <n v="2020"/>
    <s v="12G"/>
    <n v="2.02010229326844E+17"/>
    <s v="11AI"/>
    <s v="VTR0FVSS4K5"/>
    <n v="146087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07T00:00:00"/>
    <n v="100"/>
    <n v="1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9:42"/>
    <m/>
    <s v="VTR0FVSS4K5E"/>
    <s v="SA11AI"/>
    <s v="F3X"/>
    <n v="4.1023202018827602E+18"/>
    <s v="t"/>
    <s v="* EARMARKED CONTRIBUTION: SEE BELOW"/>
    <n v="2020"/>
    <s v="SA"/>
    <m/>
    <n v="4.1218202019779799E+18"/>
    <s v="https://docquery.fec.gov/cgi-bin/fecimg/?202010229326844373"/>
    <s v="Contributions From Individuals/Persons Other Than Political Committees"/>
  </r>
  <r>
    <s v="C00672295"/>
    <x v="5"/>
    <n v="2020"/>
    <s v="Q2"/>
    <n v="2.0200715924504499E+17"/>
    <s v="11AI"/>
    <s v="VVBPDS0P454"/>
    <n v="1423704"/>
    <m/>
    <s v="IND"/>
    <s v="INDIVIDUAL"/>
    <s v="C00401224"/>
    <m/>
    <s v="GLOVER, RENEE"/>
    <s v="H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6-16T00:00:00"/>
    <n v="100"/>
    <n v="65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7-24T02:21:29"/>
    <m/>
    <s v="VVBPDS0P454E"/>
    <s v="SA11AI"/>
    <s v="F3"/>
    <n v="4.0715202017906002E+18"/>
    <s v="t"/>
    <s v="* EARMARKED CONTRIBUTION: SEE BELOW"/>
    <n v="2020"/>
    <s v="SA"/>
    <m/>
    <n v="4.0723202017942702E+18"/>
    <s v="http://docquery.fec.gov/cgi-bin/fecimg/?202007159245045496"/>
    <s v="Contributions From Individuals/Persons Other Than Political Committees"/>
  </r>
  <r>
    <s v="C00633404"/>
    <x v="9"/>
    <n v="2020"/>
    <s v="12G"/>
    <n v="2.0201022932685501E+17"/>
    <s v="11AI"/>
    <s v="VTR0FVSETD7"/>
    <n v="146087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07T00:00:00"/>
    <n v="100"/>
    <n v="1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9:57"/>
    <m/>
    <s v="VTR0FVSETD7E"/>
    <s v="SA11AI"/>
    <s v="F3X"/>
    <n v="4.1023202018827602E+18"/>
    <s v="t"/>
    <s v="* EARMARKED CONTRIBUTION: SEE BELOW"/>
    <n v="2020"/>
    <s v="SA"/>
    <m/>
    <n v="4.1218202019780101E+18"/>
    <s v="https://docquery.fec.gov/cgi-bin/fecimg/?202010229326855539"/>
    <s v="Contributions From Individuals/Persons Other Than Political Committees"/>
  </r>
  <r>
    <s v="C00401224"/>
    <x v="3"/>
    <n v="2020"/>
    <s v="M10"/>
    <n v="2.0201214937663398E+17"/>
    <s v="11AI"/>
    <s v="SA11AI_313377766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30T00:00:00"/>
    <n v="1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40:42"/>
    <m/>
    <m/>
    <m/>
    <s v="F3X"/>
    <n v="4.1216202019742802E+18"/>
    <s v="t"/>
    <s v="CONTRIBUTION TO ACTBLUE"/>
    <n v="2020"/>
    <s v="SA"/>
    <m/>
    <n v="4.0121202121347599E+18"/>
    <s v="https://docquery.fec.gov/cgi-bin/fecimg/?202012149376634940"/>
    <s v="Contributions From Individuals/Persons Other Than Political Committees"/>
  </r>
  <r>
    <s v="C00401224"/>
    <x v="3"/>
    <n v="2020"/>
    <s v="M10"/>
    <n v="2.0201214937663398E+17"/>
    <s v="11AI"/>
    <s v="SA11AI_313377612"/>
    <n v="148283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9-30T00:00:00"/>
    <n v="50"/>
    <n v="2675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41:31"/>
    <m/>
    <m/>
    <m/>
    <s v="F3X"/>
    <n v="4.1216202019742802E+18"/>
    <s v="t"/>
    <s v="EARMARKED FOR WARNOCK FOR GEORGIA (C00736876)"/>
    <n v="2020"/>
    <s v="SA"/>
    <m/>
    <n v="4.0121202121347702E+18"/>
    <s v="https://docquery.fec.gov/cgi-bin/fecimg/?202012149376634940"/>
    <s v="Contributions From Individuals/Persons Other Than Political Committees"/>
  </r>
  <r>
    <s v="C00401224"/>
    <x v="3"/>
    <n v="2020"/>
    <s v="M10"/>
    <n v="2.0201214937663398E+17"/>
    <s v="11AI"/>
    <s v="SA11AI_313377611"/>
    <n v="1482832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09-30T00:00:00"/>
    <n v="50"/>
    <n v="7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5:41:31"/>
    <m/>
    <m/>
    <m/>
    <s v="F3X"/>
    <n v="4.1216202019742802E+18"/>
    <s v="t"/>
    <s v="EARMARKED FOR CONGRESSIONAL BLACK CAUCUS PAC (C00147512)"/>
    <n v="2020"/>
    <s v="SA"/>
    <m/>
    <n v="4.0121202121347702E+18"/>
    <s v="https://docquery.fec.gov/cgi-bin/fecimg/?202012149376634941"/>
    <s v="Contributions From Individuals/Persons Other Than Political Committees"/>
  </r>
  <r>
    <s v="C00401224"/>
    <x v="3"/>
    <n v="2020"/>
    <s v="M10"/>
    <n v="2.0201214937663398E+17"/>
    <s v="11AI"/>
    <s v="SA11AI_303995591"/>
    <n v="1482832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9-21T00:00:00"/>
    <n v="100"/>
    <n v="221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16:29"/>
    <m/>
    <m/>
    <m/>
    <s v="F3X"/>
    <n v="4.1216202019742802E+18"/>
    <s v="t"/>
    <s v="EARMARKED FOR DSCC (C00042366)"/>
    <n v="2020"/>
    <s v="SA"/>
    <m/>
    <n v="4.01212021212019E+18"/>
    <s v="https://docquery.fec.gov/cgi-bin/fecimg/?202012149376634937"/>
    <s v="Contributions From Individuals/Persons Other Than Political Committees"/>
  </r>
  <r>
    <s v="C00401224"/>
    <x v="3"/>
    <n v="2020"/>
    <s v="M10"/>
    <n v="2.0201214937663398E+17"/>
    <s v="11AI"/>
    <s v="SA11AI_303995734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21T00:00:00"/>
    <n v="1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19:14"/>
    <m/>
    <m/>
    <m/>
    <s v="F3X"/>
    <n v="4.1216202019742802E+18"/>
    <s v="t"/>
    <s v="CONTRIBUTION TO ACTBLUE"/>
    <n v="2020"/>
    <s v="SA"/>
    <m/>
    <n v="4.01212021212015E+18"/>
    <s v="https://docquery.fec.gov/cgi-bin/fecimg/?202012149376634937"/>
    <s v="Contributions From Individuals/Persons Other Than Political Committees"/>
  </r>
  <r>
    <s v="C00042366"/>
    <x v="1"/>
    <n v="2020"/>
    <s v="M7"/>
    <n v="2.0200720925048602E+17"/>
    <s v="11AI"/>
    <n v="14538879"/>
    <n v="1427061"/>
    <m/>
    <s v="IND"/>
    <s v="INDIVIDUAL"/>
    <s v="C00401224"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6-04T00:00:00"/>
    <n v="100"/>
    <n v="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0T04:01:47"/>
    <m/>
    <s v="14538879E"/>
    <s v="SA11AI"/>
    <s v="F3X"/>
    <n v="4.0720202017911798E+18"/>
    <s v="t"/>
    <s v="* EARMARKED CONTRIBUTION: SEE BELOW"/>
    <n v="2020"/>
    <s v="SA"/>
    <m/>
    <n v="4.0730202018089498E+18"/>
    <s v="http://docquery.fec.gov/cgi-bin/fecimg/?202007209250486108"/>
    <s v="Contributions From Individuals/Persons Other Than Political Committees"/>
  </r>
  <r>
    <s v="C00042366"/>
    <x v="1"/>
    <n v="2020"/>
    <s v="M7"/>
    <n v="2.0200720925048602E+17"/>
    <s v="11AI"/>
    <n v="14571291"/>
    <n v="1427061"/>
    <m/>
    <s v="IND"/>
    <s v="INDIVIDUAL"/>
    <s v="C00401224"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6-24T00:00:00"/>
    <n v="100"/>
    <n v="9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0T04:02:44"/>
    <m/>
    <s v="14571291E"/>
    <s v="SA11AI"/>
    <s v="F3X"/>
    <n v="4.0720202017911798E+18"/>
    <s v="t"/>
    <s v="* EARMARKED CONTRIBUTION: SEE BELOW"/>
    <n v="2020"/>
    <s v="SA"/>
    <m/>
    <n v="4.0730202018089498E+18"/>
    <s v="http://docquery.fec.gov/cgi-bin/fecimg/?202007209250486108"/>
    <s v="Contributions From Individuals/Persons Other Than Political Committees"/>
  </r>
  <r>
    <s v="C00562983"/>
    <x v="7"/>
    <n v="2020"/>
    <s v="M7"/>
    <n v="2.0200720925523101E+17"/>
    <s v="11AI"/>
    <s v="VN8EQN5GZ07"/>
    <n v="1427099"/>
    <m/>
    <s v="IND"/>
    <s v="INDIVIDUAL"/>
    <s v="C00401224"/>
    <m/>
    <s v="GLOVER, RENEE"/>
    <s v="N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6-05T00:00:00"/>
    <n v="2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02T03:40:51"/>
    <m/>
    <s v="VN8EQN5GZ07E"/>
    <s v="SA11AI"/>
    <s v="F3X"/>
    <n v="4.0720202017911798E+18"/>
    <s v="t"/>
    <s v="* EARMARKED CONTRIBUTION: SEE BELOW"/>
    <n v="2020"/>
    <s v="SA"/>
    <m/>
    <n v="4.0802202018103798E+18"/>
    <s v="http://docquery.fec.gov/cgi-bin/fecimg/?202007209255231905"/>
    <s v="Contributions From Individuals/Persons Other Than Political Committees"/>
  </r>
  <r>
    <s v="C00401224"/>
    <x v="3"/>
    <n v="2020"/>
    <s v="M7"/>
    <n v="2.0200720925606701E+17"/>
    <s v="11AI"/>
    <s v="SA11AI_256837649"/>
    <n v="1427110"/>
    <m/>
    <s v="IND"/>
    <s v="INDIVIDUAL"/>
    <s v="C0067229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72295"/>
    <s v="24T"/>
    <s v="EARMARKED INTERMEDIARY TREASURY OUT"/>
    <s v="EARMARK"/>
    <m/>
    <m/>
    <d v="2020-06-16T00:00:00"/>
    <n v="100"/>
    <n v="300"/>
    <s v="H8GA06393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6:17:03"/>
    <m/>
    <m/>
    <m/>
    <s v="F3X"/>
    <n v="4.0721202017922499E+18"/>
    <s v="t"/>
    <s v="EARMARKED FOR FRIENDS OF LUCY MCBATH (C00672295)"/>
    <n v="2020"/>
    <s v="SA"/>
    <m/>
    <n v="4.0810202018169098E+18"/>
    <s v="http://docquery.fec.gov/cgi-bin/fecimg/?202007209256067568"/>
    <s v="Contributions From Individuals/Persons Other Than Political Committees"/>
  </r>
  <r>
    <s v="C00401224"/>
    <x v="3"/>
    <n v="2020"/>
    <s v="M7"/>
    <n v="2.0200720925606701E+17"/>
    <s v="11AI"/>
    <s v="SA11AI_249908857"/>
    <n v="1427110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6-05T00:00:00"/>
    <n v="5"/>
    <n v="2610"/>
    <s v="S0GA00559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6:43:08"/>
    <m/>
    <m/>
    <m/>
    <s v="F3X"/>
    <n v="4.0721202017922499E+18"/>
    <s v="t"/>
    <s v="EARMARKED FOR WARNOCK FOR GEORGIA (C00736876)"/>
    <n v="2020"/>
    <s v="SA"/>
    <m/>
    <n v="4.0810202018169098E+18"/>
    <s v="http://docquery.fec.gov/cgi-bin/fecimg/?202007209256067567"/>
    <s v="Contributions From Individuals/Persons Other Than Political Committees"/>
  </r>
  <r>
    <s v="C00401224"/>
    <x v="3"/>
    <n v="2020"/>
    <s v="M7"/>
    <n v="2.0200720925606701E+17"/>
    <s v="11AI"/>
    <s v="SA11AI_262077332"/>
    <n v="1427110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6-30T00:00:00"/>
    <n v="125"/>
    <n v="8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7:06:30"/>
    <m/>
    <m/>
    <m/>
    <s v="F3X"/>
    <n v="4.0721202017922499E+18"/>
    <s v="t"/>
    <s v="EARMARKED FOR DCCC (C00000935)"/>
    <n v="2020"/>
    <s v="SA"/>
    <m/>
    <n v="4.0810202018169098E+18"/>
    <s v="http://docquery.fec.gov/cgi-bin/fecimg/?202007209256067570"/>
    <s v="Contributions From Individuals/Persons Other Than Political Committees"/>
  </r>
  <r>
    <s v="C00401224"/>
    <x v="3"/>
    <n v="2020"/>
    <s v="M7"/>
    <n v="2.0200720925606701E+17"/>
    <s v="11AI"/>
    <s v="SA11AI_259678556"/>
    <n v="1427110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6-24T00:00:00"/>
    <n v="100"/>
    <n v="9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7:48:02"/>
    <m/>
    <m/>
    <m/>
    <s v="F3X"/>
    <n v="4.0721202017922499E+18"/>
    <s v="t"/>
    <s v="EARMARKED FOR DSCC (C00042366)"/>
    <n v="2020"/>
    <s v="SA"/>
    <m/>
    <n v="4.0810202018169098E+18"/>
    <s v="http://docquery.fec.gov/cgi-bin/fecimg/?202007209256067569"/>
    <s v="Contributions From Individuals/Persons Other Than Political Committees"/>
  </r>
  <r>
    <s v="C00401224"/>
    <x v="3"/>
    <n v="2020"/>
    <s v="M7"/>
    <n v="2.0200720925606701E+17"/>
    <s v="11AI"/>
    <s v="SA11AI_262077421"/>
    <n v="1427110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6-30T00:00:00"/>
    <n v="12.5"/>
    <n v="62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7:48:02"/>
    <m/>
    <m/>
    <m/>
    <s v="F3X"/>
    <n v="4.0721202017922499E+18"/>
    <s v="t"/>
    <s v="CONTRIBUTION TO ACTBLUE"/>
    <n v="2020"/>
    <s v="SA"/>
    <m/>
    <n v="4.0810202018169098E+18"/>
    <s v="http://docquery.fec.gov/cgi-bin/fecimg/?202007209256067570"/>
    <s v="Contributions From Individuals/Persons Other Than Political Committees"/>
  </r>
  <r>
    <s v="C00401224"/>
    <x v="3"/>
    <n v="2020"/>
    <s v="M7"/>
    <n v="2.0200720925606701E+17"/>
    <s v="11AI"/>
    <s v="SA11AI_248811681"/>
    <n v="1427110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6-04T00:00:00"/>
    <n v="100"/>
    <n v="9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7:53:19"/>
    <m/>
    <m/>
    <m/>
    <s v="F3X"/>
    <n v="4.0721202017922499E+18"/>
    <s v="t"/>
    <s v="EARMARKED FOR DSCC (C00042366)"/>
    <n v="2020"/>
    <s v="SA"/>
    <m/>
    <n v="4.0810202018169098E+18"/>
    <s v="http://docquery.fec.gov/cgi-bin/fecimg/?202007209256067566"/>
    <s v="Contributions From Individuals/Persons Other Than Political Committees"/>
  </r>
  <r>
    <s v="C00401224"/>
    <x v="3"/>
    <n v="2020"/>
    <s v="M7"/>
    <n v="2.0200720925606701E+17"/>
    <s v="11AI"/>
    <s v="SA11AI_250794958"/>
    <n v="1427110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6-05T00:00:00"/>
    <n v="20"/>
    <n v="62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7:53:19"/>
    <m/>
    <m/>
    <m/>
    <s v="F3X"/>
    <n v="4.0721202017922499E+18"/>
    <s v="t"/>
    <s v="CONTRIBUTION TO ACTBLUE"/>
    <n v="2020"/>
    <s v="SA"/>
    <m/>
    <n v="4.0810202018169098E+18"/>
    <s v="http://docquery.fec.gov/cgi-bin/fecimg/?202007209256067567"/>
    <s v="Contributions From Individuals/Persons Other Than Political Committees"/>
  </r>
  <r>
    <s v="C00401224"/>
    <x v="3"/>
    <n v="2020"/>
    <s v="M7"/>
    <n v="2.0200720925606701E+17"/>
    <s v="11AI"/>
    <s v="SA11AI_256837754"/>
    <n v="1427110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6-16T00:00:00"/>
    <n v="10"/>
    <n v="62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8:13:01"/>
    <m/>
    <m/>
    <m/>
    <s v="F3X"/>
    <n v="4.0721202017922499E+18"/>
    <s v="t"/>
    <s v="CONTRIBUTION TO ACTBLUE"/>
    <n v="2020"/>
    <s v="SA"/>
    <m/>
    <n v="4.0810202018169098E+18"/>
    <s v="http://docquery.fec.gov/cgi-bin/fecimg/?202007209256067568"/>
    <s v="Contributions From Individuals/Persons Other Than Political Committees"/>
  </r>
  <r>
    <s v="C00401224"/>
    <x v="3"/>
    <n v="2020"/>
    <s v="M7"/>
    <n v="2.0200720925606701E+17"/>
    <s v="11AI"/>
    <s v="SA11AI_259678611"/>
    <n v="1427110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6-24T00:00:00"/>
    <n v="10"/>
    <n v="62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8:13:01"/>
    <m/>
    <m/>
    <m/>
    <s v="F3X"/>
    <n v="4.0721202017922499E+18"/>
    <s v="t"/>
    <s v="CONTRIBUTION TO ACTBLUE"/>
    <n v="2020"/>
    <s v="SA"/>
    <m/>
    <n v="4.0810202018169098E+18"/>
    <s v="http://docquery.fec.gov/cgi-bin/fecimg/?202007209256067569"/>
    <s v="Contributions From Individuals/Persons Other Than Political Committees"/>
  </r>
  <r>
    <s v="C00401224"/>
    <x v="3"/>
    <n v="2020"/>
    <s v="M7"/>
    <n v="2.0200720925606701E+17"/>
    <s v="11AI"/>
    <s v="SA11AI_260596776"/>
    <n v="1427110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6-27T00:00:00"/>
    <n v="25"/>
    <n v="62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8:13:01"/>
    <m/>
    <m/>
    <m/>
    <s v="F3X"/>
    <n v="4.0721202017922499E+18"/>
    <s v="t"/>
    <s v="CONTRIBUTION TO ACTBLUE"/>
    <n v="2020"/>
    <s v="SA"/>
    <m/>
    <n v="4.0810202018169098E+18"/>
    <s v="http://docquery.fec.gov/cgi-bin/fecimg/?202007209256067569"/>
    <s v="Contributions From Individuals/Persons Other Than Political Committees"/>
  </r>
  <r>
    <s v="C00401224"/>
    <x v="3"/>
    <n v="2020"/>
    <s v="M7"/>
    <n v="2.0200720925606701E+17"/>
    <s v="11AI"/>
    <s v="SA11AI_248811877"/>
    <n v="1427110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6-04T00:00:00"/>
    <n v="10"/>
    <n v="62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11T08:36:01"/>
    <m/>
    <m/>
    <m/>
    <s v="F3X"/>
    <n v="4.0721202017922499E+18"/>
    <s v="t"/>
    <s v="CONTRIBUTION TO ACTBLUE"/>
    <n v="2020"/>
    <s v="SA"/>
    <m/>
    <n v="4.0810202018169098E+18"/>
    <s v="http://docquery.fec.gov/cgi-bin/fecimg/?202007209256067566"/>
    <s v="Contributions From Individuals/Persons Other Than Political Committees"/>
  </r>
  <r>
    <s v="C00401224"/>
    <x v="3"/>
    <n v="2020"/>
    <s v="M8"/>
    <n v="2.02008209262476E+17"/>
    <s v="11AI"/>
    <s v="SA11AI_265500622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7-12T00:00:00"/>
    <n v="10"/>
    <n v="71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27:30"/>
    <m/>
    <m/>
    <m/>
    <s v="F3X"/>
    <n v="4.0822202018295301E+18"/>
    <s v="t"/>
    <s v="CONTRIBUTION TO ACTBLUE"/>
    <n v="2020"/>
    <s v="SA"/>
    <m/>
    <n v="4.0915202018394102E+18"/>
    <s v="http://docquery.fec.gov/cgi-bin/fecimg/?202008209262476416"/>
    <s v="Contributions From Individuals/Persons Other Than Political Committees"/>
  </r>
  <r>
    <s v="C00401224"/>
    <x v="3"/>
    <n v="2020"/>
    <s v="M8"/>
    <n v="2.02008209262476E+17"/>
    <s v="11AI"/>
    <s v="SA11AI_265500591"/>
    <n v="1434463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7-12T00:00:00"/>
    <n v="100"/>
    <n v="1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EARMARKED FOR DSCC (C00042366)"/>
    <n v="2020"/>
    <s v="SA"/>
    <m/>
    <n v="4.0915202018394102E+18"/>
    <s v="http://docquery.fec.gov/cgi-bin/fecimg/?202008209262476416"/>
    <s v="Contributions From Individuals/Persons Other Than Political Committees"/>
  </r>
  <r>
    <s v="C00401224"/>
    <x v="3"/>
    <n v="2020"/>
    <s v="M8"/>
    <n v="2.02008209262476E+17"/>
    <s v="11AI"/>
    <s v="SA11AI_265726326"/>
    <n v="1434463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7-13T00:00:00"/>
    <n v="100"/>
    <n v="10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EARMARKED FOR DCCC (C00000935)"/>
    <n v="2020"/>
    <s v="SA"/>
    <m/>
    <n v="4.0915202018394102E+18"/>
    <s v="http://docquery.fec.gov/cgi-bin/fecimg/?202008209262476417"/>
    <s v="Contributions From Individuals/Persons Other Than Political Committees"/>
  </r>
  <r>
    <s v="C00401224"/>
    <x v="3"/>
    <n v="2020"/>
    <s v="M8"/>
    <n v="2.02008209262476E+17"/>
    <s v="11AI"/>
    <s v="SA11AI_265726371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7-13T00:00:00"/>
    <n v="10"/>
    <n v="71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CONTRIBUTION TO ACTBLUE"/>
    <n v="2020"/>
    <s v="SA"/>
    <m/>
    <n v="4.0915202018394102E+18"/>
    <s v="http://docquery.fec.gov/cgi-bin/fecimg/?202008209262476417"/>
    <s v="Contributions From Individuals/Persons Other Than Political Committees"/>
  </r>
  <r>
    <s v="C00401224"/>
    <x v="3"/>
    <n v="2020"/>
    <s v="M8"/>
    <n v="2.02008209262476E+17"/>
    <s v="11AI"/>
    <s v="SA11AI_267324914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7-18T00:00:00"/>
    <n v="20"/>
    <n v="71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CONTRIBUTION TO ACTBLUE"/>
    <n v="2020"/>
    <s v="SA"/>
    <m/>
    <n v="4.0915202018394102E+18"/>
    <s v="http://docquery.fec.gov/cgi-bin/fecimg/?202008209262476417"/>
    <s v="Contributions From Individuals/Persons Other Than Political Committees"/>
  </r>
  <r>
    <s v="C00401224"/>
    <x v="3"/>
    <n v="2020"/>
    <s v="M8"/>
    <n v="2.02008209262476E+17"/>
    <s v="11AI"/>
    <s v="SA11AI_268682147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7-23T00:00:00"/>
    <n v="100"/>
    <n v="2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9-16T07:30:20"/>
    <m/>
    <m/>
    <m/>
    <s v="F3X"/>
    <n v="4.0822202018295301E+18"/>
    <s v="t"/>
    <s v="EARMARKED FOR CONGRESSIONAL BLACK CAUCUS PAC (C00147512)"/>
    <n v="2020"/>
    <s v="SA"/>
    <m/>
    <n v="4.0915202018394102E+18"/>
    <s v="http://docquery.fec.gov/cgi-bin/fecimg/?202008209262476418"/>
    <s v="Contributions From Individuals/Persons Other Than Political Committees"/>
  </r>
  <r>
    <s v="C00401224"/>
    <x v="3"/>
    <n v="2020"/>
    <s v="M8"/>
    <n v="2.02008209262476E+17"/>
    <s v="11AI"/>
    <s v="SA11AI_268682177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7-23T00:00:00"/>
    <n v="10"/>
    <n v="71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CONTRIBUTION TO ACTBLUE"/>
    <n v="2020"/>
    <s v="SA"/>
    <m/>
    <n v="4.0915202018394102E+18"/>
    <s v="http://docquery.fec.gov/cgi-bin/fecimg/?202008209262476418"/>
    <s v="Contributions From Individuals/Persons Other Than Political Committees"/>
  </r>
  <r>
    <s v="C00401224"/>
    <x v="3"/>
    <n v="2020"/>
    <s v="M8"/>
    <n v="2.02008209262476E+17"/>
    <s v="11AI"/>
    <s v="SA11AI_269625792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7-26T00:00:00"/>
    <n v="20"/>
    <n v="71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CONTRIBUTION TO ACTBLUE"/>
    <n v="2020"/>
    <s v="SA"/>
    <m/>
    <n v="4.0915202018394102E+18"/>
    <s v="http://docquery.fec.gov/cgi-bin/fecimg/?202008209262476419"/>
    <s v="Contributions From Individuals/Persons Other Than Political Committees"/>
  </r>
  <r>
    <s v="C00401224"/>
    <x v="3"/>
    <n v="2020"/>
    <s v="M8"/>
    <n v="2.02008209262476E+17"/>
    <s v="11AI"/>
    <s v="SA11AI_270632573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7-29T00:00:00"/>
    <n v="100"/>
    <n v="2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09-16T07:30:20"/>
    <m/>
    <m/>
    <m/>
    <s v="F3X"/>
    <n v="4.0822202018295301E+18"/>
    <s v="t"/>
    <s v="EARMARKED FOR CONGRESSIONAL BLACK CAUCUS PAC (C00147512)"/>
    <n v="2020"/>
    <s v="SA"/>
    <m/>
    <n v="4.0915202018394102E+18"/>
    <s v="http://docquery.fec.gov/cgi-bin/fecimg/?202008209262476419"/>
    <s v="Contributions From Individuals/Persons Other Than Political Committees"/>
  </r>
  <r>
    <s v="C00401224"/>
    <x v="3"/>
    <n v="2020"/>
    <s v="M8"/>
    <n v="2.02008209262476E+17"/>
    <s v="11AI"/>
    <s v="SA11AI_270632591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7-29T00:00:00"/>
    <n v="10"/>
    <n v="71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CONTRIBUTION TO ACTBLUE"/>
    <n v="2020"/>
    <s v="SA"/>
    <m/>
    <n v="4.0915202018394102E+18"/>
    <s v="http://docquery.fec.gov/cgi-bin/fecimg/?202008209262476420"/>
    <s v="Contributions From Individuals/Persons Other Than Political Committees"/>
  </r>
  <r>
    <s v="C00401224"/>
    <x v="3"/>
    <n v="2020"/>
    <s v="M8"/>
    <n v="2.02008209262476E+17"/>
    <s v="11AI"/>
    <s v="SA11AI_271324943"/>
    <n v="1434463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7-30T00:00:00"/>
    <n v="100"/>
    <n v="10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EARMARKED FOR DCCC (C00000935)"/>
    <n v="2020"/>
    <s v="SA"/>
    <m/>
    <n v="4.0915202018394102E+18"/>
    <s v="http://docquery.fec.gov/cgi-bin/fecimg/?202008209262476420"/>
    <s v="Contributions From Individuals/Persons Other Than Political Committees"/>
  </r>
  <r>
    <s v="C00401224"/>
    <x v="3"/>
    <n v="2020"/>
    <s v="M8"/>
    <n v="2.02008209262476E+17"/>
    <s v="11AI"/>
    <s v="SA11AI_271324994"/>
    <n v="143446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7-30T00:00:00"/>
    <n v="10"/>
    <n v="719.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7:30:20"/>
    <m/>
    <m/>
    <m/>
    <s v="F3X"/>
    <n v="4.0822202018295301E+18"/>
    <s v="t"/>
    <s v="CONTRIBUTION TO ACTBLUE"/>
    <n v="2020"/>
    <s v="SA"/>
    <m/>
    <n v="4.0915202018394102E+18"/>
    <s v="http://docquery.fec.gov/cgi-bin/fecimg/?202008209262476420"/>
    <s v="Contributions From Individuals/Persons Other Than Political Committees"/>
  </r>
  <r>
    <s v="C00401224"/>
    <x v="3"/>
    <n v="2020"/>
    <s v="M8"/>
    <n v="2.02008209262476E+17"/>
    <s v="11AI"/>
    <s v="SA11AI_263409589"/>
    <n v="1434463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7-05T00:00:00"/>
    <n v="5"/>
    <n v="2615"/>
    <s v="S0GA00559"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6T08:14:56"/>
    <m/>
    <m/>
    <m/>
    <s v="F3X"/>
    <n v="4.0822202018295301E+18"/>
    <s v="t"/>
    <s v="EARMARKED FOR WARNOCK FOR GEORGIA (C00736876)"/>
    <n v="2020"/>
    <s v="SA"/>
    <m/>
    <n v="4.0915202018394102E+18"/>
    <s v="http://docquery.fec.gov/cgi-bin/fecimg/?202008209262476416"/>
    <s v="Contributions From Individuals/Persons Other Than Political Committees"/>
  </r>
  <r>
    <s v="C00603084"/>
    <x v="10"/>
    <n v="2020"/>
    <s v="30G"/>
    <n v="2.02012299394444E+17"/>
    <s v="11AI"/>
    <s v="VSGVDQXN4R6"/>
    <n v="1484572"/>
    <m/>
    <s v="IND"/>
    <s v="INDIVIDUAL"/>
    <m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1-15T00:00:00"/>
    <n v="50"/>
    <n v="2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10T03:38:39"/>
    <m/>
    <s v="VSGVDQXN4R6E"/>
    <s v="SA11AI"/>
    <s v="F3X"/>
    <n v="4.1230202019866798E+18"/>
    <s v="t"/>
    <s v="* EARMARKED CONTRIBUTION: SEE BELOW"/>
    <n v="2020"/>
    <s v="SA"/>
    <m/>
    <n v="4.01102021206784E+18"/>
    <s v="https://docquery.fec.gov/cgi-bin/fecimg/?202012299394444659"/>
    <s v="Contributions From Individuals/Persons Other Than Political Committees"/>
  </r>
  <r>
    <s v="C00562983"/>
    <x v="7"/>
    <n v="2020"/>
    <s v="M9"/>
    <n v="2.0200918926736099E+17"/>
    <s v="11AI"/>
    <s v="VN8EQNS3766"/>
    <n v="1439530"/>
    <m/>
    <s v="IND"/>
    <s v="INDIVIDUAL"/>
    <s v="C00401224"/>
    <m/>
    <s v="GLOVER, RENEE"/>
    <s v="N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17T00:00:00"/>
    <n v="200"/>
    <n v="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26T03:45:58"/>
    <m/>
    <s v="VN8EQNS3766E"/>
    <s v="SA11AI"/>
    <s v="F3X"/>
    <n v="4.0919202018490399E+18"/>
    <s v="t"/>
    <s v="* EARMARKED CONTRIBUTION: SEE BELOW"/>
    <n v="2020"/>
    <s v="SA"/>
    <m/>
    <n v="4.0926202018516598E+18"/>
    <s v="http://docquery.fec.gov/cgi-bin/fecimg/?202009189267361865"/>
    <s v="Contributions From Individuals/Persons Other Than Political Committees"/>
  </r>
  <r>
    <s v="C00718866"/>
    <x v="11"/>
    <n v="2020"/>
    <s v="Q3"/>
    <n v="2.0201015929510598E+17"/>
    <s v="11AI"/>
    <s v="VTE6ZZEX839"/>
    <n v="145184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CATALYST GROUP"/>
    <s v="FOUNDER"/>
    <s v="C00401224"/>
    <s v="15E"/>
    <s v="EARMARKED CONTRIBUTION"/>
    <m/>
    <m/>
    <m/>
    <d v="2020-09-14T00:00:00"/>
    <n v="500"/>
    <n v="5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08T03:44:22"/>
    <m/>
    <s v="VTE6ZZEX839E"/>
    <s v="SA11AI"/>
    <s v="F3"/>
    <n v="4.1016202018576502E+18"/>
    <s v="t"/>
    <s v="* EARMARKED CONTRIBUTION: SEE BELOW"/>
    <n v="2020"/>
    <s v="SA"/>
    <m/>
    <n v="4.1208202019669499E+18"/>
    <s v="http://docquery.fec.gov/cgi-bin/fecimg/?202010159295106603"/>
    <s v="Contributions From Individuals/Persons Other Than Political Committees"/>
  </r>
  <r>
    <s v="C00633404"/>
    <x v="9"/>
    <n v="2020"/>
    <s v="30G"/>
    <n v="2.0201203933840701E+17"/>
    <s v="11AI"/>
    <s v="VTR0FW77Z01"/>
    <n v="1479266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15T00:00:00"/>
    <n v="100"/>
    <n v="1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31T03:40:20"/>
    <m/>
    <s v="VTR0FW77Z01E"/>
    <s v="SA11AI"/>
    <s v="F3X"/>
    <n v="4.1204202019634299E+18"/>
    <s v="t"/>
    <s v="* EARMARKED CONTRIBUTION: SEE BELOW"/>
    <n v="2020"/>
    <s v="SA"/>
    <m/>
    <n v="4.12312020198769E+18"/>
    <s v="https://docquery.fec.gov/cgi-bin/fecimg/?202012039338407801"/>
    <s v="Contributions From Individuals/Persons Other Than Political Committees"/>
  </r>
  <r>
    <s v="C00736876"/>
    <x v="6"/>
    <n v="2020"/>
    <s v="Q2"/>
    <n v="2.0201014928591501E+17"/>
    <s v="11AI"/>
    <n v="4707722"/>
    <n v="1448747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5-26T00:00:00"/>
    <n v="250"/>
    <n v="261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N"/>
    <s v="NO CHANGE"/>
    <s v="ITEMIZED RECEIPTS"/>
    <d v="2020-10-22T03:40:10"/>
    <m/>
    <s v="4707722E"/>
    <s v="SA11AI"/>
    <s v="F3"/>
    <n v="4.1016202018576502E+18"/>
    <s v="t"/>
    <s v="* EARMARKED CONTRIBUTION: SEE BELOW"/>
    <n v="2020"/>
    <s v="SA"/>
    <m/>
    <n v="4.1022202018826798E+18"/>
    <s v="http://docquery.fec.gov/cgi-bin/fecimg/?202010149285915295"/>
    <s v="Contributions From Individuals/Persons Other Than Political Committees"/>
  </r>
  <r>
    <s v="C00736876"/>
    <x v="6"/>
    <n v="2020"/>
    <s v="Q2"/>
    <n v="2.0201014928591501E+17"/>
    <s v="11AI"/>
    <n v="4552792"/>
    <n v="1448747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5-05T00:00:00"/>
    <n v="150"/>
    <n v="261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N"/>
    <s v="NO CHANGE"/>
    <s v="ITEMIZED RECEIPTS"/>
    <d v="2020-10-22T03:40:22"/>
    <m/>
    <s v="4552792E"/>
    <s v="SA11AI"/>
    <s v="F3"/>
    <n v="4.1016202018576502E+18"/>
    <s v="t"/>
    <s v="* EARMARKED CONTRIBUTION: SEE BELOW"/>
    <n v="2020"/>
    <s v="SA"/>
    <m/>
    <n v="4.1022202018826798E+18"/>
    <s v="http://docquery.fec.gov/cgi-bin/fecimg/?202010149285915543"/>
    <s v="Contributions From Individuals/Persons Other Than Political Committees"/>
  </r>
  <r>
    <s v="C00736876"/>
    <x v="6"/>
    <n v="2020"/>
    <s v="Q2"/>
    <n v="2.02010149285916E+17"/>
    <s v="11AI"/>
    <n v="4552765"/>
    <n v="1448747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5-05T00:00:00"/>
    <n v="250"/>
    <n v="261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N"/>
    <s v="NO CHANGE"/>
    <s v="ITEMIZED RECEIPTS"/>
    <d v="2020-10-22T03:40:36"/>
    <m/>
    <s v="4552765E"/>
    <s v="SA11AI"/>
    <s v="F3"/>
    <n v="4.1016202018576502E+18"/>
    <s v="t"/>
    <s v="* EARMARKED CONTRIBUTION: SEE BELOW"/>
    <n v="2020"/>
    <s v="SA"/>
    <m/>
    <n v="4.1022202018826798E+18"/>
    <s v="http://docquery.fec.gov/cgi-bin/fecimg/?202010149285916504"/>
    <s v="Contributions From Individuals/Persons Other Than Political Committees"/>
  </r>
  <r>
    <s v="C00736876"/>
    <x v="6"/>
    <n v="2020"/>
    <s v="Q2"/>
    <n v="2.02010149285916E+17"/>
    <s v="11AI"/>
    <n v="4555565"/>
    <n v="1448747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5-05T00:00:00"/>
    <n v="5"/>
    <n v="261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N"/>
    <s v="NO CHANGE"/>
    <s v="ITEMIZED RECEIPTS"/>
    <d v="2020-10-22T03:40:36"/>
    <m/>
    <s v="4555565E"/>
    <s v="SA11AI"/>
    <s v="F3"/>
    <n v="4.1016202018576502E+18"/>
    <s v="t"/>
    <s v="* EARMARKED CONTRIBUTION: SEE BELOW"/>
    <n v="2020"/>
    <s v="SA"/>
    <m/>
    <n v="4.1022202018826798E+18"/>
    <s v="http://docquery.fec.gov/cgi-bin/fecimg/?202010149285916506"/>
    <s v="Contributions From Individuals/Persons Other Than Political Committees"/>
  </r>
  <r>
    <s v="C00736876"/>
    <x v="6"/>
    <n v="2020"/>
    <s v="Q2"/>
    <n v="2.02010149285916E+17"/>
    <s v="11AI"/>
    <n v="4839736"/>
    <n v="1448747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m/>
    <n v="15"/>
    <s v="CONTRIBUTION"/>
    <m/>
    <m/>
    <m/>
    <d v="2020-06-05T00:00:00"/>
    <n v="5"/>
    <n v="261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N"/>
    <s v="NO CHANGE"/>
    <s v="ITEMIZED RECEIPTS"/>
    <d v="2020-10-22T03:40:52"/>
    <m/>
    <s v="4839736E"/>
    <s v="SA11AI"/>
    <s v="F3"/>
    <n v="4.1016202018576502E+18"/>
    <s v="t"/>
    <s v="* EARMARKED CONTRIBUTION: SEE BELOW"/>
    <n v="2020"/>
    <s v="SA"/>
    <m/>
    <n v="4.1022202018826798E+18"/>
    <s v="http://docquery.fec.gov/cgi-bin/fecimg/?202010149285916759"/>
    <s v="Contributions From Individuals/Persons Other Than Political Committees"/>
  </r>
  <r>
    <s v="C00736876"/>
    <x v="6"/>
    <n v="2020"/>
    <s v="Q2"/>
    <n v="2.0201014928591699E+17"/>
    <s v="11AI"/>
    <n v="4483228"/>
    <n v="1448747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04-30T00:00:00"/>
    <n v="100"/>
    <n v="261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N"/>
    <s v="NO CHANGE"/>
    <s v="ITEMIZED RECEIPTS"/>
    <d v="2020-10-22T03:41:07"/>
    <m/>
    <s v="4483228E"/>
    <s v="SA11AI"/>
    <s v="F3"/>
    <n v="4.1016202018576502E+18"/>
    <s v="t"/>
    <s v="* EARMARKED CONTRIBUTION: SEE BELOW"/>
    <n v="2020"/>
    <s v="SA"/>
    <m/>
    <n v="4.1022202018826798E+18"/>
    <s v="http://docquery.fec.gov/cgi-bin/fecimg/?202010149285917414"/>
    <s v="Contributions From Individuals/Persons Other Than Political Committees"/>
  </r>
  <r>
    <s v="C00736876"/>
    <x v="6"/>
    <n v="2020"/>
    <s v="Q2"/>
    <n v="2.0201014928591699E+17"/>
    <s v="11AI"/>
    <n v="4616629"/>
    <n v="1448747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m/>
    <n v="15"/>
    <s v="CONTRIBUTION"/>
    <m/>
    <m/>
    <m/>
    <d v="2020-05-17T00:00:00"/>
    <n v="250"/>
    <n v="2610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N"/>
    <s v="NO CHANGE"/>
    <s v="ITEMIZED RECEIPTS"/>
    <d v="2020-10-22T03:41:11"/>
    <m/>
    <s v="4616629E"/>
    <s v="SA11AI"/>
    <s v="F3"/>
    <n v="4.1016202018576502E+18"/>
    <s v="t"/>
    <s v="* EARMARKED CONTRIBUTION: SEE BELOW"/>
    <n v="2020"/>
    <s v="SA"/>
    <m/>
    <n v="4.1022202018826798E+18"/>
    <s v="http://docquery.fec.gov/cgi-bin/fecimg/?202010149285917739"/>
    <s v="Contributions From Individuals/Persons Other Than Political Committees"/>
  </r>
  <r>
    <s v="C00718866"/>
    <x v="11"/>
    <n v="2020"/>
    <s v="12R"/>
    <n v="2.0210602944848E+17"/>
    <s v="11AI"/>
    <n v="4313760"/>
    <n v="1518550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CATALYST GROUP"/>
    <s v="FOUNDER"/>
    <m/>
    <s v="15E"/>
    <s v="EARMARKED CONTRIBUTION"/>
    <m/>
    <m/>
    <m/>
    <d v="2020-11-15T00:00:00"/>
    <n v="50"/>
    <n v="900"/>
    <m/>
    <m/>
    <m/>
    <m/>
    <m/>
    <m/>
    <m/>
    <m/>
    <m/>
    <m/>
    <m/>
    <m/>
    <m/>
    <m/>
    <m/>
    <m/>
    <m/>
    <m/>
    <m/>
    <m/>
    <m/>
    <s v="P2020"/>
    <s v="RUN-OFF GENERAL"/>
    <s v="PRIMARY"/>
    <n v="2020"/>
    <s v="A"/>
    <s v="ADD"/>
    <s v="ITEMIZED RECEIPTS"/>
    <d v="2021-06-11T03:43:28"/>
    <m/>
    <s v="4313760E"/>
    <s v="SA11AI"/>
    <s v="F3"/>
    <n v="4.0604202112998001E+18"/>
    <s v="t"/>
    <s v="* EARMARKED CONTRIBUTION: SEE BELOW"/>
    <n v="2020"/>
    <s v="SA"/>
    <m/>
    <n v="4.06112021130626E+18"/>
    <s v="https://docquery.fec.gov/cgi-bin/fecimg/?202106029448480894"/>
    <s v="Contributions From Individuals/Persons Other Than Political Committees"/>
  </r>
  <r>
    <s v="C00633404"/>
    <x v="9"/>
    <n v="2020"/>
    <s v="Q3"/>
    <n v="2.0201012928516998E+17"/>
    <s v="11AI"/>
    <s v="VTR0FRG3C21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20T00:00:00"/>
    <n v="100"/>
    <n v="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3:37:26"/>
    <m/>
    <s v="VTR0FRG3C21E"/>
    <s v="SA11AI"/>
    <s v="F3X"/>
    <n v="4.1014202018575002E+18"/>
    <s v="t"/>
    <s v="* EARMARKED CONTRIBUTION: SEE BELOW"/>
    <n v="2020"/>
    <s v="SA"/>
    <m/>
    <n v="4.1031202018896701E+18"/>
    <s v="http://docquery.fec.gov/cgi-bin/fecimg/?202010129285170996"/>
    <s v="Contributions From Individuals/Persons Other Than Political Committees"/>
  </r>
  <r>
    <s v="C00633404"/>
    <x v="9"/>
    <n v="2020"/>
    <s v="Q3"/>
    <n v="2.0201012928535299E+17"/>
    <s v="11AI"/>
    <s v="VTR0FSQCHM6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9-18T00:00:00"/>
    <n v="100"/>
    <n v="1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3:40:02"/>
    <m/>
    <s v="VTR0FSQCHM6E"/>
    <s v="SA11AI"/>
    <s v="F3X"/>
    <n v="4.1014202018575002E+18"/>
    <s v="t"/>
    <s v="* EARMARKED CONTRIBUTION: SEE BELOW"/>
    <n v="2020"/>
    <s v="SA"/>
    <m/>
    <n v="4.1031202018902298E+18"/>
    <s v="http://docquery.fec.gov/cgi-bin/fecimg/?202010129285353645"/>
    <s v="Contributions From Individuals/Persons Other Than Political Committees"/>
  </r>
  <r>
    <s v="C00633404"/>
    <x v="9"/>
    <n v="2020"/>
    <s v="Q3"/>
    <n v="2.0201012928541699E+17"/>
    <s v="11AI"/>
    <s v="VTR0FRG3DJ8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20T00:00:00"/>
    <n v="100"/>
    <n v="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3:41:12"/>
    <m/>
    <s v="VTR0FRG3DJ8E"/>
    <s v="SA11AI"/>
    <s v="F3X"/>
    <n v="4.1014202018575002E+18"/>
    <s v="t"/>
    <s v="* EARMARKED CONTRIBUTION: SEE BELOW"/>
    <n v="2020"/>
    <s v="SA"/>
    <m/>
    <n v="4.1031202018904202E+18"/>
    <s v="http://docquery.fec.gov/cgi-bin/fecimg/?202010129285417564"/>
    <s v="Contributions From Individuals/Persons Other Than Political Committees"/>
  </r>
  <r>
    <s v="C00633404"/>
    <x v="9"/>
    <n v="2020"/>
    <s v="Q3"/>
    <n v="2.0201012928518E+17"/>
    <s v="11AI"/>
    <s v="VTR0FRDENB1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19T00:00:00"/>
    <n v="1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0:34"/>
    <m/>
    <s v="VTR0FRDENB1E"/>
    <s v="SA11AI"/>
    <s v="F3X"/>
    <n v="4.1014202018575002E+18"/>
    <s v="t"/>
    <s v="* EARMARKED CONTRIBUTION: SEE BELOW"/>
    <n v="2020"/>
    <s v="SA"/>
    <m/>
    <n v="4.1031202018896998E+18"/>
    <s v="http://docquery.fec.gov/cgi-bin/fecimg/?202010129285180891"/>
    <s v="Contributions From Individuals/Persons Other Than Political Committees"/>
  </r>
  <r>
    <s v="C00633404"/>
    <x v="9"/>
    <n v="2020"/>
    <s v="Q3"/>
    <n v="2.0201012928516701E+17"/>
    <s v="11AI"/>
    <s v="VTR0FR86DY0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14T00:00:00"/>
    <n v="10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1:15"/>
    <m/>
    <s v="VTR0FR86DY0E"/>
    <s v="SA11AI"/>
    <s v="F3X"/>
    <n v="4.1014202018575002E+18"/>
    <s v="t"/>
    <s v="* EARMARKED CONTRIBUTION: SEE BELOW"/>
    <n v="2020"/>
    <s v="SA"/>
    <m/>
    <n v="4.1031202018896599E+18"/>
    <s v="http://docquery.fec.gov/cgi-bin/fecimg/?202010129285167197"/>
    <s v="Contributions From Individuals/Persons Other Than Political Committees"/>
  </r>
  <r>
    <s v="C00633404"/>
    <x v="9"/>
    <n v="2020"/>
    <s v="Q3"/>
    <n v="2.02010129285228E+17"/>
    <s v="11AI"/>
    <s v="VTR0FR86FT2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14T00:00:00"/>
    <n v="10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1:30"/>
    <m/>
    <s v="VTR0FR86FT2E"/>
    <s v="SA11AI"/>
    <s v="F3X"/>
    <n v="4.1014202018575002E+18"/>
    <s v="t"/>
    <s v="* EARMARKED CONTRIBUTION: SEE BELOW"/>
    <n v="2020"/>
    <s v="SA"/>
    <m/>
    <n v="4.1031202018898401E+18"/>
    <s v="http://docquery.fec.gov/cgi-bin/fecimg/?202010129285228657"/>
    <s v="Contributions From Individuals/Persons Other Than Political Committees"/>
  </r>
  <r>
    <s v="C00633404"/>
    <x v="9"/>
    <n v="2020"/>
    <s v="Q3"/>
    <n v="2.02010129285288E+17"/>
    <s v="11AI"/>
    <s v="VTR0FRQY5N4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27T00:00:00"/>
    <n v="100"/>
    <n v="1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2:39"/>
    <m/>
    <s v="VTR0FRQY5N4E"/>
    <s v="SA11AI"/>
    <s v="F3X"/>
    <n v="4.1014202018575002E+18"/>
    <s v="t"/>
    <s v="* EARMARKED CONTRIBUTION: SEE BELOW"/>
    <n v="2020"/>
    <s v="SA"/>
    <m/>
    <n v="4.1031202018900198E+18"/>
    <s v="http://docquery.fec.gov/cgi-bin/fecimg/?202010129285288810"/>
    <s v="Contributions From Individuals/Persons Other Than Political Committees"/>
  </r>
  <r>
    <s v="C00633404"/>
    <x v="9"/>
    <n v="2020"/>
    <s v="Q3"/>
    <n v="2.0201012928531299E+17"/>
    <s v="11AI"/>
    <s v="VTR0FRV13D5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30T00:00:00"/>
    <n v="100"/>
    <n v="1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3:08"/>
    <m/>
    <s v="VTR0FRV13D5E"/>
    <s v="SA11AI"/>
    <s v="F3X"/>
    <n v="4.1014202018575002E+18"/>
    <s v="t"/>
    <s v="* EARMARKED CONTRIBUTION: SEE BELOW"/>
    <n v="2020"/>
    <s v="SA"/>
    <m/>
    <n v="4.1031202018901002E+18"/>
    <s v="http://docquery.fec.gov/cgi-bin/fecimg/?202010129285313532"/>
    <s v="Contributions From Individuals/Persons Other Than Political Committees"/>
  </r>
  <r>
    <s v="C00633404"/>
    <x v="9"/>
    <n v="2020"/>
    <s v="Q3"/>
    <n v="2.0201012928533901E+17"/>
    <s v="11AI"/>
    <s v="VTR0FRQY666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27T00:00:00"/>
    <n v="100"/>
    <n v="1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6:26"/>
    <m/>
    <s v="VTR0FRQY666E"/>
    <s v="SA11AI"/>
    <s v="F3X"/>
    <n v="4.1014202018575002E+18"/>
    <s v="t"/>
    <s v="* EARMARKED CONTRIBUTION: SEE BELOW"/>
    <n v="2020"/>
    <s v="SA"/>
    <m/>
    <n v="4.1031202018901801E+18"/>
    <s v="http://docquery.fec.gov/cgi-bin/fecimg/?202010129285339189"/>
    <s v="Contributions From Individuals/Persons Other Than Political Committees"/>
  </r>
  <r>
    <s v="C00633404"/>
    <x v="9"/>
    <n v="2020"/>
    <s v="Q3"/>
    <n v="2.0201012928535002E+17"/>
    <s v="11AI"/>
    <s v="VTR0FRV13H6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30T00:00:00"/>
    <n v="100"/>
    <n v="1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7:01"/>
    <m/>
    <s v="VTR0FRV13H6E"/>
    <s v="SA11AI"/>
    <s v="F3X"/>
    <n v="4.1014202018575002E+18"/>
    <s v="t"/>
    <s v="* EARMARKED CONTRIBUTION: SEE BELOW"/>
    <n v="2020"/>
    <s v="SA"/>
    <m/>
    <n v="4.10312020189022E+18"/>
    <s v="http://docquery.fec.gov/cgi-bin/fecimg/?202010129285350484"/>
    <s v="Contributions From Individuals/Persons Other Than Political Committees"/>
  </r>
  <r>
    <s v="C00633404"/>
    <x v="9"/>
    <n v="2020"/>
    <s v="Q3"/>
    <n v="2.0201012928535802E+17"/>
    <s v="11AI"/>
    <s v="VTR0FSQK5S6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9-18T00:00:00"/>
    <n v="100"/>
    <n v="1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7:16"/>
    <m/>
    <s v="VTR0FSQK5S6E"/>
    <s v="SA11AI"/>
    <s v="F3X"/>
    <n v="4.1014202018575002E+18"/>
    <s v="t"/>
    <s v="* EARMARKED CONTRIBUTION: SEE BELOW"/>
    <n v="2020"/>
    <s v="SA"/>
    <m/>
    <n v="4.10312020189024E+18"/>
    <s v="http://docquery.fec.gov/cgi-bin/fecimg/?202010129285358805"/>
    <s v="Contributions From Individuals/Persons Other Than Political Committees"/>
  </r>
  <r>
    <s v="C00633404"/>
    <x v="9"/>
    <n v="2020"/>
    <s v="Q3"/>
    <n v="2.0201012928536E+17"/>
    <s v="11AI"/>
    <s v="VTR0FRDEKT6"/>
    <n v="1446627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8-19T00:00:00"/>
    <n v="10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31T04:07:18"/>
    <m/>
    <s v="VTR0FRDEKT6E"/>
    <s v="SA11AI"/>
    <s v="F3X"/>
    <n v="4.1014202018575002E+18"/>
    <s v="t"/>
    <s v="* EARMARKED CONTRIBUTION: SEE BELOW"/>
    <n v="2020"/>
    <s v="SA"/>
    <m/>
    <n v="4.1031202018902502E+18"/>
    <s v="http://docquery.fec.gov/cgi-bin/fecimg/?202010129285360745"/>
    <s v="Contributions From Individuals/Persons Other Than Political Committees"/>
  </r>
  <r>
    <s v="C00633404"/>
    <x v="9"/>
    <n v="2020"/>
    <s v="Q3"/>
    <n v="2.02010129285428E+17"/>
    <s v="11AI"/>
    <s v="VTR0FQWVYX8"/>
    <n v="1446627"/>
    <m/>
    <s v="IND"/>
    <s v="INDIVIDUAL"/>
    <m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m/>
    <m/>
    <m/>
    <m/>
    <m/>
    <m/>
    <d v="2020-08-01T00:00:00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10-31T04:09:20"/>
    <m/>
    <s v="VTR0FQWVYX8E"/>
    <s v="SA11AI"/>
    <s v="F3X"/>
    <n v="4.1014202018575002E+18"/>
    <s v="t"/>
    <s v="* EARMARKED CONTRIBUTION: SEE BELOW"/>
    <n v="2020"/>
    <s v="SA"/>
    <m/>
    <n v="4.1031202018904499E+18"/>
    <s v="http://docquery.fec.gov/cgi-bin/fecimg/?202010129285428683"/>
    <s v="Contributions From Individuals/Persons Other Than Political Committees"/>
  </r>
  <r>
    <s v="C00633404"/>
    <x v="9"/>
    <n v="2020"/>
    <s v="Q3"/>
    <n v="2.0201012928543802E+17"/>
    <s v="11AI"/>
    <s v="VTR0FQXSE69"/>
    <n v="1446627"/>
    <m/>
    <s v="IND"/>
    <s v="INDIVIDUAL"/>
    <m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m/>
    <m/>
    <m/>
    <m/>
    <m/>
    <m/>
    <d v="2020-08-04T00:00:00"/>
    <n v="100"/>
    <n v="2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d v="2020-10-31T04:09:33"/>
    <m/>
    <s v="VTR0FQXSE69E"/>
    <s v="SA11AI"/>
    <s v="F3X"/>
    <n v="4.1014202018575002E+18"/>
    <s v="t"/>
    <s v="* EARMARKED CONTRIBUTION: SEE BELOW"/>
    <n v="2020"/>
    <s v="SA"/>
    <m/>
    <n v="4.1031202018904801E+18"/>
    <s v="http://docquery.fec.gov/cgi-bin/fecimg/?202010129285438384"/>
    <s v="Contributions From Individuals/Persons Other Than Political Committees"/>
  </r>
  <r>
    <s v="C00603084"/>
    <x v="10"/>
    <n v="2020"/>
    <s v="YE"/>
    <n v="2.02101289413568E+17"/>
    <s v="11AI"/>
    <s v="VSGVDR99JC0"/>
    <n v="1492214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2-15T00:00:00"/>
    <n v="50"/>
    <n v="27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2T03:41:26"/>
    <m/>
    <s v="VSGVDR99JC0E"/>
    <s v="SA11AI"/>
    <s v="F3X"/>
    <n v="4.0129202121382502E+18"/>
    <s v="t"/>
    <s v="* EARMARKED CONTRIBUTION: SEE BELOW"/>
    <n v="2020"/>
    <s v="SA"/>
    <m/>
    <n v="4.02022021214018E+18"/>
    <s v="https://docquery.fec.gov/cgi-bin/fecimg/?202101289413568325"/>
    <s v="Contributions From Individuals/Persons Other Than Political Committees"/>
  </r>
  <r>
    <s v="C00603084"/>
    <x v="10"/>
    <n v="2020"/>
    <s v="YE"/>
    <n v="2.02101289413568E+17"/>
    <s v="11AI"/>
    <s v="VSGVDRAXP54"/>
    <n v="1492214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2-21T00:00:00"/>
    <n v="200"/>
    <n v="47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2T03:41:26"/>
    <m/>
    <s v="VSGVDRAXP54E"/>
    <s v="SA11AI"/>
    <s v="F3X"/>
    <n v="4.0129202121382502E+18"/>
    <s v="t"/>
    <s v="* EARMARKED CONTRIBUTION: SEE BELOW"/>
    <n v="2020"/>
    <s v="SA"/>
    <m/>
    <n v="4.02022021214018E+18"/>
    <s v="https://docquery.fec.gov/cgi-bin/fecimg/?202101289413568326"/>
    <s v="Contributions From Individuals/Persons Other Than Political Committees"/>
  </r>
  <r>
    <s v="C00562983"/>
    <x v="7"/>
    <n v="2020"/>
    <s v="YE"/>
    <n v="2.0210129941384899E+17"/>
    <s v="11AI"/>
    <s v="VN8EQPY1PE2"/>
    <n v="1493017"/>
    <m/>
    <s v="IND"/>
    <s v="INDIVIDUAL"/>
    <s v="C00401224"/>
    <m/>
    <s v="GLOVER, RENEE"/>
    <s v="N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2-29T00:00:00"/>
    <n v="200"/>
    <n v="101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0:38"/>
    <m/>
    <s v="VN8EQPY1PE2E"/>
    <s v="SA11AI"/>
    <s v="F3X"/>
    <n v="4.01302021213907E+18"/>
    <s v="t"/>
    <s v="* EARMARKED CONTRIBUTION: SEE BELOW"/>
    <n v="2020"/>
    <s v="SA"/>
    <m/>
    <n v="4.02032021214033E+18"/>
    <s v="https://docquery.fec.gov/cgi-bin/fecimg/?202101299413849637"/>
    <s v="Contributions From Individuals/Persons Other Than Political Committees"/>
  </r>
  <r>
    <s v="C00562983"/>
    <x v="7"/>
    <n v="2020"/>
    <s v="YE"/>
    <n v="2.0210129941384899E+17"/>
    <s v="11AI"/>
    <s v="VN8EQPY66K7"/>
    <n v="1493017"/>
    <m/>
    <s v="IND"/>
    <s v="INDIVIDUAL"/>
    <s v="C00401224"/>
    <m/>
    <s v="GLOVER, RENEE"/>
    <s v="N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2-29T00:00:00"/>
    <n v="15"/>
    <n v="101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0:38"/>
    <m/>
    <s v="VN8EQPY66K7E"/>
    <s v="SA11AI"/>
    <s v="F3X"/>
    <n v="4.01302021213907E+18"/>
    <s v="t"/>
    <s v="* EARMARKED CONTRIBUTION: SEE BELOW"/>
    <n v="2020"/>
    <s v="SA"/>
    <m/>
    <n v="4.02032021214033E+18"/>
    <s v="https://docquery.fec.gov/cgi-bin/fecimg/?202101299413849638"/>
    <s v="Contributions From Individuals/Persons Other Than Political Committees"/>
  </r>
  <r>
    <s v="C00042366"/>
    <x v="1"/>
    <n v="2020"/>
    <s v="YE"/>
    <n v="2.0210526944742E+17"/>
    <s v="11AI"/>
    <n v="17356044"/>
    <n v="1518062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2-19T00:00:00"/>
    <n v="200"/>
    <n v="32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5-28T03:39:40"/>
    <m/>
    <s v="17356044E"/>
    <s v="SA11AI"/>
    <s v="F3X"/>
    <n v="4.0527202112973501E+18"/>
    <s v="t"/>
    <s v="* EARMARKED CONTRIBUTION: SEE BELOW"/>
    <n v="2020"/>
    <s v="SA"/>
    <m/>
    <n v="4.0528202112991201E+18"/>
    <s v="https://docquery.fec.gov/cgi-bin/fecimg/?202105269447420156"/>
    <s v="Contributions From Individuals/Persons Other Than Political Committees"/>
  </r>
  <r>
    <s v="C00401224"/>
    <x v="3"/>
    <n v="2020"/>
    <s v="12G"/>
    <n v="2.0201217938838701E+17"/>
    <s v="11AI"/>
    <s v="SA11AI_317348937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10-05T00:00:00"/>
    <n v="25"/>
    <n v="11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33:16"/>
    <m/>
    <m/>
    <m/>
    <s v="F3X"/>
    <n v="4.1219202019782098E+18"/>
    <s v="t"/>
    <s v="EARMARKED FOR CONGRESSIONAL PROGRESSIVE CAUCUS PAC (C00513176)"/>
    <n v="2020"/>
    <s v="SA"/>
    <m/>
    <n v="4.0203202120103798E+18"/>
    <s v="https://docquery.fec.gov/cgi-bin/fecimg/?202012179388387278"/>
    <s v="Contributions From Individuals/Persons Other Than Political Committees"/>
  </r>
  <r>
    <s v="C00401224"/>
    <x v="3"/>
    <n v="2020"/>
    <s v="12G"/>
    <n v="2.0201217938838701E+17"/>
    <s v="11AI"/>
    <s v="SA11AI_317349021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05T00:00:00"/>
    <n v="2.5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33:19"/>
    <m/>
    <m/>
    <m/>
    <s v="F3X"/>
    <n v="4.1219202019782098E+18"/>
    <s v="t"/>
    <s v="CONTRIBUTION TO ACTBLUE"/>
    <n v="2020"/>
    <s v="SA"/>
    <m/>
    <n v="4.0203202120103798E+18"/>
    <s v="https://docquery.fec.gov/cgi-bin/fecimg/?202012179388387279"/>
    <s v="Contributions From Individuals/Persons Other Than Political Committees"/>
  </r>
  <r>
    <s v="C00401224"/>
    <x v="3"/>
    <n v="2020"/>
    <s v="12G"/>
    <n v="2.0201217938838701E+17"/>
    <s v="11AI"/>
    <s v="SA11AI_317344995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10-05T00:00:00"/>
    <n v="35"/>
    <n v="11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33:22"/>
    <m/>
    <m/>
    <m/>
    <s v="F3X"/>
    <n v="4.1219202019782098E+18"/>
    <s v="t"/>
    <s v="EARMARKED FOR CONGRESSIONAL PROGRESSIVE CAUCUS PAC (C00513176)"/>
    <n v="2020"/>
    <s v="SA"/>
    <m/>
    <n v="4.0203202120103798E+18"/>
    <s v="https://docquery.fec.gov/cgi-bin/fecimg/?202012179388387278"/>
    <s v="Contributions From Individuals/Persons Other Than Political Committees"/>
  </r>
  <r>
    <s v="C00401224"/>
    <x v="3"/>
    <n v="2020"/>
    <s v="12G"/>
    <n v="2.0201217938838701E+17"/>
    <s v="11AI"/>
    <s v="SA11AI_317345046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05T00:00:00"/>
    <n v="3.5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33:25"/>
    <m/>
    <m/>
    <m/>
    <s v="F3X"/>
    <n v="4.1219202019782098E+18"/>
    <s v="t"/>
    <s v="CONTRIBUTION TO ACTBLUE"/>
    <n v="2020"/>
    <s v="SA"/>
    <m/>
    <n v="4.0203202120103798E+18"/>
    <s v="https://docquery.fec.gov/cgi-bin/fecimg/?202012179388387280"/>
    <s v="Contributions From Individuals/Persons Other Than Political Committees"/>
  </r>
  <r>
    <s v="C00401224"/>
    <x v="3"/>
    <n v="2020"/>
    <s v="12G"/>
    <n v="2.0201217938838701E+17"/>
    <s v="11AI"/>
    <s v="SA11AI_321299281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10T00:00:00"/>
    <n v="10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35:51"/>
    <m/>
    <m/>
    <m/>
    <s v="F3X"/>
    <n v="4.1219202019782098E+18"/>
    <s v="t"/>
    <s v="CONTRIBUTION TO ACTBLUE"/>
    <n v="2020"/>
    <s v="SA"/>
    <m/>
    <n v="4.02032021201344E+18"/>
    <s v="https://docquery.fec.gov/cgi-bin/fecimg/?202012179388387282"/>
    <s v="Contributions From Individuals/Persons Other Than Political Committees"/>
  </r>
  <r>
    <s v="C00401224"/>
    <x v="3"/>
    <n v="2020"/>
    <s v="12G"/>
    <n v="2.0201217938838701E+17"/>
    <s v="11AI"/>
    <s v="SA11AI_321299233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10-10T00:00:00"/>
    <n v="100"/>
    <n v="17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36:14"/>
    <m/>
    <m/>
    <m/>
    <s v="F3X"/>
    <n v="4.1219202019782098E+18"/>
    <s v="t"/>
    <s v="EARMARKED FOR NATIONAL DEMOCRATIC TRAINING COMMITTEE PAC (C00603084)"/>
    <n v="2020"/>
    <s v="SA"/>
    <m/>
    <n v="4.02032021201344E+18"/>
    <s v="https://docquery.fec.gov/cgi-bin/fecimg/?202012179388387282"/>
    <s v="Contributions From Individuals/Persons Other Than Political Committees"/>
  </r>
  <r>
    <s v="C00401224"/>
    <x v="3"/>
    <n v="2020"/>
    <s v="12G"/>
    <n v="2.0201217938838701E+17"/>
    <s v="11AI"/>
    <s v="SA11AI_322148132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11T00:00:00"/>
    <n v="25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43:23"/>
    <m/>
    <m/>
    <m/>
    <s v="F3X"/>
    <n v="4.1219202019782098E+18"/>
    <s v="t"/>
    <s v="CONTRIBUTION TO ACTBLUE"/>
    <n v="2020"/>
    <s v="SA"/>
    <m/>
    <n v="4.0203202120141901E+18"/>
    <s v="https://docquery.fec.gov/cgi-bin/fecimg/?202012179388387283"/>
    <s v="Contributions From Individuals/Persons Other Than Political Committees"/>
  </r>
  <r>
    <s v="C00744946"/>
    <x v="12"/>
    <n v="2020"/>
    <s v="Q3"/>
    <n v="2.0210114940467299E+17"/>
    <s v="11AI"/>
    <n v="8045377"/>
    <n v="1487959"/>
    <m/>
    <s v="IND"/>
    <s v="INDIVIDUAL"/>
    <m/>
    <m/>
    <s v="GLOVER, RENEE"/>
    <s v="N"/>
    <m/>
    <s v="J"/>
    <s v="RENEE"/>
    <m/>
    <s v="GLOVER"/>
    <m/>
    <s v="553 AUBURN AVE NE"/>
    <m/>
    <s v="ATLANTA"/>
    <s v="GA"/>
    <n v="303121941"/>
    <s v="THE CATALYST GROUP LLC"/>
    <s v="BUSINESS CONSULTANT"/>
    <m/>
    <n v="15"/>
    <s v="CONTRIBUTION"/>
    <m/>
    <m/>
    <m/>
    <d v="2020-07-21T00:00:00"/>
    <n v="250"/>
    <n v="2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4T10:46:02"/>
    <m/>
    <m/>
    <m/>
    <s v="F3X"/>
    <n v="4.0115202120936602E+18"/>
    <s v="t"/>
    <m/>
    <n v="2020"/>
    <s v="SA"/>
    <m/>
    <n v="4.0203202120189798E+18"/>
    <s v="https://docquery.fec.gov/cgi-bin/fecimg/?202101149404673038"/>
    <s v="Contributions From Individuals/Persons Other Than Political Committees"/>
  </r>
  <r>
    <s v="C00401224"/>
    <x v="3"/>
    <n v="2020"/>
    <s v="12G"/>
    <n v="2.0201217938838701E+17"/>
    <s v="11AI"/>
    <s v="SA11AI_325159307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14T00:00:00"/>
    <n v="10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46:12"/>
    <m/>
    <m/>
    <m/>
    <s v="F3X"/>
    <n v="4.1219202019782098E+18"/>
    <s v="t"/>
    <s v="CONTRIBUTION TO ACTBLUE"/>
    <n v="2020"/>
    <s v="SA"/>
    <m/>
    <n v="4.0203202120169298E+18"/>
    <s v="https://docquery.fec.gov/cgi-bin/fecimg/?202012179388387283"/>
    <s v="Contributions From Individuals/Persons Other Than Political Committees"/>
  </r>
  <r>
    <s v="C00401224"/>
    <x v="3"/>
    <n v="2020"/>
    <s v="12G"/>
    <n v="2.0201217938838701E+17"/>
    <s v="11AI"/>
    <s v="SA11AI_317344258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10-05T00:00:00"/>
    <n v="25"/>
    <n v="2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2:49"/>
    <m/>
    <m/>
    <m/>
    <s v="F3X"/>
    <n v="4.1219202019782098E+18"/>
    <s v="t"/>
    <s v="EARMARKED FOR MARCH ON PAC (C00748228)"/>
    <n v="2020"/>
    <s v="SA"/>
    <m/>
    <n v="4.0203202120103997E+18"/>
    <s v="https://docquery.fec.gov/cgi-bin/fecimg/?202012179388387279"/>
    <s v="Contributions From Individuals/Persons Other Than Political Committees"/>
  </r>
  <r>
    <s v="C00401224"/>
    <x v="3"/>
    <n v="2020"/>
    <s v="12G"/>
    <n v="2.0201217938838701E+17"/>
    <s v="11AI"/>
    <s v="SA11AI_317344323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05T00:00:00"/>
    <n v="2.5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2:52"/>
    <m/>
    <m/>
    <m/>
    <s v="F3X"/>
    <n v="4.1219202019782098E+18"/>
    <s v="t"/>
    <s v="CONTRIBUTION TO ACTBLUE"/>
    <n v="2020"/>
    <s v="SA"/>
    <m/>
    <n v="4.0203202120103997E+18"/>
    <s v="https://docquery.fec.gov/cgi-bin/fecimg/?202012179388387278"/>
    <s v="Contributions From Individuals/Persons Other Than Political Committees"/>
  </r>
  <r>
    <s v="C00401224"/>
    <x v="3"/>
    <n v="2020"/>
    <s v="12G"/>
    <n v="2.0201217938838701E+17"/>
    <s v="11AI"/>
    <s v="SA11AI_316797281"/>
    <n v="1483193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0-05T00:00:00"/>
    <n v="5"/>
    <n v="2930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4:57"/>
    <m/>
    <m/>
    <m/>
    <s v="F3X"/>
    <n v="4.1219202019782098E+18"/>
    <s v="t"/>
    <s v="EARMARKED FOR WARNOCK FOR GEORGIA (C00736876)"/>
    <n v="2020"/>
    <s v="SA"/>
    <m/>
    <n v="4.0203202120099799E+18"/>
    <s v="https://docquery.fec.gov/cgi-bin/fecimg/?202012179388387279"/>
    <s v="Contributions From Individuals/Persons Other Than Political Committees"/>
  </r>
  <r>
    <s v="C00401224"/>
    <x v="3"/>
    <n v="2020"/>
    <s v="12G"/>
    <n v="2.0201217938838701E+17"/>
    <s v="11AI"/>
    <s v="SA11AI_325159219"/>
    <n v="1483193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0-14T00:00:00"/>
    <n v="100"/>
    <n v="17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6:10"/>
    <m/>
    <m/>
    <m/>
    <s v="F3X"/>
    <n v="4.1219202019782098E+18"/>
    <s v="t"/>
    <s v="EARMARKED FOR STOP REPUBLICANS (C00633404)"/>
    <n v="2020"/>
    <s v="SA"/>
    <m/>
    <n v="4.02032021201694E+18"/>
    <s v="https://docquery.fec.gov/cgi-bin/fecimg/?202012179388387284"/>
    <s v="Contributions From Individuals/Persons Other Than Political Committees"/>
  </r>
  <r>
    <s v="C00401224"/>
    <x v="3"/>
    <n v="2020"/>
    <s v="12G"/>
    <n v="2.0201217938838701E+17"/>
    <s v="11AI"/>
    <s v="SA11AI_319042875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07T00:00:00"/>
    <n v="10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7:28"/>
    <m/>
    <m/>
    <m/>
    <s v="F3X"/>
    <n v="4.1219202019782098E+18"/>
    <s v="t"/>
    <s v="CONTRIBUTION TO ACTBLUE"/>
    <n v="2020"/>
    <s v="SA"/>
    <m/>
    <n v="4.0203202120117801E+18"/>
    <s v="https://docquery.fec.gov/cgi-bin/fecimg/?202012179388387281"/>
    <s v="Contributions From Individuals/Persons Other Than Political Committees"/>
  </r>
  <r>
    <s v="C00401224"/>
    <x v="3"/>
    <n v="2020"/>
    <s v="12G"/>
    <n v="2.0201217938838701E+17"/>
    <s v="11AI"/>
    <s v="SA11AI_319041324"/>
    <n v="1483193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07T00:00:00"/>
    <n v="10"/>
    <n v="1246.4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7:36"/>
    <m/>
    <m/>
    <m/>
    <s v="F3X"/>
    <n v="4.1219202019782098E+18"/>
    <s v="t"/>
    <s v="CONTRIBUTION TO ACTBLUE"/>
    <n v="2020"/>
    <s v="SA"/>
    <m/>
    <n v="4.0203202120117801E+18"/>
    <s v="https://docquery.fec.gov/cgi-bin/fecimg/?202012179388387281"/>
    <s v="Contributions From Individuals/Persons Other Than Political Committees"/>
  </r>
  <r>
    <s v="C00401224"/>
    <x v="3"/>
    <n v="2020"/>
    <s v="12G"/>
    <n v="2.0201217938838701E+17"/>
    <s v="11AI"/>
    <s v="SA11AI_319042584"/>
    <n v="1483193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0-07T00:00:00"/>
    <n v="100"/>
    <n v="17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7:46"/>
    <m/>
    <m/>
    <m/>
    <s v="F3X"/>
    <n v="4.1219202019782098E+18"/>
    <s v="t"/>
    <s v="EARMARKED FOR STOP REPUBLICANS (C00633404)"/>
    <n v="2020"/>
    <s v="SA"/>
    <m/>
    <n v="4.0203202120117898E+18"/>
    <s v="https://docquery.fec.gov/cgi-bin/fecimg/?202012179388387280"/>
    <s v="Contributions From Individuals/Persons Other Than Political Committees"/>
  </r>
  <r>
    <s v="C00401224"/>
    <x v="3"/>
    <n v="2020"/>
    <s v="12G"/>
    <n v="2.0201217938838701E+17"/>
    <s v="11AI"/>
    <s v="SA11AI_319041048"/>
    <n v="1483193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0-07T00:00:00"/>
    <n v="100"/>
    <n v="17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2-04T10:57:54"/>
    <m/>
    <m/>
    <m/>
    <s v="F3X"/>
    <n v="4.1219202019782098E+18"/>
    <s v="t"/>
    <s v="EARMARKED FOR STOP REPUBLICANS (C00633404)"/>
    <n v="2020"/>
    <s v="SA"/>
    <m/>
    <n v="4.0203202120117898E+18"/>
    <s v="https://docquery.fec.gov/cgi-bin/fecimg/?202012179388387281"/>
    <s v="Contributions From Individuals/Persons Other Than Political Committees"/>
  </r>
  <r>
    <s v="C00718866"/>
    <x v="11"/>
    <n v="2020"/>
    <s v="12R"/>
    <n v="2.0210602944851501E+17"/>
    <s v="11AI"/>
    <n v="5672702"/>
    <n v="1518550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CATALYST GROUP"/>
    <s v="FOUNDER"/>
    <m/>
    <s v="15E"/>
    <s v="EARMARKED CONTRIBUTION"/>
    <m/>
    <m/>
    <m/>
    <d v="2020-12-15T00:00:00"/>
    <n v="50"/>
    <n v="900"/>
    <m/>
    <m/>
    <m/>
    <m/>
    <m/>
    <m/>
    <m/>
    <m/>
    <m/>
    <m/>
    <m/>
    <m/>
    <m/>
    <m/>
    <m/>
    <m/>
    <m/>
    <m/>
    <m/>
    <m/>
    <m/>
    <s v="O2020"/>
    <s v="RUN-OFF GENERAL"/>
    <m/>
    <n v="2020"/>
    <s v="A"/>
    <s v="ADD"/>
    <s v="ITEMIZED RECEIPTS"/>
    <d v="2021-06-11T03:48:55"/>
    <m/>
    <s v="5672702E"/>
    <s v="SA11AI"/>
    <s v="F3"/>
    <n v="4.0604202112998001E+18"/>
    <s v="t"/>
    <s v="* EARMARKED CONTRIBUTION: SEE BELOW"/>
    <n v="2020"/>
    <s v="SA"/>
    <m/>
    <n v="4.06112021130637E+18"/>
    <s v="https://docquery.fec.gov/cgi-bin/fecimg/?202106029448515616"/>
    <s v="Contributions From Individuals/Persons Other Than Political Committees"/>
  </r>
  <r>
    <s v="C00633404"/>
    <x v="9"/>
    <n v="2020"/>
    <s v="30G"/>
    <n v="2.0201203933849299E+17"/>
    <s v="11AI"/>
    <s v="VTR0FXFWV04"/>
    <n v="1479266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1-07T00:00:00"/>
    <n v="50"/>
    <n v="21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31T03:40:38"/>
    <m/>
    <s v="VTR0FXFWV04E"/>
    <s v="SA11AI"/>
    <s v="F3X"/>
    <n v="4.1204202019634299E+18"/>
    <s v="t"/>
    <s v="* EARMARKED CONTRIBUTION: SEE BELOW"/>
    <n v="2020"/>
    <s v="SA"/>
    <m/>
    <n v="4.1231202019879501E+18"/>
    <s v="https://docquery.fec.gov/cgi-bin/fecimg/?202012039338493867"/>
    <s v="Contributions From Individuals/Persons Other Than Political Committees"/>
  </r>
  <r>
    <s v="C00042366"/>
    <x v="1"/>
    <n v="2020"/>
    <s v="M9"/>
    <n v="2.02011239337088E+17"/>
    <s v="11AI"/>
    <n v="15035476"/>
    <n v="1473039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8-12T00:00:00"/>
    <n v="200"/>
    <n v="1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1-25T04:08:04"/>
    <m/>
    <s v="15035476E"/>
    <s v="SA11AI"/>
    <s v="F3X"/>
    <n v="4.1124202019600399E+18"/>
    <s v="t"/>
    <s v="* EARMARKED CONTRIBUTION: SEE BELOW"/>
    <n v="2020"/>
    <s v="SA"/>
    <m/>
    <n v="4.1125202019606502E+18"/>
    <s v="http://docquery.fec.gov/cgi-bin/fecimg/?202011239337088489"/>
    <s v="Contributions From Individuals/Persons Other Than Political Committees"/>
  </r>
  <r>
    <s v="C00042366"/>
    <x v="1"/>
    <n v="2020"/>
    <s v="M9"/>
    <n v="2.02011239337088E+17"/>
    <s v="11AI"/>
    <n v="15276438"/>
    <n v="1473039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8-20T00:00:00"/>
    <n v="200"/>
    <n v="1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1-25T04:08:04"/>
    <m/>
    <s v="15276438E"/>
    <s v="SA11AI"/>
    <s v="F3X"/>
    <n v="4.1124202019600399E+18"/>
    <s v="t"/>
    <s v="* EARMARKED CONTRIBUTION: SEE BELOW"/>
    <n v="2020"/>
    <s v="SA"/>
    <m/>
    <n v="4.1125202019606502E+18"/>
    <s v="http://docquery.fec.gov/cgi-bin/fecimg/?202011239337088490"/>
    <s v="Contributions From Individuals/Persons Other Than Political Committees"/>
  </r>
  <r>
    <s v="C00633404"/>
    <x v="9"/>
    <n v="2020"/>
    <s v="30G"/>
    <n v="2.0201203933851501E+17"/>
    <s v="11AI"/>
    <s v="VTR0FWFPTR4"/>
    <n v="1479266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19T00:00:00"/>
    <n v="100"/>
    <n v="19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31T03:42:57"/>
    <m/>
    <s v="VTR0FWFPTR4E"/>
    <s v="SA11AI"/>
    <s v="F3X"/>
    <n v="4.1204202019634299E+18"/>
    <s v="t"/>
    <s v="* EARMARKED CONTRIBUTION: SEE BELOW"/>
    <n v="2020"/>
    <s v="SA"/>
    <m/>
    <n v="4.1231202019880202E+18"/>
    <s v="https://docquery.fec.gov/cgi-bin/fecimg/?202012039338515233"/>
    <s v="Contributions From Individuals/Persons Other Than Political Committees"/>
  </r>
  <r>
    <s v="C00736876"/>
    <x v="6"/>
    <n v="2020"/>
    <s v="12S"/>
    <n v="2.0201022933535002E+17"/>
    <s v="11AI"/>
    <n v="7694021"/>
    <n v="1463232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0-05T00:00:00"/>
    <n v="5"/>
    <n v="2800"/>
    <m/>
    <m/>
    <m/>
    <m/>
    <m/>
    <m/>
    <m/>
    <m/>
    <m/>
    <m/>
    <m/>
    <m/>
    <m/>
    <m/>
    <m/>
    <m/>
    <m/>
    <m/>
    <m/>
    <m/>
    <m/>
    <s v="O2020"/>
    <s v="SPECIAL GENERAL"/>
    <m/>
    <n v="2020"/>
    <s v="A"/>
    <s v="ADD"/>
    <s v="ITEMIZED RECEIPTS"/>
    <d v="2020-12-09T03:57:11"/>
    <m/>
    <s v="7694021E"/>
    <s v="SA11AI"/>
    <s v="F3"/>
    <n v="4.1023202018827402E+18"/>
    <s v="t"/>
    <s v="* EARMARKED CONTRIBUTION: SEE BELOW"/>
    <n v="2020"/>
    <s v="SA"/>
    <m/>
    <n v="4.1209202019675602E+18"/>
    <s v="http://docquery.fec.gov/cgi-bin/fecimg/?202010229335350073"/>
    <s v="Contributions From Individuals/Persons Other Than Political Committees"/>
  </r>
  <r>
    <s v="C00736876"/>
    <x v="6"/>
    <n v="2020"/>
    <s v="12S"/>
    <n v="2.0201022933535398E+17"/>
    <s v="11AI"/>
    <n v="7963057"/>
    <n v="1463232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0-11T00:00:00"/>
    <n v="236.43"/>
    <n v="286.43"/>
    <m/>
    <m/>
    <m/>
    <m/>
    <m/>
    <m/>
    <m/>
    <m/>
    <m/>
    <m/>
    <m/>
    <m/>
    <m/>
    <m/>
    <m/>
    <m/>
    <m/>
    <m/>
    <m/>
    <m/>
    <m/>
    <s v="O2020"/>
    <s v="RUN-OFF SPECIAL"/>
    <m/>
    <n v="2020"/>
    <s v="A"/>
    <s v="ADD"/>
    <s v="ITEMIZED RECEIPTS"/>
    <d v="2020-12-09T03:57:52"/>
    <m/>
    <s v="7963057E"/>
    <s v="SA11AI"/>
    <s v="F3"/>
    <n v="4.1023202018827402E+18"/>
    <s v="t"/>
    <s v="* EARMARKED CONTRIBUTION: SEE BELOW"/>
    <n v="2020"/>
    <s v="SA"/>
    <m/>
    <n v="4.1209202019675699E+18"/>
    <s v="http://docquery.fec.gov/cgi-bin/fecimg/?202010229335354854"/>
    <s v="Contributions From Individuals/Persons Other Than Political Committees"/>
  </r>
  <r>
    <s v="C00736876"/>
    <x v="6"/>
    <n v="2020"/>
    <s v="12S"/>
    <n v="2.02010229335356E+17"/>
    <s v="11AI"/>
    <n v="7929699"/>
    <n v="1463232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0-11T00:00:00"/>
    <n v="13.57"/>
    <n v="2800"/>
    <m/>
    <m/>
    <m/>
    <m/>
    <m/>
    <m/>
    <m/>
    <m/>
    <m/>
    <m/>
    <m/>
    <m/>
    <m/>
    <m/>
    <m/>
    <m/>
    <m/>
    <m/>
    <m/>
    <m/>
    <m/>
    <s v="O2020"/>
    <s v="SPECIAL GENERAL"/>
    <m/>
    <n v="2020"/>
    <s v="A"/>
    <s v="ADD"/>
    <s v="ITEMIZED RECEIPTS"/>
    <d v="2020-12-09T03:58:05"/>
    <m/>
    <s v="7929699E"/>
    <s v="SA11AI"/>
    <s v="F3"/>
    <n v="4.1023202018827402E+18"/>
    <s v="t"/>
    <s v="* EARMARKED CONTRIBUTION: SEE BELOW"/>
    <n v="2020"/>
    <s v="SA"/>
    <m/>
    <n v="4.1209202019675802E+18"/>
    <s v="http://docquery.fec.gov/cgi-bin/fecimg/?202010229335356619"/>
    <s v="Contributions From Individuals/Persons Other Than Political Committees"/>
  </r>
  <r>
    <s v="C00736876"/>
    <x v="6"/>
    <n v="2020"/>
    <s v="Q3"/>
    <n v="2.0201015929585402E+17"/>
    <s v="11AI"/>
    <n v="5815277"/>
    <n v="145285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CONSULTANT"/>
    <s v="C00401224"/>
    <s v="15E"/>
    <s v="EARMARKED CONTRIBUTION"/>
    <m/>
    <m/>
    <m/>
    <d v="2020-08-05T00:00:00"/>
    <n v="5"/>
    <n v="2781.43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12-11T04:39:28"/>
    <m/>
    <s v="5815277E"/>
    <s v="SA11AI"/>
    <s v="F3"/>
    <n v="4.1016202018585702E+18"/>
    <s v="t"/>
    <s v="* EARMARKED CONTRIBUTION: SEE BELOW"/>
    <n v="2020"/>
    <s v="SA"/>
    <m/>
    <n v="4.1211202019687501E+18"/>
    <s v="http://docquery.fec.gov/cgi-bin/fecimg/?202010159295854388"/>
    <s v="Contributions From Individuals/Persons Other Than Political Committees"/>
  </r>
  <r>
    <s v="C00736876"/>
    <x v="6"/>
    <n v="2020"/>
    <s v="Q3"/>
    <n v="2.02010159295856E+17"/>
    <s v="11AI"/>
    <n v="7494578"/>
    <n v="1452851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CONSULTANT"/>
    <m/>
    <n v="15"/>
    <s v="CONTRIBUTION"/>
    <m/>
    <m/>
    <m/>
    <d v="2020-09-28T00:00:00"/>
    <n v="56.43"/>
    <n v="2781.43"/>
    <m/>
    <m/>
    <m/>
    <m/>
    <m/>
    <m/>
    <m/>
    <m/>
    <m/>
    <m/>
    <m/>
    <m/>
    <m/>
    <m/>
    <m/>
    <m/>
    <m/>
    <m/>
    <m/>
    <m/>
    <m/>
    <s v="O2020"/>
    <s v="SPECIAL GENERAL"/>
    <m/>
    <n v="2020"/>
    <s v="A"/>
    <s v="ADD"/>
    <s v="ITEMIZED RECEIPTS"/>
    <d v="2020-12-11T04:39:33"/>
    <m/>
    <m/>
    <m/>
    <s v="F3"/>
    <n v="4.1016202018585702E+18"/>
    <s v="t"/>
    <m/>
    <n v="2020"/>
    <s v="SA"/>
    <m/>
    <n v="4.1211202019687501E+18"/>
    <s v="http://docquery.fec.gov/cgi-bin/fecimg/?202010159295856425"/>
    <s v="Contributions From Individuals/Persons Other Than Political Committees"/>
  </r>
  <r>
    <s v="C00736876"/>
    <x v="6"/>
    <n v="2020"/>
    <s v="Q3"/>
    <n v="2.0201015929585699E+17"/>
    <s v="11AI"/>
    <n v="5292919"/>
    <n v="145285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CONSULTANT"/>
    <s v="C00401224"/>
    <s v="15E"/>
    <s v="EARMARKED CONTRIBUTION"/>
    <m/>
    <m/>
    <m/>
    <d v="2020-07-05T00:00:00"/>
    <n v="5"/>
    <n v="2781.43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12-11T04:39:36"/>
    <m/>
    <s v="5292919E"/>
    <s v="SA11AI"/>
    <s v="F3"/>
    <n v="4.1016202018585702E+18"/>
    <s v="t"/>
    <s v="* EARMARKED CONTRIBUTION: SEE BELOW"/>
    <n v="2020"/>
    <s v="SA"/>
    <m/>
    <n v="4.1211202019687501E+18"/>
    <s v="http://docquery.fec.gov/cgi-bin/fecimg/?202010159295857116"/>
    <s v="Contributions From Individuals/Persons Other Than Political Committees"/>
  </r>
  <r>
    <s v="C00736876"/>
    <x v="6"/>
    <n v="2020"/>
    <s v="Q3"/>
    <n v="2.0201015929584899E+17"/>
    <s v="11AI"/>
    <n v="6279515"/>
    <n v="1452851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CONSULTANT"/>
    <s v="C00401224"/>
    <s v="15E"/>
    <s v="EARMARKED CONTRIBUTION"/>
    <m/>
    <m/>
    <m/>
    <d v="2020-09-05T00:00:00"/>
    <n v="5"/>
    <n v="2781.43"/>
    <m/>
    <m/>
    <m/>
    <m/>
    <m/>
    <m/>
    <m/>
    <m/>
    <m/>
    <m/>
    <m/>
    <m/>
    <m/>
    <m/>
    <m/>
    <m/>
    <m/>
    <m/>
    <m/>
    <m/>
    <m/>
    <s v="P2020"/>
    <s v="SPECIAL GENERAL"/>
    <s v="PRIMARY"/>
    <n v="2020"/>
    <s v="A"/>
    <s v="ADD"/>
    <s v="ITEMIZED RECEIPTS"/>
    <d v="2020-12-11T04:40:44"/>
    <m/>
    <s v="6279515E"/>
    <s v="SA11AI"/>
    <s v="F3"/>
    <n v="4.1016202018585702E+18"/>
    <s v="t"/>
    <s v="* EARMARKED CONTRIBUTION: SEE BELOW"/>
    <n v="2020"/>
    <s v="SA"/>
    <m/>
    <n v="4.1211202019687301E+18"/>
    <s v="http://docquery.fec.gov/cgi-bin/fecimg/?202010159295849638"/>
    <s v="Contributions From Individuals/Persons Other Than Political Committees"/>
  </r>
  <r>
    <s v="C00736876"/>
    <x v="6"/>
    <n v="2020"/>
    <s v="Q3"/>
    <n v="2.0201015929585699E+17"/>
    <s v="11AI"/>
    <n v="5653369"/>
    <n v="1452851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CONSULTANT"/>
    <m/>
    <n v="15"/>
    <s v="CONTRIBUTION"/>
    <m/>
    <m/>
    <m/>
    <d v="2020-07-22T00:00:00"/>
    <n v="100"/>
    <n v="2781.43"/>
    <m/>
    <m/>
    <m/>
    <m/>
    <m/>
    <m/>
    <m/>
    <m/>
    <m/>
    <m/>
    <m/>
    <m/>
    <m/>
    <m/>
    <m/>
    <m/>
    <m/>
    <m/>
    <m/>
    <m/>
    <m/>
    <s v="O2020"/>
    <s v="SPECIAL GENERAL"/>
    <m/>
    <n v="2020"/>
    <s v="A"/>
    <s v="ADD"/>
    <s v="ITEMIZED RECEIPTS"/>
    <d v="2020-12-11T04:41:41"/>
    <m/>
    <m/>
    <m/>
    <s v="F3"/>
    <n v="4.1016202018585702E+18"/>
    <s v="t"/>
    <m/>
    <n v="2020"/>
    <s v="SA"/>
    <m/>
    <n v="4.1211202019687598E+18"/>
    <s v="http://docquery.fec.gov/cgi-bin/fecimg/?202010159295857980"/>
    <s v="Contributions From Individuals/Persons Other Than Political Committees"/>
  </r>
  <r>
    <s v="C00703975"/>
    <x v="4"/>
    <n v="2020"/>
    <s v="30G"/>
    <n v="2.0201203934194099E+17"/>
    <s v="17A"/>
    <n v="25776011"/>
    <n v="1481223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24T00:00:00"/>
    <n v="20"/>
    <n v="582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11T05:12:12"/>
    <m/>
    <s v="25776011E"/>
    <s v="SA17A"/>
    <s v="F3P"/>
    <n v="4.1205202019644498E+18"/>
    <s v="t"/>
    <s v="* EARMARKED CONTRIBUTION: SEE BELOW"/>
    <n v="2020"/>
    <s v="SA"/>
    <m/>
    <n v="4.12112020197011E+18"/>
    <s v="http://docquery.fec.gov/cgi-bin/fecimg/?202012039341941491"/>
    <s v="Contributions From Individuals/Persons Other Than Political Committees"/>
  </r>
  <r>
    <s v="C00703975"/>
    <x v="4"/>
    <n v="2020"/>
    <s v="30G"/>
    <n v="2.0201203934194099E+17"/>
    <s v="17A"/>
    <n v="25776275"/>
    <n v="1481223"/>
    <m/>
    <s v="IND"/>
    <s v="INDIVIDUAL"/>
    <s v="C00401224"/>
    <m/>
    <s v="GLOVER, RENEE"/>
    <s v="P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24T00:00:00"/>
    <n v="200"/>
    <n v="582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11T05:12:12"/>
    <m/>
    <s v="25776275E"/>
    <s v="SA17A"/>
    <s v="F3P"/>
    <n v="4.1205202019644498E+18"/>
    <s v="t"/>
    <s v="* EARMARKED CONTRIBUTION: SEE BELOW"/>
    <n v="2020"/>
    <s v="SA"/>
    <m/>
    <n v="4.12112020197011E+18"/>
    <s v="http://docquery.fec.gov/cgi-bin/fecimg/?202012039341941491"/>
    <s v="Contributions From Individuals/Persons Other Than Political Committees"/>
  </r>
  <r>
    <s v="C00718866"/>
    <x v="11"/>
    <n v="2020"/>
    <s v="12R"/>
    <n v="2.0210602944871299E+17"/>
    <n v="12"/>
    <n v="5375032"/>
    <n v="1518550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CATALYST GROUP"/>
    <s v="FOUNDER"/>
    <m/>
    <s v="15J"/>
    <s v="MEMO (FILER'S % OF CONTRIBUTION GIVEN TO JOIN"/>
    <m/>
    <s v="X"/>
    <m/>
    <d v="2020-12-01T00:00:00"/>
    <n v="250"/>
    <n v="900"/>
    <m/>
    <m/>
    <m/>
    <m/>
    <m/>
    <m/>
    <m/>
    <m/>
    <m/>
    <m/>
    <m/>
    <m/>
    <m/>
    <m/>
    <m/>
    <m/>
    <m/>
    <m/>
    <m/>
    <m/>
    <m/>
    <s v="P2020"/>
    <s v="RUN-OFF GENERAL"/>
    <s v="PRIMARY"/>
    <n v="2020"/>
    <s v="A"/>
    <s v="ADD"/>
    <s v="ITEMIZED RECEIPTS"/>
    <d v="2021-06-11T03:58:09"/>
    <m/>
    <n v="5367482"/>
    <s v="SA12"/>
    <s v="F3"/>
    <n v="4.0604202112998001E+18"/>
    <s v="t"/>
    <m/>
    <n v="2020"/>
    <s v="SA"/>
    <m/>
    <n v="4.0611202113069599E+18"/>
    <s v="https://docquery.fec.gov/cgi-bin/fecimg/?202106029448713514"/>
    <s v="Transfers from Authorized Committees"/>
  </r>
  <r>
    <s v="C00718866"/>
    <x v="11"/>
    <n v="2020"/>
    <s v="12R"/>
    <n v="2.0210602944860499E+17"/>
    <s v="11AI"/>
    <n v="4924175"/>
    <n v="1518550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CATALYST GROUP"/>
    <s v="FOUNDER"/>
    <m/>
    <s v="15E"/>
    <s v="EARMARKED CONTRIBUTION"/>
    <m/>
    <m/>
    <m/>
    <d v="2020-11-29T00:00:00"/>
    <n v="50"/>
    <n v="900"/>
    <m/>
    <m/>
    <m/>
    <m/>
    <m/>
    <m/>
    <m/>
    <m/>
    <m/>
    <m/>
    <m/>
    <m/>
    <m/>
    <m/>
    <m/>
    <m/>
    <m/>
    <m/>
    <m/>
    <m/>
    <m/>
    <s v="O2020"/>
    <s v="RUN-OFF GENERAL"/>
    <m/>
    <n v="2020"/>
    <s v="A"/>
    <s v="ADD"/>
    <s v="ITEMIZED RECEIPTS"/>
    <d v="2021-06-11T03:58:50"/>
    <m/>
    <s v="4924175E"/>
    <s v="SA11AI"/>
    <s v="F3"/>
    <n v="4.0604202112998001E+18"/>
    <s v="t"/>
    <s v="* EARMARKED CONTRIBUTION: SEE BELOW"/>
    <n v="2020"/>
    <s v="SA"/>
    <m/>
    <n v="4.0611202113066399E+18"/>
    <s v="https://docquery.fec.gov/cgi-bin/fecimg/?202106029448605525"/>
    <s v="Contributions From Individuals/Persons Other Than Political Committees"/>
  </r>
  <r>
    <s v="C00633404"/>
    <x v="9"/>
    <n v="2020"/>
    <s v="30G"/>
    <n v="2.0201203933842301E+17"/>
    <s v="11AI"/>
    <s v="VTR0FX7KFJ1"/>
    <n v="1479266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1-01T00:00:00"/>
    <n v="49"/>
    <n v="19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31T03:47:04"/>
    <m/>
    <s v="VTR0FX7KFJ1E"/>
    <s v="SA11AI"/>
    <s v="F3X"/>
    <n v="4.1204202019634299E+18"/>
    <s v="t"/>
    <s v="* EARMARKED CONTRIBUTION: SEE BELOW"/>
    <n v="2020"/>
    <s v="SA"/>
    <m/>
    <n v="4.1231202019877402E+18"/>
    <s v="https://docquery.fec.gov/cgi-bin/fecimg/?202012039338423549"/>
    <s v="Contributions From Individuals/Persons Other Than Political Committees"/>
  </r>
  <r>
    <s v="C00633404"/>
    <x v="9"/>
    <n v="2020"/>
    <s v="30G"/>
    <n v="2.0201203933843002E+17"/>
    <s v="11AI"/>
    <s v="VTR0FXA27T1"/>
    <n v="1479266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1-02T00:00:00"/>
    <n v="50"/>
    <n v="214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31T03:47:52"/>
    <m/>
    <s v="VTR0FXA27T1E"/>
    <s v="SA11AI"/>
    <s v="F3X"/>
    <n v="4.1204202019634299E+18"/>
    <s v="t"/>
    <s v="* EARMARKED CONTRIBUTION: SEE BELOW"/>
    <n v="2020"/>
    <s v="SA"/>
    <m/>
    <n v="4.1231202019877601E+18"/>
    <s v="https://docquery.fec.gov/cgi-bin/fecimg/?202012039338430910"/>
    <s v="Contributions From Individuals/Persons Other Than Political Committees"/>
  </r>
  <r>
    <s v="C00633404"/>
    <x v="9"/>
    <n v="2020"/>
    <s v="30G"/>
    <n v="2.0201203933844099E+17"/>
    <s v="11AI"/>
    <s v="VTR0FXA1R62"/>
    <n v="1479266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1-02T00:00:00"/>
    <n v="100"/>
    <n v="214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31T03:48:57"/>
    <m/>
    <s v="VTR0FXA1R62E"/>
    <s v="SA11AI"/>
    <s v="F3X"/>
    <n v="4.1204202019634299E+18"/>
    <s v="t"/>
    <s v="* EARMARKED CONTRIBUTION: SEE BELOW"/>
    <n v="2020"/>
    <s v="SA"/>
    <m/>
    <n v="4.1231202019878001E+18"/>
    <s v="https://docquery.fec.gov/cgi-bin/fecimg/?202012039338441645"/>
    <s v="Contributions From Individuals/Persons Other Than Political Committees"/>
  </r>
  <r>
    <s v="C00633404"/>
    <x v="9"/>
    <n v="2020"/>
    <s v="30G"/>
    <n v="2.0201203933847101E+17"/>
    <s v="11AI"/>
    <s v="VTR0FX6GJ83"/>
    <n v="1479266"/>
    <m/>
    <s v="IND"/>
    <s v="INDIVIDUAL"/>
    <s v="C00401224"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0-31T00:00:00"/>
    <n v="50"/>
    <n v="19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31T03:51:57"/>
    <m/>
    <s v="VTR0FX6GJ83E"/>
    <s v="SA11AI"/>
    <s v="F3X"/>
    <n v="4.1204202019634299E+18"/>
    <s v="t"/>
    <s v="* EARMARKED CONTRIBUTION: SEE BELOW"/>
    <n v="2020"/>
    <s v="SA"/>
    <m/>
    <n v="4.1231202019878902E+18"/>
    <s v="https://docquery.fec.gov/cgi-bin/fecimg/?202012039338471911"/>
    <s v="Contributions From Individuals/Persons Other Than Political Committees"/>
  </r>
  <r>
    <s v="C00401224"/>
    <x v="3"/>
    <n v="2020"/>
    <s v="30G"/>
    <n v="2.0201204935455299E+17"/>
    <s v="11AI"/>
    <s v="SA11AI_346260358"/>
    <n v="1481637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1-05T00:00:00"/>
    <n v="5"/>
    <n v="363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11:41"/>
    <m/>
    <m/>
    <m/>
    <s v="F3X"/>
    <n v="4.1205202019644498E+18"/>
    <s v="t"/>
    <s v="EARMARKED FOR WARNOCK FOR GEORGIA (C00736876)"/>
    <n v="2020"/>
    <s v="SA"/>
    <m/>
    <n v="4.0104202120058998E+18"/>
    <s v="https://docquery.fec.gov/cgi-bin/fecimg/?202012049354553937"/>
    <s v="Contributions From Individuals/Persons Other Than Political Committees"/>
  </r>
  <r>
    <s v="C00401224"/>
    <x v="3"/>
    <n v="2020"/>
    <s v="30G"/>
    <n v="2.0201204935455299E+17"/>
    <s v="11AI"/>
    <s v="SA11AI_353885081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20T00:00:00"/>
    <n v="2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14:58"/>
    <m/>
    <m/>
    <m/>
    <s v="F3X"/>
    <n v="4.1205202019644498E+18"/>
    <s v="t"/>
    <s v="CONTRIBUTION TO ACTBLUE"/>
    <n v="2020"/>
    <s v="SA"/>
    <m/>
    <n v="4.0104202120117801E+18"/>
    <s v="https://docquery.fec.gov/cgi-bin/fecimg/?202012049354553945"/>
    <s v="Contributions From Individuals/Persons Other Than Political Committees"/>
  </r>
  <r>
    <s v="C00401224"/>
    <x v="3"/>
    <n v="2020"/>
    <s v="30G"/>
    <n v="2.0201204935455299E+17"/>
    <s v="11AI"/>
    <s v="SA11AI_353881308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20T00:00:00"/>
    <n v="2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15:22"/>
    <m/>
    <m/>
    <m/>
    <s v="F3X"/>
    <n v="4.1205202019644498E+18"/>
    <s v="t"/>
    <s v="CONTRIBUTION TO ACTBLUE"/>
    <n v="2020"/>
    <s v="SA"/>
    <m/>
    <n v="4.0104202120117898E+18"/>
    <s v="https://docquery.fec.gov/cgi-bin/fecimg/?202012049354553944"/>
    <s v="Contributions From Individuals/Persons Other Than Political Committees"/>
  </r>
  <r>
    <s v="C00401224"/>
    <x v="3"/>
    <n v="2020"/>
    <s v="30G"/>
    <n v="2.0201204935455299E+17"/>
    <s v="11AI"/>
    <s v="SA11AI_329673112"/>
    <n v="1481637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0-19T00:00:00"/>
    <n v="100"/>
    <n v="219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24:28"/>
    <m/>
    <m/>
    <m/>
    <s v="F3X"/>
    <n v="4.1205202019644498E+18"/>
    <s v="t"/>
    <s v="EARMARKED FOR STOP REPUBLICANS (C00633404)"/>
    <n v="2020"/>
    <s v="SA"/>
    <m/>
    <n v="4.0104202119922002E+18"/>
    <s v="https://docquery.fec.gov/cgi-bin/fecimg/?202012049354553928"/>
    <s v="Contributions From Individuals/Persons Other Than Political Committees"/>
  </r>
  <r>
    <s v="C00401224"/>
    <x v="3"/>
    <n v="2020"/>
    <s v="30G"/>
    <n v="2.0201204935455299E+17"/>
    <s v="11AI"/>
    <s v="SA11AI_329673183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19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24:29"/>
    <m/>
    <m/>
    <m/>
    <s v="F3X"/>
    <n v="4.1205202019644498E+18"/>
    <s v="t"/>
    <s v="CONTRIBUTION TO ACTBLUE"/>
    <n v="2020"/>
    <s v="SA"/>
    <m/>
    <n v="4.0104202119922099E+18"/>
    <s v="https://docquery.fec.gov/cgi-bin/fecimg/?202012049354553927"/>
    <s v="Contributions From Individuals/Persons Other Than Political Committees"/>
  </r>
  <r>
    <s v="C00401224"/>
    <x v="3"/>
    <n v="2020"/>
    <s v="30G"/>
    <n v="2.0201204935455299E+17"/>
    <s v="11AI"/>
    <s v="SA11AI_334317078"/>
    <n v="1481637"/>
    <m/>
    <s v="IND"/>
    <s v="INDIVIDUAL"/>
    <s v="C0070397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03975"/>
    <s v="24T"/>
    <s v="EARMARKED INTERMEDIARY TREASURY OUT"/>
    <s v="EARMARK"/>
    <m/>
    <m/>
    <d v="2020-10-24T00:00:00"/>
    <n v="20"/>
    <n v="5854"/>
    <s v="P80000722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27:30"/>
    <m/>
    <m/>
    <m/>
    <s v="F3X"/>
    <n v="4.1205202019644498E+18"/>
    <s v="t"/>
    <s v="EARMARKED FOR BIDEN FOR PRESIDENT (C00703975)"/>
    <n v="2020"/>
    <s v="SA"/>
    <m/>
    <n v="4.0104202119959199E+18"/>
    <s v="https://docquery.fec.gov/cgi-bin/fecimg/?202012049354553930"/>
    <s v="Contributions From Individuals/Persons Other Than Political Committees"/>
  </r>
  <r>
    <s v="C00401224"/>
    <x v="3"/>
    <n v="2020"/>
    <s v="30G"/>
    <n v="2.0201204935455299E+17"/>
    <s v="11AI"/>
    <s v="SA11AI_334317145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24T00:00:00"/>
    <n v="1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27:38"/>
    <m/>
    <m/>
    <m/>
    <s v="F3X"/>
    <n v="4.1205202019644498E+18"/>
    <s v="t"/>
    <s v="CONTRIBUTION TO ACTBLUE"/>
    <n v="2020"/>
    <s v="SA"/>
    <m/>
    <n v="4.0104202119959301E+18"/>
    <s v="https://docquery.fec.gov/cgi-bin/fecimg/?202012049354553930"/>
    <s v="Contributions From Individuals/Persons Other Than Political Committees"/>
  </r>
  <r>
    <s v="C00401224"/>
    <x v="3"/>
    <n v="2020"/>
    <s v="30G"/>
    <n v="2.0201204935455299E+17"/>
    <s v="11AI"/>
    <s v="SA11AI_334316338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24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27:45"/>
    <m/>
    <m/>
    <m/>
    <s v="F3X"/>
    <n v="4.1205202019644498E+18"/>
    <s v="t"/>
    <s v="CONTRIBUTION TO ACTBLUE"/>
    <n v="2020"/>
    <s v="SA"/>
    <m/>
    <n v="4.0104202119959301E+18"/>
    <s v="https://docquery.fec.gov/cgi-bin/fecimg/?202012049354553930"/>
    <s v="Contributions From Individuals/Persons Other Than Political Committees"/>
  </r>
  <r>
    <s v="C00401224"/>
    <x v="3"/>
    <n v="2020"/>
    <s v="30G"/>
    <n v="2.0201204935455299E+17"/>
    <s v="11AI"/>
    <s v="SA11AI_348393661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11-08T00:00:00"/>
    <n v="50"/>
    <n v="7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28:48"/>
    <m/>
    <m/>
    <m/>
    <s v="F3X"/>
    <n v="4.1205202019644498E+18"/>
    <s v="t"/>
    <s v="EARMARKED FOR MARCH ON PAC (C00748228)"/>
    <n v="2020"/>
    <s v="SA"/>
    <m/>
    <n v="4.0104202120077599E+18"/>
    <s v="https://docquery.fec.gov/cgi-bin/fecimg/?202012049354553940"/>
    <s v="Contributions From Individuals/Persons Other Than Political Committees"/>
  </r>
  <r>
    <s v="C00401224"/>
    <x v="3"/>
    <n v="2020"/>
    <s v="30G"/>
    <n v="2.0201204935455299E+17"/>
    <s v="11AI"/>
    <s v="SA11AI_348393690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08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28:52"/>
    <m/>
    <m/>
    <m/>
    <s v="F3X"/>
    <n v="4.1205202019644498E+18"/>
    <s v="t"/>
    <s v="CONTRIBUTION TO ACTBLUE"/>
    <n v="2020"/>
    <s v="SA"/>
    <m/>
    <n v="4.0104202120077599E+18"/>
    <s v="https://docquery.fec.gov/cgi-bin/fecimg/?202012049354553939"/>
    <s v="Contributions From Individuals/Persons Other Than Political Committees"/>
  </r>
  <r>
    <s v="C00401224"/>
    <x v="3"/>
    <n v="2020"/>
    <s v="30G"/>
    <n v="2.0201204935455299E+17"/>
    <s v="11AI"/>
    <s v="SA11AI_352021049"/>
    <n v="1481637"/>
    <m/>
    <s v="IND"/>
    <s v="INDIVIDUAL"/>
    <s v="C007188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18866"/>
    <s v="24T"/>
    <s v="EARMARKED INTERMEDIARY TREASURY OUT"/>
    <s v="EARMARK"/>
    <m/>
    <m/>
    <d v="2020-11-15T00:00:00"/>
    <n v="50"/>
    <n v="550"/>
    <s v="S8GA00180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30:14"/>
    <m/>
    <m/>
    <m/>
    <s v="F3X"/>
    <n v="4.1205202019644498E+18"/>
    <s v="t"/>
    <s v="EARMARKED FOR JON OSSOFF FOR SENATE (C00718866)"/>
    <n v="2020"/>
    <s v="SA"/>
    <m/>
    <n v="4.01042021201043E+18"/>
    <s v="https://docquery.fec.gov/cgi-bin/fecimg/?202012049354553943"/>
    <s v="Contributions From Individuals/Persons Other Than Political Committees"/>
  </r>
  <r>
    <s v="C00401224"/>
    <x v="3"/>
    <n v="2020"/>
    <s v="30G"/>
    <n v="2.0201204935455299E+17"/>
    <s v="11AI"/>
    <s v="SA11AI_352021050"/>
    <n v="1481637"/>
    <m/>
    <s v="IND"/>
    <s v="INDIVIDUAL"/>
    <s v="C0060308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03084"/>
    <s v="24T"/>
    <s v="EARMARKED INTERMEDIARY TREASURY OUT"/>
    <s v="EARMARK"/>
    <m/>
    <m/>
    <d v="2020-11-15T00:00:00"/>
    <n v="50"/>
    <n v="22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30:14"/>
    <m/>
    <m/>
    <m/>
    <s v="F3X"/>
    <n v="4.1205202019644498E+18"/>
    <s v="t"/>
    <s v="EARMARKED FOR NATIONAL DEMOCRATIC TRAINING COMMITTEE PAC (C00603084)"/>
    <n v="2020"/>
    <s v="SA"/>
    <m/>
    <n v="4.01042021201043E+18"/>
    <s v="https://docquery.fec.gov/cgi-bin/fecimg/?202012049354553942"/>
    <s v="Contributions From Individuals/Persons Other Than Political Committees"/>
  </r>
  <r>
    <s v="C00401224"/>
    <x v="3"/>
    <n v="2020"/>
    <s v="30G"/>
    <n v="2.0201204935455299E+17"/>
    <s v="11AI"/>
    <s v="SA11AI_352021077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15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30:19"/>
    <m/>
    <m/>
    <m/>
    <s v="F3X"/>
    <n v="4.1205202019644498E+18"/>
    <s v="t"/>
    <s v="CONTRIBUTION TO ACTBLUE"/>
    <n v="2020"/>
    <s v="SA"/>
    <m/>
    <n v="4.01042021201043E+18"/>
    <s v="https://docquery.fec.gov/cgi-bin/fecimg/?202012049354553943"/>
    <s v="Contributions From Individuals/Persons Other Than Political Committees"/>
  </r>
  <r>
    <s v="C00401224"/>
    <x v="3"/>
    <n v="2020"/>
    <s v="30G"/>
    <n v="2.0201204935455299E+17"/>
    <s v="11AI"/>
    <s v="SA11AI_351914236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15T00:00:00"/>
    <n v="2.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33:50"/>
    <m/>
    <m/>
    <m/>
    <s v="F3X"/>
    <n v="4.1205202019644498E+18"/>
    <s v="t"/>
    <s v="CONTRIBUTION TO ACTBLUE"/>
    <n v="2020"/>
    <s v="SA"/>
    <m/>
    <n v="4.01042021201039E+18"/>
    <s v="https://docquery.fec.gov/cgi-bin/fecimg/?202012049354553942"/>
    <s v="Contributions From Individuals/Persons Other Than Political Committees"/>
  </r>
  <r>
    <s v="C00401224"/>
    <x v="3"/>
    <n v="2020"/>
    <s v="30G"/>
    <n v="2.0201204935455299E+17"/>
    <s v="11AI"/>
    <s v="SA11AI_351912662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15T00:00:00"/>
    <n v="2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3:34:19"/>
    <m/>
    <m/>
    <m/>
    <s v="F3X"/>
    <n v="4.1205202019644498E+18"/>
    <s v="t"/>
    <s v="CONTRIBUTION TO ACTBLUE"/>
    <n v="2020"/>
    <s v="SA"/>
    <m/>
    <n v="4.0104202120103997E+18"/>
    <s v="https://docquery.fec.gov/cgi-bin/fecimg/?202012049354553941"/>
    <s v="Contributions From Individuals/Persons Other Than Political Committees"/>
  </r>
  <r>
    <s v="C00672295"/>
    <x v="5"/>
    <n v="2020"/>
    <s v="Q3"/>
    <n v="2.0201015929513101E+17"/>
    <s v="11AI"/>
    <s v="VVBPDV7KW51"/>
    <n v="1451906"/>
    <m/>
    <s v="IND"/>
    <s v="INDIVIDUAL"/>
    <s v="C00401224"/>
    <m/>
    <s v="GLOVER, RENEE"/>
    <s v="H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9-14T00:00:00"/>
    <n v="250"/>
    <n v="115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1-20T07:23:39"/>
    <m/>
    <s v="VVBPDV7KW51E"/>
    <s v="SA11AI"/>
    <s v="F3"/>
    <n v="4.1016202018576502E+18"/>
    <s v="t"/>
    <s v="* EARMARKED CONTRIBUTION: SEE BELOW"/>
    <n v="2020"/>
    <s v="SA"/>
    <m/>
    <n v="4.1119202019584701E+18"/>
    <s v="http://docquery.fec.gov/cgi-bin/fecimg/?202010159295131360"/>
    <s v="Contributions From Individuals/Persons Other Than Political Committees"/>
  </r>
  <r>
    <s v="C00672295"/>
    <x v="5"/>
    <n v="2020"/>
    <s v="Q3"/>
    <n v="2.0201015929513101E+17"/>
    <s v="11AI"/>
    <s v="VVBPDTZZNB0"/>
    <n v="1451906"/>
    <m/>
    <s v="IND"/>
    <s v="INDIVIDUAL"/>
    <s v="C00401224"/>
    <m/>
    <s v="GLOVER, RENEE"/>
    <s v="H"/>
    <m/>
    <s v="P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09-08T00:00:00"/>
    <n v="250"/>
    <n v="9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1-20T07:24:18"/>
    <m/>
    <s v="VVBPDTZZNB0E"/>
    <s v="SA11AI"/>
    <s v="F3"/>
    <n v="4.1016202018576502E+18"/>
    <s v="t"/>
    <s v="* EARMARKED CONTRIBUTION: SEE BELOW"/>
    <n v="2020"/>
    <s v="SA"/>
    <m/>
    <n v="4.1119202019584701E+18"/>
    <s v="http://docquery.fec.gov/cgi-bin/fecimg/?202010159295131096"/>
    <s v="Contributions From Individuals/Persons Other Than Political Committees"/>
  </r>
  <r>
    <s v="C00401224"/>
    <x v="3"/>
    <n v="2020"/>
    <s v="30G"/>
    <n v="2.0201204935455299E+17"/>
    <s v="11AI"/>
    <s v="SA11AI_351914194"/>
    <n v="1481637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1-15T00:00:00"/>
    <n v="25"/>
    <n v="363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14:01"/>
    <m/>
    <m/>
    <m/>
    <s v="F3X"/>
    <n v="4.1205202019644498E+18"/>
    <s v="t"/>
    <s v="EARMARKED FOR WARNOCK FOR GEORGIA (C00736876)"/>
    <n v="2020"/>
    <s v="SA"/>
    <m/>
    <n v="4.01042021201039E+18"/>
    <s v="https://docquery.fec.gov/cgi-bin/fecimg/?202012049354553943"/>
    <s v="Contributions From Individuals/Persons Other Than Political Committees"/>
  </r>
  <r>
    <s v="C00401224"/>
    <x v="3"/>
    <n v="2020"/>
    <s v="30G"/>
    <n v="2.0201204935455299E+17"/>
    <s v="11AI"/>
    <s v="SA11AI_341207579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30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20:18"/>
    <m/>
    <m/>
    <m/>
    <s v="F3X"/>
    <n v="4.1205202019644498E+18"/>
    <s v="t"/>
    <s v="CONTRIBUTION TO ACTBLUE"/>
    <n v="2020"/>
    <s v="SA"/>
    <m/>
    <n v="4.0104202120016701E+18"/>
    <s v="https://docquery.fec.gov/cgi-bin/fecimg/?202012049354553933"/>
    <s v="Contributions From Individuals/Persons Other Than Political Committees"/>
  </r>
  <r>
    <s v="C00401224"/>
    <x v="3"/>
    <n v="2020"/>
    <s v="30G"/>
    <n v="2.0201204935455299E+17"/>
    <s v="11AI"/>
    <s v="SA11AI_341208497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30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20:20"/>
    <m/>
    <m/>
    <m/>
    <s v="F3X"/>
    <n v="4.1205202019644498E+18"/>
    <s v="t"/>
    <s v="CONTRIBUTION TO ACTBLUE"/>
    <n v="2020"/>
    <s v="SA"/>
    <m/>
    <n v="4.0104202120016701E+18"/>
    <s v="https://docquery.fec.gov/cgi-bin/fecimg/?202012049354553932"/>
    <s v="Contributions From Individuals/Persons Other Than Political Committees"/>
  </r>
  <r>
    <s v="C00401224"/>
    <x v="3"/>
    <n v="2020"/>
    <s v="30G"/>
    <n v="2.0201204935455299E+17"/>
    <s v="11AI"/>
    <s v="SA11AI_326569638"/>
    <n v="1481637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0-15T00:00:00"/>
    <n v="100"/>
    <n v="219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32:45"/>
    <m/>
    <m/>
    <m/>
    <s v="F3X"/>
    <n v="4.1205202019644498E+18"/>
    <s v="t"/>
    <s v="EARMARKED FOR STOP REPUBLICANS (C00633404)"/>
    <n v="2020"/>
    <s v="SA"/>
    <m/>
    <n v="4.01042021198978E+18"/>
    <s v="https://docquery.fec.gov/cgi-bin/fecimg/?202012049354553926"/>
    <s v="Contributions From Individuals/Persons Other Than Political Committees"/>
  </r>
  <r>
    <s v="C00401224"/>
    <x v="3"/>
    <n v="2020"/>
    <s v="30G"/>
    <n v="2.0201204935455299E+17"/>
    <s v="11AI"/>
    <s v="SA11AI_326569753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15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32:59"/>
    <m/>
    <m/>
    <m/>
    <s v="F3X"/>
    <n v="4.1205202019644498E+18"/>
    <s v="t"/>
    <s v="CONTRIBUTION TO ACTBLUE"/>
    <n v="2020"/>
    <s v="SA"/>
    <m/>
    <n v="4.01042021198978E+18"/>
    <s v="https://docquery.fec.gov/cgi-bin/fecimg/?202012049354553927"/>
    <s v="Contributions From Individuals/Persons Other Than Political Committees"/>
  </r>
  <r>
    <s v="C00401224"/>
    <x v="3"/>
    <n v="2020"/>
    <s v="30G"/>
    <n v="2.0201204935455299E+17"/>
    <s v="11AI"/>
    <s v="SA11AI_343636062"/>
    <n v="1481637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1-01T00:00:00"/>
    <n v="49"/>
    <n v="219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40:37"/>
    <m/>
    <m/>
    <m/>
    <s v="F3X"/>
    <n v="4.1205202019644498E+18"/>
    <s v="t"/>
    <s v="EARMARKED FOR STOP REPUBLICANS (C00633404)"/>
    <n v="2020"/>
    <s v="SA"/>
    <m/>
    <n v="4.01042021200371E+18"/>
    <s v="https://docquery.fec.gov/cgi-bin/fecimg/?202012049354553935"/>
    <s v="Contributions From Individuals/Persons Other Than Political Committees"/>
  </r>
  <r>
    <s v="C00401224"/>
    <x v="3"/>
    <n v="2020"/>
    <s v="30G"/>
    <n v="2.0201204935455299E+17"/>
    <s v="11AI"/>
    <s v="SA11AI_343636064"/>
    <n v="1481637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1-01T00:00:00"/>
    <n v="49"/>
    <n v="363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40:37"/>
    <m/>
    <m/>
    <m/>
    <s v="F3X"/>
    <n v="4.1205202019644498E+18"/>
    <s v="t"/>
    <s v="EARMARKED FOR WARNOCK FOR GEORGIA (C00736876)"/>
    <n v="2020"/>
    <s v="SA"/>
    <m/>
    <n v="4.01042021200371E+18"/>
    <s v="https://docquery.fec.gov/cgi-bin/fecimg/?202012049354553935"/>
    <s v="Contributions From Individuals/Persons Other Than Political Committees"/>
  </r>
  <r>
    <s v="C00401224"/>
    <x v="3"/>
    <n v="2020"/>
    <s v="30G"/>
    <n v="2.0201204935455299E+17"/>
    <s v="11AI"/>
    <s v="SA11AI_343636134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01T00:00:00"/>
    <n v="9.8000000000000007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40:47"/>
    <m/>
    <m/>
    <m/>
    <s v="F3X"/>
    <n v="4.1205202019644498E+18"/>
    <s v="t"/>
    <s v="CONTRIBUTION TO ACTBLUE"/>
    <n v="2020"/>
    <s v="SA"/>
    <m/>
    <n v="4.01042021200371E+18"/>
    <s v="https://docquery.fec.gov/cgi-bin/fecimg/?202012049354553935"/>
    <s v="Contributions From Individuals/Persons Other Than Political Committees"/>
  </r>
  <r>
    <s v="C00401224"/>
    <x v="3"/>
    <n v="2020"/>
    <s v="30G"/>
    <n v="2.0201204935455299E+17"/>
    <s v="11AI"/>
    <s v="SA11AI_342790368"/>
    <n v="1481637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10-31T00:00:00"/>
    <n v="100"/>
    <n v="177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41:15"/>
    <m/>
    <m/>
    <m/>
    <s v="F3X"/>
    <n v="4.1205202019644498E+18"/>
    <s v="t"/>
    <s v="EARMARKED FOR DCCC (C00000935)"/>
    <n v="2020"/>
    <s v="SA"/>
    <m/>
    <n v="4.0104202120030198E+18"/>
    <s v="https://docquery.fec.gov/cgi-bin/fecimg/?202012049354553934"/>
    <s v="Contributions From Individuals/Persons Other Than Political Committees"/>
  </r>
  <r>
    <s v="C00401224"/>
    <x v="3"/>
    <n v="2020"/>
    <s v="30G"/>
    <n v="2.0201204935455299E+17"/>
    <s v="11AI"/>
    <s v="SA11AI_342790457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31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41:24"/>
    <m/>
    <m/>
    <m/>
    <s v="F3X"/>
    <n v="4.1205202019644498E+18"/>
    <s v="t"/>
    <s v="CONTRIBUTION TO ACTBLUE"/>
    <n v="2020"/>
    <s v="SA"/>
    <m/>
    <n v="4.0104202120030198E+18"/>
    <s v="https://docquery.fec.gov/cgi-bin/fecimg/?202012049354553934"/>
    <s v="Contributions From Individuals/Persons Other Than Political Committees"/>
  </r>
  <r>
    <s v="C00401224"/>
    <x v="3"/>
    <n v="2020"/>
    <s v="30G"/>
    <n v="2.0201204935455299E+17"/>
    <s v="11AI"/>
    <s v="SA11AI_342788777"/>
    <n v="1481637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0-31T00:00:00"/>
    <n v="50"/>
    <n v="219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41:29"/>
    <m/>
    <m/>
    <m/>
    <s v="F3X"/>
    <n v="4.1205202019644498E+18"/>
    <s v="t"/>
    <s v="EARMARKED FOR STOP REPUBLICANS (C00633404)"/>
    <n v="2020"/>
    <s v="SA"/>
    <m/>
    <n v="4.0104202120030198E+18"/>
    <s v="https://docquery.fec.gov/cgi-bin/fecimg/?202012049354553933"/>
    <s v="Contributions From Individuals/Persons Other Than Political Committees"/>
  </r>
  <r>
    <s v="C00401224"/>
    <x v="3"/>
    <n v="2020"/>
    <s v="30G"/>
    <n v="2.0201204935455299E+17"/>
    <s v="11AI"/>
    <s v="SA11AI_342788895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31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41:47"/>
    <m/>
    <m/>
    <m/>
    <s v="F3X"/>
    <n v="4.1205202019644498E+18"/>
    <s v="t"/>
    <s v="CONTRIBUTION TO ACTBLUE"/>
    <n v="2020"/>
    <s v="SA"/>
    <m/>
    <n v="4.01042021200303E+18"/>
    <s v="https://docquery.fec.gov/cgi-bin/fecimg/?202012049354553933"/>
    <s v="Contributions From Individuals/Persons Other Than Political Committees"/>
  </r>
  <r>
    <s v="C00401224"/>
    <x v="3"/>
    <n v="2020"/>
    <s v="30G"/>
    <n v="2.0201204935455299E+17"/>
    <s v="11AI"/>
    <s v="SA11AI_345064519"/>
    <n v="1481637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1-02T00:00:00"/>
    <n v="50"/>
    <n v="219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55:14"/>
    <m/>
    <m/>
    <m/>
    <s v="F3X"/>
    <n v="4.1205202019644498E+18"/>
    <s v="t"/>
    <s v="EARMARKED FOR STOP REPUBLICANS (C00633404)"/>
    <n v="2020"/>
    <s v="SA"/>
    <m/>
    <n v="4.0104202120048502E+18"/>
    <s v="https://docquery.fec.gov/cgi-bin/fecimg/?202012049354553936"/>
    <s v="Contributions From Individuals/Persons Other Than Political Committees"/>
  </r>
  <r>
    <s v="C00401224"/>
    <x v="3"/>
    <n v="2020"/>
    <s v="30G"/>
    <n v="2.0201204935455299E+17"/>
    <s v="11AI"/>
    <s v="SA11AI_332523399"/>
    <n v="1481637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10-22T00:00:00"/>
    <n v="100"/>
    <n v="177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55:35"/>
    <m/>
    <m/>
    <m/>
    <s v="F3X"/>
    <n v="4.1205202019644498E+18"/>
    <s v="t"/>
    <s v="EARMARKED FOR DCCC (C00000935)"/>
    <n v="2020"/>
    <s v="SA"/>
    <m/>
    <n v="4.0104202119945001E+18"/>
    <s v="https://docquery.fec.gov/cgi-bin/fecimg/?202012049354553929"/>
    <s v="Contributions From Individuals/Persons Other Than Political Committees"/>
  </r>
  <r>
    <s v="C00401224"/>
    <x v="3"/>
    <n v="2020"/>
    <s v="30G"/>
    <n v="2.0201204935455299E+17"/>
    <s v="11AI"/>
    <s v="SA11AI_332523458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22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4:55:39"/>
    <m/>
    <m/>
    <m/>
    <s v="F3X"/>
    <n v="4.1205202019644498E+18"/>
    <s v="t"/>
    <s v="CONTRIBUTION TO ACTBLUE"/>
    <n v="2020"/>
    <s v="SA"/>
    <m/>
    <n v="4.0104202119945001E+18"/>
    <s v="https://docquery.fec.gov/cgi-bin/fecimg/?202012049354553929"/>
    <s v="Contributions From Individuals/Persons Other Than Political Committees"/>
  </r>
  <r>
    <s v="C00401224"/>
    <x v="3"/>
    <n v="2020"/>
    <s v="30G"/>
    <n v="2.0201204935455299E+17"/>
    <s v="11AI"/>
    <s v="SA11AI_345063769"/>
    <n v="1481637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1-02T00:00:00"/>
    <n v="100"/>
    <n v="219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0:31"/>
    <m/>
    <m/>
    <m/>
    <s v="F3X"/>
    <n v="4.1205202019644498E+18"/>
    <s v="t"/>
    <s v="EARMARKED FOR STOP REPUBLICANS (C00633404)"/>
    <n v="2020"/>
    <s v="SA"/>
    <m/>
    <n v="4.0104202120048502E+18"/>
    <s v="https://docquery.fec.gov/cgi-bin/fecimg/?202012049354553936"/>
    <s v="Contributions From Individuals/Persons Other Than Political Committees"/>
  </r>
  <r>
    <s v="C00401224"/>
    <x v="3"/>
    <n v="2020"/>
    <s v="30G"/>
    <n v="2.0201204935455299E+17"/>
    <s v="11AI"/>
    <s v="SA11AI_345064598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02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0:31"/>
    <m/>
    <m/>
    <m/>
    <s v="F3X"/>
    <n v="4.1205202019644498E+18"/>
    <s v="t"/>
    <s v="CONTRIBUTION TO ACTBLUE"/>
    <n v="2020"/>
    <s v="SA"/>
    <m/>
    <n v="4.0104202120048502E+18"/>
    <s v="https://docquery.fec.gov/cgi-bin/fecimg/?202012049354553936"/>
    <s v="Contributions From Individuals/Persons Other Than Political Committees"/>
  </r>
  <r>
    <s v="C00401224"/>
    <x v="3"/>
    <n v="2020"/>
    <s v="30G"/>
    <n v="2.0201204935455299E+17"/>
    <s v="11AI"/>
    <s v="SA11AI_345063839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02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0:41"/>
    <m/>
    <m/>
    <m/>
    <s v="F3X"/>
    <n v="4.1205202019644498E+18"/>
    <s v="t"/>
    <s v="CONTRIBUTION TO ACTBLUE"/>
    <n v="2020"/>
    <s v="SA"/>
    <m/>
    <n v="4.0104202120048599E+18"/>
    <s v="https://docquery.fec.gov/cgi-bin/fecimg/?202012049354553937"/>
    <s v="Contributions From Individuals/Persons Other Than Political Committees"/>
  </r>
  <r>
    <s v="C00401224"/>
    <x v="3"/>
    <n v="2020"/>
    <s v="30G"/>
    <n v="2.0201204935455299E+17"/>
    <s v="11AI"/>
    <s v="SA11AI_346474936"/>
    <n v="1481637"/>
    <m/>
    <s v="IND"/>
    <s v="INDIVIDUAL"/>
    <s v="C0036553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365536"/>
    <s v="24T"/>
    <s v="EARMARKED INTERMEDIARY TREASURY OUT"/>
    <s v="EARMARK"/>
    <m/>
    <m/>
    <d v="2020-11-05T00:00:00"/>
    <n v="50"/>
    <n v="4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2:14"/>
    <m/>
    <m/>
    <m/>
    <s v="F3X"/>
    <n v="4.1205202019644498E+18"/>
    <s v="t"/>
    <s v="EARMARKED FOR CHC BOLD PAC/COMMITTEE FOR HISPANIC CAUSES BUILDING OUR LEADERSHIP DIVERSITY (C0036553"/>
    <n v="2020"/>
    <s v="SA"/>
    <m/>
    <n v="4.01042021200621E+18"/>
    <s v="https://docquery.fec.gov/cgi-bin/fecimg/?202012049354553937"/>
    <s v="Contributions From Individuals/Persons Other Than Political Committees"/>
  </r>
  <r>
    <s v="C00401224"/>
    <x v="3"/>
    <n v="2020"/>
    <s v="30G"/>
    <n v="2.0201204935455299E+17"/>
    <s v="11AI"/>
    <s v="SA11AI_346475000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05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2:16"/>
    <m/>
    <m/>
    <m/>
    <s v="F3X"/>
    <n v="4.1205202019644498E+18"/>
    <s v="t"/>
    <s v="CONTRIBUTION TO ACTBLUE"/>
    <n v="2020"/>
    <s v="SA"/>
    <m/>
    <n v="4.01042021200621E+18"/>
    <s v="https://docquery.fec.gov/cgi-bin/fecimg/?202012049354553938"/>
    <s v="Contributions From Individuals/Persons Other Than Political Committees"/>
  </r>
  <r>
    <s v="C00401224"/>
    <x v="3"/>
    <n v="2020"/>
    <s v="30G"/>
    <n v="2.0201204935455299E+17"/>
    <s v="11AI"/>
    <s v="SA11AI_350218008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11T00:00:00"/>
    <n v="2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2:27"/>
    <m/>
    <m/>
    <m/>
    <s v="F3X"/>
    <n v="4.1205202019644498E+18"/>
    <s v="t"/>
    <s v="CONTRIBUTION TO ACTBLUE"/>
    <n v="2020"/>
    <s v="SA"/>
    <m/>
    <n v="4.01042021200898E+18"/>
    <s v="https://docquery.fec.gov/cgi-bin/fecimg/?202012049354553940"/>
    <s v="Contributions From Individuals/Persons Other Than Political Committees"/>
  </r>
  <r>
    <s v="C00401224"/>
    <x v="3"/>
    <n v="2020"/>
    <s v="30G"/>
    <n v="2.0201204935455299E+17"/>
    <s v="11AI"/>
    <s v="SA11AI_347384673"/>
    <n v="1481637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1-07T00:00:00"/>
    <n v="50"/>
    <n v="219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5:28"/>
    <m/>
    <m/>
    <m/>
    <s v="F3X"/>
    <n v="4.1205202019644498E+18"/>
    <s v="t"/>
    <s v="EARMARKED FOR STOP REPUBLICANS (C00633404)"/>
    <n v="2020"/>
    <s v="SA"/>
    <m/>
    <n v="4.0104202120067599E+18"/>
    <s v="https://docquery.fec.gov/cgi-bin/fecimg/?202012049354553938"/>
    <s v="Contributions From Individuals/Persons Other Than Political Committees"/>
  </r>
  <r>
    <s v="C00401224"/>
    <x v="3"/>
    <n v="2020"/>
    <s v="30G"/>
    <n v="2.0201204935455299E+17"/>
    <s v="11AI"/>
    <s v="SA11AI_347384729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07T00:00:00"/>
    <n v="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5:32"/>
    <m/>
    <m/>
    <m/>
    <s v="F3X"/>
    <n v="4.1205202019644498E+18"/>
    <s v="t"/>
    <s v="CONTRIBUTION TO ACTBLUE"/>
    <n v="2020"/>
    <s v="SA"/>
    <m/>
    <n v="4.0104202120067599E+18"/>
    <s v="https://docquery.fec.gov/cgi-bin/fecimg/?202012049354553939"/>
    <s v="Contributions From Individuals/Persons Other Than Political Committees"/>
  </r>
  <r>
    <s v="C00401224"/>
    <x v="3"/>
    <n v="2020"/>
    <s v="30G"/>
    <n v="2.0201204935455299E+17"/>
    <s v="11AI"/>
    <s v="SA11AI_347393838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07T00:00:00"/>
    <n v="2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5:54"/>
    <m/>
    <m/>
    <m/>
    <s v="F3X"/>
    <n v="4.1205202019644498E+18"/>
    <s v="t"/>
    <s v="CONTRIBUTION TO ACTBLUE"/>
    <n v="2020"/>
    <s v="SA"/>
    <m/>
    <n v="4.0104202120067702E+18"/>
    <s v="https://docquery.fec.gov/cgi-bin/fecimg/?202012049354553938"/>
    <s v="Contributions From Individuals/Persons Other Than Political Committees"/>
  </r>
  <r>
    <s v="C00401224"/>
    <x v="3"/>
    <n v="2020"/>
    <s v="30G"/>
    <n v="2.0201204935455299E+17"/>
    <s v="11AI"/>
    <s v="SA11AI_351699154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14T00:00:00"/>
    <n v="2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09:34"/>
    <m/>
    <m/>
    <m/>
    <s v="F3X"/>
    <n v="4.1205202019644498E+18"/>
    <s v="t"/>
    <s v="CONTRIBUTION TO ACTBLUE"/>
    <n v="2020"/>
    <s v="SA"/>
    <m/>
    <n v="4.0104202120101601E+18"/>
    <s v="https://docquery.fec.gov/cgi-bin/fecimg/?202012049354553941"/>
    <s v="Contributions From Individuals/Persons Other Than Political Committees"/>
  </r>
  <r>
    <s v="C00401224"/>
    <x v="3"/>
    <n v="2020"/>
    <s v="30G"/>
    <n v="2.0201204935455299E+17"/>
    <s v="11AI"/>
    <s v="SA11AI_330810601"/>
    <n v="1481637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0-20T00:00:00"/>
    <n v="100"/>
    <n v="363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16:57"/>
    <m/>
    <m/>
    <m/>
    <s v="F3X"/>
    <n v="4.1205202019644498E+18"/>
    <s v="t"/>
    <s v="EARMARKED FOR WARNOCK FOR GEORGIA (C00736876)"/>
    <n v="2020"/>
    <s v="SA"/>
    <m/>
    <n v="4.01042021199315E+18"/>
    <s v="https://docquery.fec.gov/cgi-bin/fecimg/?202012049354553928"/>
    <s v="Contributions From Individuals/Persons Other Than Political Committees"/>
  </r>
  <r>
    <s v="C00401224"/>
    <x v="3"/>
    <n v="2020"/>
    <s v="30G"/>
    <n v="2.0201204935455299E+17"/>
    <s v="11AI"/>
    <s v="SA11AI_330810660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20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17:04"/>
    <m/>
    <m/>
    <m/>
    <s v="F3X"/>
    <n v="4.1205202019644498E+18"/>
    <s v="t"/>
    <s v="CONTRIBUTION TO ACTBLUE"/>
    <n v="2020"/>
    <s v="SA"/>
    <m/>
    <n v="4.0104202119931602E+18"/>
    <s v="https://docquery.fec.gov/cgi-bin/fecimg/?202012049354553928"/>
    <s v="Contributions From Individuals/Persons Other Than Political Committees"/>
  </r>
  <r>
    <s v="C00401224"/>
    <x v="3"/>
    <n v="2020"/>
    <s v="M10"/>
    <n v="2.0201214937663398E+17"/>
    <s v="11AI"/>
    <s v="SA11AI_293817669"/>
    <n v="1482832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9-12T00:00:00"/>
    <n v="10"/>
    <n v="221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32:50"/>
    <m/>
    <m/>
    <m/>
    <s v="F3X"/>
    <n v="4.1216202019742802E+18"/>
    <s v="t"/>
    <s v="EARMARKED FOR DSCC (C00042366)"/>
    <n v="2020"/>
    <s v="SA"/>
    <m/>
    <n v="4.0121202121042299E+18"/>
    <s v="https://docquery.fec.gov/cgi-bin/fecimg/?202012149376634932"/>
    <s v="Contributions From Individuals/Persons Other Than Political Committees"/>
  </r>
  <r>
    <s v="C00401224"/>
    <x v="3"/>
    <n v="2020"/>
    <s v="M10"/>
    <n v="2.0201214937663398E+17"/>
    <s v="11AI"/>
    <s v="SA11AI_293817703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12T00:00:00"/>
    <n v="1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33:23"/>
    <m/>
    <m/>
    <m/>
    <s v="F3X"/>
    <n v="4.1216202019742802E+18"/>
    <s v="t"/>
    <s v="CONTRIBUTION TO ACTBLUE"/>
    <n v="2020"/>
    <s v="SA"/>
    <m/>
    <n v="4.0121202121042401E+18"/>
    <s v="https://docquery.fec.gov/cgi-bin/fecimg/?202012149376634932"/>
    <s v="Contributions From Individuals/Persons Other Than Political Committees"/>
  </r>
  <r>
    <s v="C00401224"/>
    <x v="3"/>
    <n v="2020"/>
    <s v="M10"/>
    <n v="2.0201214937663398E+17"/>
    <s v="11AI"/>
    <s v="SA11AI_293816879"/>
    <n v="1482832"/>
    <m/>
    <s v="IND"/>
    <s v="INDIVIDUAL"/>
    <s v="C000423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42366"/>
    <s v="24T"/>
    <s v="EARMARKED INTERMEDIARY TREASURY OUT"/>
    <s v="EARMARK"/>
    <m/>
    <m/>
    <d v="2020-09-12T00:00:00"/>
    <n v="100"/>
    <n v="221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34:02"/>
    <m/>
    <m/>
    <m/>
    <s v="F3X"/>
    <n v="4.1216202019742802E+18"/>
    <s v="t"/>
    <s v="EARMARKED FOR DSCC (C00042366)"/>
    <n v="2020"/>
    <s v="SA"/>
    <m/>
    <n v="4.0121202121042401E+18"/>
    <s v="https://docquery.fec.gov/cgi-bin/fecimg/?202012149376634931"/>
    <s v="Contributions From Individuals/Persons Other Than Political Committees"/>
  </r>
  <r>
    <s v="C00401224"/>
    <x v="3"/>
    <n v="2020"/>
    <s v="M10"/>
    <n v="2.0201214937663398E+17"/>
    <s v="11AI"/>
    <s v="SA11AI_293816927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12T00:00:00"/>
    <n v="1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6:34:35"/>
    <m/>
    <m/>
    <m/>
    <s v="F3X"/>
    <n v="4.1216202019742802E+18"/>
    <s v="t"/>
    <s v="CONTRIBUTION TO ACTBLUE"/>
    <n v="2020"/>
    <s v="SA"/>
    <m/>
    <n v="4.0121202121042499E+18"/>
    <s v="https://docquery.fec.gov/cgi-bin/fecimg/?202012149376634931"/>
    <s v="Contributions From Individuals/Persons Other Than Political Committees"/>
  </r>
  <r>
    <s v="C00401224"/>
    <x v="3"/>
    <n v="2020"/>
    <s v="M10"/>
    <n v="2.0201214937663398E+17"/>
    <s v="11AI"/>
    <s v="SA11AI_294748888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14T00:00:00"/>
    <n v="25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06:24"/>
    <m/>
    <m/>
    <m/>
    <s v="F3X"/>
    <n v="4.1216202019742802E+18"/>
    <s v="t"/>
    <s v="CONTRIBUTION TO ACTBLUE"/>
    <n v="2020"/>
    <s v="SA"/>
    <m/>
    <n v="4.0121202121053E+18"/>
    <s v="https://docquery.fec.gov/cgi-bin/fecimg/?202012149376634933"/>
    <s v="Contributions From Individuals/Persons Other Than Political Committees"/>
  </r>
  <r>
    <s v="C00401224"/>
    <x v="3"/>
    <n v="2020"/>
    <s v="M10"/>
    <n v="2.0201214937663398E+17"/>
    <s v="11AI"/>
    <s v="SA11AI_294750430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14T00:00:00"/>
    <n v="5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07:11"/>
    <m/>
    <m/>
    <m/>
    <s v="F3X"/>
    <n v="4.1216202019742802E+18"/>
    <s v="t"/>
    <s v="CONTRIBUTION TO ACTBLUE"/>
    <n v="2020"/>
    <s v="SA"/>
    <m/>
    <n v="4.0121202121053102E+18"/>
    <s v="https://docquery.fec.gov/cgi-bin/fecimg/?202012149376634932"/>
    <s v="Contributions From Individuals/Persons Other Than Political Committees"/>
  </r>
  <r>
    <s v="C00401224"/>
    <x v="3"/>
    <n v="2020"/>
    <s v="M10"/>
    <n v="2.0201214937663398E+17"/>
    <s v="11AI"/>
    <s v="SA11AI_310565408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9-28T00:00:00"/>
    <n v="50"/>
    <n v="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19:08"/>
    <m/>
    <m/>
    <m/>
    <s v="F3X"/>
    <n v="4.1216202019742802E+18"/>
    <s v="t"/>
    <s v="EARMARKED FOR CONGRESSIONAL PROGRESSIVE CAUCUS PAC (C00513176)"/>
    <n v="2020"/>
    <s v="SA"/>
    <m/>
    <n v="4.0121202121302999E+18"/>
    <s v="https://docquery.fec.gov/cgi-bin/fecimg/?202012149376634938"/>
    <s v="Contributions From Individuals/Persons Other Than Political Committees"/>
  </r>
  <r>
    <s v="C00401224"/>
    <x v="3"/>
    <n v="2020"/>
    <s v="M10"/>
    <n v="2.0201214937663398E+17"/>
    <s v="11AI"/>
    <s v="SA11AI_310180569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28T00:00:00"/>
    <n v="20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19:58"/>
    <m/>
    <m/>
    <m/>
    <s v="F3X"/>
    <n v="4.1216202019742802E+18"/>
    <s v="t"/>
    <s v="CONTRIBUTION TO ACTBLUE"/>
    <n v="2020"/>
    <s v="SA"/>
    <m/>
    <n v="4.0121202121294602E+18"/>
    <s v="https://docquery.fec.gov/cgi-bin/fecimg/?202012149376634939"/>
    <s v="Contributions From Individuals/Persons Other Than Political Committees"/>
  </r>
  <r>
    <s v="C00401224"/>
    <x v="3"/>
    <n v="2020"/>
    <s v="M10"/>
    <n v="2.0201214937663398E+17"/>
    <s v="11AI"/>
    <s v="SA11AI_310565499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28T00:00:00"/>
    <n v="5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20:32"/>
    <m/>
    <m/>
    <m/>
    <s v="F3X"/>
    <n v="4.1216202019742802E+18"/>
    <s v="t"/>
    <s v="CONTRIBUTION TO ACTBLUE"/>
    <n v="2020"/>
    <s v="SA"/>
    <m/>
    <n v="4.0121202121302999E+18"/>
    <s v="https://docquery.fec.gov/cgi-bin/fecimg/?202012149376634938"/>
    <s v="Contributions From Individuals/Persons Other Than Political Committees"/>
  </r>
  <r>
    <s v="C00401224"/>
    <x v="3"/>
    <n v="2020"/>
    <s v="M10"/>
    <n v="2.0201214937663398E+17"/>
    <s v="11AI"/>
    <s v="SA11AI_290087713"/>
    <n v="148283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9-05T00:00:00"/>
    <n v="5"/>
    <n v="2675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37:00"/>
    <m/>
    <m/>
    <m/>
    <s v="F3X"/>
    <n v="4.1216202019742802E+18"/>
    <s v="t"/>
    <s v="EARMARKED FOR WARNOCK FOR GEORGIA (C00736876)"/>
    <n v="2020"/>
    <s v="SA"/>
    <m/>
    <n v="4.01212021209871E+18"/>
    <s v="https://docquery.fec.gov/cgi-bin/fecimg/?202012149376634930"/>
    <s v="Contributions From Individuals/Persons Other Than Political Committees"/>
  </r>
  <r>
    <s v="C00401224"/>
    <x v="3"/>
    <n v="2020"/>
    <s v="M10"/>
    <n v="2.0201214937663398E+17"/>
    <s v="11AI"/>
    <s v="SA11AI_291759760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08T00:00:00"/>
    <n v="25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48:45"/>
    <m/>
    <m/>
    <m/>
    <s v="F3X"/>
    <n v="4.1216202019742802E+18"/>
    <s v="t"/>
    <s v="CONTRIBUTION TO ACTBLUE"/>
    <n v="2020"/>
    <s v="SA"/>
    <m/>
    <n v="4.0121202121011599E+18"/>
    <s v="https://docquery.fec.gov/cgi-bin/fecimg/?202012149376634930"/>
    <s v="Contributions From Individuals/Persons Other Than Political Committees"/>
  </r>
  <r>
    <s v="C00401224"/>
    <x v="3"/>
    <n v="2020"/>
    <s v="M10"/>
    <n v="2.0201214937663398E+17"/>
    <s v="11AI"/>
    <s v="SA11AI_302861307"/>
    <n v="1482832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09-20T00:00:00"/>
    <n v="100"/>
    <n v="7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7:58:52"/>
    <m/>
    <m/>
    <m/>
    <s v="F3X"/>
    <n v="4.1216202019742802E+18"/>
    <s v="t"/>
    <s v="EARMARKED FOR CONGRESSIONAL BLACK CAUCUS PAC (C00147512)"/>
    <n v="2020"/>
    <s v="SA"/>
    <m/>
    <n v="4.01212021211838E+18"/>
    <s v="https://docquery.fec.gov/cgi-bin/fecimg/?202012149376634936"/>
    <s v="Contributions From Individuals/Persons Other Than Political Committees"/>
  </r>
  <r>
    <s v="C00401224"/>
    <x v="3"/>
    <n v="2020"/>
    <s v="M10"/>
    <n v="2.0201214937663398E+17"/>
    <s v="11AI"/>
    <s v="SA11AI_311347253"/>
    <n v="148283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9-29T00:00:00"/>
    <n v="12.5"/>
    <n v="1172.9000000000001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8:11:08"/>
    <m/>
    <m/>
    <m/>
    <s v="F3X"/>
    <n v="4.1216202019742802E+18"/>
    <s v="t"/>
    <s v="CONTRIBUTION TO ACTBLUE"/>
    <n v="2020"/>
    <s v="SA"/>
    <m/>
    <n v="4.0121202121311698E+18"/>
    <s v="https://docquery.fec.gov/cgi-bin/fecimg/?202012149376634940"/>
    <s v="Contributions From Individuals/Persons Other Than Political Committees"/>
  </r>
  <r>
    <s v="C00401224"/>
    <x v="3"/>
    <n v="2020"/>
    <s v="M10"/>
    <n v="2.0201214937663398E+17"/>
    <s v="11AI"/>
    <s v="SA11AI_311347158"/>
    <n v="1482832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9-29T00:00:00"/>
    <n v="125"/>
    <n v="147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22T18:11:23"/>
    <m/>
    <m/>
    <m/>
    <s v="F3X"/>
    <n v="4.1216202019742802E+18"/>
    <s v="t"/>
    <s v="EARMARKED FOR DCCC (C00000935)"/>
    <n v="2020"/>
    <s v="SA"/>
    <m/>
    <n v="4.01212021213118E+18"/>
    <s v="https://docquery.fec.gov/cgi-bin/fecimg/?202012149376634939"/>
    <s v="Contributions From Individuals/Persons Other Than Political Committees"/>
  </r>
  <r>
    <s v="C00736876"/>
    <x v="6"/>
    <n v="2020"/>
    <s v="12S"/>
    <n v="2.020122493941E+17"/>
    <s v="11AI"/>
    <n v="9139090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05T00:00:00"/>
    <n v="5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15:26"/>
    <m/>
    <s v="9139090E"/>
    <s v="SA11AI"/>
    <s v="F3"/>
    <n v="4.12262020198637E+18"/>
    <s v="t"/>
    <s v="* EARMARKED CONTRIBUTION: SEE BELOW"/>
    <n v="2020"/>
    <s v="SA"/>
    <m/>
    <n v="4.0123202121360701E+18"/>
    <s v="https://docquery.fec.gov/cgi-bin/fecimg/?202012249394100611"/>
    <s v="Contributions From Individuals/Persons Other Than Political Committees"/>
  </r>
  <r>
    <s v="C00736876"/>
    <x v="6"/>
    <n v="2020"/>
    <s v="12S"/>
    <n v="2.0201224939415501E+17"/>
    <s v="11AI"/>
    <n v="11079693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2-05T00:00:00"/>
    <n v="5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0:03"/>
    <m/>
    <s v="11079693E"/>
    <s v="SA11AI"/>
    <s v="F3"/>
    <n v="4.12262020198637E+18"/>
    <s v="t"/>
    <s v="* EARMARKED CONTRIBUTION: SEE BELOW"/>
    <n v="2020"/>
    <s v="SA"/>
    <m/>
    <n v="4.0123202121362299E+18"/>
    <s v="https://docquery.fec.gov/cgi-bin/fecimg/?202012249394155975"/>
    <s v="Contributions From Individuals/Persons Other Than Political Committees"/>
  </r>
  <r>
    <s v="C00736876"/>
    <x v="6"/>
    <n v="2020"/>
    <s v="12S"/>
    <n v="2.0201224939424998E+17"/>
    <s v="11AI"/>
    <n v="8894119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01T00:00:00"/>
    <n v="49"/>
    <n v="1935.79"/>
    <m/>
    <m/>
    <m/>
    <m/>
    <m/>
    <m/>
    <m/>
    <m/>
    <m/>
    <m/>
    <m/>
    <m/>
    <m/>
    <m/>
    <m/>
    <m/>
    <m/>
    <m/>
    <m/>
    <m/>
    <m/>
    <s v="O2020"/>
    <s v="RUN-OFF SPECIAL"/>
    <m/>
    <n v="2020"/>
    <s v="A"/>
    <s v="ADD"/>
    <s v="ITEMIZED RECEIPTS"/>
    <d v="2021-01-23T11:20:38"/>
    <m/>
    <s v="8894119E"/>
    <s v="SA11AI"/>
    <s v="F3"/>
    <n v="4.12262020198637E+18"/>
    <s v="t"/>
    <s v="* EARMARKED CONTRIBUTION: SEE BELOW"/>
    <n v="2020"/>
    <s v="SA"/>
    <m/>
    <n v="4.0123202121365299E+18"/>
    <s v="https://docquery.fec.gov/cgi-bin/fecimg/?202012249394250854"/>
    <s v="Contributions From Individuals/Persons Other Than Political Committees"/>
  </r>
  <r>
    <s v="C00736876"/>
    <x v="6"/>
    <n v="2020"/>
    <s v="12S"/>
    <n v="2.0201224939417501E+17"/>
    <s v="11AI"/>
    <n v="11312305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2-13T00:00:00"/>
    <n v="25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2:55"/>
    <m/>
    <s v="11312305E"/>
    <s v="SA11AI"/>
    <s v="F3"/>
    <n v="4.12262020198637E+18"/>
    <s v="t"/>
    <s v="* EARMARKED CONTRIBUTION: SEE BELOW"/>
    <n v="2020"/>
    <s v="SA"/>
    <m/>
    <n v="4.0123202121363098E+18"/>
    <s v="https://docquery.fec.gov/cgi-bin/fecimg/?202012249394175595"/>
    <s v="Contributions From Individuals/Persons Other Than Political Committees"/>
  </r>
  <r>
    <s v="C00736876"/>
    <x v="6"/>
    <n v="2020"/>
    <s v="12S"/>
    <n v="2.02012249394176E+17"/>
    <s v="11AI"/>
    <n v="10741415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29T00:00:00"/>
    <n v="50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3:05"/>
    <m/>
    <s v="10741415E"/>
    <s v="SA11AI"/>
    <s v="F3"/>
    <n v="4.12262020198637E+18"/>
    <s v="t"/>
    <s v="* EARMARKED CONTRIBUTION: SEE BELOW"/>
    <n v="2020"/>
    <s v="SA"/>
    <m/>
    <n v="4.0123202121363098E+18"/>
    <s v="https://docquery.fec.gov/cgi-bin/fecimg/?202012249394176959"/>
    <s v="Contributions From Individuals/Persons Other Than Political Committees"/>
  </r>
  <r>
    <s v="C00736876"/>
    <x v="6"/>
    <n v="2020"/>
    <s v="12S"/>
    <n v="2.0201224939419398E+17"/>
    <s v="11AI"/>
    <n v="9097706"/>
    <n v="1484293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m/>
    <n v="15"/>
    <s v="CONTRIBUTION"/>
    <m/>
    <m/>
    <m/>
    <d v="2020-11-04T00:00:00"/>
    <n v="500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5:00"/>
    <m/>
    <m/>
    <m/>
    <s v="F3"/>
    <n v="4.12262020198637E+18"/>
    <s v="t"/>
    <m/>
    <n v="2020"/>
    <s v="SA"/>
    <m/>
    <n v="4.0123202121363599E+18"/>
    <s v="https://docquery.fec.gov/cgi-bin/fecimg/?202012249394194314"/>
    <s v="Contributions From Individuals/Persons Other Than Political Committees"/>
  </r>
  <r>
    <s v="C00736876"/>
    <x v="6"/>
    <n v="2020"/>
    <s v="12S"/>
    <n v="2.0201224939419699E+17"/>
    <s v="11AI"/>
    <n v="10486326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22T00:00:00"/>
    <n v="25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5:21"/>
    <m/>
    <s v="10486326E"/>
    <s v="SA11AI"/>
    <s v="F3"/>
    <n v="4.12262020198637E+18"/>
    <s v="t"/>
    <s v="* EARMARKED CONTRIBUTION: SEE BELOW"/>
    <n v="2020"/>
    <s v="SA"/>
    <m/>
    <n v="4.0123202121363702E+18"/>
    <s v="https://docquery.fec.gov/cgi-bin/fecimg/?202012249394197697"/>
    <s v="Contributions From Individuals/Persons Other Than Political Committees"/>
  </r>
  <r>
    <s v="C00736876"/>
    <x v="6"/>
    <n v="2020"/>
    <s v="12S"/>
    <n v="2.0201224939420198E+17"/>
    <s v="11AI"/>
    <n v="11065946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2-06T00:00:00"/>
    <n v="25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5:54"/>
    <m/>
    <s v="11065946E"/>
    <s v="SA11AI"/>
    <s v="F3"/>
    <n v="4.12262020198637E+18"/>
    <s v="t"/>
    <s v="* EARMARKED CONTRIBUTION: SEE BELOW"/>
    <n v="2020"/>
    <s v="SA"/>
    <m/>
    <n v="4.0123202121363901E+18"/>
    <s v="https://docquery.fec.gov/cgi-bin/fecimg/?202012249394202244"/>
    <s v="Contributions From Individuals/Persons Other Than Political Committees"/>
  </r>
  <r>
    <s v="C00736876"/>
    <x v="6"/>
    <n v="2020"/>
    <s v="12S"/>
    <n v="2.02012249394216E+17"/>
    <s v="11AI"/>
    <n v="9877727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15T00:00:00"/>
    <n v="250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6:37"/>
    <m/>
    <s v="9877727E"/>
    <s v="SA11AI"/>
    <s v="F3"/>
    <n v="4.12262020198637E+18"/>
    <s v="t"/>
    <s v="* EARMARKED CONTRIBUTION: SEE BELOW"/>
    <n v="2020"/>
    <s v="SA"/>
    <m/>
    <n v="4.0123202121364301E+18"/>
    <s v="https://docquery.fec.gov/cgi-bin/fecimg/?202012249394216768"/>
    <s v="Contributions From Individuals/Persons Other Than Political Committees"/>
  </r>
  <r>
    <s v="C00736876"/>
    <x v="6"/>
    <n v="2020"/>
    <s v="12S"/>
    <n v="2.0201224939421901E+17"/>
    <s v="11AI"/>
    <n v="10781647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29T00:00:00"/>
    <n v="25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6:50"/>
    <m/>
    <s v="10781647E"/>
    <s v="SA11AI"/>
    <s v="F3"/>
    <n v="4.12262020198637E+18"/>
    <s v="t"/>
    <s v="* EARMARKED CONTRIBUTION: SEE BELOW"/>
    <n v="2020"/>
    <s v="SA"/>
    <m/>
    <n v="4.0123202121364398E+18"/>
    <s v="https://docquery.fec.gov/cgi-bin/fecimg/?202012249394219424"/>
    <s v="Contributions From Individuals/Persons Other Than Political Committees"/>
  </r>
  <r>
    <s v="C00736876"/>
    <x v="6"/>
    <n v="2020"/>
    <s v="12S"/>
    <n v="2.0201224939411802E+17"/>
    <s v="11AI"/>
    <n v="8365691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0-20T00:00:00"/>
    <n v="100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7:16"/>
    <m/>
    <s v="8365691E"/>
    <s v="SA11AI"/>
    <s v="F3"/>
    <n v="4.12262020198637E+18"/>
    <s v="t"/>
    <s v="* EARMARKED CONTRIBUTION: SEE BELOW"/>
    <n v="2020"/>
    <s v="SA"/>
    <m/>
    <n v="4.0123202121361198E+18"/>
    <s v="https://docquery.fec.gov/cgi-bin/fecimg/?202012249394118020"/>
    <s v="Contributions From Individuals/Persons Other Than Political Committees"/>
  </r>
  <r>
    <s v="C00736876"/>
    <x v="6"/>
    <n v="2020"/>
    <s v="12S"/>
    <n v="2.0201224939411802E+17"/>
    <s v="11AI"/>
    <n v="9907091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15T00:00:00"/>
    <n v="25"/>
    <n v="1935.79"/>
    <m/>
    <m/>
    <m/>
    <m/>
    <m/>
    <m/>
    <m/>
    <m/>
    <m/>
    <m/>
    <m/>
    <m/>
    <m/>
    <m/>
    <m/>
    <m/>
    <m/>
    <m/>
    <m/>
    <m/>
    <m/>
    <s v="R2020"/>
    <s v="RUN-OFF SPECIAL"/>
    <s v="RUNOFF"/>
    <n v="2020"/>
    <s v="A"/>
    <s v="ADD"/>
    <s v="ITEMIZED RECEIPTS"/>
    <d v="2021-01-23T11:27:22"/>
    <m/>
    <s v="9907091E"/>
    <s v="SA11AI"/>
    <s v="F3"/>
    <n v="4.12262020198637E+18"/>
    <s v="t"/>
    <s v="* EARMARKED CONTRIBUTION: SEE BELOW"/>
    <n v="2020"/>
    <s v="SA"/>
    <m/>
    <n v="4.0123202121361198E+18"/>
    <s v="https://docquery.fec.gov/cgi-bin/fecimg/?202012249394118942"/>
    <s v="Contributions From Individuals/Persons Other Than Political Committees"/>
  </r>
  <r>
    <s v="C00736876"/>
    <x v="6"/>
    <n v="2020"/>
    <s v="12S"/>
    <n v="2.02012249394268E+17"/>
    <n v="12"/>
    <n v="11114116"/>
    <n v="1484293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m/>
    <s v="15J"/>
    <s v="MEMO (FILER'S % OF CONTRIBUTION GIVEN TO JOIN"/>
    <m/>
    <s v="X"/>
    <m/>
    <d v="2020-12-01T00:00:00"/>
    <n v="250"/>
    <n v="1935.79"/>
    <m/>
    <m/>
    <m/>
    <m/>
    <m/>
    <m/>
    <m/>
    <m/>
    <m/>
    <m/>
    <m/>
    <m/>
    <m/>
    <m/>
    <m/>
    <m/>
    <m/>
    <m/>
    <m/>
    <m/>
    <m/>
    <s v="G2020"/>
    <s v="RUN-OFF SPECIAL"/>
    <s v="GENERAL"/>
    <n v="2020"/>
    <s v="A"/>
    <s v="ADD"/>
    <s v="ITEMIZED RECEIPTS"/>
    <d v="2021-01-23T11:27:22"/>
    <m/>
    <n v="11113724"/>
    <s v="SA12"/>
    <s v="F3"/>
    <n v="4.12262020198637E+18"/>
    <s v="t"/>
    <m/>
    <n v="2020"/>
    <s v="SA"/>
    <m/>
    <n v="4.0123202121365801E+18"/>
    <s v="https://docquery.fec.gov/cgi-bin/fecimg/?202012249394268323"/>
    <s v="Transfers from Authorized Committees"/>
  </r>
  <r>
    <s v="C00736876"/>
    <x v="6"/>
    <n v="2020"/>
    <s v="12S"/>
    <n v="2.0201224939412E+17"/>
    <s v="11AI"/>
    <n v="9472202"/>
    <n v="1484293"/>
    <m/>
    <s v="IND"/>
    <s v="INDIVIDUAL"/>
    <m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m/>
    <n v="15"/>
    <s v="CONTRIBUTION"/>
    <m/>
    <m/>
    <m/>
    <d v="2020-11-13T00:00:00"/>
    <n v="65.36"/>
    <n v="1935.79"/>
    <m/>
    <m/>
    <m/>
    <m/>
    <m/>
    <m/>
    <m/>
    <m/>
    <m/>
    <m/>
    <m/>
    <m/>
    <m/>
    <m/>
    <m/>
    <m/>
    <m/>
    <m/>
    <m/>
    <m/>
    <m/>
    <s v="O2020"/>
    <s v="RUN-OFF SPECIAL"/>
    <m/>
    <n v="2020"/>
    <s v="A"/>
    <s v="ADD"/>
    <s v="ITEMIZED RECEIPTS"/>
    <d v="2021-01-23T11:27:31"/>
    <m/>
    <m/>
    <m/>
    <s v="F3"/>
    <n v="4.12262020198637E+18"/>
    <s v="t"/>
    <m/>
    <n v="2020"/>
    <s v="SA"/>
    <m/>
    <n v="4.01232021213613E+18"/>
    <s v="https://docquery.fec.gov/cgi-bin/fecimg/?202012249394120308"/>
    <s v="Contributions From Individuals/Persons Other Than Political Committees"/>
  </r>
  <r>
    <s v="C00736876"/>
    <x v="6"/>
    <n v="2020"/>
    <s v="12S"/>
    <n v="2.02012249394136E+17"/>
    <s v="11AI"/>
    <n v="9478592"/>
    <n v="1484293"/>
    <m/>
    <s v="IND"/>
    <s v="INDIVIDUAL"/>
    <s v="C00401224"/>
    <m/>
    <s v="GLOVER, RENEE"/>
    <s v="S"/>
    <m/>
    <s v="P"/>
    <s v="RENEE"/>
    <m/>
    <s v="GLOVER"/>
    <m/>
    <s v="553 AUBURN AVE NE"/>
    <m/>
    <s v="ATLANTA"/>
    <s v="GA"/>
    <n v="303121941"/>
    <s v="THE CATALYST GROUP, LLC"/>
    <s v="BUSINESS CONSULTANT"/>
    <s v="C00401224"/>
    <s v="15E"/>
    <s v="EARMARKED CONTRIBUTION"/>
    <m/>
    <m/>
    <m/>
    <d v="2020-11-11T00:00:00"/>
    <n v="250"/>
    <n v="1935.79"/>
    <m/>
    <m/>
    <m/>
    <m/>
    <m/>
    <m/>
    <m/>
    <m/>
    <m/>
    <m/>
    <m/>
    <m/>
    <m/>
    <m/>
    <m/>
    <m/>
    <m/>
    <m/>
    <m/>
    <m/>
    <m/>
    <s v="O2020"/>
    <s v="RUN-OFF SPECIAL"/>
    <m/>
    <n v="2020"/>
    <s v="A"/>
    <s v="ADD"/>
    <s v="ITEMIZED RECEIPTS"/>
    <d v="2021-01-23T11:28:22"/>
    <m/>
    <s v="9478592E"/>
    <s v="SA11AI"/>
    <s v="F3"/>
    <n v="4.12262020198637E+18"/>
    <s v="t"/>
    <s v="* EARMARKED CONTRIBUTION: SEE BELOW"/>
    <n v="2020"/>
    <s v="SA"/>
    <m/>
    <n v="4.0123202121361802E+18"/>
    <s v="https://docquery.fec.gov/cgi-bin/fecimg/?202012249394136524"/>
    <s v="Contributions From Individuals/Persons Other Than Political Committees"/>
  </r>
  <r>
    <s v="C00401224"/>
    <x v="3"/>
    <n v="2020"/>
    <s v="30G"/>
    <n v="2.0201204935455299E+17"/>
    <s v="11AI"/>
    <s v="SA11AI_339386361"/>
    <n v="1481637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10-28T00:00:00"/>
    <n v="100"/>
    <n v="177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24:10"/>
    <m/>
    <m/>
    <m/>
    <s v="F3X"/>
    <n v="4.1205202019644498E+18"/>
    <s v="t"/>
    <s v="EARMARKED FOR DCCC (C00000935)"/>
    <n v="2020"/>
    <s v="SA"/>
    <m/>
    <n v="4.0104202120003502E+18"/>
    <s v="https://docquery.fec.gov/cgi-bin/fecimg/?202012049354553931"/>
    <s v="Contributions From Individuals/Persons Other Than Political Committees"/>
  </r>
  <r>
    <s v="C00401224"/>
    <x v="3"/>
    <n v="2020"/>
    <s v="30G"/>
    <n v="2.0201204935455299E+17"/>
    <s v="11AI"/>
    <s v="SA11AI_339386419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0-28T00:00:00"/>
    <n v="10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24:14"/>
    <m/>
    <m/>
    <m/>
    <s v="F3X"/>
    <n v="4.1205202019644498E+18"/>
    <s v="t"/>
    <s v="CONTRIBUTION TO ACTBLUE"/>
    <n v="2020"/>
    <s v="SA"/>
    <m/>
    <n v="4.0104202120003502E+18"/>
    <s v="https://docquery.fec.gov/cgi-bin/fecimg/?202012049354553931"/>
    <s v="Contributions From Individuals/Persons Other Than Political Committees"/>
  </r>
  <r>
    <s v="C00401224"/>
    <x v="3"/>
    <n v="2020"/>
    <s v="30G"/>
    <n v="2.0201204935455299E+17"/>
    <s v="11AI"/>
    <s v="SA11AI_354345074"/>
    <n v="1481637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22T00:00:00"/>
    <n v="2.5"/>
    <n v="1512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28:48"/>
    <m/>
    <m/>
    <m/>
    <s v="F3X"/>
    <n v="4.1205202019644498E+18"/>
    <s v="t"/>
    <s v="CONTRIBUTION TO ACTBLUE"/>
    <n v="2020"/>
    <s v="SA"/>
    <m/>
    <n v="4.0104202120121999E+18"/>
    <s v="https://docquery.fec.gov/cgi-bin/fecimg/?202012049354553945"/>
    <s v="Contributions From Individuals/Persons Other Than Political Committees"/>
  </r>
  <r>
    <s v="C00401224"/>
    <x v="3"/>
    <n v="2020"/>
    <s v="30G"/>
    <n v="2.0201204935455299E+17"/>
    <s v="11AI"/>
    <s v="SA11AI_354345076"/>
    <n v="1481637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1-22T00:00:00"/>
    <n v="25"/>
    <n v="363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05T15:28:48"/>
    <m/>
    <m/>
    <m/>
    <s v="F3X"/>
    <n v="4.1205202019644498E+18"/>
    <s v="t"/>
    <s v="EARMARKED FOR WARNOCK FOR GEORGIA (C00736876)"/>
    <n v="2020"/>
    <s v="SA"/>
    <m/>
    <n v="4.0104202120121999E+18"/>
    <s v="https://docquery.fec.gov/cgi-bin/fecimg/?202012049354553945"/>
    <s v="Contributions From Individuals/Persons Other Than Political Committees"/>
  </r>
  <r>
    <s v="C00401224"/>
    <x v="3"/>
    <n v="2020"/>
    <s v="YE"/>
    <n v="2.0210131941958E+17"/>
    <s v="11AI"/>
    <s v="SA11AI_365424502"/>
    <n v="1496802"/>
    <m/>
    <s v="IND"/>
    <s v="INDIVIDUAL"/>
    <s v="C00562983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562983"/>
    <s v="24T"/>
    <s v="EARMARKED INTERMEDIARY TREASURY OUT"/>
    <s v="EARMARK"/>
    <m/>
    <m/>
    <d v="2020-12-29T00:00:00"/>
    <n v="15"/>
    <n v="1015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4:28"/>
    <m/>
    <m/>
    <m/>
    <s v="F3X"/>
    <n v="4.0201202121400402E+18"/>
    <s v="t"/>
    <s v="EARMARKED FOR DEMOCRATIC ACTION (C00562983)"/>
    <n v="2020"/>
    <s v="SA"/>
    <m/>
    <n v="4.03112021125344E+18"/>
    <s v="https://docquery.fec.gov/cgi-bin/fecimg/?202101319419580679"/>
    <s v="Contributions From Individuals/Persons Other Than Political Committees"/>
  </r>
  <r>
    <s v="C00401224"/>
    <x v="3"/>
    <n v="2020"/>
    <s v="YE"/>
    <n v="2.0210131941958E+17"/>
    <s v="11AI"/>
    <s v="SA11AI_365424589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29T00:00:00"/>
    <n v="1.5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4:36"/>
    <m/>
    <m/>
    <m/>
    <s v="F3X"/>
    <n v="4.0201202121400402E+18"/>
    <s v="t"/>
    <s v="CONTRIBUTION TO ACTBLUE"/>
    <n v="2020"/>
    <s v="SA"/>
    <m/>
    <n v="4.03112021125344E+18"/>
    <s v="https://docquery.fec.gov/cgi-bin/fecimg/?202101319419580680"/>
    <s v="Contributions From Individuals/Persons Other Than Political Committees"/>
  </r>
  <r>
    <s v="C00401224"/>
    <x v="3"/>
    <n v="2020"/>
    <s v="YE"/>
    <n v="2.0210131941958E+17"/>
    <s v="11AI"/>
    <s v="SA11AI_365422556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29T00:00:00"/>
    <n v="20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4:39"/>
    <m/>
    <m/>
    <m/>
    <s v="F3X"/>
    <n v="4.0201202121400402E+18"/>
    <s v="t"/>
    <s v="CONTRIBUTION TO ACTBLUE"/>
    <n v="2020"/>
    <s v="SA"/>
    <m/>
    <n v="4.03112021125344E+18"/>
    <s v="https://docquery.fec.gov/cgi-bin/fecimg/?202101319419580679"/>
    <s v="Contributions From Individuals/Persons Other Than Political Committees"/>
  </r>
  <r>
    <s v="C00401224"/>
    <x v="3"/>
    <n v="2020"/>
    <s v="YE"/>
    <n v="2.0210131941958E+17"/>
    <s v="11AI"/>
    <s v="SA11AI_356370456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29T00:00:00"/>
    <n v="2.5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4:51"/>
    <m/>
    <m/>
    <m/>
    <s v="F3X"/>
    <n v="4.0201202121400402E+18"/>
    <s v="t"/>
    <s v="CONTRIBUTION TO ACTBLUE"/>
    <n v="2020"/>
    <s v="SA"/>
    <m/>
    <n v="4.0311202112471301E+18"/>
    <s v="https://docquery.fec.gov/cgi-bin/fecimg/?202101319419580671"/>
    <s v="Contributions From Individuals/Persons Other Than Political Committees"/>
  </r>
  <r>
    <s v="C00401224"/>
    <x v="3"/>
    <n v="2020"/>
    <s v="YE"/>
    <n v="2.0210131941958E+17"/>
    <s v="11AI"/>
    <s v="SA11AI_356370459"/>
    <n v="149680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1-29T00:00:00"/>
    <n v="25"/>
    <n v="381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4:51"/>
    <m/>
    <m/>
    <m/>
    <s v="F3X"/>
    <n v="4.0201202121400402E+18"/>
    <s v="t"/>
    <s v="EARMARKED FOR WARNOCK FOR GEORGIA (C00736876)"/>
    <n v="2020"/>
    <s v="SA"/>
    <m/>
    <n v="4.0311202112471301E+18"/>
    <s v="https://docquery.fec.gov/cgi-bin/fecimg/?202101319419580671"/>
    <s v="Contributions From Individuals/Persons Other Than Political Committees"/>
  </r>
  <r>
    <s v="C00401224"/>
    <x v="3"/>
    <n v="2020"/>
    <s v="YE"/>
    <n v="2.0210131941958E+17"/>
    <s v="11AI"/>
    <s v="SA11AI_363099818"/>
    <n v="149680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2-20T00:00:00"/>
    <n v="25"/>
    <n v="381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7:06"/>
    <m/>
    <m/>
    <m/>
    <s v="F3X"/>
    <n v="4.0201202121400402E+18"/>
    <s v="t"/>
    <s v="EARMARKED FOR WARNOCK FOR GEORGIA (C00736876)"/>
    <n v="2020"/>
    <s v="SA"/>
    <m/>
    <n v="4.0311202112519398E+18"/>
    <s v="https://docquery.fec.gov/cgi-bin/fecimg/?202101319419580677"/>
    <s v="Contributions From Individuals/Persons Other Than Political Committees"/>
  </r>
  <r>
    <s v="C00401224"/>
    <x v="3"/>
    <n v="2020"/>
    <s v="YE"/>
    <n v="2.0210131941958E+17"/>
    <s v="11AI"/>
    <s v="SA11AI_363099817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20T00:00:00"/>
    <n v="2.5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7:06"/>
    <m/>
    <m/>
    <m/>
    <s v="F3X"/>
    <n v="4.0201202121400402E+18"/>
    <s v="t"/>
    <s v="CONTRIBUTION TO ACTBLUE"/>
    <n v="2020"/>
    <s v="SA"/>
    <m/>
    <n v="4.0311202112519398E+18"/>
    <s v="https://docquery.fec.gov/cgi-bin/fecimg/?202101319419580677"/>
    <s v="Contributions From Individuals/Persons Other Than Political Committees"/>
  </r>
  <r>
    <s v="C00401224"/>
    <x v="3"/>
    <n v="2020"/>
    <s v="YE"/>
    <n v="2.0210131941958E+17"/>
    <s v="11AI"/>
    <s v="SA11AI_357378491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01T00:00:00"/>
    <n v="50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28:08"/>
    <m/>
    <m/>
    <m/>
    <s v="F3X"/>
    <n v="4.0201202121400402E+18"/>
    <s v="t"/>
    <s v="CONTRIBUTION TO ACTBLUE"/>
    <n v="2020"/>
    <s v="SA"/>
    <m/>
    <n v="4.0311202112477998E+18"/>
    <s v="https://docquery.fec.gov/cgi-bin/fecimg/?202101319419580672"/>
    <s v="Contributions From Individuals/Persons Other Than Political Committees"/>
  </r>
  <r>
    <s v="C00401224"/>
    <x v="3"/>
    <n v="2020"/>
    <s v="YE"/>
    <n v="2.0210131941958E+17"/>
    <s v="11AI"/>
    <s v="SA11AI_363603235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21T00:00:00"/>
    <n v="10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30:07"/>
    <m/>
    <m/>
    <m/>
    <s v="F3X"/>
    <n v="4.0201202121400402E+18"/>
    <s v="t"/>
    <s v="CONTRIBUTION TO ACTBLUE"/>
    <n v="2020"/>
    <s v="SA"/>
    <m/>
    <n v="4.0311202112519997E+18"/>
    <s v="https://docquery.fec.gov/cgi-bin/fecimg/?202101319419580678"/>
    <s v="Contributions From Individuals/Persons Other Than Political Committees"/>
  </r>
  <r>
    <s v="C00401224"/>
    <x v="3"/>
    <n v="2020"/>
    <s v="YE"/>
    <n v="2.0210131941958E+17"/>
    <s v="11AI"/>
    <s v="SA11AI_358748199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06T00:00:00"/>
    <n v="2.5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39:13"/>
    <m/>
    <m/>
    <m/>
    <s v="F3X"/>
    <n v="4.0201202121400402E+18"/>
    <s v="t"/>
    <s v="CONTRIBUTION TO ACTBLUE"/>
    <n v="2020"/>
    <s v="SA"/>
    <m/>
    <n v="4.0311202112486799E+18"/>
    <s v="https://docquery.fec.gov/cgi-bin/fecimg/?202101319419580674"/>
    <s v="Contributions From Individuals/Persons Other Than Political Committees"/>
  </r>
  <r>
    <s v="C00401224"/>
    <x v="3"/>
    <n v="2020"/>
    <s v="YE"/>
    <n v="2.0210131941958E+17"/>
    <s v="11AI"/>
    <s v="SA11AI_358748200"/>
    <n v="149680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2-06T00:00:00"/>
    <n v="25"/>
    <n v="381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39:16"/>
    <m/>
    <m/>
    <m/>
    <s v="F3X"/>
    <n v="4.0201202121400402E+18"/>
    <s v="t"/>
    <s v="EARMARKED FOR WARNOCK FOR GEORGIA (C00736876)"/>
    <n v="2020"/>
    <s v="SA"/>
    <m/>
    <n v="4.0311202112486799E+18"/>
    <s v="https://docquery.fec.gov/cgi-bin/fecimg/?202101319419580674"/>
    <s v="Contributions From Individuals/Persons Other Than Political Committees"/>
  </r>
  <r>
    <s v="C00401224"/>
    <x v="3"/>
    <n v="2020"/>
    <s v="YE"/>
    <n v="2.0210131941958E+17"/>
    <s v="11AI"/>
    <s v="SA11AI_356524635"/>
    <n v="1496802"/>
    <m/>
    <s v="IND"/>
    <s v="INDIVIDUAL"/>
    <s v="C007188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18866"/>
    <s v="24T"/>
    <s v="EARMARKED INTERMEDIARY TREASURY OUT"/>
    <s v="EARMARK"/>
    <m/>
    <m/>
    <d v="2020-11-29T00:00:00"/>
    <n v="50"/>
    <n v="650"/>
    <s v="S8GA00180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42:28"/>
    <m/>
    <m/>
    <m/>
    <s v="F3X"/>
    <n v="4.0201202121400402E+18"/>
    <s v="t"/>
    <s v="EARMARKED FOR JON OSSOFF FOR SENATE (C00718866)"/>
    <n v="2020"/>
    <s v="SA"/>
    <m/>
    <n v="4.0311202112472602E+18"/>
    <s v="https://docquery.fec.gov/cgi-bin/fecimg/?202101319419580669"/>
    <s v="Contributions From Individuals/Persons Other Than Political Committees"/>
  </r>
  <r>
    <s v="C00401224"/>
    <x v="3"/>
    <n v="2020"/>
    <s v="YE"/>
    <n v="2.0210131941958E+17"/>
    <s v="11AI"/>
    <s v="SA11AI_356524636"/>
    <n v="1496802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11-29T00:00:00"/>
    <n v="50"/>
    <n v="7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45:03"/>
    <m/>
    <m/>
    <m/>
    <s v="F3X"/>
    <n v="4.0201202121400402E+18"/>
    <s v="t"/>
    <s v="EARMARKED FOR CONGRESSIONAL BLACK CAUCUS PAC (C00147512)"/>
    <n v="2020"/>
    <s v="SA"/>
    <m/>
    <n v="4.03112021124721E+18"/>
    <s v="https://docquery.fec.gov/cgi-bin/fecimg/?202101319419580670"/>
    <s v="Contributions From Individuals/Persons Other Than Political Committees"/>
  </r>
  <r>
    <s v="C00401224"/>
    <x v="3"/>
    <n v="2020"/>
    <s v="YE"/>
    <n v="2.0210131941958E+17"/>
    <s v="11AI"/>
    <s v="SA11AI_356524670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29T00:00:00"/>
    <n v="10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45:06"/>
    <m/>
    <m/>
    <m/>
    <s v="F3X"/>
    <n v="4.0201202121400402E+18"/>
    <s v="t"/>
    <s v="CONTRIBUTION TO ACTBLUE"/>
    <n v="2020"/>
    <s v="SA"/>
    <m/>
    <n v="4.0311202112472202E+18"/>
    <s v="https://docquery.fec.gov/cgi-bin/fecimg/?202101319419580670"/>
    <s v="Contributions From Individuals/Persons Other Than Political Committees"/>
  </r>
  <r>
    <s v="C00401224"/>
    <x v="3"/>
    <n v="2020"/>
    <s v="YE"/>
    <n v="2.0210131941958E+17"/>
    <s v="11AI"/>
    <s v="SA11AI_356544392"/>
    <n v="149680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1-29T00:00:00"/>
    <n v="50"/>
    <n v="381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46:57"/>
    <m/>
    <m/>
    <m/>
    <s v="F3X"/>
    <n v="4.0201202121400402E+18"/>
    <s v="t"/>
    <s v="EARMARKED FOR WARNOCK FOR GEORGIA (C00736876)"/>
    <n v="2020"/>
    <s v="SA"/>
    <m/>
    <n v="4.0311202112472499E+18"/>
    <s v="https://docquery.fec.gov/cgi-bin/fecimg/?202101319419580672"/>
    <s v="Contributions From Individuals/Persons Other Than Political Committees"/>
  </r>
  <r>
    <s v="C00401224"/>
    <x v="3"/>
    <n v="2020"/>
    <s v="YE"/>
    <n v="2.0210131941958E+17"/>
    <s v="11AI"/>
    <s v="SA11AI_356544393"/>
    <n v="1496802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11-29T00:00:00"/>
    <n v="50"/>
    <n v="2249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46:57"/>
    <m/>
    <m/>
    <m/>
    <s v="F3X"/>
    <n v="4.0201202121400402E+18"/>
    <s v="t"/>
    <s v="EARMARKED FOR STOP REPUBLICANS (C00633404)"/>
    <n v="2020"/>
    <s v="SA"/>
    <m/>
    <n v="4.0311202112472499E+18"/>
    <s v="https://docquery.fec.gov/cgi-bin/fecimg/?202101319419580670"/>
    <s v="Contributions From Individuals/Persons Other Than Political Committees"/>
  </r>
  <r>
    <s v="C00401224"/>
    <x v="3"/>
    <n v="2020"/>
    <s v="YE"/>
    <n v="2.0210131941958E+17"/>
    <s v="11AI"/>
    <s v="SA11AI_356544404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1-29T00:00:00"/>
    <n v="10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46:57"/>
    <m/>
    <m/>
    <m/>
    <s v="F3X"/>
    <n v="4.0201202121400402E+18"/>
    <s v="t"/>
    <s v="CONTRIBUTION TO ACTBLUE"/>
    <n v="2020"/>
    <s v="SA"/>
    <m/>
    <n v="4.0311202112472499E+18"/>
    <s v="https://docquery.fec.gov/cgi-bin/fecimg/?202101319419580671"/>
    <s v="Contributions From Individuals/Persons Other Than Political Committees"/>
  </r>
  <r>
    <s v="C00401224"/>
    <x v="3"/>
    <n v="2020"/>
    <s v="YE"/>
    <n v="2.0210131941958E+17"/>
    <s v="11AI"/>
    <s v="SA11AI_361639839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15T00:00:00"/>
    <n v="10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51:30"/>
    <m/>
    <m/>
    <m/>
    <s v="F3X"/>
    <n v="4.0201202121400402E+18"/>
    <s v="t"/>
    <s v="CONTRIBUTION TO ACTBLUE"/>
    <n v="2020"/>
    <s v="SA"/>
    <m/>
    <n v="4.0311202112506199E+18"/>
    <s v="https://docquery.fec.gov/cgi-bin/fecimg/?202101319419580675"/>
    <s v="Contributions From Individuals/Persons Other Than Political Committees"/>
  </r>
  <r>
    <s v="C00401224"/>
    <x v="3"/>
    <n v="2020"/>
    <s v="YE"/>
    <n v="2.0210131941958E+17"/>
    <s v="11AI"/>
    <s v="SA11AI_361639840"/>
    <n v="1496802"/>
    <m/>
    <s v="IND"/>
    <s v="INDIVIDUAL"/>
    <s v="C0060308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03084"/>
    <s v="24T"/>
    <s v="EARMARKED INTERMEDIARY TREASURY OUT"/>
    <s v="EARMARK"/>
    <m/>
    <m/>
    <d v="2020-12-15T00:00:00"/>
    <n v="50"/>
    <n v="47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51:30"/>
    <m/>
    <m/>
    <m/>
    <s v="F3X"/>
    <n v="4.0201202121400402E+18"/>
    <s v="t"/>
    <s v="EARMARKED FOR NATIONAL DEMOCRATIC TRAINING COMMITTEE PAC (C00603084)"/>
    <n v="2020"/>
    <s v="SA"/>
    <m/>
    <n v="4.0311202112506199E+18"/>
    <s v="https://docquery.fec.gov/cgi-bin/fecimg/?202101319419580676"/>
    <s v="Contributions From Individuals/Persons Other Than Political Committees"/>
  </r>
  <r>
    <s v="C00401224"/>
    <x v="3"/>
    <n v="2020"/>
    <s v="YE"/>
    <n v="2.0210131941958E+17"/>
    <s v="11AI"/>
    <s v="SA11AI_361639842"/>
    <n v="1496802"/>
    <m/>
    <s v="IND"/>
    <s v="INDIVIDUAL"/>
    <s v="C0071886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18866"/>
    <s v="24T"/>
    <s v="EARMARKED INTERMEDIARY TREASURY OUT"/>
    <s v="EARMARK"/>
    <m/>
    <m/>
    <d v="2020-12-15T00:00:00"/>
    <n v="50"/>
    <n v="650"/>
    <s v="S8GA00180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51:30"/>
    <m/>
    <m/>
    <m/>
    <s v="F3X"/>
    <n v="4.0201202121400402E+18"/>
    <s v="t"/>
    <s v="EARMARKED FOR JON OSSOFF FOR SENATE (C00718866)"/>
    <n v="2020"/>
    <s v="SA"/>
    <m/>
    <n v="4.0311202112506199E+18"/>
    <s v="https://docquery.fec.gov/cgi-bin/fecimg/?202101319419580676"/>
    <s v="Contributions From Individuals/Persons Other Than Political Committees"/>
  </r>
  <r>
    <s v="C00401224"/>
    <x v="3"/>
    <n v="2020"/>
    <s v="YE"/>
    <n v="2.0210131941958E+17"/>
    <s v="11AI"/>
    <s v="SA11AI_361015023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13T00:00:00"/>
    <n v="2.5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53:46"/>
    <m/>
    <m/>
    <m/>
    <s v="F3X"/>
    <n v="4.0201202121400402E+18"/>
    <s v="t"/>
    <s v="CONTRIBUTION TO ACTBLUE"/>
    <n v="2020"/>
    <s v="SA"/>
    <m/>
    <n v="4.0311202112503301E+18"/>
    <s v="https://docquery.fec.gov/cgi-bin/fecimg/?202101319419580675"/>
    <s v="Contributions From Individuals/Persons Other Than Political Committees"/>
  </r>
  <r>
    <s v="C00401224"/>
    <x v="3"/>
    <n v="2020"/>
    <s v="YE"/>
    <n v="2.0210131941958E+17"/>
    <s v="11AI"/>
    <s v="SA11AI_361015025"/>
    <n v="149680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2-13T00:00:00"/>
    <n v="25"/>
    <n v="381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53:46"/>
    <m/>
    <m/>
    <m/>
    <s v="F3X"/>
    <n v="4.0201202121400402E+18"/>
    <s v="t"/>
    <s v="EARMARKED FOR WARNOCK FOR GEORGIA (C00736876)"/>
    <n v="2020"/>
    <s v="SA"/>
    <m/>
    <n v="4.0311202112503301E+18"/>
    <s v="https://docquery.fec.gov/cgi-bin/fecimg/?202101319419580675"/>
    <s v="Contributions From Individuals/Persons Other Than Political Committees"/>
  </r>
  <r>
    <s v="C00401224"/>
    <x v="3"/>
    <n v="2020"/>
    <s v="YE"/>
    <n v="2.0210131941958E+17"/>
    <s v="11AI"/>
    <s v="SA11AI_358369936"/>
    <n v="149680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2-05T00:00:00"/>
    <n v="5"/>
    <n v="381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4:57:56"/>
    <m/>
    <m/>
    <m/>
    <s v="F3X"/>
    <n v="4.0201202121400402E+18"/>
    <s v="t"/>
    <s v="EARMARKED FOR WARNOCK FOR GEORGIA (C00736876)"/>
    <n v="2020"/>
    <s v="SA"/>
    <m/>
    <n v="4.0311202112484301E+18"/>
    <s v="https://docquery.fec.gov/cgi-bin/fecimg/?202101319419580673"/>
    <s v="Contributions From Individuals/Persons Other Than Political Committees"/>
  </r>
  <r>
    <s v="C00401224"/>
    <x v="3"/>
    <n v="2020"/>
    <s v="YE"/>
    <n v="2.0210131941958E+17"/>
    <s v="11AI"/>
    <s v="SA11AI_364715308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27T00:00:00"/>
    <n v="2.5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5:01:45"/>
    <m/>
    <m/>
    <m/>
    <s v="F3X"/>
    <n v="4.0201202121400402E+18"/>
    <s v="t"/>
    <s v="CONTRIBUTION TO ACTBLUE"/>
    <n v="2020"/>
    <s v="SA"/>
    <m/>
    <n v="4.0311202112531302E+18"/>
    <s v="https://docquery.fec.gov/cgi-bin/fecimg/?202101319419580679"/>
    <s v="Contributions From Individuals/Persons Other Than Political Committees"/>
  </r>
  <r>
    <s v="C00401224"/>
    <x v="3"/>
    <n v="2020"/>
    <s v="YE"/>
    <n v="2.0210131941958E+17"/>
    <s v="11AI"/>
    <s v="SA11AI_364715310"/>
    <n v="1496802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12-27T00:00:00"/>
    <n v="25"/>
    <n v="3814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5:01:45"/>
    <m/>
    <m/>
    <m/>
    <s v="F3X"/>
    <n v="4.0201202121400402E+18"/>
    <s v="t"/>
    <s v="EARMARKED FOR WARNOCK FOR GEORGIA (C00736876)"/>
    <n v="2020"/>
    <s v="SA"/>
    <m/>
    <n v="4.0311202112531302E+18"/>
    <s v="https://docquery.fec.gov/cgi-bin/fecimg/?202101319419580678"/>
    <s v="Contributions From Individuals/Persons Other Than Political Committees"/>
  </r>
  <r>
    <s v="C00751339"/>
    <x v="13"/>
    <n v="2020"/>
    <s v="12R"/>
    <n v="2.02012249393804E+17"/>
    <s v="11AI"/>
    <n v="3445816"/>
    <n v="1484206"/>
    <m/>
    <s v="IND"/>
    <s v="INDIVIDUAL"/>
    <s v="C00401224"/>
    <m/>
    <s v="GLOVER, RENEE"/>
    <s v="N"/>
    <m/>
    <s v="J"/>
    <s v="RENEE"/>
    <m/>
    <s v="GLOVER"/>
    <m/>
    <s v="553 AUBURN AVE NE"/>
    <m/>
    <s v="ATLANTA"/>
    <s v="GA"/>
    <n v="303121941"/>
    <s v="THE CATALYST GROUP LLC"/>
    <s v="BUSINESS CONSULTANT"/>
    <s v="C00401224"/>
    <s v="15E"/>
    <s v="EARMARKED CONTRIBUTION"/>
    <m/>
    <m/>
    <m/>
    <d v="2020-12-01T00:00:00"/>
    <n v="500"/>
    <n v="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07T09:46:57"/>
    <m/>
    <s v="3445816E"/>
    <s v="SA11AI"/>
    <s v="F3X"/>
    <n v="4.1225202019863501E+18"/>
    <s v="t"/>
    <s v="* EARMARKED CONTRIBUTION: SEE BELOW"/>
    <n v="2020"/>
    <s v="SA"/>
    <m/>
    <n v="4.0106202120619802E+18"/>
    <s v="https://docquery.fec.gov/cgi-bin/fecimg/?202012249393804767"/>
    <s v="Contributions From Individuals/Persons Other Than Political Committees"/>
  </r>
  <r>
    <s v="C00401224"/>
    <x v="3"/>
    <n v="2020"/>
    <s v="YE"/>
    <n v="2.0210131941958E+17"/>
    <s v="11AI"/>
    <s v="SA11AI_362999274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19T00:00:00"/>
    <n v="20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5:09:59"/>
    <m/>
    <m/>
    <m/>
    <s v="F3X"/>
    <n v="4.0201202121400402E+18"/>
    <s v="t"/>
    <s v="CONTRIBUTION TO ACTBLUE"/>
    <n v="2020"/>
    <s v="SA"/>
    <m/>
    <n v="4.0311202112516803E+18"/>
    <s v="https://docquery.fec.gov/cgi-bin/fecimg/?202101319419580676"/>
    <s v="Contributions From Individuals/Persons Other Than Political Committees"/>
  </r>
  <r>
    <s v="C00401224"/>
    <x v="3"/>
    <n v="2020"/>
    <s v="YE"/>
    <n v="2.0210131941958E+17"/>
    <s v="11AI"/>
    <s v="SA11AI_358312221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12-04T00:00:00"/>
    <n v="50"/>
    <n v="16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5:09:59"/>
    <m/>
    <m/>
    <m/>
    <s v="F3X"/>
    <n v="4.0201202121400402E+18"/>
    <s v="t"/>
    <s v="EARMARKED FOR CONGRESSIONAL PROGRESSIVE CAUCUS PAC (C00513176)"/>
    <n v="2020"/>
    <s v="SA"/>
    <m/>
    <n v="4.0311202112483702E+18"/>
    <s v="https://docquery.fec.gov/cgi-bin/fecimg/?202101319419580673"/>
    <s v="Contributions From Individuals/Persons Other Than Political Committees"/>
  </r>
  <r>
    <s v="C00401224"/>
    <x v="3"/>
    <n v="2020"/>
    <s v="YE"/>
    <n v="2.0210131941958E+17"/>
    <s v="11AI"/>
    <s v="SA11AI_358312232"/>
    <n v="1496802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12-04T00:00:00"/>
    <n v="5"/>
    <n v="1661.2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3-12T05:09:59"/>
    <m/>
    <m/>
    <m/>
    <s v="F3X"/>
    <n v="4.0201202121400402E+18"/>
    <s v="t"/>
    <s v="CONTRIBUTION TO ACTBLUE"/>
    <n v="2020"/>
    <s v="SA"/>
    <m/>
    <n v="4.0311202112483702E+18"/>
    <s v="https://docquery.fec.gov/cgi-bin/fecimg/?202101319419580673"/>
    <s v="Contributions From Individuals/Persons Other Than Political Committees"/>
  </r>
  <r>
    <s v="C00042366"/>
    <x v="1"/>
    <n v="2020"/>
    <s v="30G"/>
    <n v="2.02106189449528E+17"/>
    <s v="11AI"/>
    <n v="16872805"/>
    <n v="152093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1-07T00:00:00"/>
    <n v="200"/>
    <n v="24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6-30T05:43:27"/>
    <m/>
    <s v="16872805E"/>
    <s v="SA11AI"/>
    <s v="F3X"/>
    <n v="4.0619202113094001E+18"/>
    <s v="t"/>
    <s v="* EARMARKED CONTRIBUTION: SEE BELOW"/>
    <n v="2020"/>
    <s v="SA"/>
    <m/>
    <n v="4.0630202113122099E+18"/>
    <s v="https://docquery.fec.gov/cgi-bin/fecimg/?202106189449528270"/>
    <s v="Contributions From Individuals/Persons Other Than Political Committees"/>
  </r>
  <r>
    <s v="C00042366"/>
    <x v="1"/>
    <n v="2020"/>
    <s v="30G"/>
    <n v="2.02106189449528E+17"/>
    <s v="11AI"/>
    <n v="16993003"/>
    <n v="152093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1-14T00:00:00"/>
    <n v="200"/>
    <n v="26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6-30T05:43:27"/>
    <m/>
    <s v="16993003E"/>
    <s v="SA11AI"/>
    <s v="F3X"/>
    <n v="4.0619202113094001E+18"/>
    <s v="t"/>
    <s v="* EARMARKED CONTRIBUTION: SEE BELOW"/>
    <n v="2020"/>
    <s v="SA"/>
    <m/>
    <n v="4.0630202113122099E+18"/>
    <s v="https://docquery.fec.gov/cgi-bin/fecimg/?202106189449528271"/>
    <s v="Contributions From Individuals/Persons Other Than Political Committees"/>
  </r>
  <r>
    <s v="C00042366"/>
    <x v="1"/>
    <n v="2020"/>
    <s v="30G"/>
    <n v="2.02106189449528E+17"/>
    <s v="11AI"/>
    <n v="17052895"/>
    <n v="152093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1-20T00:00:00"/>
    <n v="200"/>
    <n v="30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6-30T05:43:27"/>
    <m/>
    <s v="17052895E"/>
    <s v="SA11AI"/>
    <s v="F3X"/>
    <n v="4.0619202113094001E+18"/>
    <s v="t"/>
    <s v="* EARMARKED CONTRIBUTION: SEE BELOW"/>
    <n v="2020"/>
    <s v="SA"/>
    <m/>
    <n v="4.0630202113122099E+18"/>
    <s v="https://docquery.fec.gov/cgi-bin/fecimg/?202106189449528272"/>
    <s v="Contributions From Individuals/Persons Other Than Political Committees"/>
  </r>
  <r>
    <s v="C00042366"/>
    <x v="1"/>
    <n v="2020"/>
    <s v="30G"/>
    <n v="2.02106189449528E+17"/>
    <s v="11AI"/>
    <n v="17054121"/>
    <n v="152093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1-20T00:00:00"/>
    <n v="200"/>
    <n v="30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6-30T05:43:27"/>
    <m/>
    <s v="17054121E"/>
    <s v="SA11AI"/>
    <s v="F3X"/>
    <n v="4.0619202113094001E+18"/>
    <s v="t"/>
    <s v="* EARMARKED CONTRIBUTION: SEE BELOW"/>
    <n v="2020"/>
    <s v="SA"/>
    <m/>
    <n v="4.0630202113122099E+18"/>
    <s v="https://docquery.fec.gov/cgi-bin/fecimg/?202106189449528272"/>
    <s v="Contributions From Individuals/Persons Other Than Political Committees"/>
  </r>
  <r>
    <s v="C00633404"/>
    <x v="9"/>
    <n v="2020"/>
    <s v="YE"/>
    <n v="2.0210128941379002E+17"/>
    <s v="11AI"/>
    <s v="VTR0FY6D906"/>
    <n v="1492857"/>
    <m/>
    <s v="IND"/>
    <s v="INDIVIDUAL"/>
    <m/>
    <m/>
    <s v="GLOVER, RENEE"/>
    <s v="V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1-29T00:00:00"/>
    <n v="50"/>
    <n v="224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6T03:47:46"/>
    <m/>
    <s v="VTR0FY6D906E"/>
    <s v="SA11AI"/>
    <s v="F3X"/>
    <n v="4.01302021213907E+18"/>
    <s v="t"/>
    <s v="* EARMARKED CONTRIBUTION: SEE BELOW"/>
    <n v="2020"/>
    <s v="SA"/>
    <m/>
    <n v="4.0206202111209001E+18"/>
    <s v="https://docquery.fec.gov/cgi-bin/fecimg/?202101289413790128"/>
    <s v="Contributions From Individuals/Persons Other Than Political Committees"/>
  </r>
  <r>
    <s v="C00401224"/>
    <x v="3"/>
    <n v="2020"/>
    <s v="M9"/>
    <n v="2.0201211936791501E+17"/>
    <s v="11AI"/>
    <s v="SA11AI_281670998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20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6:18"/>
    <m/>
    <m/>
    <m/>
    <s v="F3X"/>
    <n v="4.1215202019740099E+18"/>
    <s v="t"/>
    <s v="CONTRIBUTION TO ACTBLUE"/>
    <n v="2020"/>
    <s v="SA"/>
    <m/>
    <n v="4.0112202120758999E+18"/>
    <s v="https://docquery.fec.gov/cgi-bin/fecimg/?202012119367915068"/>
    <s v="Contributions From Individuals/Persons Other Than Political Committees"/>
  </r>
  <r>
    <s v="C00401224"/>
    <x v="3"/>
    <n v="2020"/>
    <s v="M9"/>
    <n v="2.0201211936791501E+17"/>
    <s v="11AI"/>
    <s v="SA11AI_281670656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20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6:25"/>
    <m/>
    <m/>
    <m/>
    <s v="F3X"/>
    <n v="4.1215202019740099E+18"/>
    <s v="t"/>
    <s v="EARMARKED FOR STOP REPUBLICANS (C00633404)"/>
    <n v="2020"/>
    <s v="SA"/>
    <m/>
    <n v="4.0112202120759101E+18"/>
    <s v="https://docquery.fec.gov/cgi-bin/fecimg/?202012119367915067"/>
    <s v="Contributions From Individuals/Persons Other Than Political Committees"/>
  </r>
  <r>
    <s v="C00401224"/>
    <x v="3"/>
    <n v="2020"/>
    <s v="M9"/>
    <n v="2.0201211936791501E+17"/>
    <s v="11AI"/>
    <s v="SA11AI_281672760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20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6:33"/>
    <m/>
    <m/>
    <m/>
    <s v="F3X"/>
    <n v="4.1215202019740099E+18"/>
    <s v="t"/>
    <s v="CONTRIBUTION TO ACTBLUE"/>
    <n v="2020"/>
    <s v="SA"/>
    <m/>
    <n v="4.0112202120759101E+18"/>
    <s v="https://docquery.fec.gov/cgi-bin/fecimg/?202012119367915069"/>
    <s v="Contributions From Individuals/Persons Other Than Political Committees"/>
  </r>
  <r>
    <s v="C00401224"/>
    <x v="3"/>
    <n v="2020"/>
    <s v="M9"/>
    <n v="2.0201211936791501E+17"/>
    <s v="11AI"/>
    <s v="SA11AI_281672441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20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6:47"/>
    <m/>
    <m/>
    <m/>
    <s v="F3X"/>
    <n v="4.1215202019740099E+18"/>
    <s v="t"/>
    <s v="EARMARKED FOR STOP REPUBLICANS (C00633404)"/>
    <n v="2020"/>
    <s v="SA"/>
    <m/>
    <n v="4.0112202120759199E+18"/>
    <s v="https://docquery.fec.gov/cgi-bin/fecimg/?202012119367915068"/>
    <s v="Contributions From Individuals/Persons Other Than Political Committees"/>
  </r>
  <r>
    <s v="C00401224"/>
    <x v="3"/>
    <n v="2020"/>
    <s v="M9"/>
    <n v="2.0201211936791501E+17"/>
    <s v="11AI"/>
    <s v="SA11AI_281666356"/>
    <n v="1482644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08-20T00:00:00"/>
    <n v="100"/>
    <n v="4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7:08"/>
    <m/>
    <m/>
    <m/>
    <s v="F3X"/>
    <n v="4.1215202019740099E+18"/>
    <s v="t"/>
    <s v="EARMARKED FOR CONGRESSIONAL BLACK CAUCUS PAC (C00147512)"/>
    <n v="2020"/>
    <s v="SA"/>
    <m/>
    <n v="4.0112202120758001E+18"/>
    <s v="https://docquery.fec.gov/cgi-bin/fecimg/?202012119367915068"/>
    <s v="Contributions From Individuals/Persons Other Than Political Committees"/>
  </r>
  <r>
    <s v="C00401224"/>
    <x v="3"/>
    <n v="2020"/>
    <s v="M9"/>
    <n v="2.0201211936791501E+17"/>
    <s v="11AI"/>
    <s v="SA11AI_280933521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9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7:09"/>
    <m/>
    <m/>
    <m/>
    <s v="F3X"/>
    <n v="4.1215202019740099E+18"/>
    <s v="t"/>
    <s v="CONTRIBUTION TO ACTBLUE"/>
    <n v="2020"/>
    <s v="SA"/>
    <m/>
    <n v="4.0112202120752399E+18"/>
    <s v="https://docquery.fec.gov/cgi-bin/fecimg/?202012119367915066"/>
    <s v="Contributions From Individuals/Persons Other Than Political Committees"/>
  </r>
  <r>
    <s v="C00401224"/>
    <x v="3"/>
    <n v="2020"/>
    <s v="M9"/>
    <n v="2.0201211936791501E+17"/>
    <s v="11AI"/>
    <s v="SA11AI_280934368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19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7:11"/>
    <m/>
    <m/>
    <m/>
    <s v="F3X"/>
    <n v="4.1215202019740099E+18"/>
    <s v="t"/>
    <s v="EARMARKED FOR STOP REPUBLICANS (C00633404)"/>
    <n v="2020"/>
    <s v="SA"/>
    <m/>
    <n v="4.0112202120752399E+18"/>
    <s v="https://docquery.fec.gov/cgi-bin/fecimg/?202012119367915066"/>
    <s v="Contributions From Individuals/Persons Other Than Political Committees"/>
  </r>
  <r>
    <s v="C00401224"/>
    <x v="3"/>
    <n v="2020"/>
    <s v="M9"/>
    <n v="2.0201211936791501E+17"/>
    <s v="11AI"/>
    <s v="SA11AI_280933284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19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7:32"/>
    <m/>
    <m/>
    <m/>
    <s v="F3X"/>
    <n v="4.1215202019740099E+18"/>
    <s v="t"/>
    <s v="EARMARKED FOR STOP REPUBLICANS (C00633404)"/>
    <n v="2020"/>
    <s v="SA"/>
    <m/>
    <n v="4.0112202120752502E+18"/>
    <s v="https://docquery.fec.gov/cgi-bin/fecimg/?202012119367915066"/>
    <s v="Contributions From Individuals/Persons Other Than Political Committees"/>
  </r>
  <r>
    <s v="C00401224"/>
    <x v="3"/>
    <n v="2020"/>
    <s v="M9"/>
    <n v="2.0201211936791501E+17"/>
    <s v="11AI"/>
    <s v="SA11AI_281477139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20T00:00:00"/>
    <n v="2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7:34"/>
    <m/>
    <m/>
    <m/>
    <s v="F3X"/>
    <n v="4.1215202019740099E+18"/>
    <s v="t"/>
    <s v="CONTRIBUTION TO ACTBLUE"/>
    <n v="2020"/>
    <s v="SA"/>
    <m/>
    <n v="4.0112202120759398E+18"/>
    <s v="https://docquery.fec.gov/cgi-bin/fecimg/?202012119367915069"/>
    <s v="Contributions From Individuals/Persons Other Than Political Committees"/>
  </r>
  <r>
    <s v="C00401224"/>
    <x v="3"/>
    <n v="2020"/>
    <s v="M9"/>
    <n v="2.0201211936791501E+17"/>
    <s v="11AI"/>
    <s v="SA11AI_280934607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9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7:44"/>
    <m/>
    <m/>
    <m/>
    <s v="F3X"/>
    <n v="4.1215202019740099E+18"/>
    <s v="t"/>
    <s v="CONTRIBUTION TO ACTBLUE"/>
    <n v="2020"/>
    <s v="SA"/>
    <m/>
    <n v="4.0112202120752502E+18"/>
    <s v="https://docquery.fec.gov/cgi-bin/fecimg/?202012119367915065"/>
    <s v="Contributions From Individuals/Persons Other Than Political Committees"/>
  </r>
  <r>
    <s v="C00401224"/>
    <x v="3"/>
    <n v="2020"/>
    <s v="M9"/>
    <n v="2.0201211936791501E+17"/>
    <s v="11AI"/>
    <s v="SA11AI_281666674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20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8:04"/>
    <m/>
    <m/>
    <m/>
    <s v="F3X"/>
    <n v="4.1215202019740099E+18"/>
    <s v="t"/>
    <s v="CONTRIBUTION TO ACTBLUE"/>
    <n v="2020"/>
    <s v="SA"/>
    <m/>
    <n v="4.01122021207582E+18"/>
    <s v="https://docquery.fec.gov/cgi-bin/fecimg/?202012119367915067"/>
    <s v="Contributions From Individuals/Persons Other Than Political Committees"/>
  </r>
  <r>
    <s v="C00401224"/>
    <x v="3"/>
    <n v="2020"/>
    <s v="M9"/>
    <n v="2.0201211936791501E+17"/>
    <s v="11AI"/>
    <s v="SA11AI_280204219"/>
    <n v="1482644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8-18T00:00:00"/>
    <n v="100"/>
    <n v="135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9:21"/>
    <m/>
    <m/>
    <m/>
    <s v="F3X"/>
    <n v="4.1215202019740099E+18"/>
    <s v="t"/>
    <s v="EARMARKED FOR DCCC (C00000935)"/>
    <n v="2020"/>
    <s v="SA"/>
    <m/>
    <n v="4.0112202120746501E+18"/>
    <s v="https://docquery.fec.gov/cgi-bin/fecimg/?202012119367915065"/>
    <s v="Contributions From Individuals/Persons Other Than Political Committees"/>
  </r>
  <r>
    <s v="C00401224"/>
    <x v="3"/>
    <n v="2020"/>
    <s v="M9"/>
    <n v="2.0201211936791501E+17"/>
    <s v="11AI"/>
    <s v="SA11AI_280204271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8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09:59:29"/>
    <m/>
    <m/>
    <m/>
    <s v="F3X"/>
    <n v="4.1215202019740099E+18"/>
    <s v="t"/>
    <s v="CONTRIBUTION TO ACTBLUE"/>
    <n v="2020"/>
    <s v="SA"/>
    <m/>
    <n v="4.0112202120746501E+18"/>
    <s v="https://docquery.fec.gov/cgi-bin/fecimg/?202012119367915065"/>
    <s v="Contributions From Individuals/Persons Other Than Political Committees"/>
  </r>
  <r>
    <s v="C00401224"/>
    <x v="3"/>
    <n v="2020"/>
    <s v="M9"/>
    <n v="2.0201211936791501E+17"/>
    <s v="11AI"/>
    <s v="SA11AI_287023687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30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03:55"/>
    <m/>
    <m/>
    <m/>
    <s v="F3X"/>
    <n v="4.1215202019740099E+18"/>
    <s v="t"/>
    <s v="CONTRIBUTION TO ACTBLUE"/>
    <n v="2020"/>
    <s v="SA"/>
    <m/>
    <n v="4.01122021208017E+18"/>
    <s v="https://docquery.fec.gov/cgi-bin/fecimg/?202012119367915074"/>
    <s v="Contributions From Individuals/Persons Other Than Political Committees"/>
  </r>
  <r>
    <s v="C00401224"/>
    <x v="3"/>
    <n v="2020"/>
    <s v="M9"/>
    <n v="2.0201211936791501E+17"/>
    <s v="11AI"/>
    <s v="SA11AI_287023420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30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04:10"/>
    <m/>
    <m/>
    <m/>
    <s v="F3X"/>
    <n v="4.1215202019740099E+18"/>
    <s v="t"/>
    <s v="EARMARKED FOR STOP REPUBLICANS (C00633404)"/>
    <n v="2020"/>
    <s v="SA"/>
    <m/>
    <n v="4.0112202120801597E+18"/>
    <s v="https://docquery.fec.gov/cgi-bin/fecimg/?202012119367915073"/>
    <s v="Contributions From Individuals/Persons Other Than Political Committees"/>
  </r>
  <r>
    <s v="C00401224"/>
    <x v="3"/>
    <n v="2020"/>
    <s v="M9"/>
    <n v="2.0201211936791501E+17"/>
    <s v="11AI"/>
    <s v="SA11AI_287023459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30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04:17"/>
    <m/>
    <m/>
    <m/>
    <s v="F3X"/>
    <n v="4.1215202019740099E+18"/>
    <s v="t"/>
    <s v="CONTRIBUTION TO ACTBLUE"/>
    <n v="2020"/>
    <s v="SA"/>
    <m/>
    <n v="4.0112202120801597E+18"/>
    <s v="https://docquery.fec.gov/cgi-bin/fecimg/?202012119367915073"/>
    <s v="Contributions From Individuals/Persons Other Than Political Committees"/>
  </r>
  <r>
    <s v="C00401224"/>
    <x v="3"/>
    <n v="2020"/>
    <s v="M9"/>
    <n v="2.0201211936791501E+17"/>
    <s v="11AI"/>
    <s v="SA11AI_287025460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8-30T00:00:00"/>
    <n v="5"/>
    <n v="7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04:17"/>
    <m/>
    <m/>
    <m/>
    <s v="F3X"/>
    <n v="4.1215202019740099E+18"/>
    <s v="t"/>
    <s v="EARMARKED FOR NATIONAL DEMOCRATIC TRAINING COMMITTEE PAC (C00603084)"/>
    <n v="2020"/>
    <s v="SA"/>
    <m/>
    <n v="4.0112202120801597E+18"/>
    <s v="https://docquery.fec.gov/cgi-bin/fecimg/?202012119367915072"/>
    <s v="Contributions From Individuals/Persons Other Than Political Committees"/>
  </r>
  <r>
    <s v="C00401224"/>
    <x v="3"/>
    <n v="2020"/>
    <s v="M9"/>
    <n v="2.0201211936791501E+17"/>
    <s v="11AI"/>
    <s v="SA11AI_287023650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30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04:28"/>
    <m/>
    <m/>
    <m/>
    <s v="F3X"/>
    <n v="4.1215202019740099E+18"/>
    <s v="t"/>
    <s v="EARMARKED FOR STOP REPUBLICANS (C00633404)"/>
    <n v="2020"/>
    <s v="SA"/>
    <m/>
    <n v="4.01122021208017E+18"/>
    <s v="https://docquery.fec.gov/cgi-bin/fecimg/?202012119367915073"/>
    <s v="Contributions From Individuals/Persons Other Than Political Committees"/>
  </r>
  <r>
    <s v="C00401224"/>
    <x v="3"/>
    <n v="2020"/>
    <s v="M9"/>
    <n v="2.0201211936791501E+17"/>
    <s v="11AI"/>
    <s v="SA11AI_272165811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01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14:41"/>
    <m/>
    <m/>
    <m/>
    <s v="F3X"/>
    <n v="4.1215202019740099E+18"/>
    <s v="t"/>
    <s v="EARMARKED FOR STOP REPUBLICANS (C00633404)"/>
    <n v="2020"/>
    <s v="SA"/>
    <m/>
    <n v="4.0112202120684201E+18"/>
    <s v="https://docquery.fec.gov/cgi-bin/fecimg/?202012119367915055"/>
    <s v="Contributions From Individuals/Persons Other Than Political Committees"/>
  </r>
  <r>
    <s v="C00401224"/>
    <x v="3"/>
    <n v="2020"/>
    <s v="M9"/>
    <n v="2.0201211936791501E+17"/>
    <s v="11AI"/>
    <s v="SA11AI_272165898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01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14:41"/>
    <m/>
    <m/>
    <m/>
    <s v="F3X"/>
    <n v="4.1215202019740099E+18"/>
    <s v="t"/>
    <s v="CONTRIBUTION TO ACTBLUE"/>
    <n v="2020"/>
    <s v="SA"/>
    <m/>
    <n v="4.0112202120684201E+18"/>
    <s v="https://docquery.fec.gov/cgi-bin/fecimg/?202012119367915055"/>
    <s v="Contributions From Individuals/Persons Other Than Political Committees"/>
  </r>
  <r>
    <s v="C00401224"/>
    <x v="3"/>
    <n v="2020"/>
    <s v="M9"/>
    <n v="2.0201211936791501E+17"/>
    <s v="11AI"/>
    <s v="SA11AI_276832339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2T00:00:00"/>
    <n v="2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16:33"/>
    <m/>
    <m/>
    <m/>
    <s v="F3X"/>
    <n v="4.1215202019740099E+18"/>
    <s v="t"/>
    <s v="CONTRIBUTION TO ACTBLUE"/>
    <n v="2020"/>
    <s v="SA"/>
    <m/>
    <n v="4.0112202120721198E+18"/>
    <s v="https://docquery.fec.gov/cgi-bin/fecimg/?202012119367915061"/>
    <s v="Contributions From Individuals/Persons Other Than Political Committees"/>
  </r>
  <r>
    <s v="C00401224"/>
    <x v="3"/>
    <n v="2020"/>
    <s v="M9"/>
    <n v="2.0201211936791501E+17"/>
    <s v="11AI"/>
    <s v="SA11AI_272886314"/>
    <n v="1482644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8-03T00:00:00"/>
    <n v="100"/>
    <n v="135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16:49"/>
    <m/>
    <m/>
    <m/>
    <s v="F3X"/>
    <n v="4.1215202019740099E+18"/>
    <s v="t"/>
    <s v="EARMARKED FOR DCCC (C00000935)"/>
    <n v="2020"/>
    <s v="SA"/>
    <m/>
    <n v="4.0112202120689101E+18"/>
    <s v="https://docquery.fec.gov/cgi-bin/fecimg/?202012119367915056"/>
    <s v="Contributions From Individuals/Persons Other Than Political Committees"/>
  </r>
  <r>
    <s v="C00401224"/>
    <x v="3"/>
    <n v="2020"/>
    <s v="M9"/>
    <n v="2.0201211936791501E+17"/>
    <s v="11AI"/>
    <s v="SA11AI_272886378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03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16:51"/>
    <m/>
    <m/>
    <m/>
    <s v="F3X"/>
    <n v="4.1215202019740099E+18"/>
    <s v="t"/>
    <s v="CONTRIBUTION TO ACTBLUE"/>
    <n v="2020"/>
    <s v="SA"/>
    <m/>
    <n v="4.0112202120689101E+18"/>
    <s v="https://docquery.fec.gov/cgi-bin/fecimg/?202012119367915056"/>
    <s v="Contributions From Individuals/Persons Other Than Political Committees"/>
  </r>
  <r>
    <s v="C00401224"/>
    <x v="3"/>
    <n v="2020"/>
    <s v="M9"/>
    <n v="2.0201211936791501E+17"/>
    <s v="11AI"/>
    <s v="SA11AI_284225074"/>
    <n v="1482644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08-26T00:00:00"/>
    <n v="25"/>
    <n v="4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18:15"/>
    <m/>
    <m/>
    <m/>
    <s v="F3X"/>
    <n v="4.1215202019740099E+18"/>
    <s v="t"/>
    <s v="EARMARKED FOR CONGRESSIONAL BLACK CAUCUS PAC (C00147512)"/>
    <n v="2020"/>
    <s v="SA"/>
    <m/>
    <n v="4.0112202120780201E+18"/>
    <s v="https://docquery.fec.gov/cgi-bin/fecimg/?202012119367915070"/>
    <s v="Contributions From Individuals/Persons Other Than Political Committees"/>
  </r>
  <r>
    <s v="C00401224"/>
    <x v="3"/>
    <n v="2020"/>
    <s v="M9"/>
    <n v="2.0201211936791501E+17"/>
    <s v="11AI"/>
    <s v="SA11AI_278213021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4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25:28"/>
    <m/>
    <m/>
    <m/>
    <s v="F3X"/>
    <n v="4.1215202019740099E+18"/>
    <s v="t"/>
    <s v="CONTRIBUTION TO ACTBLUE"/>
    <n v="2020"/>
    <s v="SA"/>
    <m/>
    <n v="4.0112202120729702E+18"/>
    <s v="https://docquery.fec.gov/cgi-bin/fecimg/?202012119367915062"/>
    <s v="Contributions From Individuals/Persons Other Than Political Committees"/>
  </r>
  <r>
    <s v="C00401224"/>
    <x v="3"/>
    <n v="2020"/>
    <s v="M9"/>
    <n v="2.0201211936791501E+17"/>
    <s v="11AI"/>
    <s v="SA11AI_278214350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4T00:00:00"/>
    <n v="1.5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25:28"/>
    <m/>
    <m/>
    <m/>
    <s v="F3X"/>
    <n v="4.1215202019740099E+18"/>
    <s v="t"/>
    <s v="CONTRIBUTION TO ACTBLUE"/>
    <n v="2020"/>
    <s v="SA"/>
    <m/>
    <n v="4.0112202120729702E+18"/>
    <s v="https://docquery.fec.gov/cgi-bin/fecimg/?202012119367915062"/>
    <s v="Contributions From Individuals/Persons Other Than Political Committees"/>
  </r>
  <r>
    <s v="C00401224"/>
    <x v="3"/>
    <n v="2020"/>
    <s v="M9"/>
    <n v="2.0201211936791501E+17"/>
    <s v="11AI"/>
    <s v="SA11AI_278212629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14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25:34"/>
    <m/>
    <m/>
    <m/>
    <s v="F3X"/>
    <n v="4.1215202019740099E+18"/>
    <s v="t"/>
    <s v="EARMARKED FOR STOP REPUBLICANS (C00633404)"/>
    <n v="2020"/>
    <s v="SA"/>
    <m/>
    <n v="4.01122021207298E+18"/>
    <s v="https://docquery.fec.gov/cgi-bin/fecimg/?202012119367915063"/>
    <s v="Contributions From Individuals/Persons Other Than Political Committees"/>
  </r>
  <r>
    <s v="C00401224"/>
    <x v="3"/>
    <n v="2020"/>
    <s v="M9"/>
    <n v="2.0201211936791501E+17"/>
    <s v="11AI"/>
    <s v="SA11AI_278212681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4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25:37"/>
    <m/>
    <m/>
    <m/>
    <s v="F3X"/>
    <n v="4.1215202019740099E+18"/>
    <s v="t"/>
    <s v="CONTRIBUTION TO ACTBLUE"/>
    <n v="2020"/>
    <s v="SA"/>
    <m/>
    <n v="4.01122021207298E+18"/>
    <s v="https://docquery.fec.gov/cgi-bin/fecimg/?202012119367915062"/>
    <s v="Contributions From Individuals/Persons Other Than Political Committees"/>
  </r>
  <r>
    <s v="C00401224"/>
    <x v="3"/>
    <n v="2020"/>
    <s v="M9"/>
    <n v="2.0201211936791501E+17"/>
    <s v="11AI"/>
    <s v="SA11AI_274635339"/>
    <n v="1482644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08-08T00:00:00"/>
    <n v="100"/>
    <n v="4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38:04"/>
    <m/>
    <m/>
    <m/>
    <s v="F3X"/>
    <n v="4.1215202019740099E+18"/>
    <s v="t"/>
    <s v="EARMARKED FOR CONGRESSIONAL BLACK CAUCUS PAC (C00147512)"/>
    <n v="2020"/>
    <s v="SA"/>
    <m/>
    <n v="4.0112202120701199E+18"/>
    <s v="https://docquery.fec.gov/cgi-bin/fecimg/?202012119367915058"/>
    <s v="Contributions From Individuals/Persons Other Than Political Committees"/>
  </r>
  <r>
    <s v="C00401224"/>
    <x v="3"/>
    <n v="2020"/>
    <s v="M9"/>
    <n v="2.0201211936791501E+17"/>
    <s v="11AI"/>
    <s v="SA11AI_274635375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08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38:04"/>
    <m/>
    <m/>
    <m/>
    <s v="F3X"/>
    <n v="4.1215202019740099E+18"/>
    <s v="t"/>
    <s v="CONTRIBUTION TO ACTBLUE"/>
    <n v="2020"/>
    <s v="SA"/>
    <m/>
    <n v="4.0112202120701199E+18"/>
    <s v="https://docquery.fec.gov/cgi-bin/fecimg/?202012119367915057"/>
    <s v="Contributions From Individuals/Persons Other Than Political Committees"/>
  </r>
  <r>
    <s v="C00401224"/>
    <x v="3"/>
    <n v="2020"/>
    <s v="M9"/>
    <n v="2.0201211936791501E+17"/>
    <s v="11AI"/>
    <s v="SA11AI_284914403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27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38:44"/>
    <m/>
    <m/>
    <m/>
    <s v="F3X"/>
    <n v="4.1215202019740099E+18"/>
    <s v="t"/>
    <s v="EARMARKED FOR STOP REPUBLICANS (C00633404)"/>
    <n v="2020"/>
    <s v="SA"/>
    <m/>
    <n v="4.0112202120786898E+18"/>
    <s v="https://docquery.fec.gov/cgi-bin/fecimg/?202012119367915071"/>
    <s v="Contributions From Individuals/Persons Other Than Political Committees"/>
  </r>
  <r>
    <s v="C00401224"/>
    <x v="3"/>
    <n v="2020"/>
    <s v="M9"/>
    <n v="2.0201211936791501E+17"/>
    <s v="11AI"/>
    <s v="SA11AI_284914501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27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38:53"/>
    <m/>
    <m/>
    <m/>
    <s v="F3X"/>
    <n v="4.1215202019740099E+18"/>
    <s v="t"/>
    <s v="CONTRIBUTION TO ACTBLUE"/>
    <n v="2020"/>
    <s v="SA"/>
    <m/>
    <n v="4.0112202120786898E+18"/>
    <s v="https://docquery.fec.gov/cgi-bin/fecimg/?202012119367915071"/>
    <s v="Contributions From Individuals/Persons Other Than Political Committees"/>
  </r>
  <r>
    <s v="C00401224"/>
    <x v="3"/>
    <n v="2020"/>
    <s v="M9"/>
    <n v="2.0201211936791501E+17"/>
    <s v="11AI"/>
    <s v="SA11AI_273387873"/>
    <n v="1482644"/>
    <m/>
    <s v="IND"/>
    <s v="INDIVIDUAL"/>
    <s v="C00736876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736876"/>
    <s v="24T"/>
    <s v="EARMARKED INTERMEDIARY TREASURY OUT"/>
    <s v="EARMARK"/>
    <m/>
    <m/>
    <d v="2020-08-05T00:00:00"/>
    <n v="5"/>
    <n v="2620"/>
    <s v="S0GA00559"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39:01"/>
    <m/>
    <m/>
    <m/>
    <s v="F3X"/>
    <n v="4.1215202019740099E+18"/>
    <s v="t"/>
    <s v="EARMARKED FOR WARNOCK FOR GEORGIA (C00736876)"/>
    <n v="2020"/>
    <s v="SA"/>
    <m/>
    <n v="4.01122021206925E+18"/>
    <s v="https://docquery.fec.gov/cgi-bin/fecimg/?202012119367915057"/>
    <s v="Contributions From Individuals/Persons Other Than Political Committees"/>
  </r>
  <r>
    <s v="C00401224"/>
    <x v="3"/>
    <n v="2020"/>
    <s v="M9"/>
    <n v="2.0201211936791501E+17"/>
    <s v="11AI"/>
    <s v="SA11AI_278212976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14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0:47"/>
    <m/>
    <m/>
    <m/>
    <s v="F3X"/>
    <n v="4.1215202019740099E+18"/>
    <s v="t"/>
    <s v="EARMARKED FOR STOP REPUBLICANS (C00633404)"/>
    <n v="2020"/>
    <s v="SA"/>
    <m/>
    <n v="4.0112202120729902E+18"/>
    <s v="https://docquery.fec.gov/cgi-bin/fecimg/?202012119367915063"/>
    <s v="Contributions From Individuals/Persons Other Than Political Committees"/>
  </r>
  <r>
    <s v="C00401224"/>
    <x v="3"/>
    <n v="2020"/>
    <s v="M9"/>
    <n v="2.0201211936791501E+17"/>
    <s v="11AI"/>
    <s v="SA11AI_278214280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8-14T00:00:00"/>
    <n v="15"/>
    <n v="7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0:47"/>
    <m/>
    <m/>
    <m/>
    <s v="F3X"/>
    <n v="4.1215202019740099E+18"/>
    <s v="t"/>
    <s v="EARMARKED FOR NATIONAL DEMOCRATIC TRAINING COMMITTEE PAC (C00603084)"/>
    <n v="2020"/>
    <s v="SA"/>
    <m/>
    <n v="4.0112202120729902E+18"/>
    <s v="https://docquery.fec.gov/cgi-bin/fecimg/?202012119367915061"/>
    <s v="Contributions From Individuals/Persons Other Than Political Committees"/>
  </r>
  <r>
    <s v="C00401224"/>
    <x v="3"/>
    <n v="2020"/>
    <s v="M9"/>
    <n v="2.0201211936791501E+17"/>
    <s v="11AI"/>
    <s v="SA11AI_279378619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7T00:00:00"/>
    <n v="2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1:15"/>
    <m/>
    <m/>
    <m/>
    <s v="F3X"/>
    <n v="4.1215202019740099E+18"/>
    <s v="t"/>
    <s v="CONTRIBUTION TO ACTBLUE"/>
    <n v="2020"/>
    <s v="SA"/>
    <m/>
    <n v="4.01122021207409E+18"/>
    <s v="https://docquery.fec.gov/cgi-bin/fecimg/?202012119367915064"/>
    <s v="Contributions From Individuals/Persons Other Than Political Committees"/>
  </r>
  <r>
    <s v="C00401224"/>
    <x v="3"/>
    <n v="2020"/>
    <s v="M9"/>
    <n v="2.0201211936791501E+17"/>
    <s v="11AI"/>
    <s v="SA11AI_276223542"/>
    <n v="1482644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8-11T00:00:00"/>
    <n v="100"/>
    <n v="135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1:55"/>
    <m/>
    <m/>
    <m/>
    <s v="F3X"/>
    <n v="4.1215202019740099E+18"/>
    <s v="t"/>
    <s v="EARMARKED FOR DCCC (C00000935)"/>
    <n v="2020"/>
    <s v="SA"/>
    <m/>
    <n v="4.0112202120714102E+18"/>
    <s v="https://docquery.fec.gov/cgi-bin/fecimg/?202012119367915060"/>
    <s v="Contributions From Individuals/Persons Other Than Political Committees"/>
  </r>
  <r>
    <s v="C00401224"/>
    <x v="3"/>
    <n v="2020"/>
    <s v="M9"/>
    <n v="2.0201211936791501E+17"/>
    <s v="11AI"/>
    <s v="SA11AI_276223630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1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2:06"/>
    <m/>
    <m/>
    <m/>
    <s v="F3X"/>
    <n v="4.1215202019740099E+18"/>
    <s v="t"/>
    <s v="CONTRIBUTION TO ACTBLUE"/>
    <n v="2020"/>
    <s v="SA"/>
    <m/>
    <n v="4.0112202120714199E+18"/>
    <s v="https://docquery.fec.gov/cgi-bin/fecimg/?202012119367915059"/>
    <s v="Contributions From Individuals/Persons Other Than Political Committees"/>
  </r>
  <r>
    <s v="C00401224"/>
    <x v="3"/>
    <n v="2020"/>
    <s v="M9"/>
    <n v="2.0201211936791501E+17"/>
    <s v="11AI"/>
    <s v="SA11AI_284914681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27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4:29"/>
    <m/>
    <m/>
    <m/>
    <s v="F3X"/>
    <n v="4.1215202019740099E+18"/>
    <s v="t"/>
    <s v="EARMARKED FOR STOP REPUBLICANS (C00633404)"/>
    <n v="2020"/>
    <s v="SA"/>
    <m/>
    <n v="4.0112202120786698E+18"/>
    <s v="https://docquery.fec.gov/cgi-bin/fecimg/?202012119367915071"/>
    <s v="Contributions From Individuals/Persons Other Than Political Committees"/>
  </r>
  <r>
    <s v="C00401224"/>
    <x v="3"/>
    <n v="2020"/>
    <s v="M9"/>
    <n v="2.0201211936791501E+17"/>
    <s v="11AI"/>
    <s v="SA11AI_284914744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27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4:36"/>
    <m/>
    <m/>
    <m/>
    <s v="F3X"/>
    <n v="4.1215202019740099E+18"/>
    <s v="t"/>
    <s v="CONTRIBUTION TO ACTBLUE"/>
    <n v="2020"/>
    <s v="SA"/>
    <m/>
    <n v="4.0112202120786801E+18"/>
    <s v="https://docquery.fec.gov/cgi-bin/fecimg/?202012119367915072"/>
    <s v="Contributions From Individuals/Persons Other Than Political Committees"/>
  </r>
  <r>
    <s v="C00401224"/>
    <x v="3"/>
    <n v="2020"/>
    <s v="M9"/>
    <n v="2.0201211936791501E+17"/>
    <s v="11AI"/>
    <s v="SA11AI_275039174"/>
    <n v="1482644"/>
    <m/>
    <s v="IND"/>
    <s v="INDIVIDUAL"/>
    <s v="C00000935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000935"/>
    <s v="24T"/>
    <s v="EARMARKED INTERMEDIARY TREASURY OUT"/>
    <s v="EARMARK"/>
    <m/>
    <m/>
    <d v="2020-08-09T00:00:00"/>
    <n v="35"/>
    <n v="135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5:48"/>
    <m/>
    <m/>
    <m/>
    <s v="F3X"/>
    <n v="4.1215202019740099E+18"/>
    <s v="t"/>
    <s v="EARMARKED FOR DCCC (C00000935)"/>
    <n v="2020"/>
    <s v="SA"/>
    <m/>
    <n v="4.0112202120704399E+18"/>
    <s v="https://docquery.fec.gov/cgi-bin/fecimg/?202012119367915058"/>
    <s v="Contributions From Individuals/Persons Other Than Political Committees"/>
  </r>
  <r>
    <s v="C00401224"/>
    <x v="3"/>
    <n v="2020"/>
    <s v="M9"/>
    <n v="2.0201211936791501E+17"/>
    <s v="11AI"/>
    <s v="SA11AI_275039192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09T00:00:00"/>
    <n v="3.5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5:50"/>
    <m/>
    <m/>
    <m/>
    <s v="F3X"/>
    <n v="4.1215202019740099E+18"/>
    <s v="t"/>
    <s v="CONTRIBUTION TO ACTBLUE"/>
    <n v="2020"/>
    <s v="SA"/>
    <m/>
    <n v="4.0112202120704399E+18"/>
    <s v="https://docquery.fec.gov/cgi-bin/fecimg/?202012119367915059"/>
    <s v="Contributions From Individuals/Persons Other Than Political Committees"/>
  </r>
  <r>
    <s v="C00401224"/>
    <x v="3"/>
    <n v="2020"/>
    <s v="M9"/>
    <n v="2.0201211936791501E+17"/>
    <s v="11AI"/>
    <s v="SA11AI_275038462"/>
    <n v="1482644"/>
    <m/>
    <s v="IND"/>
    <s v="INDIVIDUAL"/>
    <s v="C00147512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147512"/>
    <s v="24T"/>
    <s v="EARMARKED INTERMEDIARY TREASURY OUT"/>
    <s v="EARMARK"/>
    <m/>
    <m/>
    <d v="2020-08-09T00:00:00"/>
    <n v="25"/>
    <n v="45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5:59"/>
    <m/>
    <m/>
    <m/>
    <s v="F3X"/>
    <n v="4.1215202019740099E+18"/>
    <s v="t"/>
    <s v="EARMARKED FOR CONGRESSIONAL BLACK CAUCUS PAC (C00147512)"/>
    <n v="2020"/>
    <s v="SA"/>
    <m/>
    <n v="4.0112202120704502E+18"/>
    <s v="https://docquery.fec.gov/cgi-bin/fecimg/?202012119367915058"/>
    <s v="Contributions From Individuals/Persons Other Than Political Committees"/>
  </r>
  <r>
    <s v="C00401224"/>
    <x v="3"/>
    <n v="2020"/>
    <s v="M9"/>
    <n v="2.0201211936791501E+17"/>
    <s v="11AI"/>
    <s v="SA11AI_275038481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09T00:00:00"/>
    <n v="2.5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5:59"/>
    <m/>
    <m/>
    <m/>
    <s v="F3X"/>
    <n v="4.1215202019740099E+18"/>
    <s v="t"/>
    <s v="CONTRIBUTION TO ACTBLUE"/>
    <n v="2020"/>
    <s v="SA"/>
    <m/>
    <n v="4.0112202120704502E+18"/>
    <s v="https://docquery.fec.gov/cgi-bin/fecimg/?202012119367915059"/>
    <s v="Contributions From Individuals/Persons Other Than Political Committees"/>
  </r>
  <r>
    <s v="C00401224"/>
    <x v="3"/>
    <n v="2020"/>
    <s v="M9"/>
    <n v="2.0201211936791501E+17"/>
    <s v="11AI"/>
    <s v="SA11AI_276613446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m/>
    <m/>
    <s v="EARMARK"/>
    <m/>
    <m/>
    <d v="2020-08-12T00:00:00"/>
    <n v="50"/>
    <n v="7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7:24"/>
    <m/>
    <m/>
    <m/>
    <s v="F3X"/>
    <n v="4.1215202019740099E+18"/>
    <s v="t"/>
    <s v="EARMARKED FOR NATIONAL DEMOCRATIC TRAINING COMMITTEE PAC (C00603084)"/>
    <n v="2020"/>
    <s v="SA"/>
    <m/>
    <n v="4.0112202120719201E+18"/>
    <s v="https://docquery.fec.gov/cgi-bin/fecimg/?202012119367915060"/>
    <s v="Contributions From Individuals/Persons Other Than Political Committees"/>
  </r>
  <r>
    <s v="C00401224"/>
    <x v="3"/>
    <n v="2020"/>
    <s v="M9"/>
    <n v="2.0201211936791501E+17"/>
    <s v="11AI"/>
    <s v="SA11AI_276613547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12T00:00:00"/>
    <n v="5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7:39"/>
    <m/>
    <m/>
    <m/>
    <s v="F3X"/>
    <n v="4.1215202019740099E+18"/>
    <s v="t"/>
    <s v="CONTRIBUTION TO ACTBLUE"/>
    <n v="2020"/>
    <s v="SA"/>
    <m/>
    <n v="4.0112202120719299E+18"/>
    <s v="https://docquery.fec.gov/cgi-bin/fecimg/?202012119367915060"/>
    <s v="Contributions From Individuals/Persons Other Than Political Committees"/>
  </r>
  <r>
    <s v="C00401224"/>
    <x v="3"/>
    <n v="2020"/>
    <s v="M9"/>
    <n v="2.0201211936791501E+17"/>
    <s v="11AI"/>
    <s v="SA11AI_284225137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26T00:00:00"/>
    <n v="2.5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47:48"/>
    <m/>
    <m/>
    <m/>
    <s v="F3X"/>
    <n v="4.1215202019740099E+18"/>
    <s v="t"/>
    <s v="CONTRIBUTION TO ACTBLUE"/>
    <n v="2020"/>
    <s v="SA"/>
    <m/>
    <n v="4.0112202120780201E+18"/>
    <s v="https://docquery.fec.gov/cgi-bin/fecimg/?202012119367915070"/>
    <s v="Contributions From Individuals/Persons Other Than Political Committees"/>
  </r>
  <r>
    <s v="C00401224"/>
    <x v="3"/>
    <n v="2020"/>
    <s v="M9"/>
    <n v="2.0201211936791501E+17"/>
    <s v="11AI"/>
    <s v="SA11AI_273262812"/>
    <n v="1482644"/>
    <m/>
    <s v="IND"/>
    <s v="INDIVIDUAL"/>
    <s v="C00633404"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s v="C00633404"/>
    <s v="24T"/>
    <s v="EARMARKED INTERMEDIARY TREASURY OUT"/>
    <s v="EARMARK"/>
    <m/>
    <m/>
    <d v="2020-08-04T00:00:00"/>
    <n v="100"/>
    <n v="12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55:04"/>
    <m/>
    <m/>
    <m/>
    <s v="F3X"/>
    <n v="4.1215202019740099E+18"/>
    <s v="t"/>
    <s v="EARMARKED FOR STOP REPUBLICANS (C00633404)"/>
    <n v="2020"/>
    <s v="SA"/>
    <m/>
    <n v="4.0112202120691502E+18"/>
    <s v="https://docquery.fec.gov/cgi-bin/fecimg/?202012119367915057"/>
    <s v="Contributions From Individuals/Persons Other Than Political Committees"/>
  </r>
  <r>
    <s v="C00401224"/>
    <x v="3"/>
    <n v="2020"/>
    <s v="M9"/>
    <n v="2.0201211936791501E+17"/>
    <s v="11AI"/>
    <s v="SA11AI_273262878"/>
    <n v="1482644"/>
    <m/>
    <s v="IND"/>
    <s v="INDIVIDUAL"/>
    <m/>
    <m/>
    <s v="GLOVER, RENEE"/>
    <s v="V"/>
    <m/>
    <s v="U"/>
    <s v="RENEE"/>
    <m/>
    <s v="GLOVER"/>
    <m/>
    <s v="553 AUBURN AVENUE NE"/>
    <m/>
    <s v="ATLANTA"/>
    <s v="GA"/>
    <n v="30312"/>
    <s v="THE CATALYST GROUP, LLC"/>
    <s v="BUSINESS CONSULTANT"/>
    <m/>
    <n v="15"/>
    <s v="CONTRIBUTION"/>
    <s v="CONTRIBUTION TO ACT BLUE"/>
    <m/>
    <m/>
    <d v="2020-08-04T00:00:00"/>
    <n v="10"/>
    <n v="964.4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d v="2021-01-13T10:55:05"/>
    <m/>
    <m/>
    <m/>
    <s v="F3X"/>
    <n v="4.1215202019740099E+18"/>
    <s v="t"/>
    <s v="CONTRIBUTION TO ACTBLUE"/>
    <n v="2020"/>
    <s v="SA"/>
    <m/>
    <n v="4.0112202120691502E+18"/>
    <s v="https://docquery.fec.gov/cgi-bin/fecimg/?202012119367915056"/>
    <s v="Contributions From Individuals/Persons Other Than Political Committees"/>
  </r>
  <r>
    <s v="C00042366"/>
    <x v="1"/>
    <n v="2020"/>
    <s v="M10"/>
    <n v="2.0210211942770598E+17"/>
    <s v="11AI"/>
    <n v="15739383"/>
    <n v="149966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9-12T00:00:00"/>
    <n v="10"/>
    <n v="19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20T03:49:39"/>
    <m/>
    <s v="15739383E"/>
    <s v="SA11AI"/>
    <s v="F3X"/>
    <n v="4.0211202111343401E+18"/>
    <s v="t"/>
    <s v="* EARMARKED CONTRIBUTION: SEE BELOW"/>
    <n v="2020"/>
    <s v="SA"/>
    <m/>
    <n v="4.0220202111605801E+18"/>
    <s v="https://docquery.fec.gov/cgi-bin/fecimg/?202102119427706505"/>
    <s v="Contributions From Individuals/Persons Other Than Political Committees"/>
  </r>
  <r>
    <s v="C00042366"/>
    <x v="1"/>
    <n v="2020"/>
    <s v="M10"/>
    <n v="2.0210211942770598E+17"/>
    <s v="11AI"/>
    <n v="15750911"/>
    <n v="149966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9-12T00:00:00"/>
    <n v="100"/>
    <n v="19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20T03:49:39"/>
    <m/>
    <s v="15750911E"/>
    <s v="SA11AI"/>
    <s v="F3X"/>
    <n v="4.0211202111343401E+18"/>
    <s v="t"/>
    <s v="* EARMARKED CONTRIBUTION: SEE BELOW"/>
    <n v="2020"/>
    <s v="SA"/>
    <m/>
    <n v="4.0220202111605801E+18"/>
    <s v="https://docquery.fec.gov/cgi-bin/fecimg/?202102119427706505"/>
    <s v="Contributions From Individuals/Persons Other Than Political Committees"/>
  </r>
  <r>
    <s v="C00042366"/>
    <x v="1"/>
    <n v="2020"/>
    <s v="M10"/>
    <n v="2.0210211942770598E+17"/>
    <s v="11AI"/>
    <n v="15770358"/>
    <n v="149966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9-21T00:00:00"/>
    <n v="100"/>
    <n v="20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20T03:49:39"/>
    <m/>
    <s v="15770358E"/>
    <s v="SA11AI"/>
    <s v="F3X"/>
    <n v="4.0211202111343401E+18"/>
    <s v="t"/>
    <s v="* EARMARKED CONTRIBUTION: SEE BELOW"/>
    <n v="2020"/>
    <s v="SA"/>
    <m/>
    <n v="4.0220202111605801E+18"/>
    <s v="https://docquery.fec.gov/cgi-bin/fecimg/?202102119427706506"/>
    <s v="Contributions From Individuals/Persons Other Than Political Committees"/>
  </r>
  <r>
    <s v="C00042366"/>
    <x v="1"/>
    <n v="2020"/>
    <s v="M10"/>
    <n v="2.0210211942770598E+17"/>
    <s v="11AI"/>
    <n v="16081324"/>
    <n v="149966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9-28T00:00:00"/>
    <n v="200"/>
    <n v="22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20T03:49:39"/>
    <m/>
    <s v="16081324E"/>
    <s v="SA11AI"/>
    <s v="F3X"/>
    <n v="4.0211202111343401E+18"/>
    <s v="t"/>
    <s v="* EARMARKED CONTRIBUTION: SEE BELOW"/>
    <n v="2020"/>
    <s v="SA"/>
    <m/>
    <n v="4.0220202111605801E+18"/>
    <s v="https://docquery.fec.gov/cgi-bin/fecimg/?202102119427706507"/>
    <s v="Contributions From Individuals/Persons Other Than Political Committees"/>
  </r>
  <r>
    <s v="C00000935"/>
    <x v="2"/>
    <n v="2020"/>
    <s v="M6"/>
    <n v="2.0210324944207398E+17"/>
    <s v="11AI"/>
    <n v="29737208"/>
    <n v="150619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5-31T00:00:00"/>
    <n v="125"/>
    <n v="44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3-26T07:03:25"/>
    <m/>
    <m/>
    <m/>
    <s v="F3X"/>
    <n v="4.0325202112685701E+18"/>
    <s v="t"/>
    <s v="* EARMARKED CONTRIBUTION THROUGH ACTBLUE PAC ON 05/31/2020"/>
    <n v="2020"/>
    <s v="SA"/>
    <m/>
    <n v="4.0326202112688302E+18"/>
    <s v="https://docquery.fec.gov/cgi-bin/fecimg/?202103249442074730"/>
    <s v="Contributions From Individuals/Persons Other Than Political Committees"/>
  </r>
  <r>
    <s v="C00000935"/>
    <x v="2"/>
    <n v="2020"/>
    <s v="M8"/>
    <n v="2.02103299442324E+17"/>
    <s v="11AI"/>
    <n v="30251625"/>
    <n v="1506572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7-13T00:00:00"/>
    <n v="100"/>
    <n v="9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35:23"/>
    <m/>
    <s v="30251625E"/>
    <s v="SA11AI"/>
    <s v="F3X"/>
    <n v="4.0330202112703201E+18"/>
    <s v="t"/>
    <s v="* EARMARKED CONTRIBUTION: SEE BELOW EARMARKED THROUGH ACTBLUE"/>
    <n v="2020"/>
    <s v="SA"/>
    <m/>
    <n v="4.0401202112718802E+18"/>
    <s v="https://docquery.fec.gov/cgi-bin/fecimg/?202103299442324175"/>
    <s v="Contributions From Individuals/Persons Other Than Political Committees"/>
  </r>
  <r>
    <s v="C00000935"/>
    <x v="2"/>
    <n v="2020"/>
    <s v="M8"/>
    <n v="2.02103299442324E+17"/>
    <s v="11AI"/>
    <n v="30508242"/>
    <n v="1506572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7-30T00:00:00"/>
    <n v="100"/>
    <n v="10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35:23"/>
    <m/>
    <s v="30508242E"/>
    <s v="SA11AI"/>
    <s v="F3X"/>
    <n v="4.0330202112703201E+18"/>
    <s v="t"/>
    <s v="* EARMARKED CONTRIBUTION: SEE BELOW EARMARKED THROUGH ACTBLUE"/>
    <n v="2020"/>
    <s v="SA"/>
    <m/>
    <n v="4.0401202112718802E+18"/>
    <s v="https://docquery.fec.gov/cgi-bin/fecimg/?202103299442324175"/>
    <s v="Contributions From Individuals/Persons Other Than Political Committees"/>
  </r>
  <r>
    <s v="C00000935"/>
    <x v="2"/>
    <n v="2020"/>
    <s v="M7"/>
    <n v="2.02103299442284E+17"/>
    <s v="11AI"/>
    <n v="30008012"/>
    <n v="1506566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6-28T00:00:00"/>
    <n v="250"/>
    <n v="69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43:01"/>
    <m/>
    <s v="30008012E"/>
    <s v="SA11AI"/>
    <s v="F3X"/>
    <n v="4.0330202112703201E+18"/>
    <s v="t"/>
    <s v="* EARMARKED CONTRIBUTION: SEE BELOW EARMARKED THROUGH ACTBLUE"/>
    <n v="2020"/>
    <s v="SA"/>
    <m/>
    <n v="4.04012021127166E+18"/>
    <s v="https://docquery.fec.gov/cgi-bin/fecimg/?202103299442284368"/>
    <s v="Contributions From Individuals/Persons Other Than Political Committees"/>
  </r>
  <r>
    <s v="C00000935"/>
    <x v="2"/>
    <n v="2020"/>
    <s v="M7"/>
    <n v="2.02103299442284E+17"/>
    <s v="11AI"/>
    <n v="30097140"/>
    <n v="1506566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6-30T00:00:00"/>
    <n v="125"/>
    <n v="8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43:01"/>
    <m/>
    <s v="30097140E"/>
    <s v="SA11AI"/>
    <s v="F3X"/>
    <n v="4.0330202112703201E+18"/>
    <s v="t"/>
    <s v="* EARMARKED CONTRIBUTION: SEE BELOW EARMARKED THROUGH ACTBLUE"/>
    <n v="2020"/>
    <s v="SA"/>
    <m/>
    <n v="4.04012021127166E+18"/>
    <s v="https://docquery.fec.gov/cgi-bin/fecimg/?202103299442284369"/>
    <s v="Contributions From Individuals/Persons Other Than Political Committees"/>
  </r>
  <r>
    <s v="C00000935"/>
    <x v="2"/>
    <n v="2020"/>
    <s v="M4"/>
    <n v="2.02103239442048E+17"/>
    <s v="11AI"/>
    <n v="29085495"/>
    <n v="1506116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3-30T00:00:00"/>
    <n v="125"/>
    <n v="3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54:56"/>
    <m/>
    <m/>
    <m/>
    <s v="F3X"/>
    <n v="4.0325202112685701E+18"/>
    <s v="t"/>
    <s v="* EARMARKED CONTRIBUTION THROUGH ACTBLUE PAC ON 03/30/2020"/>
    <n v="2020"/>
    <s v="SA"/>
    <m/>
    <n v="4.0401202112715802E+18"/>
    <s v="https://docquery.fec.gov/cgi-bin/fecimg/?202103239442048941"/>
    <s v="Contributions From Individuals/Persons Other Than Political Committees"/>
  </r>
  <r>
    <s v="C00000935"/>
    <x v="2"/>
    <n v="2020"/>
    <s v="30G"/>
    <n v="2.0210330944279101E+17"/>
    <s v="11AI"/>
    <n v="32300810"/>
    <n v="150673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0-22T00:00:00"/>
    <n v="100"/>
    <n v="157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58:16"/>
    <m/>
    <m/>
    <m/>
    <s v="F3X"/>
    <n v="4.0331202112704102E+18"/>
    <s v="t"/>
    <s v="* EARMARKED CONTRIBUTION THROUGH ACTBLUE PAC ON 10/22/2020"/>
    <n v="2020"/>
    <s v="SA"/>
    <m/>
    <n v="4.04012021127373E+18"/>
    <s v="https://docquery.fec.gov/cgi-bin/fecimg/?202103309442791696"/>
    <s v="Contributions From Individuals/Persons Other Than Political Committees"/>
  </r>
  <r>
    <s v="C00000935"/>
    <x v="2"/>
    <n v="2020"/>
    <s v="30G"/>
    <n v="2.0210330944279101E+17"/>
    <s v="11AI"/>
    <n v="32459933"/>
    <n v="150673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0-28T00:00:00"/>
    <n v="100"/>
    <n v="167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58:16"/>
    <m/>
    <m/>
    <m/>
    <s v="F3X"/>
    <n v="4.0331202112704102E+18"/>
    <s v="t"/>
    <s v="* EARMARKED CONTRIBUTION THROUGH ACTBLUE PAC ON 10/28/2020"/>
    <n v="2020"/>
    <s v="SA"/>
    <m/>
    <n v="4.04012021127373E+18"/>
    <s v="https://docquery.fec.gov/cgi-bin/fecimg/?202103309442791697"/>
    <s v="Contributions From Individuals/Persons Other Than Political Committees"/>
  </r>
  <r>
    <s v="C00000935"/>
    <x v="2"/>
    <n v="2020"/>
    <s v="30G"/>
    <n v="2.0210330944279101E+17"/>
    <s v="11AI"/>
    <n v="32736379"/>
    <n v="1506730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10-31T00:00:00"/>
    <n v="100"/>
    <n v="177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5:58:16"/>
    <m/>
    <m/>
    <m/>
    <s v="F3X"/>
    <n v="4.0331202112704102E+18"/>
    <s v="t"/>
    <s v="* EARMARKED CONTRIBUTION THROUGH ACTBLUE PAC ON 10/31/2020"/>
    <n v="2020"/>
    <s v="SA"/>
    <m/>
    <n v="4.04012021127373E+18"/>
    <s v="https://docquery.fec.gov/cgi-bin/fecimg/?202103309442791697"/>
    <s v="Contributions From Individuals/Persons Other Than Political Committees"/>
  </r>
  <r>
    <s v="C00000935"/>
    <x v="2"/>
    <n v="2020"/>
    <s v="M9"/>
    <n v="2.0210329944256602E+17"/>
    <s v="11AI"/>
    <n v="30619441"/>
    <n v="150658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8-03T00:00:00"/>
    <n v="100"/>
    <n v="111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6:02:10"/>
    <m/>
    <s v="30619441E"/>
    <s v="SA11AI"/>
    <s v="F3X"/>
    <n v="4.0330202112703201E+18"/>
    <s v="t"/>
    <s v="* EARMARKED CONTRIBUTION: SEE BELOW EARMARKED THROUGH ACTBLUE"/>
    <n v="2020"/>
    <s v="SA"/>
    <m/>
    <n v="4.0401202112732902E+18"/>
    <s v="https://docquery.fec.gov/cgi-bin/fecimg/?202103299442566085"/>
    <s v="Contributions From Individuals/Persons Other Than Political Committees"/>
  </r>
  <r>
    <s v="C00000935"/>
    <x v="2"/>
    <n v="2020"/>
    <s v="M9"/>
    <n v="2.0210329944256602E+17"/>
    <s v="11AI"/>
    <n v="30668609"/>
    <n v="150658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8-09T00:00:00"/>
    <n v="35"/>
    <n v="115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6:02:10"/>
    <m/>
    <s v="30668609E"/>
    <s v="SA11AI"/>
    <s v="F3X"/>
    <n v="4.0330202112703201E+18"/>
    <s v="t"/>
    <s v="* EARMARKED CONTRIBUTION: SEE BELOW EARMARKED THROUGH ACTBLUE"/>
    <n v="2020"/>
    <s v="SA"/>
    <m/>
    <n v="4.0401202112732902E+18"/>
    <s v="https://docquery.fec.gov/cgi-bin/fecimg/?202103299442566086"/>
    <s v="Contributions From Individuals/Persons Other Than Political Committees"/>
  </r>
  <r>
    <s v="C00000935"/>
    <x v="2"/>
    <n v="2020"/>
    <s v="M9"/>
    <n v="2.0210329944256602E+17"/>
    <s v="11AI"/>
    <n v="30746513"/>
    <n v="150658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8-11T00:00:00"/>
    <n v="100"/>
    <n v="125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6:02:10"/>
    <m/>
    <s v="30746513E"/>
    <s v="SA11AI"/>
    <s v="F3X"/>
    <n v="4.0330202112703201E+18"/>
    <s v="t"/>
    <s v="* EARMARKED CONTRIBUTION: SEE BELOW EARMARKED THROUGH ACTBLUE"/>
    <n v="2020"/>
    <s v="SA"/>
    <m/>
    <n v="4.0401202112732902E+18"/>
    <s v="https://docquery.fec.gov/cgi-bin/fecimg/?202103299442566087"/>
    <s v="Contributions From Individuals/Persons Other Than Political Committees"/>
  </r>
  <r>
    <s v="C00000935"/>
    <x v="2"/>
    <n v="2020"/>
    <s v="M9"/>
    <n v="2.0210329944256602E+17"/>
    <s v="11AI"/>
    <n v="30895646"/>
    <n v="1506587"/>
    <m/>
    <s v="IND"/>
    <s v="INDIVIDUAL"/>
    <m/>
    <m/>
    <s v="GLOVER, RENEE"/>
    <s v="Y"/>
    <m/>
    <s v="U"/>
    <s v="RENEE"/>
    <m/>
    <s v="GLOVER"/>
    <m/>
    <s v="553 AUBURN AVE NE"/>
    <m/>
    <s v="ATLANTA"/>
    <s v="GA"/>
    <n v="303121941"/>
    <s v="THE CATALYST GROUP LLC"/>
    <s v="BUSINESS CONSULTANT"/>
    <m/>
    <s v="15E"/>
    <s v="EARMARKED CONTRIBUTION"/>
    <m/>
    <m/>
    <m/>
    <d v="2020-08-18T00:00:00"/>
    <n v="100"/>
    <n v="135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4-01T06:02:10"/>
    <m/>
    <s v="30895646E"/>
    <s v="SA11AI"/>
    <s v="F3X"/>
    <n v="4.0330202112703201E+18"/>
    <s v="t"/>
    <s v="* EARMARKED CONTRIBUTION: SEE BELOW EARMARKED THROUGH ACTBLUE"/>
    <n v="2020"/>
    <s v="SA"/>
    <m/>
    <n v="4.0401202112732902E+18"/>
    <s v="https://docquery.fec.gov/cgi-bin/fecimg/?202103299442566087"/>
    <s v="Contributions From Individuals/Persons Other Than Political Committe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">
  <r>
    <s v="C00401224"/>
    <x v="0"/>
    <n v="2019"/>
    <s v="YE"/>
    <n v="2.02001299170592E+17"/>
    <s v="11AI"/>
    <s v="SA11AI_193740683"/>
    <n v="1378435"/>
    <m/>
    <s v="IND"/>
    <s v="INDIVIDUAL"/>
    <m/>
    <m/>
    <s v="HEID, MICHAEL"/>
    <s v="V"/>
    <m/>
    <s v="U"/>
    <s v="MICHAEL"/>
    <m/>
    <s v="HEID"/>
    <m/>
    <s v="117 LEE ROAD"/>
    <m/>
    <s v="PITTSBURGH"/>
    <s v="PA"/>
    <n v="15237"/>
    <s v="NOT EMPLOYED"/>
    <s v="NOT EMPLOYED"/>
    <m/>
    <m/>
    <m/>
    <s v="EARMARK"/>
    <m/>
    <m/>
    <n v="43815"/>
    <n v="100"/>
    <n v="100"/>
    <m/>
    <m/>
    <m/>
    <m/>
    <m/>
    <m/>
    <m/>
    <m/>
    <m/>
    <m/>
    <m/>
    <m/>
    <m/>
    <m/>
    <m/>
    <m/>
    <m/>
    <m/>
    <m/>
    <m/>
    <s v="_x000d_"/>
    <m/>
    <m/>
    <m/>
    <m/>
    <s v="A"/>
    <s v="ADD"/>
    <s v="ITEMIZED RECEIPTS"/>
    <n v="43894.298203321756"/>
    <m/>
    <m/>
    <m/>
    <s v="F3X"/>
    <n v="4.02012020168638E+18"/>
    <s v="t"/>
    <s v="EARMARKED FOR AMY FOR AMERICA (C00696419)"/>
    <n v="2020"/>
    <s v="SA"/>
    <m/>
    <n v="4.0302202012296602E+18"/>
    <s v="http://docquery.fec.gov/cgi-bin/fecimg/?202001299170592378"/>
    <s v="Contributions From Individuals/Persons Other Than Political Committees"/>
  </r>
  <r>
    <s v="C00401224"/>
    <x v="0"/>
    <n v="2020"/>
    <s v="M2"/>
    <n v="2.0200221920071002E+17"/>
    <s v="11AI"/>
    <s v="SA11AI_197813221"/>
    <n v="1385527"/>
    <m/>
    <s v="IND"/>
    <s v="INDIVIDUAL"/>
    <m/>
    <m/>
    <s v="HEID, MICHAEL"/>
    <s v="V"/>
    <m/>
    <s v="U"/>
    <s v="MICHAEL"/>
    <m/>
    <s v="HEID"/>
    <m/>
    <s v="117 LEE ROAD"/>
    <m/>
    <s v="PITTSBURGH"/>
    <s v="PA"/>
    <n v="15237"/>
    <s v="NOT EMPLOYED"/>
    <s v="NOT EMPLOYED"/>
    <m/>
    <m/>
    <m/>
    <s v="EARMARK"/>
    <m/>
    <m/>
    <n v="43832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15.263040891201"/>
    <m/>
    <m/>
    <m/>
    <s v="F3X"/>
    <n v="4.02212020169344E+18"/>
    <s v="t"/>
    <s v="EARMARKED FOR AMY FOR AMERICA (C00696419)"/>
    <n v="2020"/>
    <s v="SA"/>
    <m/>
    <n v="4.0324202017082998E+18"/>
    <s v="http://docquery.fec.gov/cgi-bin/fecimg/?202002219200710831"/>
    <s v="Contributions From Individuals/Persons Other Than Political Committees"/>
  </r>
  <r>
    <s v="C00401224"/>
    <x v="0"/>
    <n v="2020"/>
    <s v="M3"/>
    <n v="2.0200320921134899E+17"/>
    <s v="11AI"/>
    <s v="SA11AI_204921141"/>
    <n v="1391686"/>
    <m/>
    <s v="IND"/>
    <s v="INDIVIDUAL"/>
    <m/>
    <m/>
    <s v="HEID, MICHAEL"/>
    <s v="V"/>
    <m/>
    <s v="U"/>
    <s v="MICHAEL"/>
    <m/>
    <s v="HEID"/>
    <m/>
    <s v="117 LEE ROAD"/>
    <m/>
    <s v="PITTSBURGH"/>
    <s v="PA"/>
    <n v="15237"/>
    <s v="NOT EMPLOYED"/>
    <s v="NOT EMPLOYED"/>
    <m/>
    <m/>
    <m/>
    <s v="EARMARK"/>
    <m/>
    <m/>
    <n v="43863"/>
    <n v="25"/>
    <n v="125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24.473267141206"/>
    <m/>
    <m/>
    <m/>
    <s v="F3X"/>
    <n v="4.0323202017043999E+18"/>
    <s v="t"/>
    <s v="EARMARKED FOR AMY FOR AMERICA (C00696419)"/>
    <n v="2020"/>
    <s v="SA"/>
    <m/>
    <n v="4.0402202017252803E+18"/>
    <s v="http://docquery.fec.gov/cgi-bin/fecimg/?202003209211349729"/>
    <s v="Contributions From Individuals/Persons Other Than Political Committees"/>
  </r>
  <r>
    <s v="C00401224"/>
    <x v="0"/>
    <n v="2020"/>
    <s v="M4"/>
    <n v="2.0200421922913798E+17"/>
    <s v="11AI"/>
    <s v="SA11AI_215550876"/>
    <n v="1402724"/>
    <m/>
    <s v="IND"/>
    <s v="INDIVIDUAL"/>
    <m/>
    <m/>
    <s v="HEID, MICHAEL"/>
    <s v="V"/>
    <m/>
    <s v="U"/>
    <s v="MICHAEL"/>
    <m/>
    <s v="HEID"/>
    <m/>
    <s v="117 LEE ROAD"/>
    <m/>
    <s v="PITTSBURGH"/>
    <s v="PA"/>
    <n v="15237"/>
    <s v="NOT EMPLOYED"/>
    <s v="NOT EMPLOYED"/>
    <m/>
    <m/>
    <m/>
    <s v="EARMARK"/>
    <m/>
    <m/>
    <n v="43892"/>
    <n v="25"/>
    <n v="15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966.323171793978"/>
    <m/>
    <m/>
    <m/>
    <s v="F3X"/>
    <n v="4.0420202017373501E+18"/>
    <s v="t"/>
    <s v="EARMARKED FOR AMY FOR AMERICA (C00696419)"/>
    <n v="2020"/>
    <s v="SA"/>
    <m/>
    <n v="4.0514202017475599E+18"/>
    <s v="http://docquery.fec.gov/cgi-bin/fecimg/?202004219229138920"/>
    <s v="Contributions From Individuals/Persons Other Than Political Committees"/>
  </r>
  <r>
    <s v="C00696419"/>
    <x v="1"/>
    <n v="2020"/>
    <s v="M4"/>
    <n v="2.0200715924997101E+17"/>
    <s v="17A"/>
    <n v="1611598"/>
    <n v="1424519"/>
    <m/>
    <s v="IND"/>
    <s v="INDIVIDUAL"/>
    <s v="C00401224"/>
    <m/>
    <s v="HEID, MICHAEL"/>
    <s v="P"/>
    <m/>
    <s v="P"/>
    <s v="MICHAEL"/>
    <m/>
    <s v="HEID"/>
    <m/>
    <s v="117 LEE RD"/>
    <m/>
    <s v="PITTSBURGH"/>
    <s v="PA"/>
    <n v="152373908"/>
    <s v="NOT EMPLOYED"/>
    <s v="NOT EMPLOYED"/>
    <s v="C00401224"/>
    <s v="15E"/>
    <s v="EARMARKED CONTRIBUTION"/>
    <m/>
    <m/>
    <m/>
    <n v="43892"/>
    <n v="25"/>
    <n v="25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4029.117212037039"/>
    <m/>
    <s v="1611598E"/>
    <s v="SA17A"/>
    <s v="F3P"/>
    <n v="4.0716202017908598E+18"/>
    <s v="t"/>
    <s v="* EARMARKED CONTRIBUTION: SEE BELOW"/>
    <n v="2020"/>
    <s v="SA"/>
    <m/>
    <n v="4.0716202017909002E+18"/>
    <s v="http://docquery.fec.gov/cgi-bin/fecimg/?202007159249971242"/>
    <s v="Contributions From Individuals/Persons Other Than Political Committees"/>
  </r>
  <r>
    <s v="C00696419"/>
    <x v="1"/>
    <n v="2020"/>
    <s v="M3"/>
    <n v="2.0200715924995101E+17"/>
    <s v="17A"/>
    <n v="1250568"/>
    <n v="1424472"/>
    <m/>
    <s v="IND"/>
    <s v="INDIVIDUAL"/>
    <m/>
    <m/>
    <s v="HEID, MICHAEL"/>
    <s v="P"/>
    <m/>
    <s v="P"/>
    <s v="MICHAEL"/>
    <m/>
    <s v="HEID"/>
    <m/>
    <s v="117 LEE RD"/>
    <m/>
    <s v="PITTSBURGH"/>
    <s v="PA"/>
    <n v="152373908"/>
    <s v="NOT EMPLOYED"/>
    <s v="NOT EMPLOYED"/>
    <m/>
    <s v="15E"/>
    <s v="EARMARKED CONTRIBUTION"/>
    <m/>
    <m/>
    <m/>
    <n v="43863"/>
    <n v="25"/>
    <n v="225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033.136889791669"/>
    <m/>
    <s v="1250568E"/>
    <s v="SA17A"/>
    <s v="F3P"/>
    <n v="4.0716202017908598E+18"/>
    <s v="t"/>
    <s v="* EARMARKED CONTRIBUTION: SEE BELOW"/>
    <n v="2020"/>
    <s v="SA"/>
    <m/>
    <n v="4.0720202017919698E+18"/>
    <s v="http://docquery.fec.gov/cgi-bin/fecimg/?202007159249951823"/>
    <s v="Contributions From Individuals/Persons Other Than Political Committee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1">
  <r>
    <s v="C00326595"/>
    <x v="0"/>
    <n v="2019"/>
    <s v="M11"/>
    <n v="2.0191120916566701E+17"/>
    <s v="11AI"/>
    <s v="A2019-2463543"/>
    <n v="1363758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19-10-11T00:00:00"/>
    <n v="192.31"/>
    <n v="4038.5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21T02:17:17"/>
    <m/>
    <m/>
    <m/>
    <s v="F3X"/>
    <n v="4.1120201916795197E+18"/>
    <s v="t"/>
    <m/>
    <n v="2020"/>
    <s v="SA"/>
    <m/>
    <n v="4.1120201916797199E+18"/>
    <s v="http://docquery.fec.gov/cgi-bin/fecimg/?201911209165667838"/>
    <s v="Contributions From Individuals/Persons Other Than Political Committees"/>
  </r>
  <r>
    <s v="C00326595"/>
    <x v="0"/>
    <n v="2019"/>
    <s v="M11"/>
    <n v="2.0191120916566701E+17"/>
    <s v="11AI"/>
    <s v="A2019-2488881"/>
    <n v="1363758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19-10-25T00:00:00"/>
    <n v="192.31"/>
    <n v="4230.8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21T02:17:17"/>
    <m/>
    <m/>
    <m/>
    <s v="F3X"/>
    <n v="4.1120201916795197E+18"/>
    <s v="t"/>
    <m/>
    <n v="2020"/>
    <s v="SA"/>
    <m/>
    <n v="4.1120201916797199E+18"/>
    <s v="http://docquery.fec.gov/cgi-bin/fecimg/?201911209165667838"/>
    <s v="Contributions From Individuals/Persons Other Than Political Committees"/>
  </r>
  <r>
    <s v="C00326595"/>
    <x v="0"/>
    <n v="2019"/>
    <s v="M12"/>
    <n v="2.0191217916631802E+17"/>
    <s v="11AI"/>
    <s v="A2019-2621013"/>
    <n v="1366599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19-11-08T00:00:00"/>
    <n v="192.31"/>
    <n v="4423.1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9T01:42:01"/>
    <m/>
    <m/>
    <m/>
    <s v="F3X"/>
    <n v="4.1218201916816502E+18"/>
    <s v="t"/>
    <m/>
    <n v="2020"/>
    <s v="SA"/>
    <m/>
    <n v="4.1218201916816599E+18"/>
    <s v="http://docquery.fec.gov/cgi-bin/fecimg/?201912179166318425"/>
    <s v="Contributions From Individuals/Persons Other Than Political Committees"/>
  </r>
  <r>
    <s v="C00326595"/>
    <x v="0"/>
    <n v="2019"/>
    <s v="M12"/>
    <n v="2.0191217916631802E+17"/>
    <s v="11AI"/>
    <s v="A2019-2714183"/>
    <n v="1366599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19-11-22T00:00:00"/>
    <n v="192.31"/>
    <n v="4615.43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9T01:42:01"/>
    <m/>
    <m/>
    <m/>
    <s v="F3X"/>
    <n v="4.1218201916816502E+18"/>
    <s v="t"/>
    <m/>
    <n v="2020"/>
    <s v="SA"/>
    <m/>
    <n v="4.1218201916816599E+18"/>
    <s v="http://docquery.fec.gov/cgi-bin/fecimg/?201912179166318425"/>
    <s v="Contributions From Individuals/Persons Other Than Political Committees"/>
  </r>
  <r>
    <s v="C00326595"/>
    <x v="0"/>
    <n v="2019"/>
    <s v="YE"/>
    <n v="2.0200130918250202E+17"/>
    <s v="11AI"/>
    <s v="A2019-2948511"/>
    <n v="137595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19-12-06T00:00:00"/>
    <n v="192.31"/>
    <n v="4807.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1T02:30:07"/>
    <m/>
    <m/>
    <m/>
    <s v="F3X"/>
    <n v="4.0130202016861302E+18"/>
    <s v="t"/>
    <m/>
    <n v="2020"/>
    <s v="SA"/>
    <m/>
    <n v="4.02202020169331E+18"/>
    <s v="http://docquery.fec.gov/cgi-bin/fecimg/?202001309182502729"/>
    <s v="Contributions From Individuals/Persons Other Than Political Committees"/>
  </r>
  <r>
    <s v="C00326595"/>
    <x v="0"/>
    <n v="2019"/>
    <s v="YE"/>
    <n v="2.0200130918250202E+17"/>
    <s v="11AI"/>
    <s v="A2019-2954736"/>
    <n v="137595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19-12-20T00:00:00"/>
    <n v="192.25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1T02:30:07"/>
    <m/>
    <m/>
    <m/>
    <s v="F3X"/>
    <n v="4.0130202016861302E+18"/>
    <s v="t"/>
    <m/>
    <n v="2020"/>
    <s v="SA"/>
    <m/>
    <n v="4.02202020169331E+18"/>
    <s v="http://docquery.fec.gov/cgi-bin/fecimg/?202001309182502729"/>
    <s v="Contributions From Individuals/Persons Other Than Political Committees"/>
  </r>
  <r>
    <s v="C00326595"/>
    <x v="0"/>
    <n v="2020"/>
    <s v="M2"/>
    <n v="2.0200218918651901E+17"/>
    <s v="11AI"/>
    <s v="A2020-40733"/>
    <n v="1383171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1-17T00:00:00"/>
    <n v="192.31"/>
    <n v="384.6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7T01:31:38"/>
    <m/>
    <m/>
    <m/>
    <s v="F3X"/>
    <n v="4.0219202016927498E+18"/>
    <s v="t"/>
    <m/>
    <n v="2020"/>
    <s v="SA"/>
    <m/>
    <n v="4.0226202016942899E+18"/>
    <s v="http://docquery.fec.gov/cgi-bin/fecimg/?202002189186519495"/>
    <s v="Contributions From Individuals/Persons Other Than Political Committees"/>
  </r>
  <r>
    <s v="C00326595"/>
    <x v="0"/>
    <n v="2020"/>
    <s v="M2"/>
    <n v="2.0200218918651901E+17"/>
    <s v="11AI"/>
    <s v="A2020-85690"/>
    <n v="1383171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1-31T00:00:00"/>
    <n v="192.31"/>
    <n v="576.9299999999999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7T01:31:38"/>
    <m/>
    <m/>
    <m/>
    <s v="F3X"/>
    <n v="4.0219202016927498E+18"/>
    <s v="t"/>
    <m/>
    <n v="2020"/>
    <s v="SA"/>
    <m/>
    <n v="4.0226202016942899E+18"/>
    <s v="http://docquery.fec.gov/cgi-bin/fecimg/?202002189186519495"/>
    <s v="Contributions From Individuals/Persons Other Than Political Committees"/>
  </r>
  <r>
    <s v="C00326595"/>
    <x v="0"/>
    <n v="2020"/>
    <s v="M3"/>
    <n v="2.0200318920389699E+17"/>
    <s v="11AI"/>
    <s v="A2020-283789"/>
    <n v="139060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2-14T00:00:00"/>
    <n v="192.31"/>
    <n v="769.2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3-20T02:17:50"/>
    <m/>
    <m/>
    <m/>
    <s v="F3X"/>
    <n v="4.03192020170385E+18"/>
    <s v="t"/>
    <m/>
    <n v="2020"/>
    <s v="SA"/>
    <m/>
    <n v="4.0319202017038899E+18"/>
    <s v="http://docquery.fec.gov/cgi-bin/fecimg/?202003189203897183"/>
    <s v="Contributions From Individuals/Persons Other Than Political Committees"/>
  </r>
  <r>
    <s v="C00326595"/>
    <x v="0"/>
    <n v="2020"/>
    <s v="M3"/>
    <n v="2.0200318920389699E+17"/>
    <s v="11AI"/>
    <s v="A2020-313442"/>
    <n v="139060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2-28T00:00:00"/>
    <n v="192.31"/>
    <n v="961.5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3-20T02:17:50"/>
    <m/>
    <m/>
    <m/>
    <s v="F3X"/>
    <n v="4.03192020170385E+18"/>
    <s v="t"/>
    <m/>
    <n v="2020"/>
    <s v="SA"/>
    <m/>
    <n v="4.0319202017038899E+18"/>
    <s v="http://docquery.fec.gov/cgi-bin/fecimg/?202003189203897184"/>
    <s v="Contributions From Individuals/Persons Other Than Political Committees"/>
  </r>
  <r>
    <s v="C00326595"/>
    <x v="0"/>
    <n v="2020"/>
    <s v="M4"/>
    <n v="2.020041792197E+17"/>
    <s v="11AI"/>
    <s v="A2020-532829"/>
    <n v="140188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3-13T00:00:00"/>
    <n v="192.31"/>
    <n v="1153.85999999999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21T01:45:53"/>
    <m/>
    <m/>
    <m/>
    <s v="F3X"/>
    <n v="4.0418202017373102E+18"/>
    <s v="t"/>
    <m/>
    <n v="2020"/>
    <s v="SA"/>
    <m/>
    <n v="4.0420202017373798E+18"/>
    <s v="http://docquery.fec.gov/cgi-bin/fecimg/?202004179219700995"/>
    <s v="Contributions From Individuals/Persons Other Than Political Committees"/>
  </r>
  <r>
    <s v="C00326595"/>
    <x v="0"/>
    <n v="2020"/>
    <s v="M4"/>
    <n v="2.020041792197E+17"/>
    <s v="11AI"/>
    <s v="A2020-555628"/>
    <n v="140188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3-27T00:00:00"/>
    <n v="192.31"/>
    <n v="1346.1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21T01:45:53"/>
    <m/>
    <m/>
    <m/>
    <s v="F3X"/>
    <n v="4.0418202017373102E+18"/>
    <s v="t"/>
    <m/>
    <n v="2020"/>
    <s v="SA"/>
    <m/>
    <n v="4.0420202017373798E+18"/>
    <s v="http://docquery.fec.gov/cgi-bin/fecimg/?202004179219700996"/>
    <s v="Contributions From Individuals/Persons Other Than Political Committees"/>
  </r>
  <r>
    <s v="C00326595"/>
    <x v="0"/>
    <n v="2020"/>
    <s v="M5"/>
    <n v="2.0200512923267299E+17"/>
    <s v="11AI"/>
    <s v="A2020-765601"/>
    <n v="1405315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4-10T00:00:00"/>
    <n v="192.31"/>
    <n v="1538.4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4T01:24:44"/>
    <m/>
    <m/>
    <m/>
    <s v="F3X"/>
    <n v="4.05132020174272E+18"/>
    <s v="t"/>
    <m/>
    <n v="2020"/>
    <s v="SA"/>
    <m/>
    <n v="4.05132020174285E+18"/>
    <s v="http://docquery.fec.gov/cgi-bin/fecimg/?202005129232673098"/>
    <s v="Contributions From Individuals/Persons Other Than Political Committees"/>
  </r>
  <r>
    <s v="C00326595"/>
    <x v="0"/>
    <n v="2020"/>
    <s v="M5"/>
    <n v="2.0200512923267299E+17"/>
    <s v="11AI"/>
    <s v="A2020-849242"/>
    <n v="1405315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4-24T00:00:00"/>
    <n v="192.31"/>
    <n v="1730.7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4T01:24:44"/>
    <m/>
    <m/>
    <m/>
    <s v="F3X"/>
    <n v="4.05132020174272E+18"/>
    <s v="t"/>
    <m/>
    <n v="2020"/>
    <s v="SA"/>
    <m/>
    <n v="4.05132020174285E+18"/>
    <s v="http://docquery.fec.gov/cgi-bin/fecimg/?202005129232673098"/>
    <s v="Contributions From Individuals/Persons Other Than Political Committees"/>
  </r>
  <r>
    <s v="C00326595"/>
    <x v="0"/>
    <n v="2020"/>
    <s v="M8"/>
    <n v="2.0200819926139901E+17"/>
    <s v="11AI"/>
    <s v="A2020-1409111"/>
    <n v="143341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7-03T00:00:00"/>
    <n v="192.31"/>
    <n v="2692.3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29T03:41:30"/>
    <m/>
    <m/>
    <m/>
    <s v="F3X"/>
    <n v="4.0820202018293499E+18"/>
    <s v="t"/>
    <m/>
    <n v="2020"/>
    <s v="SA"/>
    <m/>
    <n v="4.08292020183123E+18"/>
    <s v="http://docquery.fec.gov/cgi-bin/fecimg/?202008199261399497"/>
    <s v="Contributions From Individuals/Persons Other Than Political Committees"/>
  </r>
  <r>
    <s v="C00326595"/>
    <x v="0"/>
    <n v="2020"/>
    <s v="M8"/>
    <n v="2.0200819926139901E+17"/>
    <s v="11AI"/>
    <s v="A2020-1604969"/>
    <n v="143341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7-17T00:00:00"/>
    <n v="192.31"/>
    <n v="2884.6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29T03:41:30"/>
    <m/>
    <m/>
    <m/>
    <s v="F3X"/>
    <n v="4.0820202018293499E+18"/>
    <s v="t"/>
    <m/>
    <n v="2020"/>
    <s v="SA"/>
    <m/>
    <n v="4.08292020183123E+18"/>
    <s v="http://docquery.fec.gov/cgi-bin/fecimg/?202008199261399497"/>
    <s v="Contributions From Individuals/Persons Other Than Political Committees"/>
  </r>
  <r>
    <s v="C00326595"/>
    <x v="0"/>
    <n v="2020"/>
    <s v="M8"/>
    <n v="2.0200819926139901E+17"/>
    <s v="11AI"/>
    <s v="A2020-1638947"/>
    <n v="1433413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7-31T00:00:00"/>
    <n v="192.31"/>
    <n v="3076.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29T03:41:30"/>
    <m/>
    <m/>
    <m/>
    <s v="F3X"/>
    <n v="4.0820202018293499E+18"/>
    <s v="t"/>
    <m/>
    <n v="2020"/>
    <s v="SA"/>
    <m/>
    <n v="4.08292020183123E+18"/>
    <s v="http://docquery.fec.gov/cgi-bin/fecimg/?202008199261399498"/>
    <s v="Contributions From Individuals/Persons Other Than Political Committees"/>
  </r>
  <r>
    <s v="C00326595"/>
    <x v="0"/>
    <n v="2020"/>
    <s v="M6"/>
    <n v="2.0200619924001101E+17"/>
    <s v="11AI"/>
    <s v="A2020-982908"/>
    <n v="1413408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5-08T00:00:00"/>
    <n v="192.31"/>
    <n v="1923.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20T01:47:46"/>
    <m/>
    <m/>
    <m/>
    <s v="F3X"/>
    <n v="4.0619202017759299E+18"/>
    <s v="t"/>
    <m/>
    <n v="2020"/>
    <s v="SA"/>
    <m/>
    <n v="4.0619202017760502E+18"/>
    <s v="http://docquery.fec.gov/cgi-bin/fecimg/?202006199240011653"/>
    <s v="Contributions From Individuals/Persons Other Than Political Committees"/>
  </r>
  <r>
    <s v="C00326595"/>
    <x v="0"/>
    <n v="2020"/>
    <s v="M6"/>
    <n v="2.0200619924001101E+17"/>
    <s v="11AI"/>
    <s v="A2020-1102359"/>
    <n v="1413408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5-22T00:00:00"/>
    <n v="192.31"/>
    <n v="2115.4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20T01:47:46"/>
    <m/>
    <m/>
    <m/>
    <s v="F3X"/>
    <n v="4.0619202017759299E+18"/>
    <s v="t"/>
    <m/>
    <n v="2020"/>
    <s v="SA"/>
    <m/>
    <n v="4.0619202017760502E+18"/>
    <s v="http://docquery.fec.gov/cgi-bin/fecimg/?202006199240011653"/>
    <s v="Contributions From Individuals/Persons Other Than Political Committees"/>
  </r>
  <r>
    <s v="C00326595"/>
    <x v="0"/>
    <n v="2020"/>
    <s v="M7"/>
    <n v="2.0200720925046499E+17"/>
    <s v="11AI"/>
    <s v="A2020-1162286"/>
    <n v="1426845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6-05T00:00:00"/>
    <n v="192.31"/>
    <n v="2307.71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0T04:01:11"/>
    <m/>
    <m/>
    <m/>
    <s v="F3X"/>
    <n v="4.0720202017911798E+18"/>
    <s v="t"/>
    <m/>
    <n v="2020"/>
    <s v="SA"/>
    <m/>
    <n v="4.0730202018090399E+18"/>
    <s v="http://docquery.fec.gov/cgi-bin/fecimg/?202007209250465654"/>
    <s v="Contributions From Individuals/Persons Other Than Political Committees"/>
  </r>
  <r>
    <s v="C00326595"/>
    <x v="0"/>
    <n v="2020"/>
    <s v="M7"/>
    <n v="2.0200720925046499E+17"/>
    <s v="11AI"/>
    <s v="A2020-1353708"/>
    <n v="1426845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6-19T00:00:00"/>
    <n v="192.31"/>
    <n v="2500.030000000000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0T04:04:14"/>
    <m/>
    <m/>
    <m/>
    <s v="F3X"/>
    <n v="4.0720202017911798E+18"/>
    <s v="t"/>
    <m/>
    <n v="2020"/>
    <s v="SA"/>
    <m/>
    <n v="4.0730202018090399E+18"/>
    <s v="http://docquery.fec.gov/cgi-bin/fecimg/?202007209250465654"/>
    <s v="Contributions From Individuals/Persons Other Than Political Committees"/>
  </r>
  <r>
    <s v="C00326595"/>
    <x v="0"/>
    <n v="2020"/>
    <s v="M9"/>
    <n v="2.0200917926723699E+17"/>
    <s v="11AI"/>
    <s v="A2020-1842072"/>
    <n v="1438908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8-14T00:00:00"/>
    <n v="192.31"/>
    <n v="3269.2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9T03:37:20"/>
    <m/>
    <m/>
    <m/>
    <s v="F3X"/>
    <n v="4.0919202018490399E+18"/>
    <s v="t"/>
    <m/>
    <n v="2020"/>
    <s v="SA"/>
    <m/>
    <n v="4.0919202018490701E+18"/>
    <s v="http://docquery.fec.gov/cgi-bin/fecimg/?202009179267237272"/>
    <s v="Contributions From Individuals/Persons Other Than Political Committees"/>
  </r>
  <r>
    <s v="C00326595"/>
    <x v="0"/>
    <n v="2020"/>
    <s v="M9"/>
    <n v="2.0200917926723699E+17"/>
    <s v="11AI"/>
    <s v="A2020-1879031"/>
    <n v="1438908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8-28T00:00:00"/>
    <n v="192.31"/>
    <n v="3461.5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9T03:37:20"/>
    <m/>
    <m/>
    <m/>
    <s v="F3X"/>
    <n v="4.0919202018490399E+18"/>
    <s v="t"/>
    <m/>
    <n v="2020"/>
    <s v="SA"/>
    <m/>
    <n v="4.0919202018490701E+18"/>
    <s v="http://docquery.fec.gov/cgi-bin/fecimg/?202009179267237273"/>
    <s v="Contributions From Individuals/Persons Other Than Political Committees"/>
  </r>
  <r>
    <s v="C00326595"/>
    <x v="0"/>
    <n v="2020"/>
    <s v="M10"/>
    <n v="2.0201020929738899E+17"/>
    <s v="11AI"/>
    <s v="A2020-1965939"/>
    <n v="1457440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9-11T00:00:00"/>
    <n v="192.31"/>
    <n v="3653.8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2T03:49:29"/>
    <m/>
    <m/>
    <m/>
    <s v="F3X"/>
    <n v="4.1021202018822298E+18"/>
    <s v="t"/>
    <m/>
    <n v="2020"/>
    <s v="SA"/>
    <m/>
    <n v="4.1202202019629501E+18"/>
    <s v="http://docquery.fec.gov/cgi-bin/fecimg/?202010209297389465"/>
    <s v="Contributions From Individuals/Persons Other Than Political Committees"/>
  </r>
  <r>
    <s v="C00326595"/>
    <x v="0"/>
    <n v="2020"/>
    <s v="M10"/>
    <n v="2.0201020929738899E+17"/>
    <s v="11AI"/>
    <s v="A2020-2139241"/>
    <n v="1457440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09-25T00:00:00"/>
    <n v="192.31"/>
    <n v="3846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2T03:49:29"/>
    <m/>
    <m/>
    <m/>
    <s v="F3X"/>
    <n v="4.1021202018822298E+18"/>
    <s v="t"/>
    <m/>
    <n v="2020"/>
    <s v="SA"/>
    <m/>
    <n v="4.1202202019629501E+18"/>
    <s v="http://docquery.fec.gov/cgi-bin/fecimg/?202010209297389465"/>
    <s v="Contributions From Individuals/Persons Other Than Political Committees"/>
  </r>
  <r>
    <s v="C00326595"/>
    <x v="0"/>
    <n v="2020"/>
    <s v="12G"/>
    <n v="2.0201021932676E+17"/>
    <s v="11AI"/>
    <s v="A2020-2303748"/>
    <n v="1459982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10-09T00:00:00"/>
    <n v="192.31"/>
    <n v="4038.51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02T03:55:05"/>
    <m/>
    <m/>
    <m/>
    <s v="F3X"/>
    <n v="4.1022202018826598E+18"/>
    <s v="t"/>
    <m/>
    <n v="2020"/>
    <s v="SA"/>
    <m/>
    <n v="4.12022020196305E+18"/>
    <s v="http://docquery.fec.gov/cgi-bin/fecimg/?202010219326760383"/>
    <s v="Contributions From Individuals/Persons Other Than Political Committees"/>
  </r>
  <r>
    <s v="C00326595"/>
    <x v="0"/>
    <n v="2020"/>
    <s v="YE"/>
    <n v="2.0210129941397101E+17"/>
    <s v="11AI"/>
    <s v="A2020-2631552"/>
    <n v="1493829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12-04T00:00:00"/>
    <n v="192.31"/>
    <n v="4807.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2:05"/>
    <m/>
    <m/>
    <m/>
    <s v="F3X"/>
    <n v="4.01302021213907E+18"/>
    <s v="t"/>
    <m/>
    <n v="2020"/>
    <s v="SA"/>
    <m/>
    <n v="4.0203202121403602E+18"/>
    <s v="https://docquery.fec.gov/cgi-bin/fecimg/?202101299413971655"/>
    <s v="Contributions From Individuals/Persons Other Than Political Committees"/>
  </r>
  <r>
    <s v="C00326595"/>
    <x v="0"/>
    <n v="2020"/>
    <s v="YE"/>
    <n v="2.0210129941397101E+17"/>
    <s v="11AI"/>
    <s v="A2020-2730498"/>
    <n v="1493829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12-18T00:00:00"/>
    <n v="192.25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2-03T03:42:05"/>
    <m/>
    <m/>
    <m/>
    <s v="F3X"/>
    <n v="4.01302021213907E+18"/>
    <s v="t"/>
    <m/>
    <n v="2020"/>
    <s v="SA"/>
    <m/>
    <n v="4.0203202121403602E+18"/>
    <s v="https://docquery.fec.gov/cgi-bin/fecimg/?202101299413971655"/>
    <s v="Contributions From Individuals/Persons Other Than Political Committees"/>
  </r>
  <r>
    <s v="C00326595"/>
    <x v="0"/>
    <n v="2020"/>
    <s v="30G"/>
    <n v="2.0201203934000602E+17"/>
    <s v="11AI"/>
    <s v="A2020-2335860"/>
    <n v="1479855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10-23T00:00:00"/>
    <n v="192.31"/>
    <n v="4230.8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01T03:43:20"/>
    <m/>
    <m/>
    <m/>
    <s v="F3X"/>
    <n v="4.1204202019634299E+18"/>
    <s v="t"/>
    <m/>
    <n v="2020"/>
    <s v="SA"/>
    <m/>
    <n v="4.0101202119889603E+18"/>
    <s v="https://docquery.fec.gov/cgi-bin/fecimg/?202012039340006655"/>
    <s v="Contributions From Individuals/Persons Other Than Political Committees"/>
  </r>
  <r>
    <s v="C00326595"/>
    <x v="0"/>
    <n v="2020"/>
    <s v="30G"/>
    <n v="2.0201203934000602E+17"/>
    <s v="11AI"/>
    <s v="A2020-2405187"/>
    <n v="1479855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11-06T00:00:00"/>
    <n v="192.31"/>
    <n v="4423.13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01T03:43:20"/>
    <m/>
    <m/>
    <m/>
    <s v="F3X"/>
    <n v="4.1204202019634299E+18"/>
    <s v="t"/>
    <m/>
    <n v="2020"/>
    <s v="SA"/>
    <m/>
    <n v="4.0101202119889603E+18"/>
    <s v="https://docquery.fec.gov/cgi-bin/fecimg/?202012039340006655"/>
    <s v="Contributions From Individuals/Persons Other Than Political Committees"/>
  </r>
  <r>
    <s v="C00326595"/>
    <x v="0"/>
    <n v="2020"/>
    <s v="30G"/>
    <n v="2.0201203934000602E+17"/>
    <s v="11AI"/>
    <s v="A2020-2501812"/>
    <n v="1479855"/>
    <m/>
    <s v="IND"/>
    <s v="INDIVIDUAL"/>
    <m/>
    <m/>
    <s v="BLACKLEY, RICHARD S"/>
    <s v="Q"/>
    <s v="C"/>
    <s v="B"/>
    <s v="RICHARD"/>
    <s v="S"/>
    <s v="BLACKLEY"/>
    <m/>
    <s v="43414 TURNBERRY ISLE COURT"/>
    <m/>
    <s v="LEESBURG"/>
    <s v="VA"/>
    <n v="20176"/>
    <s v="CAPITAL ONE"/>
    <s v="EXECUTIVE COMMITTEE"/>
    <m/>
    <n v="15"/>
    <s v="CONTRIBUTION"/>
    <m/>
    <m/>
    <m/>
    <d v="2020-11-20T00:00:00"/>
    <n v="192.31"/>
    <n v="4615.43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01T03:43:20"/>
    <m/>
    <m/>
    <m/>
    <s v="F3X"/>
    <n v="4.1204202019634299E+18"/>
    <s v="t"/>
    <m/>
    <n v="2020"/>
    <s v="SA"/>
    <m/>
    <n v="4.0101202119889603E+18"/>
    <s v="https://docquery.fec.gov/cgi-bin/fecimg/?202012039340006655"/>
    <s v="Contributions From Individuals/Persons Other Than Political Committee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6">
  <r>
    <s v="C00660464"/>
    <x v="0"/>
    <n v="2020"/>
    <s v="Q1"/>
    <n v="2.0200525923949402E+17"/>
    <s v="11AI"/>
    <s v="VSHA8K8ANZ8"/>
    <n v="1408413"/>
    <m/>
    <s v="IND"/>
    <s v="INDIVIDUAL"/>
    <s v="C00401224"/>
    <m/>
    <s v="THEOLOGIDES, STERGIOS"/>
    <s v="H"/>
    <m/>
    <s v="P"/>
    <s v="STERGIOS"/>
    <m/>
    <s v="THEOLOGIDES"/>
    <m/>
    <s v="1441 U ST NW"/>
    <s v="APT 1021"/>
    <s v="WASHINGTON"/>
    <s v="DC"/>
    <n v="200093537"/>
    <s v="FANNIE MAE"/>
    <s v="EXECUTIVE VICE PRESIDENT"/>
    <s v="C00401224"/>
    <s v="15E"/>
    <s v="EARMARKED CONTRIBUTION"/>
    <m/>
    <m/>
    <m/>
    <d v="2020-02-19T00:00:00"/>
    <n v="500"/>
    <n v="5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d v="2020-05-27T01:41:54"/>
    <m/>
    <s v="VSHA8K8ANZ8E"/>
    <s v="SA11AI"/>
    <s v="F3"/>
    <n v="4.05252020176258E+18"/>
    <s v="t"/>
    <s v="* EARMARKED CONTRIBUTION: SEE BELOW"/>
    <n v="2020"/>
    <s v="SA"/>
    <m/>
    <n v="4.0526202017626199E+18"/>
    <s v="http://docquery.fec.gov/cgi-bin/fecimg/?202005259239494338"/>
    <s v="Contributions From Individuals/Persons Other Than Political Committees"/>
  </r>
  <r>
    <s v="C00711549"/>
    <x v="1"/>
    <n v="2020"/>
    <s v="Q3"/>
    <n v="2.0210701945092499E+17"/>
    <s v="11AI"/>
    <s v="11AI-001990681"/>
    <n v="1522129"/>
    <m/>
    <s v="IND"/>
    <s v="INDIVIDUAL"/>
    <m/>
    <m/>
    <s v="THEOLOGIDES, STERGIOS"/>
    <s v="S"/>
    <m/>
    <s v="P"/>
    <s v="STERGIOS"/>
    <m/>
    <s v="THEOLOGIDES"/>
    <m/>
    <s v="950 WESTMINSTER STREET NW"/>
    <m/>
    <s v="WASHINGTON"/>
    <s v="DC"/>
    <n v="20001"/>
    <s v="FANNIE MAE"/>
    <s v="ATTORNEY"/>
    <m/>
    <s v="15E"/>
    <s v="EARMARKED CONTRIBUTION"/>
    <m/>
    <m/>
    <m/>
    <d v="2020-09-26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7-07T03:46:08"/>
    <m/>
    <m/>
    <m/>
    <s v="F3"/>
    <n v="4.0702202113196498E+18"/>
    <s v="t"/>
    <s v="EARMARKED THROUGH ACTBLUE 09-27-2020 $1,234,374.47 - SEE MEMO ON SCH A FOR LINE 11C"/>
    <n v="2020"/>
    <s v="SA"/>
    <m/>
    <n v="4.0707202113200502E+18"/>
    <s v="https://docquery.fec.gov/cgi-bin/fecimg/?202107019450925380"/>
    <s v="Contributions From Individuals/Persons Other Than Political Committees"/>
  </r>
  <r>
    <s v="C00703975"/>
    <x v="2"/>
    <n v="2020"/>
    <s v="M5"/>
    <n v="2.02005209239448E+17"/>
    <s v="17A"/>
    <n v="4320367"/>
    <n v="1407726"/>
    <m/>
    <s v="IND"/>
    <s v="INDIVIDUAL"/>
    <s v="C00401224"/>
    <m/>
    <s v="THEOLOGIDES, STERGIOS"/>
    <s v="P"/>
    <m/>
    <s v="P"/>
    <s v="STERGIOS"/>
    <m/>
    <s v="THEOLOGIDES"/>
    <m/>
    <s v="521 LUMINOUS"/>
    <m/>
    <s v="IRVINE"/>
    <s v="CA"/>
    <n v="926034238"/>
    <s v="CORELOGIC"/>
    <s v="ATTORNEY"/>
    <s v="C00401224"/>
    <s v="15E"/>
    <s v="EARMARKED CONTRIBUTION"/>
    <m/>
    <m/>
    <m/>
    <d v="2020-04-25T00:00:00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0-05-30T02:43:47"/>
    <m/>
    <s v="4320367E"/>
    <s v="SA17A"/>
    <s v="F3P"/>
    <n v="4.05212020176224E+18"/>
    <s v="t"/>
    <s v="* EARMARKED CONTRIBUTION: SEE BELOW"/>
    <n v="2020"/>
    <s v="SA"/>
    <m/>
    <n v="4.0529202017736801E+18"/>
    <s v="http://docquery.fec.gov/cgi-bin/fecimg/?202005209239448762"/>
    <s v="Contributions From Individuals/Persons Other Than Political Committees"/>
  </r>
  <r>
    <s v="C00744946"/>
    <x v="3"/>
    <n v="2020"/>
    <s v="30G"/>
    <n v="2.0201203934255699E+17"/>
    <s v="11AI"/>
    <n v="27875881"/>
    <n v="1481256"/>
    <m/>
    <s v="IND"/>
    <s v="INDIVIDUAL"/>
    <m/>
    <m/>
    <s v="THEOLOGIDES, STERGIOS"/>
    <s v="N"/>
    <m/>
    <s v="J"/>
    <s v="STERGIOS"/>
    <m/>
    <s v="THEOLOGIDES"/>
    <m/>
    <s v="1441 U ST NW"/>
    <s v="APT 1021"/>
    <s v="WASHINGTON"/>
    <s v="DC"/>
    <n v="200093537"/>
    <s v="FANNIE MAE"/>
    <s v="ATTORNEY"/>
    <m/>
    <n v="15"/>
    <s v="CONTRIBUTION"/>
    <m/>
    <m/>
    <m/>
    <d v="2020-11-02T00:00:00"/>
    <n v="500"/>
    <n v="3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5-13T03:52:15"/>
    <m/>
    <m/>
    <m/>
    <s v="F3X"/>
    <n v="4.1205202019644498E+18"/>
    <s v="t"/>
    <m/>
    <n v="2020"/>
    <s v="SA"/>
    <m/>
    <n v="4.01042021203245E+18"/>
    <s v="https://docquery.fec.gov/cgi-bin/fecimg/?202012039342557361"/>
    <s v="Contributions From Individuals/Persons Other Than Political Committees"/>
  </r>
  <r>
    <s v="C00636571"/>
    <x v="4"/>
    <n v="2020"/>
    <s v="Q2"/>
    <n v="2.0201203934101402E+17"/>
    <s v="11AI"/>
    <s v="VTEFSYCT318"/>
    <n v="1480684"/>
    <m/>
    <s v="IND"/>
    <s v="INDIVIDUAL"/>
    <m/>
    <m/>
    <s v="THEOLOGIDES, STERGIOS"/>
    <s v="H"/>
    <m/>
    <s v="P"/>
    <s v="STERGIOS"/>
    <m/>
    <s v="THEOLOGIDES"/>
    <m/>
    <s v="1441 U ST NW"/>
    <m/>
    <s v="WASHINGTON"/>
    <s v="DC"/>
    <n v="200093537"/>
    <s v="THEOLOGIDES LAW, PC"/>
    <s v="ATTORNEY"/>
    <m/>
    <s v="15E"/>
    <s v="EARMARKED CONTRIBUTION"/>
    <m/>
    <m/>
    <m/>
    <d v="2020-04-25T00:00:00"/>
    <n v="1000"/>
    <n v="15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18T03:42:28"/>
    <m/>
    <s v="VTEFSYCT318E"/>
    <s v="SA11AI"/>
    <s v="F3"/>
    <n v="4.1205202019644401E+18"/>
    <s v="t"/>
    <s v="* EARMARKED CONTRIBUTION: SEE BELOW"/>
    <n v="2020"/>
    <s v="SA"/>
    <m/>
    <n v="4.1218202019771802E+18"/>
    <s v="https://docquery.fec.gov/cgi-bin/fecimg/?202012039341014768"/>
    <s v="Contributions From Individuals/Persons Other Than Political Committees"/>
  </r>
  <r>
    <s v="C00010603"/>
    <x v="5"/>
    <n v="2020"/>
    <s v="30G"/>
    <n v="2.0210401944305402E+17"/>
    <n v="12"/>
    <n v="38196215"/>
    <n v="1507252"/>
    <m/>
    <s v="IND"/>
    <s v="INDIVIDUAL"/>
    <m/>
    <m/>
    <s v="THEOLOGIDES, STERGIOS"/>
    <s v="Y"/>
    <m/>
    <s v="U"/>
    <s v="STERGIOS"/>
    <m/>
    <s v="THEOLOGIDES"/>
    <m/>
    <s v="1441 U ST NW"/>
    <m/>
    <s v="WASHINGTON"/>
    <s v="DC"/>
    <n v="200093537"/>
    <s v="FANNIE MAE"/>
    <s v="ATTORNEY"/>
    <m/>
    <s v="15J"/>
    <s v="MEMO (FILER'S % OF CONTRIBUTION GIVEN TO JOIN"/>
    <m/>
    <s v="X"/>
    <m/>
    <d v="2020-10-09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4-06T04:38:51"/>
    <m/>
    <n v="38194002"/>
    <s v="SA12"/>
    <s v="F3X"/>
    <n v="4.0403202112747802E+18"/>
    <s v="t"/>
    <s v="* BIDEN VICTORY FUND"/>
    <n v="2020"/>
    <s v="SA"/>
    <m/>
    <n v="4.0406202112762102E+18"/>
    <s v="https://docquery.fec.gov/cgi-bin/fecimg/?202104019443054960"/>
    <s v="Transfers from Authorized Committees"/>
  </r>
  <r>
    <s v="C00744946"/>
    <x v="3"/>
    <n v="2020"/>
    <s v="12G"/>
    <n v="2.0210308944031101E+17"/>
    <s v="11AI"/>
    <n v="20552301"/>
    <n v="1503262"/>
    <m/>
    <s v="IND"/>
    <s v="INDIVIDUAL"/>
    <m/>
    <m/>
    <s v="THEOLOGIDES, STERGIOS"/>
    <s v="N"/>
    <m/>
    <s v="J"/>
    <s v="STERGIOS"/>
    <m/>
    <s v="THEOLOGIDES"/>
    <m/>
    <s v="950 WESTMINSTER ST NW"/>
    <m/>
    <s v="WASHINGTON"/>
    <s v="DC"/>
    <n v="200014130"/>
    <s v="FANNIE MAE"/>
    <s v="ATTORNEY"/>
    <m/>
    <n v="15"/>
    <s v="CONTRIBUTION"/>
    <m/>
    <m/>
    <m/>
    <d v="2020-10-09T00:00:00"/>
    <n v="2800"/>
    <n v="2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5-13T03:55:44"/>
    <m/>
    <m/>
    <m/>
    <s v="F3X"/>
    <n v="4.0309202112269302E+18"/>
    <s v="t"/>
    <m/>
    <n v="2020"/>
    <s v="SA"/>
    <m/>
    <n v="4.0309202112389801E+18"/>
    <s v="https://docquery.fec.gov/cgi-bin/fecimg/?202103089440311386"/>
    <s v="Contributions From Individuals/Persons Other Than Political Committees"/>
  </r>
  <r>
    <s v="C00703975"/>
    <x v="2"/>
    <n v="2020"/>
    <s v="M9"/>
    <n v="2.02009209276472E+17"/>
    <s v="17A"/>
    <n v="11782640"/>
    <n v="1440320"/>
    <m/>
    <s v="IND"/>
    <s v="INDIVIDUAL"/>
    <s v="C00401224"/>
    <m/>
    <s v="THEOLOGIDES, STERGIOS"/>
    <s v="P"/>
    <m/>
    <s v="P"/>
    <s v="STERGIOS"/>
    <m/>
    <s v="THEOLOGIDES"/>
    <m/>
    <s v="1441 U ST NW"/>
    <s v="APT 1021"/>
    <s v="WASHINGTON"/>
    <s v="DC"/>
    <n v="200093537"/>
    <s v="FANNIE MAE"/>
    <s v="ATTORNEY"/>
    <s v="C00401224"/>
    <s v="15E"/>
    <s v="EARMARKED CONTRIBUTION"/>
    <m/>
    <m/>
    <m/>
    <d v="2020-08-23T00:00:00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09-30T04:24:46"/>
    <m/>
    <s v="11782640E"/>
    <s v="SA17A"/>
    <s v="F3P"/>
    <n v="4.0922202018492001E+18"/>
    <s v="t"/>
    <s v="* EARMARKED CONTRIBUTION: SEE BELOW"/>
    <n v="2020"/>
    <s v="SA"/>
    <m/>
    <n v="4.0930202018532803E+18"/>
    <s v="http://docquery.fec.gov/cgi-bin/fecimg/?202009209276472405"/>
    <s v="Contributions From Individuals/Persons Other Than Political Committees"/>
  </r>
  <r>
    <s v="C00718866"/>
    <x v="6"/>
    <n v="2020"/>
    <s v="Q3"/>
    <n v="2.0201015929510099E+17"/>
    <s v="11AI"/>
    <s v="VTE6ZZVN417"/>
    <n v="1451841"/>
    <m/>
    <s v="IND"/>
    <s v="INDIVIDUAL"/>
    <s v="C00401224"/>
    <m/>
    <s v="THEOLOGIDES, STERGIOS"/>
    <s v="S"/>
    <m/>
    <s v="P"/>
    <s v="STERGIOS"/>
    <m/>
    <s v="THEOLOGIDES"/>
    <m/>
    <s v="950 WESTMINSTER ST NW"/>
    <m/>
    <s v="WASHINGTON"/>
    <s v="DC"/>
    <n v="200014130"/>
    <s v="FANNIE MAE"/>
    <s v="ATTORNEY"/>
    <s v="C00401224"/>
    <s v="15E"/>
    <s v="EARMARKED CONTRIBUTION"/>
    <m/>
    <m/>
    <m/>
    <d v="2020-09-26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08T03:43:32"/>
    <m/>
    <s v="VTE6ZZVN417E"/>
    <s v="SA11AI"/>
    <s v="F3"/>
    <n v="4.1016202018576502E+18"/>
    <s v="t"/>
    <s v="* EARMARKED CONTRIBUTION: SEE BELOW"/>
    <n v="2020"/>
    <s v="SA"/>
    <m/>
    <n v="4.1208202019669299E+18"/>
    <s v="http://docquery.fec.gov/cgi-bin/fecimg/?202010159295101192"/>
    <s v="Contributions From Individuals/Persons Other Than Political Committees"/>
  </r>
  <r>
    <s v="C00741611"/>
    <x v="7"/>
    <n v="2020"/>
    <s v="Q3"/>
    <n v="2.02106079448844E+17"/>
    <s v="11AI"/>
    <n v="2781675"/>
    <n v="1518904"/>
    <m/>
    <s v="IND"/>
    <s v="INDIVIDUAL"/>
    <m/>
    <m/>
    <s v="THEOLOGIDES, STERGIOS"/>
    <s v="S"/>
    <m/>
    <s v="P"/>
    <s v="STERGIOS"/>
    <m/>
    <s v="THEOLOGIDES"/>
    <m/>
    <s v="950 WESTMINSTER ST NW"/>
    <m/>
    <s v="WASHINGTON"/>
    <s v="DC"/>
    <n v="200014130"/>
    <s v="FANNIE MAE"/>
    <s v="ATTORNEY"/>
    <m/>
    <s v="15E"/>
    <s v="EARMARKED CONTRIBUTION"/>
    <m/>
    <m/>
    <m/>
    <d v="2020-09-26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6-11T03:44:27"/>
    <m/>
    <s v="2781675E"/>
    <s v="SA11AI"/>
    <s v="F3"/>
    <n v="4.0608202113060598E+18"/>
    <s v="t"/>
    <s v="* EARMARKED CONTRIBUTION: SEE BELOW"/>
    <n v="2020"/>
    <s v="SA"/>
    <m/>
    <n v="4.06112021130799E+18"/>
    <s v="https://docquery.fec.gov/cgi-bin/fecimg/?202106079448844695"/>
    <s v="Contributions From Individuals/Persons Other Than Political Committees"/>
  </r>
  <r>
    <s v="C00640623"/>
    <x v="8"/>
    <n v="2020"/>
    <s v="Q3"/>
    <n v="2.0201117933701299E+17"/>
    <s v="11AI"/>
    <s v="VTQYMTMQDQ7"/>
    <n v="1472474"/>
    <m/>
    <s v="IND"/>
    <s v="INDIVIDUAL"/>
    <m/>
    <m/>
    <s v="THEOLOGIDES, STERGIOS"/>
    <s v="S"/>
    <m/>
    <s v="P"/>
    <s v="STERGIOS"/>
    <m/>
    <s v="THEOLOGIDES"/>
    <m/>
    <s v="950 WESTMINSTER ST NW"/>
    <m/>
    <s v="WASHINGTON"/>
    <s v="DC"/>
    <n v="200014130"/>
    <s v="FANNIE MAE"/>
    <s v="ATTORNEY"/>
    <m/>
    <s v="15E"/>
    <s v="EARMARKED CONTRIBUTION"/>
    <m/>
    <m/>
    <m/>
    <d v="2020-09-26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1-26T03:46:01"/>
    <m/>
    <s v="VTQYMTMQDQ7E"/>
    <s v="SA11AI"/>
    <s v="F3"/>
    <n v="4.1117202019394401E+18"/>
    <s v="t"/>
    <s v="* EARMARKED CONTRIBUTION: SEE BELOW"/>
    <n v="2020"/>
    <s v="SA"/>
    <m/>
    <n v="4.1126202019623101E+18"/>
    <s v="http://docquery.fec.gov/cgi-bin/fecimg/?202011179337013466"/>
    <s v="Contributions From Individuals/Persons Other Than Political Committees"/>
  </r>
  <r>
    <s v="C00702225"/>
    <x v="9"/>
    <n v="2020"/>
    <s v="Q3"/>
    <n v="2.0201015929566301E+17"/>
    <s v="11AI"/>
    <n v="7710037"/>
    <n v="1452728"/>
    <m/>
    <s v="IND"/>
    <s v="INDIVIDUAL"/>
    <s v="C00401224"/>
    <m/>
    <s v="THEOLOGIDES, STERGIOS"/>
    <s v="H"/>
    <m/>
    <s v="P"/>
    <s v="STERGIOS"/>
    <m/>
    <s v="THEOLOGIDES"/>
    <m/>
    <s v="1441 U ST NW"/>
    <s v="APT 1021"/>
    <s v="WASHINGTON"/>
    <s v="DC"/>
    <n v="200093537"/>
    <s v="CORELOGIC"/>
    <s v="ATTORNEY"/>
    <s v="C00401224"/>
    <s v="15E"/>
    <s v="EARMARKED CONTRIBUTION"/>
    <m/>
    <m/>
    <m/>
    <d v="2020-08-23T00:00:00"/>
    <n v="1000"/>
    <n v="10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1-28T03:39:18"/>
    <m/>
    <s v="7710037E"/>
    <s v="SA11AI"/>
    <s v="F3"/>
    <n v="4.1016202018585702E+18"/>
    <s v="t"/>
    <s v="* EARMARKED CONTRIBUTION: SEE BELOW"/>
    <n v="2020"/>
    <s v="SA"/>
    <m/>
    <n v="4.1128202019625702E+18"/>
    <s v="http://docquery.fec.gov/cgi-bin/fecimg/?202010159295663761"/>
    <s v="Contributions From Individuals/Persons Other Than Political Committees"/>
  </r>
  <r>
    <s v="C00696153"/>
    <x v="10"/>
    <n v="2020"/>
    <s v="Q3"/>
    <n v="2.0201015929411501E+17"/>
    <s v="11AI"/>
    <s v="VVC3HSZAZ01"/>
    <n v="1449356"/>
    <m/>
    <s v="IND"/>
    <s v="INDIVIDUAL"/>
    <s v="C00401224"/>
    <m/>
    <s v="THEOLOGIDES, STERGIOS"/>
    <s v="S"/>
    <m/>
    <s v="P"/>
    <s v="STERGIOS"/>
    <m/>
    <s v="THEOLOGIDES"/>
    <m/>
    <s v="950 WESTMINSTER ST NW"/>
    <m/>
    <s v="WASHINGTON"/>
    <s v="DC"/>
    <n v="200014130"/>
    <s v="FANNIE MAE"/>
    <s v="ATTORNEY"/>
    <s v="C00401224"/>
    <s v="15E"/>
    <s v="EARMARKED CONTRIBUTION"/>
    <m/>
    <m/>
    <m/>
    <d v="2020-09-26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05T03:58:49"/>
    <m/>
    <s v="VVC3HSZAZ01E"/>
    <s v="SA11AI"/>
    <s v="F3"/>
    <n v="4.1016202018576502E+18"/>
    <s v="t"/>
    <s v="* EARMARKED CONTRIBUTION: SEE BELOW"/>
    <n v="2020"/>
    <s v="SA"/>
    <m/>
    <n v="4.1205202019658701E+18"/>
    <s v="http://docquery.fec.gov/cgi-bin/fecimg/?202010159294115307"/>
    <s v="Contributions From Individuals/Persons Other Than Political Committees"/>
  </r>
  <r>
    <s v="C00709410"/>
    <x v="11"/>
    <n v="2020"/>
    <s v="Q3"/>
    <n v="2.0201201933732602E+17"/>
    <s v="11AI"/>
    <s v="VVC0QW4VT20"/>
    <n v="1475453"/>
    <m/>
    <s v="IND"/>
    <s v="INDIVIDUAL"/>
    <m/>
    <m/>
    <s v="THEOLOGIDES, STERGIOS"/>
    <s v="S"/>
    <m/>
    <s v="P"/>
    <s v="STERGIOS"/>
    <m/>
    <s v="THEOLOGIDES"/>
    <m/>
    <s v="950 WESTMINSTER ST NW"/>
    <m/>
    <s v="WASHINGTON"/>
    <s v="DC"/>
    <n v="200014130"/>
    <s v="FANNIE MAE"/>
    <s v="ATTORNEY"/>
    <m/>
    <s v="15E"/>
    <s v="EARMARKED CONTRIBUTION"/>
    <m/>
    <m/>
    <m/>
    <d v="2020-09-26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24T03:59:55"/>
    <m/>
    <s v="VVC0QW4VT20E"/>
    <s v="SA11AI"/>
    <s v="F3"/>
    <n v="4.12022020196288E+18"/>
    <s v="t"/>
    <s v="* EARMARKED CONTRIBUTION: SEE BELOW"/>
    <n v="2020"/>
    <s v="SA"/>
    <m/>
    <n v="4.1224202019832602E+18"/>
    <s v="https://docquery.fec.gov/cgi-bin/fecimg/?202012019337326982"/>
    <s v="Contributions From Individuals/Persons Other Than Political Committees"/>
  </r>
  <r>
    <s v="C00636571"/>
    <x v="4"/>
    <n v="2020"/>
    <s v="Q3"/>
    <n v="2.0201203934104198E+17"/>
    <s v="11AI"/>
    <s v="VTEFSZXPN76"/>
    <n v="1480781"/>
    <m/>
    <s v="IND"/>
    <s v="INDIVIDUAL"/>
    <m/>
    <m/>
    <s v="THEOLOGIDES, STERGIOS"/>
    <s v="H"/>
    <m/>
    <s v="P"/>
    <s v="STERGIOS"/>
    <m/>
    <s v="THEOLOGIDES"/>
    <m/>
    <s v="1441 U ST NW"/>
    <m/>
    <s v="WASHINGTON"/>
    <s v="DC"/>
    <n v="200093537"/>
    <s v="THEOLOGIDES LAW, PC"/>
    <s v="ATTORNEY"/>
    <m/>
    <s v="15E"/>
    <s v="EARMARKED CONTRIBUTION"/>
    <m/>
    <m/>
    <m/>
    <d v="2020-09-26T00:00:00"/>
    <n v="1800"/>
    <n v="33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0-12-24T04:09:19"/>
    <m/>
    <s v="VTEFSZXPN76E"/>
    <s v="SA11AI"/>
    <s v="F3"/>
    <n v="4.1205202019644401E+18"/>
    <s v="t"/>
    <s v="* EARMARKED CONTRIBUTION: SEE BELOW"/>
    <n v="2020"/>
    <s v="SA"/>
    <m/>
    <n v="4.1224202019859702E+18"/>
    <s v="https://docquery.fec.gov/cgi-bin/fecimg/?202012039341042127"/>
    <s v="Contributions From Individuals/Persons Other Than Political Committees"/>
  </r>
  <r>
    <s v="C00709899"/>
    <x v="12"/>
    <n v="2020"/>
    <s v="Q3"/>
    <n v="2.0201203933763901E+17"/>
    <s v="11AI"/>
    <s v="VVC97W6FQY5"/>
    <n v="1477776"/>
    <m/>
    <s v="IND"/>
    <s v="INDIVIDUAL"/>
    <m/>
    <m/>
    <s v="THEOLOGIDES, STERGIOS"/>
    <s v="S"/>
    <m/>
    <s v="P"/>
    <s v="STERGIOS"/>
    <m/>
    <s v="THEOLOGIDES"/>
    <m/>
    <s v="950 WESTMINSTER ST NW"/>
    <m/>
    <s v="WASHINGTON"/>
    <s v="DC"/>
    <n v="200014130"/>
    <s v="FANNIE MAE"/>
    <s v="ATTORNEY"/>
    <m/>
    <s v="15E"/>
    <s v="EARMARKED CONTRIBUTION"/>
    <m/>
    <m/>
    <m/>
    <d v="2020-09-26T00:00:00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21-01-06T03:54:47"/>
    <m/>
    <s v="VVC97W6FQY5E"/>
    <s v="SA11AI"/>
    <s v="F3"/>
    <n v="4.1204202019634202E+18"/>
    <s v="t"/>
    <s v="* EARMARKED CONTRIBUTION: SEE BELOW"/>
    <n v="2020"/>
    <s v="SA"/>
    <m/>
    <n v="4.0106202120334397E+18"/>
    <s v="https://docquery.fec.gov/cgi-bin/fecimg/?202012039337639643"/>
    <s v="Contributions From Individuals/Persons Other Than Political Committe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1:B35" firstHeaderRow="1" firstDataRow="1" firstDataCol="1"/>
  <pivotFields count="79">
    <pivotField showAll="0"/>
    <pivotField axis="axisRow" showAll="0">
      <items count="14">
        <item x="1"/>
        <item x="2"/>
        <item x="3"/>
        <item x="11"/>
        <item x="9"/>
        <item x="0"/>
        <item x="5"/>
        <item x="8"/>
        <item x="10"/>
        <item x="6"/>
        <item x="4"/>
        <item x="7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7:B39" firstHeaderRow="1" firstDataRow="1" firstDataCol="1"/>
  <pivotFields count="79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13" firstHeaderRow="1" firstDataRow="1" firstDataCol="1"/>
  <pivotFields count="79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13:B428" firstHeaderRow="1" firstDataRow="1" firstDataCol="1"/>
  <pivotFields count="79">
    <pivotField showAll="0"/>
    <pivotField axis="axisRow" showAll="0">
      <items count="15">
        <item x="3"/>
        <item x="4"/>
        <item x="12"/>
        <item x="0"/>
        <item x="2"/>
        <item x="7"/>
        <item x="8"/>
        <item x="1"/>
        <item x="5"/>
        <item x="13"/>
        <item x="11"/>
        <item x="10"/>
        <item x="9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1:B14" firstHeaderRow="1" firstDataRow="1" firstDataCol="1"/>
  <pivotFields count="3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tabSelected="1" topLeftCell="F7" workbookViewId="0">
      <selection activeCell="P23" sqref="P23"/>
    </sheetView>
  </sheetViews>
  <sheetFormatPr defaultColWidth="8.85546875" defaultRowHeight="15" x14ac:dyDescent="0.25"/>
  <cols>
    <col min="1" max="1" width="17.140625" style="3" customWidth="1"/>
    <col min="2" max="2" width="10.28515625" style="3" customWidth="1"/>
    <col min="3" max="3" width="17.85546875" style="3" customWidth="1"/>
    <col min="4" max="4" width="23.42578125" style="3" bestFit="1" customWidth="1"/>
    <col min="5" max="5" width="11.28515625" style="3" bestFit="1" customWidth="1"/>
    <col min="6" max="6" width="9.140625" style="3" bestFit="1" customWidth="1"/>
    <col min="7" max="7" width="16.5703125" style="3" bestFit="1" customWidth="1"/>
    <col min="8" max="8" width="8" style="3" bestFit="1" customWidth="1"/>
    <col min="9" max="9" width="5.7109375" style="3" bestFit="1" customWidth="1"/>
    <col min="10" max="10" width="8.85546875" style="3"/>
    <col min="11" max="11" width="9.5703125" style="3" bestFit="1" customWidth="1"/>
    <col min="12" max="15" width="8.85546875" style="3"/>
    <col min="16" max="16" width="70.28515625" style="3" bestFit="1" customWidth="1"/>
    <col min="17" max="17" width="24.28515625" style="3" bestFit="1" customWidth="1"/>
    <col min="18" max="16384" width="8.85546875" style="3"/>
  </cols>
  <sheetData>
    <row r="1" spans="1:18" s="22" customFormat="1" ht="14.25" x14ac:dyDescent="0.2">
      <c r="A1" s="21" t="s">
        <v>13</v>
      </c>
      <c r="B1" s="21" t="s">
        <v>14</v>
      </c>
      <c r="C1" s="21" t="s">
        <v>15</v>
      </c>
      <c r="D1" s="21" t="s">
        <v>12</v>
      </c>
      <c r="E1" s="23" t="s">
        <v>16</v>
      </c>
      <c r="F1" s="23" t="s">
        <v>17</v>
      </c>
      <c r="G1" s="23" t="s">
        <v>18</v>
      </c>
      <c r="H1" s="21" t="s">
        <v>19</v>
      </c>
      <c r="I1" s="21" t="s">
        <v>8</v>
      </c>
      <c r="J1" s="21" t="s">
        <v>5</v>
      </c>
      <c r="K1" s="21" t="s">
        <v>20</v>
      </c>
      <c r="L1" s="21" t="s">
        <v>21</v>
      </c>
      <c r="M1" s="21" t="s">
        <v>22</v>
      </c>
      <c r="N1" s="21" t="s">
        <v>1167</v>
      </c>
      <c r="O1" s="21" t="s">
        <v>23</v>
      </c>
      <c r="P1" s="21" t="s">
        <v>24</v>
      </c>
    </row>
    <row r="2" spans="1:18" ht="15.75" x14ac:dyDescent="0.25">
      <c r="A2" s="3" t="s">
        <v>82</v>
      </c>
      <c r="B2" s="3" t="s">
        <v>0</v>
      </c>
      <c r="C2" s="3" t="s">
        <v>26</v>
      </c>
      <c r="D2" s="7" t="s">
        <v>83</v>
      </c>
      <c r="E2" s="3" t="s">
        <v>74</v>
      </c>
      <c r="F2" s="3" t="s">
        <v>80</v>
      </c>
      <c r="G2" s="3" t="s">
        <v>81</v>
      </c>
      <c r="H2" s="3" t="s">
        <v>30</v>
      </c>
      <c r="J2" s="3">
        <v>61</v>
      </c>
      <c r="Q2" s="3" t="str">
        <f>+E2&amp;F2&amp;G2</f>
        <v>David C. Benson</v>
      </c>
      <c r="R2" s="3" t="s">
        <v>143</v>
      </c>
    </row>
    <row r="3" spans="1:18" ht="15.75" x14ac:dyDescent="0.25">
      <c r="A3" s="3" t="s">
        <v>82</v>
      </c>
      <c r="B3" s="3" t="s">
        <v>26</v>
      </c>
      <c r="C3" s="7" t="s">
        <v>0</v>
      </c>
      <c r="D3" s="7" t="s">
        <v>95</v>
      </c>
      <c r="E3" s="3" t="s">
        <v>84</v>
      </c>
      <c r="F3" s="3" t="s">
        <v>118</v>
      </c>
      <c r="G3" s="3" t="s">
        <v>85</v>
      </c>
      <c r="H3" s="3" t="s">
        <v>30</v>
      </c>
      <c r="Q3" s="3" t="str">
        <f t="shared" ref="Q3:Q21" si="0">+E3&amp;F3&amp;G3</f>
        <v>Christopher J. Brummer </v>
      </c>
      <c r="R3" s="3" t="s">
        <v>143</v>
      </c>
    </row>
    <row r="4" spans="1:18" ht="15.75" x14ac:dyDescent="0.25">
      <c r="A4" s="3" t="s">
        <v>82</v>
      </c>
      <c r="B4" s="3" t="s">
        <v>26</v>
      </c>
      <c r="C4" s="7" t="s">
        <v>0</v>
      </c>
      <c r="D4" s="7" t="s">
        <v>95</v>
      </c>
      <c r="E4" s="3" t="s">
        <v>142</v>
      </c>
      <c r="G4" s="3" t="s">
        <v>86</v>
      </c>
      <c r="H4" s="3" t="s">
        <v>30</v>
      </c>
      <c r="Q4" s="3" t="str">
        <f t="shared" si="0"/>
        <v>Simon Johnson</v>
      </c>
      <c r="R4" s="3" t="s">
        <v>143</v>
      </c>
    </row>
    <row r="5" spans="1:18" ht="15.75" x14ac:dyDescent="0.25">
      <c r="A5" s="3" t="s">
        <v>82</v>
      </c>
      <c r="B5" s="3" t="s">
        <v>26</v>
      </c>
      <c r="C5" s="7" t="s">
        <v>26</v>
      </c>
      <c r="D5" s="7" t="s">
        <v>90</v>
      </c>
      <c r="E5" s="6" t="s">
        <v>87</v>
      </c>
      <c r="F5" s="6" t="s">
        <v>88</v>
      </c>
      <c r="G5" s="3" t="s">
        <v>89</v>
      </c>
      <c r="H5" s="3" t="s">
        <v>41</v>
      </c>
      <c r="I5" s="3" t="s">
        <v>265</v>
      </c>
      <c r="J5" s="3">
        <f>71-4</f>
        <v>67</v>
      </c>
      <c r="K5" s="29">
        <v>19817</v>
      </c>
      <c r="M5" s="3">
        <f>+GETPIVOTDATA("contribution_receipt_amount",'Sheila Bair'!$A$11)</f>
        <v>11200</v>
      </c>
      <c r="O5" s="3" t="s">
        <v>1</v>
      </c>
      <c r="P5" s="3" t="s">
        <v>264</v>
      </c>
      <c r="Q5" s="3" t="str">
        <f t="shared" si="0"/>
        <v>Sheila Colleen Bair</v>
      </c>
    </row>
    <row r="6" spans="1:18" ht="15.75" x14ac:dyDescent="0.25">
      <c r="A6" s="3" t="s">
        <v>82</v>
      </c>
      <c r="B6" s="3" t="s">
        <v>26</v>
      </c>
      <c r="C6" s="7" t="s">
        <v>26</v>
      </c>
      <c r="D6" s="7" t="s">
        <v>94</v>
      </c>
      <c r="E6" s="6" t="s">
        <v>91</v>
      </c>
      <c r="F6" s="6" t="s">
        <v>92</v>
      </c>
      <c r="G6" s="3" t="s">
        <v>93</v>
      </c>
      <c r="H6" s="3" t="s">
        <v>30</v>
      </c>
      <c r="Q6" s="3" t="str">
        <f t="shared" si="0"/>
        <v>Hugh R. Frater</v>
      </c>
      <c r="R6" s="3" t="s">
        <v>143</v>
      </c>
    </row>
    <row r="7" spans="1:18" ht="15.75" x14ac:dyDescent="0.25">
      <c r="A7" s="3" t="s">
        <v>82</v>
      </c>
      <c r="B7" s="3" t="s">
        <v>26</v>
      </c>
      <c r="C7" s="7" t="s">
        <v>0</v>
      </c>
      <c r="D7" s="7" t="s">
        <v>95</v>
      </c>
      <c r="E7" s="6" t="s">
        <v>96</v>
      </c>
      <c r="F7" s="6" t="s">
        <v>97</v>
      </c>
      <c r="G7" s="3" t="s">
        <v>98</v>
      </c>
      <c r="H7" s="3" t="s">
        <v>30</v>
      </c>
      <c r="I7" s="3" t="s">
        <v>275</v>
      </c>
      <c r="L7" s="3">
        <f>+'Robert Herz'!AJ2</f>
        <v>1000</v>
      </c>
      <c r="O7" s="3" t="s">
        <v>0</v>
      </c>
      <c r="P7" s="3" t="s">
        <v>285</v>
      </c>
      <c r="Q7" s="3" t="str">
        <f t="shared" si="0"/>
        <v>Robert H. Herz</v>
      </c>
    </row>
    <row r="8" spans="1:18" ht="15.75" x14ac:dyDescent="0.25">
      <c r="A8" s="3" t="s">
        <v>82</v>
      </c>
      <c r="B8" s="3" t="s">
        <v>26</v>
      </c>
      <c r="C8" s="7" t="s">
        <v>0</v>
      </c>
      <c r="D8" s="7" t="s">
        <v>95</v>
      </c>
      <c r="E8" s="6" t="s">
        <v>99</v>
      </c>
      <c r="F8" s="6" t="s">
        <v>100</v>
      </c>
      <c r="G8" s="3" t="s">
        <v>101</v>
      </c>
      <c r="H8" s="3" t="s">
        <v>41</v>
      </c>
      <c r="Q8" s="3" t="str">
        <f t="shared" si="0"/>
        <v>Amy E. Alving</v>
      </c>
      <c r="R8" s="3" t="s">
        <v>143</v>
      </c>
    </row>
    <row r="9" spans="1:18" ht="15.75" x14ac:dyDescent="0.25">
      <c r="A9" s="3" t="s">
        <v>82</v>
      </c>
      <c r="B9" s="3" t="s">
        <v>26</v>
      </c>
      <c r="C9" s="7" t="s">
        <v>0</v>
      </c>
      <c r="D9" s="7" t="s">
        <v>95</v>
      </c>
      <c r="E9" s="3" t="s">
        <v>102</v>
      </c>
      <c r="F9" s="3" t="s">
        <v>103</v>
      </c>
      <c r="G9" s="3" t="s">
        <v>104</v>
      </c>
      <c r="H9" s="3" t="s">
        <v>41</v>
      </c>
      <c r="Q9" s="3" t="str">
        <f t="shared" si="0"/>
        <v>Diane C. Nordin</v>
      </c>
      <c r="R9" s="3" t="s">
        <v>143</v>
      </c>
    </row>
    <row r="10" spans="1:18" ht="15.75" x14ac:dyDescent="0.25">
      <c r="A10" s="3" t="s">
        <v>82</v>
      </c>
      <c r="B10" s="3" t="s">
        <v>26</v>
      </c>
      <c r="C10" s="7" t="s">
        <v>0</v>
      </c>
      <c r="D10" s="7" t="s">
        <v>95</v>
      </c>
      <c r="E10" s="24" t="s">
        <v>105</v>
      </c>
      <c r="F10" s="3" t="s">
        <v>106</v>
      </c>
      <c r="G10" s="3" t="s">
        <v>107</v>
      </c>
      <c r="H10" s="3" t="s">
        <v>41</v>
      </c>
      <c r="I10" s="3" t="s">
        <v>295</v>
      </c>
      <c r="J10" s="3">
        <v>71</v>
      </c>
      <c r="L10" s="3">
        <f>+GETPIVOTDATA("contribution_receipt_amount",'Renee Glover'!$A$413)</f>
        <v>32663.29</v>
      </c>
      <c r="O10" s="3" t="s">
        <v>1064</v>
      </c>
      <c r="P10" s="3" t="s">
        <v>1065</v>
      </c>
      <c r="Q10" s="3" t="str">
        <f t="shared" si="0"/>
        <v>Renée Lewis Glover</v>
      </c>
    </row>
    <row r="11" spans="1:18" ht="15.75" x14ac:dyDescent="0.25">
      <c r="A11" s="3" t="s">
        <v>82</v>
      </c>
      <c r="B11" s="3" t="s">
        <v>26</v>
      </c>
      <c r="C11" s="7" t="s">
        <v>0</v>
      </c>
      <c r="D11" s="7" t="s">
        <v>95</v>
      </c>
      <c r="E11" s="6" t="s">
        <v>108</v>
      </c>
      <c r="F11" s="3" t="s">
        <v>109</v>
      </c>
      <c r="G11" s="3" t="s">
        <v>110</v>
      </c>
      <c r="H11" s="3" t="s">
        <v>30</v>
      </c>
      <c r="I11" s="3" t="s">
        <v>1072</v>
      </c>
      <c r="L11" s="3">
        <f>+GETPIVOTDATA("contribution_receipt_amount",'Michael Heid'!$A$10)</f>
        <v>300</v>
      </c>
      <c r="P11" s="3" t="s">
        <v>1089</v>
      </c>
      <c r="Q11" s="3" t="str">
        <f t="shared" si="0"/>
        <v>Michael J. Heid</v>
      </c>
    </row>
    <row r="12" spans="1:18" ht="15.75" x14ac:dyDescent="0.25">
      <c r="A12" s="3" t="s">
        <v>82</v>
      </c>
      <c r="B12" s="3" t="s">
        <v>26</v>
      </c>
      <c r="C12" s="7" t="s">
        <v>0</v>
      </c>
      <c r="D12" s="7" t="s">
        <v>95</v>
      </c>
      <c r="E12" s="6" t="s">
        <v>111</v>
      </c>
      <c r="F12" s="3" t="s">
        <v>112</v>
      </c>
      <c r="G12" s="3" t="s">
        <v>113</v>
      </c>
      <c r="H12" s="3" t="s">
        <v>30</v>
      </c>
      <c r="I12" s="3" t="s">
        <v>1090</v>
      </c>
      <c r="J12" s="3">
        <v>60</v>
      </c>
      <c r="K12" s="29">
        <v>22473</v>
      </c>
      <c r="Q12" s="3" t="str">
        <f t="shared" si="0"/>
        <v>Antony Peter Jenkins</v>
      </c>
      <c r="R12" s="3" t="s">
        <v>143</v>
      </c>
    </row>
    <row r="13" spans="1:18" ht="15.75" x14ac:dyDescent="0.25">
      <c r="A13" s="3" t="s">
        <v>82</v>
      </c>
      <c r="B13" s="3" t="s">
        <v>26</v>
      </c>
      <c r="C13" s="7" t="s">
        <v>0</v>
      </c>
      <c r="D13" s="7" t="s">
        <v>95</v>
      </c>
      <c r="E13" s="4" t="s">
        <v>114</v>
      </c>
      <c r="F13" s="3" t="s">
        <v>115</v>
      </c>
      <c r="G13" s="3" t="s">
        <v>116</v>
      </c>
      <c r="H13" s="3" t="s">
        <v>30</v>
      </c>
      <c r="I13" s="3" t="s">
        <v>1091</v>
      </c>
      <c r="Q13" s="3" t="str">
        <f t="shared" si="0"/>
        <v>Manuel Sánchez Rodríguez</v>
      </c>
      <c r="R13" s="3" t="s">
        <v>143</v>
      </c>
    </row>
    <row r="14" spans="1:18" ht="15.75" x14ac:dyDescent="0.25">
      <c r="A14" s="3" t="s">
        <v>82</v>
      </c>
      <c r="B14" s="3" t="s">
        <v>26</v>
      </c>
      <c r="C14" s="7" t="s">
        <v>0</v>
      </c>
      <c r="D14" s="7" t="s">
        <v>95</v>
      </c>
      <c r="E14" s="6" t="s">
        <v>117</v>
      </c>
      <c r="F14" s="3" t="s">
        <v>118</v>
      </c>
      <c r="G14" s="3" t="s">
        <v>119</v>
      </c>
      <c r="H14" s="3" t="s">
        <v>41</v>
      </c>
      <c r="L14" s="3">
        <f>+'Karin Kimbrough'!AJ5</f>
        <v>750</v>
      </c>
      <c r="P14" s="3" t="s">
        <v>1104</v>
      </c>
      <c r="Q14" s="3" t="str">
        <f t="shared" si="0"/>
        <v>Karin J. Kimbrough</v>
      </c>
    </row>
    <row r="15" spans="1:18" ht="15.75" x14ac:dyDescent="0.25">
      <c r="C15" s="7"/>
      <c r="D15" s="7" t="s">
        <v>138</v>
      </c>
      <c r="E15" s="6"/>
      <c r="Q15" s="3" t="str">
        <f t="shared" si="0"/>
        <v/>
      </c>
    </row>
    <row r="16" spans="1:18" ht="15.75" x14ac:dyDescent="0.25">
      <c r="A16" s="3" t="s">
        <v>82</v>
      </c>
      <c r="B16" s="3" t="s">
        <v>0</v>
      </c>
      <c r="C16" s="7" t="s">
        <v>26</v>
      </c>
      <c r="D16" s="8" t="s">
        <v>123</v>
      </c>
      <c r="E16" s="6" t="s">
        <v>120</v>
      </c>
      <c r="F16" s="6" t="s">
        <v>121</v>
      </c>
      <c r="G16" s="3" t="s">
        <v>122</v>
      </c>
      <c r="H16" s="3" t="s">
        <v>30</v>
      </c>
      <c r="Q16" s="3" t="str">
        <f t="shared" si="0"/>
        <v>Jeffery R. Hayward</v>
      </c>
      <c r="R16" s="3" t="s">
        <v>143</v>
      </c>
    </row>
    <row r="17" spans="1:18" ht="15.75" x14ac:dyDescent="0.25">
      <c r="A17" s="3" t="s">
        <v>82</v>
      </c>
      <c r="B17" s="3" t="s">
        <v>0</v>
      </c>
      <c r="C17" s="7" t="s">
        <v>26</v>
      </c>
      <c r="D17" s="9" t="s">
        <v>127</v>
      </c>
      <c r="E17" s="24" t="s">
        <v>124</v>
      </c>
      <c r="F17" s="3" t="s">
        <v>125</v>
      </c>
      <c r="G17" s="3" t="s">
        <v>126</v>
      </c>
      <c r="H17" s="3" t="s">
        <v>30</v>
      </c>
      <c r="Q17" s="3" t="str">
        <f t="shared" si="0"/>
        <v>Douglas G. Duncan</v>
      </c>
      <c r="R17" s="3" t="s">
        <v>143</v>
      </c>
    </row>
    <row r="18" spans="1:18" ht="15.75" x14ac:dyDescent="0.25">
      <c r="A18" s="3" t="s">
        <v>82</v>
      </c>
      <c r="B18" s="3" t="s">
        <v>0</v>
      </c>
      <c r="C18" s="7" t="s">
        <v>26</v>
      </c>
      <c r="D18" s="8" t="s">
        <v>131</v>
      </c>
      <c r="E18" s="3" t="s">
        <v>128</v>
      </c>
      <c r="F18" s="3" t="s">
        <v>129</v>
      </c>
      <c r="G18" s="3" t="s">
        <v>130</v>
      </c>
      <c r="H18" s="3" t="s">
        <v>30</v>
      </c>
      <c r="Q18" s="3" t="str">
        <f t="shared" si="0"/>
        <v>Ryan A. Zanin</v>
      </c>
      <c r="R18" s="3" t="s">
        <v>143</v>
      </c>
    </row>
    <row r="19" spans="1:18" ht="15.75" x14ac:dyDescent="0.25">
      <c r="A19" s="3" t="s">
        <v>82</v>
      </c>
      <c r="B19" s="3" t="s">
        <v>0</v>
      </c>
      <c r="C19" s="7" t="s">
        <v>26</v>
      </c>
      <c r="D19" s="9" t="s">
        <v>127</v>
      </c>
      <c r="E19" s="24" t="s">
        <v>132</v>
      </c>
      <c r="F19" s="3" t="s">
        <v>133</v>
      </c>
      <c r="G19" s="3" t="s">
        <v>134</v>
      </c>
      <c r="H19" s="3" t="s">
        <v>30</v>
      </c>
      <c r="N19" s="3">
        <f>+GETPIVOTDATA("contribution_receipt_amount",'Richard Blackley'!$A$37,"committee_name","CAPITAL ONE FINANCIAL CORP. ASSOC. POLITICAL FUND")</f>
        <v>5961.4900000000025</v>
      </c>
      <c r="O19" s="3" t="s">
        <v>1064</v>
      </c>
      <c r="P19" s="3" t="s">
        <v>1168</v>
      </c>
      <c r="Q19" s="3" t="str">
        <f t="shared" si="0"/>
        <v>Richard Scott Blackley</v>
      </c>
    </row>
    <row r="20" spans="1:18" ht="15.75" x14ac:dyDescent="0.25">
      <c r="A20" s="3" t="s">
        <v>82</v>
      </c>
      <c r="B20" s="3" t="s">
        <v>0</v>
      </c>
      <c r="C20" s="7" t="s">
        <v>26</v>
      </c>
      <c r="D20" s="9" t="s">
        <v>137</v>
      </c>
      <c r="E20" s="24" t="s">
        <v>135</v>
      </c>
      <c r="F20" s="3" t="s">
        <v>103</v>
      </c>
      <c r="G20" s="3" t="s">
        <v>136</v>
      </c>
      <c r="H20" s="3" t="s">
        <v>41</v>
      </c>
      <c r="Q20" s="3" t="str">
        <f t="shared" si="0"/>
        <v>Chryssa C. Halley</v>
      </c>
      <c r="R20" s="3" t="s">
        <v>143</v>
      </c>
    </row>
    <row r="21" spans="1:18" ht="15.75" x14ac:dyDescent="0.25">
      <c r="A21" s="3" t="s">
        <v>82</v>
      </c>
      <c r="B21" s="3" t="s">
        <v>0</v>
      </c>
      <c r="C21" s="7" t="s">
        <v>26</v>
      </c>
      <c r="D21" s="9" t="s">
        <v>141</v>
      </c>
      <c r="E21" s="24" t="s">
        <v>139</v>
      </c>
      <c r="G21" s="3" t="s">
        <v>140</v>
      </c>
      <c r="H21" s="3" t="s">
        <v>30</v>
      </c>
      <c r="L21" s="3">
        <f>+GETPIVOTDATA("contribution_receipt_amount",'Stergios Theologides'!$A$21)</f>
        <v>35600</v>
      </c>
      <c r="O21" s="3" t="s">
        <v>1064</v>
      </c>
      <c r="P21" s="3" t="s">
        <v>1241</v>
      </c>
      <c r="Q21" s="3" t="str">
        <f t="shared" si="0"/>
        <v>Stergios Theologides</v>
      </c>
    </row>
    <row r="22" spans="1:18" ht="15.75" x14ac:dyDescent="0.25">
      <c r="C22" s="8"/>
      <c r="D22" s="9"/>
      <c r="E22" s="24"/>
    </row>
    <row r="23" spans="1:18" ht="16.5" thickBot="1" x14ac:dyDescent="0.3">
      <c r="C23" s="8"/>
      <c r="D23" s="9"/>
      <c r="E23" s="24"/>
      <c r="L23" s="38">
        <f>SUM(L2:L22)</f>
        <v>70313.290000000008</v>
      </c>
      <c r="M23" s="38">
        <f>SUM(M2:M22)</f>
        <v>11200</v>
      </c>
      <c r="N23" s="38">
        <f>SUM(N2:N22)</f>
        <v>5961.4900000000025</v>
      </c>
    </row>
    <row r="24" spans="1:18" ht="16.5" thickTop="1" x14ac:dyDescent="0.25">
      <c r="C24" s="8"/>
      <c r="D24" s="5"/>
      <c r="E24" s="24"/>
    </row>
    <row r="25" spans="1:18" x14ac:dyDescent="0.25">
      <c r="C25" s="4"/>
    </row>
    <row r="26" spans="1:18" x14ac:dyDescent="0.25">
      <c r="C26" s="4"/>
      <c r="D26" s="5"/>
      <c r="E26" s="24"/>
    </row>
    <row r="27" spans="1:18" x14ac:dyDescent="0.25">
      <c r="C27" s="4"/>
    </row>
    <row r="28" spans="1:18" x14ac:dyDescent="0.25">
      <c r="C28" s="4"/>
      <c r="D28" s="5"/>
      <c r="E28" s="24"/>
    </row>
    <row r="29" spans="1:18" x14ac:dyDescent="0.25">
      <c r="C29" s="4"/>
      <c r="D29" s="5"/>
      <c r="E29" s="24"/>
    </row>
    <row r="30" spans="1:18" x14ac:dyDescent="0.25">
      <c r="C30" s="4"/>
      <c r="D30" s="5"/>
      <c r="E30" s="24"/>
    </row>
    <row r="31" spans="1:18" x14ac:dyDescent="0.25">
      <c r="C31" s="4"/>
    </row>
    <row r="32" spans="1:18" x14ac:dyDescent="0.25">
      <c r="C32" s="4"/>
      <c r="D32" s="5"/>
      <c r="E32" s="24"/>
    </row>
    <row r="33" spans="3:5" x14ac:dyDescent="0.25">
      <c r="C33" s="4"/>
      <c r="D33" s="5"/>
      <c r="E33" s="24"/>
    </row>
    <row r="34" spans="3:5" x14ac:dyDescent="0.25">
      <c r="C34" s="4"/>
      <c r="D34" s="5"/>
      <c r="E34" s="24"/>
    </row>
    <row r="35" spans="3:5" x14ac:dyDescent="0.25">
      <c r="C35" s="4"/>
      <c r="D35" s="5"/>
      <c r="E35" s="24"/>
    </row>
    <row r="36" spans="3:5" x14ac:dyDescent="0.25">
      <c r="C36" s="4"/>
      <c r="D36" s="5"/>
      <c r="E36" s="24"/>
    </row>
    <row r="37" spans="3:5" x14ac:dyDescent="0.25">
      <c r="C37" s="4"/>
      <c r="D37" s="5"/>
      <c r="E37" s="24"/>
    </row>
    <row r="38" spans="3:5" x14ac:dyDescent="0.25">
      <c r="C38" s="4"/>
      <c r="D38" s="5"/>
      <c r="E38" s="24"/>
    </row>
    <row r="39" spans="3:5" x14ac:dyDescent="0.25">
      <c r="C39" s="4"/>
      <c r="D39" s="5"/>
      <c r="E39" s="24"/>
    </row>
    <row r="40" spans="3:5" x14ac:dyDescent="0.25">
      <c r="C40" s="4"/>
      <c r="D40" s="5"/>
      <c r="E40" s="24"/>
    </row>
    <row r="41" spans="3:5" x14ac:dyDescent="0.25">
      <c r="C41" s="4"/>
      <c r="D41" s="5"/>
      <c r="E41" s="24"/>
    </row>
    <row r="42" spans="3:5" x14ac:dyDescent="0.25">
      <c r="C42" s="4"/>
      <c r="D42" s="5"/>
      <c r="E42" s="24"/>
    </row>
    <row r="43" spans="3:5" x14ac:dyDescent="0.25">
      <c r="C43" s="4"/>
      <c r="D43" s="5"/>
      <c r="E43" s="24"/>
    </row>
    <row r="44" spans="3:5" x14ac:dyDescent="0.25">
      <c r="C44" s="4"/>
      <c r="D44" s="5"/>
      <c r="E44" s="24"/>
    </row>
    <row r="45" spans="3:5" x14ac:dyDescent="0.25">
      <c r="C45" s="4"/>
      <c r="D45" s="5"/>
      <c r="E45" s="24"/>
    </row>
    <row r="46" spans="3:5" x14ac:dyDescent="0.25">
      <c r="C46" s="4"/>
      <c r="D46" s="5"/>
      <c r="E46" s="24"/>
    </row>
    <row r="47" spans="3:5" x14ac:dyDescent="0.25">
      <c r="C47" s="4"/>
    </row>
    <row r="48" spans="3:5" x14ac:dyDescent="0.25">
      <c r="C48" s="4"/>
      <c r="D48" s="5"/>
      <c r="E48" s="24"/>
    </row>
    <row r="49" spans="3:5" x14ac:dyDescent="0.25">
      <c r="C49" s="4"/>
      <c r="D49" s="5"/>
      <c r="E49" s="24"/>
    </row>
    <row r="50" spans="3:5" x14ac:dyDescent="0.25">
      <c r="C50" s="4"/>
      <c r="D50" s="5"/>
      <c r="E50" s="24"/>
    </row>
    <row r="51" spans="3:5" x14ac:dyDescent="0.25">
      <c r="C51" s="4"/>
      <c r="D51" s="5"/>
      <c r="E51" s="24"/>
    </row>
    <row r="52" spans="3:5" x14ac:dyDescent="0.25">
      <c r="C52" s="4"/>
    </row>
    <row r="53" spans="3:5" x14ac:dyDescent="0.25">
      <c r="C53" s="4"/>
      <c r="D53" s="5"/>
      <c r="E53" s="24"/>
    </row>
    <row r="54" spans="3:5" x14ac:dyDescent="0.25">
      <c r="C54" s="4"/>
      <c r="D54" s="5"/>
      <c r="E54" s="24"/>
    </row>
    <row r="55" spans="3:5" x14ac:dyDescent="0.25">
      <c r="C55" s="4"/>
      <c r="D55" s="5"/>
      <c r="E55" s="24"/>
    </row>
    <row r="56" spans="3:5" x14ac:dyDescent="0.25">
      <c r="C56" s="4"/>
      <c r="D56" s="5"/>
      <c r="E56" s="24"/>
    </row>
    <row r="57" spans="3:5" x14ac:dyDescent="0.25">
      <c r="C57" s="4"/>
      <c r="D57" s="5"/>
      <c r="E57" s="24"/>
    </row>
    <row r="58" spans="3:5" x14ac:dyDescent="0.25">
      <c r="C58" s="4"/>
      <c r="D58" s="5"/>
      <c r="E58" s="24"/>
    </row>
    <row r="59" spans="3:5" x14ac:dyDescent="0.25">
      <c r="C59" s="4"/>
      <c r="D59" s="5"/>
      <c r="E59" s="24"/>
    </row>
    <row r="60" spans="3:5" x14ac:dyDescent="0.25">
      <c r="C60" s="4"/>
      <c r="D60" s="5"/>
      <c r="E60" s="24"/>
    </row>
    <row r="61" spans="3:5" x14ac:dyDescent="0.25">
      <c r="C61" s="4"/>
      <c r="D61" s="5"/>
      <c r="E61" s="24"/>
    </row>
    <row r="62" spans="3:5" x14ac:dyDescent="0.25">
      <c r="C62" s="4"/>
      <c r="D62" s="5"/>
      <c r="E62" s="24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8"/>
  <sheetViews>
    <sheetView topLeftCell="I1" workbookViewId="0">
      <selection activeCell="V19" sqref="V19"/>
    </sheetView>
  </sheetViews>
  <sheetFormatPr defaultRowHeight="12.75" x14ac:dyDescent="0.2"/>
  <cols>
    <col min="1" max="1" width="54.28515625" style="34" bestFit="1" customWidth="1"/>
    <col min="2" max="2" width="34.5703125" style="34" customWidth="1"/>
    <col min="3" max="12" width="9.140625" style="34"/>
    <col min="13" max="13" width="3.140625" style="34" customWidth="1"/>
    <col min="14" max="14" width="22.7109375" style="34" bestFit="1" customWidth="1"/>
    <col min="15" max="16384" width="9.140625" style="34"/>
  </cols>
  <sheetData>
    <row r="1" spans="1:79" x14ac:dyDescent="0.2">
      <c r="A1" s="34" t="s">
        <v>144</v>
      </c>
      <c r="B1" s="34" t="s">
        <v>145</v>
      </c>
      <c r="C1" s="34" t="s">
        <v>146</v>
      </c>
      <c r="D1" s="34" t="s">
        <v>147</v>
      </c>
      <c r="E1" s="34" t="s">
        <v>148</v>
      </c>
      <c r="F1" s="34" t="s">
        <v>149</v>
      </c>
      <c r="G1" s="34" t="s">
        <v>150</v>
      </c>
      <c r="H1" s="34" t="s">
        <v>151</v>
      </c>
      <c r="I1" s="34" t="s">
        <v>145</v>
      </c>
      <c r="J1" s="34" t="s">
        <v>152</v>
      </c>
      <c r="K1" s="34" t="s">
        <v>153</v>
      </c>
      <c r="L1" s="34" t="s">
        <v>154</v>
      </c>
      <c r="M1" s="34" t="s">
        <v>155</v>
      </c>
      <c r="N1" s="34" t="s">
        <v>156</v>
      </c>
      <c r="O1" s="34" t="s">
        <v>157</v>
      </c>
      <c r="P1" s="34" t="s">
        <v>158</v>
      </c>
      <c r="Q1" s="34" t="s">
        <v>159</v>
      </c>
      <c r="R1" s="34" t="s">
        <v>160</v>
      </c>
      <c r="S1" s="34" t="s">
        <v>161</v>
      </c>
      <c r="T1" s="34" t="s">
        <v>162</v>
      </c>
      <c r="U1" s="34" t="s">
        <v>163</v>
      </c>
      <c r="V1" s="34" t="s">
        <v>164</v>
      </c>
      <c r="W1" s="34" t="s">
        <v>165</v>
      </c>
      <c r="X1" s="34" t="s">
        <v>166</v>
      </c>
      <c r="Y1" s="34" t="s">
        <v>167</v>
      </c>
      <c r="Z1" s="34" t="s">
        <v>168</v>
      </c>
      <c r="AA1" s="34" t="s">
        <v>169</v>
      </c>
      <c r="AB1" s="34" t="s">
        <v>170</v>
      </c>
      <c r="AC1" s="34" t="s">
        <v>171</v>
      </c>
      <c r="AD1" s="34" t="s">
        <v>172</v>
      </c>
      <c r="AE1" s="34" t="s">
        <v>173</v>
      </c>
      <c r="AF1" s="34" t="s">
        <v>174</v>
      </c>
      <c r="AG1" s="34" t="s">
        <v>175</v>
      </c>
      <c r="AH1" s="34" t="s">
        <v>176</v>
      </c>
      <c r="AI1" s="34" t="s">
        <v>177</v>
      </c>
      <c r="AJ1" s="34" t="s">
        <v>178</v>
      </c>
      <c r="AK1" s="34" t="s">
        <v>179</v>
      </c>
      <c r="AL1" s="34" t="s">
        <v>180</v>
      </c>
      <c r="AM1" s="34" t="s">
        <v>181</v>
      </c>
      <c r="AN1" s="34" t="s">
        <v>182</v>
      </c>
      <c r="AO1" s="34" t="s">
        <v>183</v>
      </c>
      <c r="AP1" s="34" t="s">
        <v>184</v>
      </c>
      <c r="AQ1" s="34" t="s">
        <v>185</v>
      </c>
      <c r="AR1" s="34" t="s">
        <v>186</v>
      </c>
      <c r="AS1" s="34" t="s">
        <v>187</v>
      </c>
      <c r="AT1" s="34" t="s">
        <v>188</v>
      </c>
      <c r="AU1" s="34" t="s">
        <v>189</v>
      </c>
      <c r="AV1" s="34" t="s">
        <v>190</v>
      </c>
      <c r="AW1" s="34" t="s">
        <v>191</v>
      </c>
      <c r="AX1" s="34" t="s">
        <v>192</v>
      </c>
      <c r="AY1" s="34" t="s">
        <v>193</v>
      </c>
      <c r="AZ1" s="34" t="s">
        <v>194</v>
      </c>
      <c r="BA1" s="34" t="s">
        <v>195</v>
      </c>
      <c r="BB1" s="34" t="s">
        <v>196</v>
      </c>
      <c r="BC1" s="34" t="s">
        <v>197</v>
      </c>
      <c r="BD1" s="34" t="s">
        <v>198</v>
      </c>
      <c r="BE1" s="34" t="s">
        <v>199</v>
      </c>
      <c r="BF1" s="34" t="s">
        <v>200</v>
      </c>
      <c r="BG1" s="34" t="s">
        <v>201</v>
      </c>
      <c r="BH1" s="34" t="s">
        <v>202</v>
      </c>
      <c r="BI1" s="34" t="s">
        <v>203</v>
      </c>
      <c r="BJ1" s="34" t="s">
        <v>204</v>
      </c>
      <c r="BK1" s="34" t="s">
        <v>205</v>
      </c>
      <c r="BL1" s="34" t="s">
        <v>206</v>
      </c>
      <c r="BM1" s="34" t="s">
        <v>207</v>
      </c>
      <c r="BN1" s="34" t="s">
        <v>208</v>
      </c>
      <c r="BO1" s="34" t="s">
        <v>209</v>
      </c>
      <c r="BP1" s="34" t="s">
        <v>210</v>
      </c>
      <c r="BQ1" s="34" t="s">
        <v>211</v>
      </c>
      <c r="BR1" s="34" t="s">
        <v>212</v>
      </c>
      <c r="BS1" s="34" t="s">
        <v>213</v>
      </c>
      <c r="BT1" s="34" t="s">
        <v>214</v>
      </c>
      <c r="BU1" s="34" t="s">
        <v>215</v>
      </c>
      <c r="BV1" s="34" t="s">
        <v>216</v>
      </c>
      <c r="BW1" s="34" t="s">
        <v>217</v>
      </c>
      <c r="BX1" s="34" t="s">
        <v>218</v>
      </c>
      <c r="BY1" s="34" t="s">
        <v>219</v>
      </c>
      <c r="BZ1" s="34" t="s">
        <v>220</v>
      </c>
      <c r="CA1" s="34" t="s">
        <v>221</v>
      </c>
    </row>
    <row r="2" spans="1:79" x14ac:dyDescent="0.2">
      <c r="A2" s="34" t="s">
        <v>1240</v>
      </c>
      <c r="B2" s="34" t="s">
        <v>1239</v>
      </c>
      <c r="C2" s="34">
        <v>2020</v>
      </c>
      <c r="D2" s="34" t="s">
        <v>420</v>
      </c>
      <c r="E2" s="34">
        <v>2.0200525923949402E+17</v>
      </c>
      <c r="F2" s="34" t="s">
        <v>225</v>
      </c>
      <c r="G2" s="34" t="s">
        <v>1238</v>
      </c>
      <c r="H2" s="34">
        <v>1408413</v>
      </c>
      <c r="J2" s="34" t="s">
        <v>227</v>
      </c>
      <c r="K2" s="34" t="s">
        <v>228</v>
      </c>
      <c r="L2" s="34" t="s">
        <v>316</v>
      </c>
      <c r="N2" s="34" t="s">
        <v>1177</v>
      </c>
      <c r="O2" s="34" t="s">
        <v>75</v>
      </c>
      <c r="Q2" s="34" t="s">
        <v>28</v>
      </c>
      <c r="R2" s="34" t="s">
        <v>1176</v>
      </c>
      <c r="T2" s="34" t="s">
        <v>1175</v>
      </c>
      <c r="V2" s="34" t="s">
        <v>1184</v>
      </c>
      <c r="W2" s="34" t="s">
        <v>1201</v>
      </c>
      <c r="X2" s="34" t="s">
        <v>1173</v>
      </c>
      <c r="Y2" s="34" t="s">
        <v>42</v>
      </c>
      <c r="Z2" s="34">
        <v>200093537</v>
      </c>
      <c r="AA2" s="34" t="s">
        <v>1172</v>
      </c>
      <c r="AB2" s="34" t="s">
        <v>1237</v>
      </c>
      <c r="AC2" s="34" t="s">
        <v>316</v>
      </c>
      <c r="AD2" s="34" t="s">
        <v>237</v>
      </c>
      <c r="AE2" s="34" t="s">
        <v>238</v>
      </c>
      <c r="AI2" s="36">
        <v>43880</v>
      </c>
      <c r="AJ2" s="34">
        <v>500</v>
      </c>
      <c r="AK2" s="34">
        <v>500</v>
      </c>
      <c r="BG2" s="34" t="s">
        <v>278</v>
      </c>
      <c r="BI2" s="34" t="s">
        <v>279</v>
      </c>
      <c r="BJ2" s="34">
        <v>2020</v>
      </c>
      <c r="BK2" s="34" t="s">
        <v>0</v>
      </c>
      <c r="BL2" s="34" t="s">
        <v>633</v>
      </c>
      <c r="BM2" s="34" t="s">
        <v>243</v>
      </c>
      <c r="BN2" s="35">
        <v>43978.070760925926</v>
      </c>
      <c r="BP2" s="34" t="s">
        <v>1236</v>
      </c>
      <c r="BQ2" s="34" t="s">
        <v>318</v>
      </c>
      <c r="BR2" s="34" t="s">
        <v>244</v>
      </c>
      <c r="BS2" s="34">
        <v>4.05252020176258E+18</v>
      </c>
      <c r="BT2" s="34" t="s">
        <v>245</v>
      </c>
      <c r="BU2" s="34" t="s">
        <v>283</v>
      </c>
      <c r="BV2" s="34">
        <v>2020</v>
      </c>
      <c r="BW2" s="34" t="s">
        <v>246</v>
      </c>
      <c r="BY2" s="34">
        <v>4.0526202017626199E+18</v>
      </c>
      <c r="BZ2" s="34" t="s">
        <v>1235</v>
      </c>
      <c r="CA2" s="34" t="s">
        <v>248</v>
      </c>
    </row>
    <row r="3" spans="1:79" x14ac:dyDescent="0.2">
      <c r="A3" s="34" t="s">
        <v>1234</v>
      </c>
      <c r="B3" s="34" t="s">
        <v>1233</v>
      </c>
      <c r="C3" s="34">
        <v>2020</v>
      </c>
      <c r="D3" s="34" t="s">
        <v>624</v>
      </c>
      <c r="E3" s="34">
        <v>2.0210701945092499E+17</v>
      </c>
      <c r="F3" s="34" t="s">
        <v>225</v>
      </c>
      <c r="G3" s="34" t="s">
        <v>1232</v>
      </c>
      <c r="H3" s="34">
        <v>1522129</v>
      </c>
      <c r="J3" s="34" t="s">
        <v>227</v>
      </c>
      <c r="K3" s="34" t="s">
        <v>228</v>
      </c>
      <c r="N3" s="34" t="s">
        <v>1177</v>
      </c>
      <c r="O3" s="34" t="s">
        <v>39</v>
      </c>
      <c r="Q3" s="34" t="s">
        <v>28</v>
      </c>
      <c r="R3" s="34" t="s">
        <v>1176</v>
      </c>
      <c r="T3" s="34" t="s">
        <v>1175</v>
      </c>
      <c r="V3" s="34" t="s">
        <v>1231</v>
      </c>
      <c r="X3" s="34" t="s">
        <v>1173</v>
      </c>
      <c r="Y3" s="34" t="s">
        <v>42</v>
      </c>
      <c r="Z3" s="34">
        <v>20001</v>
      </c>
      <c r="AA3" s="34" t="s">
        <v>1172</v>
      </c>
      <c r="AB3" s="34" t="s">
        <v>1171</v>
      </c>
      <c r="AD3" s="34" t="s">
        <v>237</v>
      </c>
      <c r="AE3" s="34" t="s">
        <v>238</v>
      </c>
      <c r="AI3" s="36">
        <v>44100</v>
      </c>
      <c r="AJ3" s="34">
        <v>2800</v>
      </c>
      <c r="AK3" s="34">
        <v>2800</v>
      </c>
      <c r="BG3" s="34" t="s">
        <v>240</v>
      </c>
      <c r="BI3" s="34" t="s">
        <v>241</v>
      </c>
      <c r="BJ3" s="34">
        <v>2020</v>
      </c>
      <c r="BK3" s="34" t="s">
        <v>50</v>
      </c>
      <c r="BL3" s="34" t="s">
        <v>242</v>
      </c>
      <c r="BM3" s="34" t="s">
        <v>243</v>
      </c>
      <c r="BN3" s="35">
        <v>44384.157032372685</v>
      </c>
      <c r="BR3" s="34" t="s">
        <v>244</v>
      </c>
      <c r="BS3" s="34">
        <v>4.0702202113196498E+18</v>
      </c>
      <c r="BT3" s="34" t="s">
        <v>245</v>
      </c>
      <c r="BU3" s="34" t="s">
        <v>1230</v>
      </c>
      <c r="BV3" s="34">
        <v>2020</v>
      </c>
      <c r="BW3" s="34" t="s">
        <v>246</v>
      </c>
      <c r="BY3" s="34">
        <v>4.0707202113200502E+18</v>
      </c>
      <c r="BZ3" s="34" t="s">
        <v>1229</v>
      </c>
      <c r="CA3" s="34" t="s">
        <v>248</v>
      </c>
    </row>
    <row r="4" spans="1:79" x14ac:dyDescent="0.2">
      <c r="A4" s="34" t="s">
        <v>266</v>
      </c>
      <c r="B4" s="34" t="s">
        <v>267</v>
      </c>
      <c r="C4" s="34">
        <v>2020</v>
      </c>
      <c r="D4" s="34" t="s">
        <v>461</v>
      </c>
      <c r="E4" s="34">
        <v>2.02005209239448E+17</v>
      </c>
      <c r="F4" s="34" t="s">
        <v>269</v>
      </c>
      <c r="G4" s="34">
        <v>4320367</v>
      </c>
      <c r="H4" s="34">
        <v>1407726</v>
      </c>
      <c r="J4" s="34" t="s">
        <v>227</v>
      </c>
      <c r="K4" s="34" t="s">
        <v>228</v>
      </c>
      <c r="L4" s="34" t="s">
        <v>316</v>
      </c>
      <c r="N4" s="34" t="s">
        <v>1177</v>
      </c>
      <c r="O4" s="34" t="s">
        <v>28</v>
      </c>
      <c r="Q4" s="34" t="s">
        <v>28</v>
      </c>
      <c r="R4" s="34" t="s">
        <v>1176</v>
      </c>
      <c r="T4" s="34" t="s">
        <v>1175</v>
      </c>
      <c r="V4" s="34" t="s">
        <v>1228</v>
      </c>
      <c r="X4" s="34" t="s">
        <v>1227</v>
      </c>
      <c r="Y4" s="34" t="s">
        <v>1226</v>
      </c>
      <c r="Z4" s="34">
        <v>926034238</v>
      </c>
      <c r="AA4" s="34" t="s">
        <v>1200</v>
      </c>
      <c r="AB4" s="34" t="s">
        <v>1171</v>
      </c>
      <c r="AC4" s="34" t="s">
        <v>316</v>
      </c>
      <c r="AD4" s="34" t="s">
        <v>237</v>
      </c>
      <c r="AE4" s="34" t="s">
        <v>238</v>
      </c>
      <c r="AI4" s="36">
        <v>43946</v>
      </c>
      <c r="AJ4" s="34">
        <v>2800</v>
      </c>
      <c r="AK4" s="34">
        <v>2800</v>
      </c>
      <c r="BG4" s="34" t="s">
        <v>278</v>
      </c>
      <c r="BI4" s="34" t="s">
        <v>279</v>
      </c>
      <c r="BJ4" s="34">
        <v>2020</v>
      </c>
      <c r="BK4" s="34" t="s">
        <v>50</v>
      </c>
      <c r="BL4" s="34" t="s">
        <v>242</v>
      </c>
      <c r="BM4" s="34" t="s">
        <v>243</v>
      </c>
      <c r="BN4" s="35">
        <v>43981.113739386572</v>
      </c>
      <c r="BP4" s="34" t="s">
        <v>1225</v>
      </c>
      <c r="BQ4" s="34" t="s">
        <v>281</v>
      </c>
      <c r="BR4" s="34" t="s">
        <v>282</v>
      </c>
      <c r="BS4" s="34">
        <v>4.05212020176224E+18</v>
      </c>
      <c r="BT4" s="34" t="s">
        <v>245</v>
      </c>
      <c r="BU4" s="34" t="s">
        <v>283</v>
      </c>
      <c r="BV4" s="34">
        <v>2020</v>
      </c>
      <c r="BW4" s="34" t="s">
        <v>246</v>
      </c>
      <c r="BY4" s="34">
        <v>4.0529202017736801E+18</v>
      </c>
      <c r="BZ4" s="34" t="s">
        <v>1224</v>
      </c>
      <c r="CA4" s="34" t="s">
        <v>248</v>
      </c>
    </row>
    <row r="5" spans="1:79" x14ac:dyDescent="0.2">
      <c r="A5" s="34" t="s">
        <v>722</v>
      </c>
      <c r="B5" s="34" t="s">
        <v>723</v>
      </c>
      <c r="C5" s="34">
        <v>2020</v>
      </c>
      <c r="D5" s="34" t="s">
        <v>224</v>
      </c>
      <c r="E5" s="34">
        <v>2.0201203934255699E+17</v>
      </c>
      <c r="F5" s="34" t="s">
        <v>225</v>
      </c>
      <c r="G5" s="34">
        <v>27875881</v>
      </c>
      <c r="H5" s="34">
        <v>1481256</v>
      </c>
      <c r="J5" s="34" t="s">
        <v>227</v>
      </c>
      <c r="K5" s="34" t="s">
        <v>228</v>
      </c>
      <c r="N5" s="34" t="s">
        <v>1177</v>
      </c>
      <c r="O5" s="34" t="s">
        <v>0</v>
      </c>
      <c r="Q5" s="34" t="s">
        <v>60</v>
      </c>
      <c r="R5" s="34" t="s">
        <v>1176</v>
      </c>
      <c r="T5" s="34" t="s">
        <v>1175</v>
      </c>
      <c r="V5" s="34" t="s">
        <v>1184</v>
      </c>
      <c r="W5" s="34" t="s">
        <v>1201</v>
      </c>
      <c r="X5" s="34" t="s">
        <v>1173</v>
      </c>
      <c r="Y5" s="34" t="s">
        <v>42</v>
      </c>
      <c r="Z5" s="34">
        <v>200093537</v>
      </c>
      <c r="AA5" s="34" t="s">
        <v>1172</v>
      </c>
      <c r="AB5" s="34" t="s">
        <v>1171</v>
      </c>
      <c r="AD5" s="34">
        <v>15</v>
      </c>
      <c r="AE5" s="34" t="s">
        <v>298</v>
      </c>
      <c r="AI5" s="36">
        <v>44137</v>
      </c>
      <c r="AJ5" s="34">
        <v>500</v>
      </c>
      <c r="AK5" s="34">
        <v>3300</v>
      </c>
      <c r="BG5" s="34" t="s">
        <v>28</v>
      </c>
      <c r="BI5" s="34" t="s">
        <v>279</v>
      </c>
      <c r="BK5" s="34" t="s">
        <v>50</v>
      </c>
      <c r="BL5" s="34" t="s">
        <v>242</v>
      </c>
      <c r="BM5" s="34" t="s">
        <v>243</v>
      </c>
      <c r="BN5" s="35">
        <v>44329.161289085649</v>
      </c>
      <c r="BR5" s="34" t="s">
        <v>257</v>
      </c>
      <c r="BS5" s="34">
        <v>4.1205202019644498E+18</v>
      </c>
      <c r="BT5" s="34" t="s">
        <v>245</v>
      </c>
      <c r="BV5" s="34">
        <v>2020</v>
      </c>
      <c r="BW5" s="34" t="s">
        <v>246</v>
      </c>
      <c r="BY5" s="34">
        <v>4.01042021203245E+18</v>
      </c>
      <c r="BZ5" s="34" t="s">
        <v>1223</v>
      </c>
      <c r="CA5" s="34" t="s">
        <v>248</v>
      </c>
    </row>
    <row r="6" spans="1:79" x14ac:dyDescent="0.2">
      <c r="A6" s="34" t="s">
        <v>1187</v>
      </c>
      <c r="B6" s="34" t="s">
        <v>1186</v>
      </c>
      <c r="C6" s="34">
        <v>2020</v>
      </c>
      <c r="D6" s="34" t="s">
        <v>558</v>
      </c>
      <c r="E6" s="34">
        <v>2.0201203934101402E+17</v>
      </c>
      <c r="F6" s="34" t="s">
        <v>225</v>
      </c>
      <c r="G6" s="34" t="s">
        <v>1222</v>
      </c>
      <c r="H6" s="34">
        <v>1480684</v>
      </c>
      <c r="J6" s="34" t="s">
        <v>227</v>
      </c>
      <c r="K6" s="34" t="s">
        <v>228</v>
      </c>
      <c r="N6" s="34" t="s">
        <v>1177</v>
      </c>
      <c r="O6" s="34" t="s">
        <v>75</v>
      </c>
      <c r="Q6" s="34" t="s">
        <v>28</v>
      </c>
      <c r="R6" s="34" t="s">
        <v>1176</v>
      </c>
      <c r="T6" s="34" t="s">
        <v>1175</v>
      </c>
      <c r="V6" s="34" t="s">
        <v>1184</v>
      </c>
      <c r="X6" s="34" t="s">
        <v>1173</v>
      </c>
      <c r="Y6" s="34" t="s">
        <v>42</v>
      </c>
      <c r="Z6" s="34">
        <v>200093537</v>
      </c>
      <c r="AA6" s="34" t="s">
        <v>1183</v>
      </c>
      <c r="AB6" s="34" t="s">
        <v>1171</v>
      </c>
      <c r="AD6" s="34" t="s">
        <v>237</v>
      </c>
      <c r="AE6" s="34" t="s">
        <v>238</v>
      </c>
      <c r="AI6" s="36">
        <v>43946</v>
      </c>
      <c r="AJ6" s="34">
        <v>1000</v>
      </c>
      <c r="AK6" s="34">
        <v>1500</v>
      </c>
      <c r="BG6" s="34" t="s">
        <v>240</v>
      </c>
      <c r="BI6" s="34" t="s">
        <v>241</v>
      </c>
      <c r="BJ6" s="34">
        <v>2020</v>
      </c>
      <c r="BK6" s="34" t="s">
        <v>50</v>
      </c>
      <c r="BL6" s="34" t="s">
        <v>242</v>
      </c>
      <c r="BM6" s="34" t="s">
        <v>243</v>
      </c>
      <c r="BN6" s="35">
        <v>44183.154490810186</v>
      </c>
      <c r="BP6" s="34" t="s">
        <v>1221</v>
      </c>
      <c r="BQ6" s="34" t="s">
        <v>318</v>
      </c>
      <c r="BR6" s="34" t="s">
        <v>244</v>
      </c>
      <c r="BS6" s="34">
        <v>4.1205202019644401E+18</v>
      </c>
      <c r="BT6" s="34" t="s">
        <v>245</v>
      </c>
      <c r="BU6" s="34" t="s">
        <v>283</v>
      </c>
      <c r="BV6" s="34">
        <v>2020</v>
      </c>
      <c r="BW6" s="34" t="s">
        <v>246</v>
      </c>
      <c r="BY6" s="34">
        <v>4.1218202019771802E+18</v>
      </c>
      <c r="BZ6" s="34" t="s">
        <v>1220</v>
      </c>
      <c r="CA6" s="34" t="s">
        <v>248</v>
      </c>
    </row>
    <row r="7" spans="1:79" x14ac:dyDescent="0.2">
      <c r="A7" s="34" t="s">
        <v>543</v>
      </c>
      <c r="B7" s="34" t="s">
        <v>544</v>
      </c>
      <c r="C7" s="34">
        <v>2020</v>
      </c>
      <c r="D7" s="34" t="s">
        <v>224</v>
      </c>
      <c r="E7" s="34">
        <v>2.0210401944305402E+17</v>
      </c>
      <c r="F7" s="34">
        <v>12</v>
      </c>
      <c r="G7" s="34">
        <v>38196215</v>
      </c>
      <c r="H7" s="34">
        <v>1507252</v>
      </c>
      <c r="J7" s="34" t="s">
        <v>227</v>
      </c>
      <c r="K7" s="34" t="s">
        <v>228</v>
      </c>
      <c r="N7" s="34" t="s">
        <v>1177</v>
      </c>
      <c r="O7" s="34" t="s">
        <v>26</v>
      </c>
      <c r="Q7" s="34" t="s">
        <v>255</v>
      </c>
      <c r="R7" s="34" t="s">
        <v>1176</v>
      </c>
      <c r="T7" s="34" t="s">
        <v>1175</v>
      </c>
      <c r="V7" s="34" t="s">
        <v>1184</v>
      </c>
      <c r="X7" s="34" t="s">
        <v>1173</v>
      </c>
      <c r="Y7" s="34" t="s">
        <v>42</v>
      </c>
      <c r="Z7" s="34">
        <v>200093537</v>
      </c>
      <c r="AA7" s="34" t="s">
        <v>1172</v>
      </c>
      <c r="AB7" s="34" t="s">
        <v>1171</v>
      </c>
      <c r="AD7" s="34" t="s">
        <v>545</v>
      </c>
      <c r="AE7" s="34" t="s">
        <v>546</v>
      </c>
      <c r="AG7" s="34" t="s">
        <v>415</v>
      </c>
      <c r="AI7" s="36">
        <v>44113</v>
      </c>
      <c r="AJ7" s="34">
        <v>2800</v>
      </c>
      <c r="AK7" s="34">
        <v>2800</v>
      </c>
      <c r="BG7" s="34" t="s">
        <v>240</v>
      </c>
      <c r="BI7" s="34" t="s">
        <v>241</v>
      </c>
      <c r="BJ7" s="34">
        <v>2020</v>
      </c>
      <c r="BK7" s="34" t="s">
        <v>50</v>
      </c>
      <c r="BL7" s="34" t="s">
        <v>242</v>
      </c>
      <c r="BM7" s="34" t="s">
        <v>243</v>
      </c>
      <c r="BN7" s="35">
        <v>44292.193650914349</v>
      </c>
      <c r="BP7" s="34">
        <v>38194002</v>
      </c>
      <c r="BQ7" s="34" t="s">
        <v>547</v>
      </c>
      <c r="BR7" s="34" t="s">
        <v>257</v>
      </c>
      <c r="BS7" s="34">
        <v>4.0403202112747802E+18</v>
      </c>
      <c r="BT7" s="34" t="s">
        <v>245</v>
      </c>
      <c r="BU7" s="34" t="s">
        <v>548</v>
      </c>
      <c r="BV7" s="34">
        <v>2020</v>
      </c>
      <c r="BW7" s="34" t="s">
        <v>246</v>
      </c>
      <c r="BY7" s="34">
        <v>4.0406202112762102E+18</v>
      </c>
      <c r="BZ7" s="34" t="s">
        <v>1219</v>
      </c>
      <c r="CA7" s="34" t="s">
        <v>550</v>
      </c>
    </row>
    <row r="8" spans="1:79" x14ac:dyDescent="0.2">
      <c r="A8" s="34" t="s">
        <v>722</v>
      </c>
      <c r="B8" s="34" t="s">
        <v>723</v>
      </c>
      <c r="C8" s="34">
        <v>2020</v>
      </c>
      <c r="D8" s="34" t="s">
        <v>303</v>
      </c>
      <c r="E8" s="34">
        <v>2.0210308944031101E+17</v>
      </c>
      <c r="F8" s="34" t="s">
        <v>225</v>
      </c>
      <c r="G8" s="34">
        <v>20552301</v>
      </c>
      <c r="H8" s="34">
        <v>1503262</v>
      </c>
      <c r="J8" s="34" t="s">
        <v>227</v>
      </c>
      <c r="K8" s="34" t="s">
        <v>228</v>
      </c>
      <c r="N8" s="34" t="s">
        <v>1177</v>
      </c>
      <c r="O8" s="34" t="s">
        <v>0</v>
      </c>
      <c r="Q8" s="34" t="s">
        <v>60</v>
      </c>
      <c r="R8" s="34" t="s">
        <v>1176</v>
      </c>
      <c r="T8" s="34" t="s">
        <v>1175</v>
      </c>
      <c r="V8" s="34" t="s">
        <v>1174</v>
      </c>
      <c r="X8" s="34" t="s">
        <v>1173</v>
      </c>
      <c r="Y8" s="34" t="s">
        <v>42</v>
      </c>
      <c r="Z8" s="34">
        <v>200014130</v>
      </c>
      <c r="AA8" s="34" t="s">
        <v>1172</v>
      </c>
      <c r="AB8" s="34" t="s">
        <v>1171</v>
      </c>
      <c r="AD8" s="34">
        <v>15</v>
      </c>
      <c r="AE8" s="34" t="s">
        <v>298</v>
      </c>
      <c r="AI8" s="36">
        <v>44113</v>
      </c>
      <c r="AJ8" s="34">
        <v>2800</v>
      </c>
      <c r="AK8" s="34">
        <v>2800</v>
      </c>
      <c r="BG8" s="34" t="s">
        <v>28</v>
      </c>
      <c r="BI8" s="34" t="s">
        <v>279</v>
      </c>
      <c r="BK8" s="34" t="s">
        <v>50</v>
      </c>
      <c r="BL8" s="34" t="s">
        <v>242</v>
      </c>
      <c r="BM8" s="34" t="s">
        <v>243</v>
      </c>
      <c r="BN8" s="35">
        <v>44329.163704409722</v>
      </c>
      <c r="BR8" s="34" t="s">
        <v>257</v>
      </c>
      <c r="BS8" s="34">
        <v>4.0309202112269302E+18</v>
      </c>
      <c r="BT8" s="34" t="s">
        <v>245</v>
      </c>
      <c r="BV8" s="34">
        <v>2020</v>
      </c>
      <c r="BW8" s="34" t="s">
        <v>246</v>
      </c>
      <c r="BY8" s="34">
        <v>4.0309202112389801E+18</v>
      </c>
      <c r="BZ8" s="34" t="s">
        <v>1218</v>
      </c>
      <c r="CA8" s="34" t="s">
        <v>248</v>
      </c>
    </row>
    <row r="9" spans="1:79" x14ac:dyDescent="0.2">
      <c r="A9" s="34" t="s">
        <v>266</v>
      </c>
      <c r="B9" s="34" t="s">
        <v>267</v>
      </c>
      <c r="C9" s="34">
        <v>2020</v>
      </c>
      <c r="D9" s="34" t="s">
        <v>288</v>
      </c>
      <c r="E9" s="34">
        <v>2.02009209276472E+17</v>
      </c>
      <c r="F9" s="34" t="s">
        <v>269</v>
      </c>
      <c r="G9" s="34">
        <v>11782640</v>
      </c>
      <c r="H9" s="34">
        <v>1440320</v>
      </c>
      <c r="J9" s="34" t="s">
        <v>227</v>
      </c>
      <c r="K9" s="34" t="s">
        <v>228</v>
      </c>
      <c r="L9" s="34" t="s">
        <v>316</v>
      </c>
      <c r="N9" s="34" t="s">
        <v>1177</v>
      </c>
      <c r="O9" s="34" t="s">
        <v>28</v>
      </c>
      <c r="Q9" s="34" t="s">
        <v>28</v>
      </c>
      <c r="R9" s="34" t="s">
        <v>1176</v>
      </c>
      <c r="T9" s="34" t="s">
        <v>1175</v>
      </c>
      <c r="V9" s="34" t="s">
        <v>1184</v>
      </c>
      <c r="W9" s="34" t="s">
        <v>1201</v>
      </c>
      <c r="X9" s="34" t="s">
        <v>1173</v>
      </c>
      <c r="Y9" s="34" t="s">
        <v>42</v>
      </c>
      <c r="Z9" s="34">
        <v>200093537</v>
      </c>
      <c r="AA9" s="34" t="s">
        <v>1172</v>
      </c>
      <c r="AB9" s="34" t="s">
        <v>1171</v>
      </c>
      <c r="AC9" s="34" t="s">
        <v>316</v>
      </c>
      <c r="AD9" s="34" t="s">
        <v>237</v>
      </c>
      <c r="AE9" s="34" t="s">
        <v>238</v>
      </c>
      <c r="AI9" s="36">
        <v>44066</v>
      </c>
      <c r="AJ9" s="34">
        <v>2800</v>
      </c>
      <c r="AK9" s="34">
        <v>5600</v>
      </c>
      <c r="BG9" s="34" t="s">
        <v>240</v>
      </c>
      <c r="BI9" s="34" t="s">
        <v>241</v>
      </c>
      <c r="BJ9" s="34">
        <v>2020</v>
      </c>
      <c r="BK9" s="34" t="s">
        <v>50</v>
      </c>
      <c r="BL9" s="34" t="s">
        <v>242</v>
      </c>
      <c r="BM9" s="34" t="s">
        <v>243</v>
      </c>
      <c r="BN9" s="35">
        <v>44104.183870266206</v>
      </c>
      <c r="BP9" s="34" t="s">
        <v>1217</v>
      </c>
      <c r="BQ9" s="34" t="s">
        <v>281</v>
      </c>
      <c r="BR9" s="34" t="s">
        <v>282</v>
      </c>
      <c r="BS9" s="34">
        <v>4.0922202018492001E+18</v>
      </c>
      <c r="BT9" s="34" t="s">
        <v>245</v>
      </c>
      <c r="BU9" s="34" t="s">
        <v>283</v>
      </c>
      <c r="BV9" s="34">
        <v>2020</v>
      </c>
      <c r="BW9" s="34" t="s">
        <v>246</v>
      </c>
      <c r="BY9" s="34">
        <v>4.0930202018532803E+18</v>
      </c>
      <c r="BZ9" s="34" t="s">
        <v>1216</v>
      </c>
      <c r="CA9" s="34" t="s">
        <v>248</v>
      </c>
    </row>
    <row r="10" spans="1:79" x14ac:dyDescent="0.2">
      <c r="A10" s="34" t="s">
        <v>622</v>
      </c>
      <c r="B10" s="34" t="s">
        <v>623</v>
      </c>
      <c r="C10" s="34">
        <v>2020</v>
      </c>
      <c r="D10" s="34" t="s">
        <v>624</v>
      </c>
      <c r="E10" s="34">
        <v>2.0201015929510099E+17</v>
      </c>
      <c r="F10" s="34" t="s">
        <v>225</v>
      </c>
      <c r="G10" s="34" t="s">
        <v>1215</v>
      </c>
      <c r="H10" s="34">
        <v>1451841</v>
      </c>
      <c r="J10" s="34" t="s">
        <v>227</v>
      </c>
      <c r="K10" s="34" t="s">
        <v>228</v>
      </c>
      <c r="L10" s="34" t="s">
        <v>316</v>
      </c>
      <c r="N10" s="34" t="s">
        <v>1177</v>
      </c>
      <c r="O10" s="34" t="s">
        <v>39</v>
      </c>
      <c r="Q10" s="34" t="s">
        <v>28</v>
      </c>
      <c r="R10" s="34" t="s">
        <v>1176</v>
      </c>
      <c r="T10" s="34" t="s">
        <v>1175</v>
      </c>
      <c r="V10" s="34" t="s">
        <v>1174</v>
      </c>
      <c r="X10" s="34" t="s">
        <v>1173</v>
      </c>
      <c r="Y10" s="34" t="s">
        <v>42</v>
      </c>
      <c r="Z10" s="34">
        <v>200014130</v>
      </c>
      <c r="AA10" s="34" t="s">
        <v>1172</v>
      </c>
      <c r="AB10" s="34" t="s">
        <v>1171</v>
      </c>
      <c r="AC10" s="34" t="s">
        <v>316</v>
      </c>
      <c r="AD10" s="34" t="s">
        <v>237</v>
      </c>
      <c r="AE10" s="34" t="s">
        <v>238</v>
      </c>
      <c r="AI10" s="36">
        <v>44100</v>
      </c>
      <c r="AJ10" s="34">
        <v>2800</v>
      </c>
      <c r="AK10" s="34">
        <v>2800</v>
      </c>
      <c r="BG10" s="34" t="s">
        <v>240</v>
      </c>
      <c r="BI10" s="34" t="s">
        <v>241</v>
      </c>
      <c r="BJ10" s="34">
        <v>2020</v>
      </c>
      <c r="BK10" s="34" t="s">
        <v>50</v>
      </c>
      <c r="BL10" s="34" t="s">
        <v>242</v>
      </c>
      <c r="BM10" s="34" t="s">
        <v>243</v>
      </c>
      <c r="BN10" s="35">
        <v>44173.155228981479</v>
      </c>
      <c r="BP10" s="34" t="s">
        <v>1214</v>
      </c>
      <c r="BQ10" s="34" t="s">
        <v>318</v>
      </c>
      <c r="BR10" s="34" t="s">
        <v>244</v>
      </c>
      <c r="BS10" s="34">
        <v>4.1016202018576502E+18</v>
      </c>
      <c r="BT10" s="34" t="s">
        <v>245</v>
      </c>
      <c r="BU10" s="34" t="s">
        <v>283</v>
      </c>
      <c r="BV10" s="34">
        <v>2020</v>
      </c>
      <c r="BW10" s="34" t="s">
        <v>246</v>
      </c>
      <c r="BY10" s="34">
        <v>4.1208202019669299E+18</v>
      </c>
      <c r="BZ10" s="34" t="s">
        <v>1213</v>
      </c>
      <c r="CA10" s="34" t="s">
        <v>248</v>
      </c>
    </row>
    <row r="11" spans="1:79" x14ac:dyDescent="0.2">
      <c r="A11" s="34" t="s">
        <v>1212</v>
      </c>
      <c r="B11" s="34" t="s">
        <v>1211</v>
      </c>
      <c r="C11" s="34">
        <v>2020</v>
      </c>
      <c r="D11" s="34" t="s">
        <v>624</v>
      </c>
      <c r="E11" s="34">
        <v>2.02106079448844E+17</v>
      </c>
      <c r="F11" s="34" t="s">
        <v>225</v>
      </c>
      <c r="G11" s="34">
        <v>2781675</v>
      </c>
      <c r="H11" s="34">
        <v>1518904</v>
      </c>
      <c r="J11" s="34" t="s">
        <v>227</v>
      </c>
      <c r="K11" s="34" t="s">
        <v>228</v>
      </c>
      <c r="N11" s="34" t="s">
        <v>1177</v>
      </c>
      <c r="O11" s="34" t="s">
        <v>39</v>
      </c>
      <c r="Q11" s="34" t="s">
        <v>28</v>
      </c>
      <c r="R11" s="34" t="s">
        <v>1176</v>
      </c>
      <c r="T11" s="34" t="s">
        <v>1175</v>
      </c>
      <c r="V11" s="34" t="s">
        <v>1174</v>
      </c>
      <c r="X11" s="34" t="s">
        <v>1173</v>
      </c>
      <c r="Y11" s="34" t="s">
        <v>42</v>
      </c>
      <c r="Z11" s="34">
        <v>200014130</v>
      </c>
      <c r="AA11" s="34" t="s">
        <v>1172</v>
      </c>
      <c r="AB11" s="34" t="s">
        <v>1171</v>
      </c>
      <c r="AD11" s="34" t="s">
        <v>237</v>
      </c>
      <c r="AE11" s="34" t="s">
        <v>238</v>
      </c>
      <c r="AI11" s="36">
        <v>44100</v>
      </c>
      <c r="AJ11" s="34">
        <v>2800</v>
      </c>
      <c r="AK11" s="34">
        <v>2800</v>
      </c>
      <c r="BG11" s="34" t="s">
        <v>240</v>
      </c>
      <c r="BI11" s="34" t="s">
        <v>241</v>
      </c>
      <c r="BJ11" s="34">
        <v>2020</v>
      </c>
      <c r="BK11" s="34" t="s">
        <v>50</v>
      </c>
      <c r="BL11" s="34" t="s">
        <v>242</v>
      </c>
      <c r="BM11" s="34" t="s">
        <v>243</v>
      </c>
      <c r="BN11" s="35">
        <v>44358.15587101852</v>
      </c>
      <c r="BP11" s="34" t="s">
        <v>1210</v>
      </c>
      <c r="BQ11" s="34" t="s">
        <v>318</v>
      </c>
      <c r="BR11" s="34" t="s">
        <v>244</v>
      </c>
      <c r="BS11" s="34">
        <v>4.0608202113060598E+18</v>
      </c>
      <c r="BT11" s="34" t="s">
        <v>245</v>
      </c>
      <c r="BU11" s="34" t="s">
        <v>283</v>
      </c>
      <c r="BV11" s="34">
        <v>2020</v>
      </c>
      <c r="BW11" s="34" t="s">
        <v>246</v>
      </c>
      <c r="BY11" s="34">
        <v>4.06112021130799E+18</v>
      </c>
      <c r="BZ11" s="34" t="s">
        <v>1209</v>
      </c>
      <c r="CA11" s="34" t="s">
        <v>248</v>
      </c>
    </row>
    <row r="12" spans="1:79" x14ac:dyDescent="0.2">
      <c r="A12" s="34" t="s">
        <v>1208</v>
      </c>
      <c r="B12" s="34" t="s">
        <v>1207</v>
      </c>
      <c r="C12" s="34">
        <v>2020</v>
      </c>
      <c r="D12" s="34" t="s">
        <v>624</v>
      </c>
      <c r="E12" s="34">
        <v>2.0201117933701299E+17</v>
      </c>
      <c r="F12" s="34" t="s">
        <v>225</v>
      </c>
      <c r="G12" s="34" t="s">
        <v>1206</v>
      </c>
      <c r="H12" s="34">
        <v>1472474</v>
      </c>
      <c r="J12" s="34" t="s">
        <v>227</v>
      </c>
      <c r="K12" s="34" t="s">
        <v>228</v>
      </c>
      <c r="N12" s="34" t="s">
        <v>1177</v>
      </c>
      <c r="O12" s="34" t="s">
        <v>39</v>
      </c>
      <c r="Q12" s="34" t="s">
        <v>28</v>
      </c>
      <c r="R12" s="34" t="s">
        <v>1176</v>
      </c>
      <c r="T12" s="34" t="s">
        <v>1175</v>
      </c>
      <c r="V12" s="34" t="s">
        <v>1174</v>
      </c>
      <c r="X12" s="34" t="s">
        <v>1173</v>
      </c>
      <c r="Y12" s="34" t="s">
        <v>42</v>
      </c>
      <c r="Z12" s="34">
        <v>200014130</v>
      </c>
      <c r="AA12" s="34" t="s">
        <v>1172</v>
      </c>
      <c r="AB12" s="34" t="s">
        <v>1171</v>
      </c>
      <c r="AD12" s="34" t="s">
        <v>237</v>
      </c>
      <c r="AE12" s="34" t="s">
        <v>238</v>
      </c>
      <c r="AI12" s="36">
        <v>44100</v>
      </c>
      <c r="AJ12" s="34">
        <v>2800</v>
      </c>
      <c r="AK12" s="34">
        <v>2800</v>
      </c>
      <c r="BG12" s="34" t="s">
        <v>240</v>
      </c>
      <c r="BI12" s="34" t="s">
        <v>241</v>
      </c>
      <c r="BJ12" s="34">
        <v>2020</v>
      </c>
      <c r="BK12" s="34" t="s">
        <v>50</v>
      </c>
      <c r="BL12" s="34" t="s">
        <v>242</v>
      </c>
      <c r="BM12" s="34" t="s">
        <v>243</v>
      </c>
      <c r="BN12" s="35">
        <v>44161.156953391204</v>
      </c>
      <c r="BP12" s="34" t="s">
        <v>1205</v>
      </c>
      <c r="BQ12" s="34" t="s">
        <v>318</v>
      </c>
      <c r="BR12" s="34" t="s">
        <v>244</v>
      </c>
      <c r="BS12" s="34">
        <v>4.1117202019394401E+18</v>
      </c>
      <c r="BT12" s="34" t="s">
        <v>245</v>
      </c>
      <c r="BU12" s="34" t="s">
        <v>283</v>
      </c>
      <c r="BV12" s="34">
        <v>2020</v>
      </c>
      <c r="BW12" s="34" t="s">
        <v>246</v>
      </c>
      <c r="BY12" s="34">
        <v>4.1126202019623101E+18</v>
      </c>
      <c r="BZ12" s="34" t="s">
        <v>1204</v>
      </c>
      <c r="CA12" s="34" t="s">
        <v>248</v>
      </c>
    </row>
    <row r="13" spans="1:79" x14ac:dyDescent="0.2">
      <c r="A13" s="34" t="s">
        <v>1203</v>
      </c>
      <c r="B13" s="34" t="s">
        <v>1202</v>
      </c>
      <c r="C13" s="34">
        <v>2020</v>
      </c>
      <c r="D13" s="34" t="s">
        <v>624</v>
      </c>
      <c r="E13" s="34">
        <v>2.0201015929566301E+17</v>
      </c>
      <c r="F13" s="34" t="s">
        <v>225</v>
      </c>
      <c r="G13" s="34">
        <v>7710037</v>
      </c>
      <c r="H13" s="34">
        <v>1452728</v>
      </c>
      <c r="J13" s="34" t="s">
        <v>227</v>
      </c>
      <c r="K13" s="34" t="s">
        <v>228</v>
      </c>
      <c r="L13" s="34" t="s">
        <v>316</v>
      </c>
      <c r="N13" s="34" t="s">
        <v>1177</v>
      </c>
      <c r="O13" s="34" t="s">
        <v>75</v>
      </c>
      <c r="Q13" s="34" t="s">
        <v>28</v>
      </c>
      <c r="R13" s="34" t="s">
        <v>1176</v>
      </c>
      <c r="T13" s="34" t="s">
        <v>1175</v>
      </c>
      <c r="V13" s="34" t="s">
        <v>1184</v>
      </c>
      <c r="W13" s="34" t="s">
        <v>1201</v>
      </c>
      <c r="X13" s="34" t="s">
        <v>1173</v>
      </c>
      <c r="Y13" s="34" t="s">
        <v>42</v>
      </c>
      <c r="Z13" s="34">
        <v>200093537</v>
      </c>
      <c r="AA13" s="34" t="s">
        <v>1200</v>
      </c>
      <c r="AB13" s="34" t="s">
        <v>1171</v>
      </c>
      <c r="AC13" s="34" t="s">
        <v>316</v>
      </c>
      <c r="AD13" s="34" t="s">
        <v>237</v>
      </c>
      <c r="AE13" s="34" t="s">
        <v>238</v>
      </c>
      <c r="AI13" s="36">
        <v>44066</v>
      </c>
      <c r="AJ13" s="34">
        <v>1000</v>
      </c>
      <c r="AK13" s="34">
        <v>1000</v>
      </c>
      <c r="BG13" s="34" t="s">
        <v>240</v>
      </c>
      <c r="BI13" s="34" t="s">
        <v>241</v>
      </c>
      <c r="BJ13" s="34">
        <v>2020</v>
      </c>
      <c r="BK13" s="34" t="s">
        <v>50</v>
      </c>
      <c r="BL13" s="34" t="s">
        <v>242</v>
      </c>
      <c r="BM13" s="34" t="s">
        <v>243</v>
      </c>
      <c r="BN13" s="35">
        <v>44163.152294583335</v>
      </c>
      <c r="BP13" s="34" t="s">
        <v>1199</v>
      </c>
      <c r="BQ13" s="34" t="s">
        <v>318</v>
      </c>
      <c r="BR13" s="34" t="s">
        <v>244</v>
      </c>
      <c r="BS13" s="34">
        <v>4.1016202018585702E+18</v>
      </c>
      <c r="BT13" s="34" t="s">
        <v>245</v>
      </c>
      <c r="BU13" s="34" t="s">
        <v>283</v>
      </c>
      <c r="BV13" s="34">
        <v>2020</v>
      </c>
      <c r="BW13" s="34" t="s">
        <v>246</v>
      </c>
      <c r="BY13" s="34">
        <v>4.1128202019625702E+18</v>
      </c>
      <c r="BZ13" s="34" t="s">
        <v>1198</v>
      </c>
      <c r="CA13" s="34" t="s">
        <v>248</v>
      </c>
    </row>
    <row r="14" spans="1:79" x14ac:dyDescent="0.2">
      <c r="A14" s="34" t="s">
        <v>1197</v>
      </c>
      <c r="B14" s="34" t="s">
        <v>1196</v>
      </c>
      <c r="C14" s="34">
        <v>2020</v>
      </c>
      <c r="D14" s="34" t="s">
        <v>624</v>
      </c>
      <c r="E14" s="34">
        <v>2.0201015929411501E+17</v>
      </c>
      <c r="F14" s="34" t="s">
        <v>225</v>
      </c>
      <c r="G14" s="34" t="s">
        <v>1195</v>
      </c>
      <c r="H14" s="34">
        <v>1449356</v>
      </c>
      <c r="J14" s="34" t="s">
        <v>227</v>
      </c>
      <c r="K14" s="34" t="s">
        <v>228</v>
      </c>
      <c r="L14" s="34" t="s">
        <v>316</v>
      </c>
      <c r="N14" s="34" t="s">
        <v>1177</v>
      </c>
      <c r="O14" s="34" t="s">
        <v>39</v>
      </c>
      <c r="Q14" s="34" t="s">
        <v>28</v>
      </c>
      <c r="R14" s="34" t="s">
        <v>1176</v>
      </c>
      <c r="T14" s="34" t="s">
        <v>1175</v>
      </c>
      <c r="V14" s="34" t="s">
        <v>1174</v>
      </c>
      <c r="X14" s="34" t="s">
        <v>1173</v>
      </c>
      <c r="Y14" s="34" t="s">
        <v>42</v>
      </c>
      <c r="Z14" s="34">
        <v>200014130</v>
      </c>
      <c r="AA14" s="34" t="s">
        <v>1172</v>
      </c>
      <c r="AB14" s="34" t="s">
        <v>1171</v>
      </c>
      <c r="AC14" s="34" t="s">
        <v>316</v>
      </c>
      <c r="AD14" s="34" t="s">
        <v>237</v>
      </c>
      <c r="AE14" s="34" t="s">
        <v>238</v>
      </c>
      <c r="AI14" s="36">
        <v>44100</v>
      </c>
      <c r="AJ14" s="34">
        <v>2800</v>
      </c>
      <c r="AK14" s="34">
        <v>2800</v>
      </c>
      <c r="BG14" s="34" t="s">
        <v>240</v>
      </c>
      <c r="BI14" s="34" t="s">
        <v>241</v>
      </c>
      <c r="BJ14" s="34">
        <v>2020</v>
      </c>
      <c r="BK14" s="34" t="s">
        <v>50</v>
      </c>
      <c r="BL14" s="34" t="s">
        <v>242</v>
      </c>
      <c r="BM14" s="34" t="s">
        <v>243</v>
      </c>
      <c r="BN14" s="35">
        <v>44170.165840624999</v>
      </c>
      <c r="BP14" s="34" t="s">
        <v>1194</v>
      </c>
      <c r="BQ14" s="34" t="s">
        <v>318</v>
      </c>
      <c r="BR14" s="34" t="s">
        <v>244</v>
      </c>
      <c r="BS14" s="34">
        <v>4.1016202018576502E+18</v>
      </c>
      <c r="BT14" s="34" t="s">
        <v>245</v>
      </c>
      <c r="BU14" s="34" t="s">
        <v>283</v>
      </c>
      <c r="BV14" s="34">
        <v>2020</v>
      </c>
      <c r="BW14" s="34" t="s">
        <v>246</v>
      </c>
      <c r="BY14" s="34">
        <v>4.1205202019658701E+18</v>
      </c>
      <c r="BZ14" s="34" t="s">
        <v>1193</v>
      </c>
      <c r="CA14" s="34" t="s">
        <v>248</v>
      </c>
    </row>
    <row r="15" spans="1:79" x14ac:dyDescent="0.2">
      <c r="A15" s="34" t="s">
        <v>1192</v>
      </c>
      <c r="B15" s="34" t="s">
        <v>1191</v>
      </c>
      <c r="C15" s="34">
        <v>2020</v>
      </c>
      <c r="D15" s="34" t="s">
        <v>624</v>
      </c>
      <c r="E15" s="34">
        <v>2.0201201933732602E+17</v>
      </c>
      <c r="F15" s="34" t="s">
        <v>225</v>
      </c>
      <c r="G15" s="34" t="s">
        <v>1190</v>
      </c>
      <c r="H15" s="34">
        <v>1475453</v>
      </c>
      <c r="J15" s="34" t="s">
        <v>227</v>
      </c>
      <c r="K15" s="34" t="s">
        <v>228</v>
      </c>
      <c r="N15" s="34" t="s">
        <v>1177</v>
      </c>
      <c r="O15" s="34" t="s">
        <v>39</v>
      </c>
      <c r="Q15" s="34" t="s">
        <v>28</v>
      </c>
      <c r="R15" s="34" t="s">
        <v>1176</v>
      </c>
      <c r="T15" s="34" t="s">
        <v>1175</v>
      </c>
      <c r="V15" s="34" t="s">
        <v>1174</v>
      </c>
      <c r="X15" s="34" t="s">
        <v>1173</v>
      </c>
      <c r="Y15" s="34" t="s">
        <v>42</v>
      </c>
      <c r="Z15" s="34">
        <v>200014130</v>
      </c>
      <c r="AA15" s="34" t="s">
        <v>1172</v>
      </c>
      <c r="AB15" s="34" t="s">
        <v>1171</v>
      </c>
      <c r="AD15" s="34" t="s">
        <v>237</v>
      </c>
      <c r="AE15" s="34" t="s">
        <v>238</v>
      </c>
      <c r="AI15" s="36">
        <v>44100</v>
      </c>
      <c r="AJ15" s="34">
        <v>2800</v>
      </c>
      <c r="AK15" s="34">
        <v>2800</v>
      </c>
      <c r="BG15" s="34" t="s">
        <v>240</v>
      </c>
      <c r="BI15" s="34" t="s">
        <v>241</v>
      </c>
      <c r="BJ15" s="34">
        <v>2020</v>
      </c>
      <c r="BK15" s="34" t="s">
        <v>50</v>
      </c>
      <c r="BL15" s="34" t="s">
        <v>242</v>
      </c>
      <c r="BM15" s="34" t="s">
        <v>243</v>
      </c>
      <c r="BN15" s="35">
        <v>44189.166608703701</v>
      </c>
      <c r="BP15" s="34" t="s">
        <v>1189</v>
      </c>
      <c r="BQ15" s="34" t="s">
        <v>318</v>
      </c>
      <c r="BR15" s="34" t="s">
        <v>244</v>
      </c>
      <c r="BS15" s="34">
        <v>4.12022020196288E+18</v>
      </c>
      <c r="BT15" s="34" t="s">
        <v>245</v>
      </c>
      <c r="BU15" s="34" t="s">
        <v>283</v>
      </c>
      <c r="BV15" s="34">
        <v>2020</v>
      </c>
      <c r="BW15" s="34" t="s">
        <v>246</v>
      </c>
      <c r="BY15" s="34">
        <v>4.1224202019832602E+18</v>
      </c>
      <c r="BZ15" s="34" t="s">
        <v>1188</v>
      </c>
      <c r="CA15" s="34" t="s">
        <v>248</v>
      </c>
    </row>
    <row r="16" spans="1:79" x14ac:dyDescent="0.2">
      <c r="A16" s="34" t="s">
        <v>1187</v>
      </c>
      <c r="B16" s="34" t="s">
        <v>1186</v>
      </c>
      <c r="C16" s="34">
        <v>2020</v>
      </c>
      <c r="D16" s="34" t="s">
        <v>624</v>
      </c>
      <c r="E16" s="34">
        <v>2.0201203934104198E+17</v>
      </c>
      <c r="F16" s="34" t="s">
        <v>225</v>
      </c>
      <c r="G16" s="34" t="s">
        <v>1185</v>
      </c>
      <c r="H16" s="34">
        <v>1480781</v>
      </c>
      <c r="J16" s="34" t="s">
        <v>227</v>
      </c>
      <c r="K16" s="34" t="s">
        <v>228</v>
      </c>
      <c r="N16" s="34" t="s">
        <v>1177</v>
      </c>
      <c r="O16" s="34" t="s">
        <v>75</v>
      </c>
      <c r="Q16" s="34" t="s">
        <v>28</v>
      </c>
      <c r="R16" s="34" t="s">
        <v>1176</v>
      </c>
      <c r="T16" s="34" t="s">
        <v>1175</v>
      </c>
      <c r="V16" s="34" t="s">
        <v>1184</v>
      </c>
      <c r="X16" s="34" t="s">
        <v>1173</v>
      </c>
      <c r="Y16" s="34" t="s">
        <v>42</v>
      </c>
      <c r="Z16" s="34">
        <v>200093537</v>
      </c>
      <c r="AA16" s="34" t="s">
        <v>1183</v>
      </c>
      <c r="AB16" s="34" t="s">
        <v>1171</v>
      </c>
      <c r="AD16" s="34" t="s">
        <v>237</v>
      </c>
      <c r="AE16" s="34" t="s">
        <v>238</v>
      </c>
      <c r="AI16" s="36">
        <v>44100</v>
      </c>
      <c r="AJ16" s="34">
        <v>1800</v>
      </c>
      <c r="AK16" s="34">
        <v>3300</v>
      </c>
      <c r="BG16" s="34" t="s">
        <v>240</v>
      </c>
      <c r="BI16" s="34" t="s">
        <v>241</v>
      </c>
      <c r="BJ16" s="34">
        <v>2020</v>
      </c>
      <c r="BK16" s="34" t="s">
        <v>50</v>
      </c>
      <c r="BL16" s="34" t="s">
        <v>242</v>
      </c>
      <c r="BM16" s="34" t="s">
        <v>243</v>
      </c>
      <c r="BN16" s="35">
        <v>44189.17313166667</v>
      </c>
      <c r="BP16" s="34" t="s">
        <v>1182</v>
      </c>
      <c r="BQ16" s="34" t="s">
        <v>318</v>
      </c>
      <c r="BR16" s="34" t="s">
        <v>244</v>
      </c>
      <c r="BS16" s="34">
        <v>4.1205202019644401E+18</v>
      </c>
      <c r="BT16" s="34" t="s">
        <v>245</v>
      </c>
      <c r="BU16" s="34" t="s">
        <v>283</v>
      </c>
      <c r="BV16" s="34">
        <v>2020</v>
      </c>
      <c r="BW16" s="34" t="s">
        <v>246</v>
      </c>
      <c r="BY16" s="34">
        <v>4.1224202019859702E+18</v>
      </c>
      <c r="BZ16" s="34" t="s">
        <v>1181</v>
      </c>
      <c r="CA16" s="34" t="s">
        <v>248</v>
      </c>
    </row>
    <row r="17" spans="1:79" x14ac:dyDescent="0.2">
      <c r="A17" s="34" t="s">
        <v>1180</v>
      </c>
      <c r="B17" s="34" t="s">
        <v>1179</v>
      </c>
      <c r="C17" s="34">
        <v>2020</v>
      </c>
      <c r="D17" s="34" t="s">
        <v>624</v>
      </c>
      <c r="E17" s="34">
        <v>2.0201203933763901E+17</v>
      </c>
      <c r="F17" s="34" t="s">
        <v>225</v>
      </c>
      <c r="G17" s="34" t="s">
        <v>1178</v>
      </c>
      <c r="H17" s="34">
        <v>1477776</v>
      </c>
      <c r="J17" s="34" t="s">
        <v>227</v>
      </c>
      <c r="K17" s="34" t="s">
        <v>228</v>
      </c>
      <c r="N17" s="34" t="s">
        <v>1177</v>
      </c>
      <c r="O17" s="34" t="s">
        <v>39</v>
      </c>
      <c r="Q17" s="34" t="s">
        <v>28</v>
      </c>
      <c r="R17" s="34" t="s">
        <v>1176</v>
      </c>
      <c r="T17" s="34" t="s">
        <v>1175</v>
      </c>
      <c r="V17" s="34" t="s">
        <v>1174</v>
      </c>
      <c r="X17" s="34" t="s">
        <v>1173</v>
      </c>
      <c r="Y17" s="34" t="s">
        <v>42</v>
      </c>
      <c r="Z17" s="34">
        <v>200014130</v>
      </c>
      <c r="AA17" s="34" t="s">
        <v>1172</v>
      </c>
      <c r="AB17" s="34" t="s">
        <v>1171</v>
      </c>
      <c r="AD17" s="34" t="s">
        <v>237</v>
      </c>
      <c r="AE17" s="34" t="s">
        <v>238</v>
      </c>
      <c r="AI17" s="36">
        <v>44100</v>
      </c>
      <c r="AJ17" s="34">
        <v>2800</v>
      </c>
      <c r="AK17" s="34">
        <v>2800</v>
      </c>
      <c r="BG17" s="34" t="s">
        <v>240</v>
      </c>
      <c r="BI17" s="34" t="s">
        <v>241</v>
      </c>
      <c r="BJ17" s="34">
        <v>2020</v>
      </c>
      <c r="BK17" s="34" t="s">
        <v>50</v>
      </c>
      <c r="BL17" s="34" t="s">
        <v>242</v>
      </c>
      <c r="BM17" s="34" t="s">
        <v>243</v>
      </c>
      <c r="BN17" s="35">
        <v>44202.163049456016</v>
      </c>
      <c r="BP17" s="34" t="s">
        <v>1170</v>
      </c>
      <c r="BQ17" s="34" t="s">
        <v>318</v>
      </c>
      <c r="BR17" s="34" t="s">
        <v>244</v>
      </c>
      <c r="BS17" s="34">
        <v>4.1204202019634202E+18</v>
      </c>
      <c r="BT17" s="34" t="s">
        <v>245</v>
      </c>
      <c r="BU17" s="34" t="s">
        <v>283</v>
      </c>
      <c r="BV17" s="34">
        <v>2020</v>
      </c>
      <c r="BW17" s="34" t="s">
        <v>246</v>
      </c>
      <c r="BY17" s="34">
        <v>4.0106202120334397E+18</v>
      </c>
      <c r="BZ17" s="34" t="s">
        <v>1169</v>
      </c>
      <c r="CA17" s="34" t="s">
        <v>248</v>
      </c>
    </row>
    <row r="19" spans="1:79" x14ac:dyDescent="0.2">
      <c r="V19" s="34" t="str">
        <f>+V17&amp;X17&amp;Y17&amp;Z17</f>
        <v>950 WESTMINSTER ST NWWASHINGTONDC200014130</v>
      </c>
    </row>
    <row r="21" spans="1:79" ht="15" x14ac:dyDescent="0.25">
      <c r="A21" s="27" t="s">
        <v>261</v>
      </c>
      <c r="B21" t="s">
        <v>263</v>
      </c>
      <c r="C21"/>
    </row>
    <row r="22" spans="1:79" ht="15" x14ac:dyDescent="0.25">
      <c r="A22" s="28" t="s">
        <v>1233</v>
      </c>
      <c r="B22" s="2">
        <v>2800</v>
      </c>
      <c r="C22" t="s">
        <v>1064</v>
      </c>
    </row>
    <row r="23" spans="1:79" ht="15" x14ac:dyDescent="0.25">
      <c r="A23" s="28" t="s">
        <v>267</v>
      </c>
      <c r="B23" s="2">
        <v>5600</v>
      </c>
      <c r="C23" t="s">
        <v>1064</v>
      </c>
    </row>
    <row r="24" spans="1:79" ht="15" x14ac:dyDescent="0.25">
      <c r="A24" s="28" t="s">
        <v>723</v>
      </c>
      <c r="B24" s="2">
        <v>3300</v>
      </c>
      <c r="C24" t="s">
        <v>1064</v>
      </c>
    </row>
    <row r="25" spans="1:79" ht="15" x14ac:dyDescent="0.25">
      <c r="A25" s="28" t="s">
        <v>1191</v>
      </c>
      <c r="B25" s="2">
        <v>2800</v>
      </c>
      <c r="C25" t="s">
        <v>1064</v>
      </c>
    </row>
    <row r="26" spans="1:79" ht="15" x14ac:dyDescent="0.25">
      <c r="A26" s="28" t="s">
        <v>1202</v>
      </c>
      <c r="B26" s="2">
        <v>1000</v>
      </c>
      <c r="C26" t="s">
        <v>1064</v>
      </c>
    </row>
    <row r="27" spans="1:79" ht="15" x14ac:dyDescent="0.25">
      <c r="A27" s="28" t="s">
        <v>1239</v>
      </c>
      <c r="B27" s="2">
        <v>500</v>
      </c>
      <c r="C27" t="s">
        <v>1064</v>
      </c>
    </row>
    <row r="28" spans="1:79" ht="15" x14ac:dyDescent="0.25">
      <c r="A28" s="28" t="s">
        <v>544</v>
      </c>
      <c r="B28" s="2">
        <v>2800</v>
      </c>
      <c r="C28" t="s">
        <v>1064</v>
      </c>
    </row>
    <row r="29" spans="1:79" ht="15" x14ac:dyDescent="0.25">
      <c r="A29" s="28" t="s">
        <v>1207</v>
      </c>
      <c r="B29" s="2">
        <v>2800</v>
      </c>
      <c r="C29" t="s">
        <v>1064</v>
      </c>
    </row>
    <row r="30" spans="1:79" ht="15" x14ac:dyDescent="0.25">
      <c r="A30" s="28" t="s">
        <v>1196</v>
      </c>
      <c r="B30" s="2">
        <v>2800</v>
      </c>
      <c r="C30" t="s">
        <v>1064</v>
      </c>
    </row>
    <row r="31" spans="1:79" ht="15" x14ac:dyDescent="0.25">
      <c r="A31" s="28" t="s">
        <v>623</v>
      </c>
      <c r="B31" s="2">
        <v>2800</v>
      </c>
      <c r="C31" t="s">
        <v>1064</v>
      </c>
    </row>
    <row r="32" spans="1:79" ht="15" x14ac:dyDescent="0.25">
      <c r="A32" s="28" t="s">
        <v>1186</v>
      </c>
      <c r="B32" s="2">
        <v>2800</v>
      </c>
      <c r="C32" t="s">
        <v>1064</v>
      </c>
    </row>
    <row r="33" spans="1:3" ht="15" x14ac:dyDescent="0.25">
      <c r="A33" s="28" t="s">
        <v>1211</v>
      </c>
      <c r="B33" s="2">
        <v>2800</v>
      </c>
      <c r="C33" t="s">
        <v>1064</v>
      </c>
    </row>
    <row r="34" spans="1:3" ht="15" x14ac:dyDescent="0.25">
      <c r="A34" s="28" t="s">
        <v>1179</v>
      </c>
      <c r="B34" s="2">
        <v>2800</v>
      </c>
      <c r="C34" t="s">
        <v>1064</v>
      </c>
    </row>
    <row r="35" spans="1:3" ht="15" x14ac:dyDescent="0.25">
      <c r="A35" s="28" t="s">
        <v>262</v>
      </c>
      <c r="B35" s="2">
        <v>35600</v>
      </c>
      <c r="C35"/>
    </row>
    <row r="36" spans="1:3" ht="15" x14ac:dyDescent="0.25">
      <c r="A36"/>
      <c r="B36"/>
      <c r="C36"/>
    </row>
    <row r="37" spans="1:3" ht="15" x14ac:dyDescent="0.25">
      <c r="A37"/>
      <c r="B37"/>
      <c r="C37"/>
    </row>
    <row r="38" spans="1:3" ht="15" x14ac:dyDescent="0.25">
      <c r="A38"/>
      <c r="B38"/>
      <c r="C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G19" workbookViewId="0">
      <selection activeCell="V35" sqref="V35"/>
    </sheetView>
  </sheetViews>
  <sheetFormatPr defaultRowHeight="12.75" x14ac:dyDescent="0.2"/>
  <cols>
    <col min="1" max="1" width="51.42578125" style="34" bestFit="1" customWidth="1"/>
    <col min="2" max="2" width="34.5703125" style="34" bestFit="1" customWidth="1"/>
    <col min="3" max="26" width="9.140625" style="34"/>
    <col min="27" max="27" width="20.140625" style="34" bestFit="1" customWidth="1"/>
    <col min="28" max="16384" width="9.140625" style="34"/>
  </cols>
  <sheetData>
    <row r="1" spans="1:79" x14ac:dyDescent="0.2">
      <c r="A1" s="34" t="s">
        <v>144</v>
      </c>
      <c r="B1" s="34" t="s">
        <v>145</v>
      </c>
      <c r="C1" s="34" t="s">
        <v>146</v>
      </c>
      <c r="D1" s="34" t="s">
        <v>147</v>
      </c>
      <c r="E1" s="34" t="s">
        <v>148</v>
      </c>
      <c r="F1" s="34" t="s">
        <v>149</v>
      </c>
      <c r="G1" s="34" t="s">
        <v>150</v>
      </c>
      <c r="H1" s="34" t="s">
        <v>151</v>
      </c>
      <c r="I1" s="34" t="s">
        <v>145</v>
      </c>
      <c r="J1" s="34" t="s">
        <v>152</v>
      </c>
      <c r="K1" s="34" t="s">
        <v>153</v>
      </c>
      <c r="L1" s="34" t="s">
        <v>154</v>
      </c>
      <c r="M1" s="34" t="s">
        <v>155</v>
      </c>
      <c r="N1" s="34" t="s">
        <v>156</v>
      </c>
      <c r="O1" s="34" t="s">
        <v>157</v>
      </c>
      <c r="P1" s="34" t="s">
        <v>158</v>
      </c>
      <c r="Q1" s="34" t="s">
        <v>159</v>
      </c>
      <c r="R1" s="34" t="s">
        <v>160</v>
      </c>
      <c r="S1" s="34" t="s">
        <v>161</v>
      </c>
      <c r="T1" s="34" t="s">
        <v>162</v>
      </c>
      <c r="U1" s="34" t="s">
        <v>163</v>
      </c>
      <c r="V1" s="34" t="s">
        <v>164</v>
      </c>
      <c r="W1" s="34" t="s">
        <v>165</v>
      </c>
      <c r="X1" s="34" t="s">
        <v>166</v>
      </c>
      <c r="Y1" s="34" t="s">
        <v>167</v>
      </c>
      <c r="Z1" s="34" t="s">
        <v>168</v>
      </c>
      <c r="AA1" s="34" t="s">
        <v>169</v>
      </c>
      <c r="AB1" s="34" t="s">
        <v>170</v>
      </c>
      <c r="AC1" s="34" t="s">
        <v>171</v>
      </c>
      <c r="AD1" s="34" t="s">
        <v>172</v>
      </c>
      <c r="AE1" s="34" t="s">
        <v>173</v>
      </c>
      <c r="AF1" s="34" t="s">
        <v>174</v>
      </c>
      <c r="AG1" s="34" t="s">
        <v>175</v>
      </c>
      <c r="AH1" s="34" t="s">
        <v>176</v>
      </c>
      <c r="AI1" s="34" t="s">
        <v>177</v>
      </c>
      <c r="AJ1" s="34" t="s">
        <v>178</v>
      </c>
      <c r="AK1" s="34" t="s">
        <v>179</v>
      </c>
      <c r="AL1" s="34" t="s">
        <v>180</v>
      </c>
      <c r="AM1" s="34" t="s">
        <v>181</v>
      </c>
      <c r="AN1" s="34" t="s">
        <v>182</v>
      </c>
      <c r="AO1" s="34" t="s">
        <v>183</v>
      </c>
      <c r="AP1" s="34" t="s">
        <v>184</v>
      </c>
      <c r="AQ1" s="34" t="s">
        <v>185</v>
      </c>
      <c r="AR1" s="34" t="s">
        <v>186</v>
      </c>
      <c r="AS1" s="34" t="s">
        <v>187</v>
      </c>
      <c r="AT1" s="34" t="s">
        <v>188</v>
      </c>
      <c r="AU1" s="34" t="s">
        <v>189</v>
      </c>
      <c r="AV1" s="34" t="s">
        <v>190</v>
      </c>
      <c r="AW1" s="34" t="s">
        <v>191</v>
      </c>
      <c r="AX1" s="34" t="s">
        <v>192</v>
      </c>
      <c r="AY1" s="34" t="s">
        <v>193</v>
      </c>
      <c r="AZ1" s="34" t="s">
        <v>194</v>
      </c>
      <c r="BA1" s="34" t="s">
        <v>195</v>
      </c>
      <c r="BB1" s="34" t="s">
        <v>196</v>
      </c>
      <c r="BC1" s="34" t="s">
        <v>197</v>
      </c>
      <c r="BD1" s="34" t="s">
        <v>198</v>
      </c>
      <c r="BE1" s="34" t="s">
        <v>199</v>
      </c>
      <c r="BF1" s="34" t="s">
        <v>200</v>
      </c>
      <c r="BG1" s="34" t="s">
        <v>201</v>
      </c>
      <c r="BH1" s="34" t="s">
        <v>202</v>
      </c>
      <c r="BI1" s="34" t="s">
        <v>203</v>
      </c>
      <c r="BJ1" s="34" t="s">
        <v>204</v>
      </c>
      <c r="BK1" s="34" t="s">
        <v>205</v>
      </c>
      <c r="BL1" s="34" t="s">
        <v>206</v>
      </c>
      <c r="BM1" s="34" t="s">
        <v>207</v>
      </c>
      <c r="BN1" s="34" t="s">
        <v>208</v>
      </c>
      <c r="BO1" s="34" t="s">
        <v>209</v>
      </c>
      <c r="BP1" s="34" t="s">
        <v>210</v>
      </c>
      <c r="BQ1" s="34" t="s">
        <v>211</v>
      </c>
      <c r="BR1" s="34" t="s">
        <v>212</v>
      </c>
      <c r="BS1" s="34" t="s">
        <v>213</v>
      </c>
      <c r="BT1" s="34" t="s">
        <v>214</v>
      </c>
      <c r="BU1" s="34" t="s">
        <v>215</v>
      </c>
      <c r="BV1" s="34" t="s">
        <v>216</v>
      </c>
      <c r="BW1" s="34" t="s">
        <v>217</v>
      </c>
      <c r="BX1" s="34" t="s">
        <v>218</v>
      </c>
      <c r="BY1" s="34" t="s">
        <v>219</v>
      </c>
      <c r="BZ1" s="34" t="s">
        <v>220</v>
      </c>
      <c r="CA1" s="34" t="s">
        <v>221</v>
      </c>
    </row>
    <row r="2" spans="1:79" x14ac:dyDescent="0.2">
      <c r="A2" s="34" t="s">
        <v>1117</v>
      </c>
      <c r="B2" s="34" t="s">
        <v>1116</v>
      </c>
      <c r="C2" s="34">
        <v>2019</v>
      </c>
      <c r="D2" s="34" t="s">
        <v>1165</v>
      </c>
      <c r="E2" s="34">
        <v>2.0191120916566701E+17</v>
      </c>
      <c r="F2" s="34" t="s">
        <v>225</v>
      </c>
      <c r="G2" s="34" t="s">
        <v>1166</v>
      </c>
      <c r="H2" s="34">
        <v>1363758</v>
      </c>
      <c r="J2" s="34" t="s">
        <v>227</v>
      </c>
      <c r="K2" s="34" t="s">
        <v>228</v>
      </c>
      <c r="N2" s="34" t="s">
        <v>1114</v>
      </c>
      <c r="O2" s="34" t="s">
        <v>66</v>
      </c>
      <c r="P2" s="34" t="s">
        <v>1113</v>
      </c>
      <c r="Q2" s="34" t="s">
        <v>34</v>
      </c>
      <c r="R2" s="34" t="s">
        <v>1112</v>
      </c>
      <c r="S2" s="34" t="s">
        <v>39</v>
      </c>
      <c r="T2" s="34" t="s">
        <v>1111</v>
      </c>
      <c r="V2" s="34" t="s">
        <v>1110</v>
      </c>
      <c r="X2" s="34" t="s">
        <v>1109</v>
      </c>
      <c r="Y2" s="34" t="s">
        <v>1108</v>
      </c>
      <c r="Z2" s="34">
        <v>20176</v>
      </c>
      <c r="AA2" s="34" t="s">
        <v>1107</v>
      </c>
      <c r="AB2" s="34" t="s">
        <v>1106</v>
      </c>
      <c r="AD2" s="34">
        <v>15</v>
      </c>
      <c r="AE2" s="34" t="s">
        <v>298</v>
      </c>
      <c r="AI2" s="36">
        <v>43749</v>
      </c>
      <c r="AJ2" s="34">
        <v>192.31</v>
      </c>
      <c r="AK2" s="34">
        <v>4038.51</v>
      </c>
      <c r="BG2" s="34" t="s">
        <v>28</v>
      </c>
      <c r="BI2" s="34" t="s">
        <v>279</v>
      </c>
      <c r="BK2" s="34" t="s">
        <v>50</v>
      </c>
      <c r="BL2" s="34" t="s">
        <v>242</v>
      </c>
      <c r="BM2" s="34" t="s">
        <v>243</v>
      </c>
      <c r="BN2" s="35">
        <v>43790.095331180557</v>
      </c>
      <c r="BR2" s="34" t="s">
        <v>257</v>
      </c>
      <c r="BS2" s="34">
        <v>4.1120201916795197E+18</v>
      </c>
      <c r="BT2" s="34" t="s">
        <v>245</v>
      </c>
      <c r="BV2" s="34">
        <v>2020</v>
      </c>
      <c r="BW2" s="34" t="s">
        <v>246</v>
      </c>
      <c r="BY2" s="34">
        <v>4.1120201916797199E+18</v>
      </c>
      <c r="BZ2" s="34" t="s">
        <v>1163</v>
      </c>
      <c r="CA2" s="34" t="s">
        <v>248</v>
      </c>
    </row>
    <row r="3" spans="1:79" x14ac:dyDescent="0.2">
      <c r="A3" s="34" t="s">
        <v>1117</v>
      </c>
      <c r="B3" s="34" t="s">
        <v>1116</v>
      </c>
      <c r="C3" s="34">
        <v>2019</v>
      </c>
      <c r="D3" s="34" t="s">
        <v>1165</v>
      </c>
      <c r="E3" s="34">
        <v>2.0191120916566701E+17</v>
      </c>
      <c r="F3" s="34" t="s">
        <v>225</v>
      </c>
      <c r="G3" s="34" t="s">
        <v>1164</v>
      </c>
      <c r="H3" s="34">
        <v>1363758</v>
      </c>
      <c r="J3" s="34" t="s">
        <v>227</v>
      </c>
      <c r="K3" s="34" t="s">
        <v>228</v>
      </c>
      <c r="N3" s="34" t="s">
        <v>1114</v>
      </c>
      <c r="O3" s="34" t="s">
        <v>66</v>
      </c>
      <c r="P3" s="34" t="s">
        <v>1113</v>
      </c>
      <c r="Q3" s="34" t="s">
        <v>34</v>
      </c>
      <c r="R3" s="34" t="s">
        <v>1112</v>
      </c>
      <c r="S3" s="34" t="s">
        <v>39</v>
      </c>
      <c r="T3" s="34" t="s">
        <v>1111</v>
      </c>
      <c r="V3" s="34" t="s">
        <v>1110</v>
      </c>
      <c r="X3" s="34" t="s">
        <v>1109</v>
      </c>
      <c r="Y3" s="34" t="s">
        <v>1108</v>
      </c>
      <c r="Z3" s="34">
        <v>20176</v>
      </c>
      <c r="AA3" s="34" t="s">
        <v>1107</v>
      </c>
      <c r="AB3" s="34" t="s">
        <v>1106</v>
      </c>
      <c r="AD3" s="34">
        <v>15</v>
      </c>
      <c r="AE3" s="34" t="s">
        <v>298</v>
      </c>
      <c r="AI3" s="36">
        <v>43763</v>
      </c>
      <c r="AJ3" s="34">
        <v>192.31</v>
      </c>
      <c r="AK3" s="34">
        <v>4230.82</v>
      </c>
      <c r="BG3" s="34" t="s">
        <v>28</v>
      </c>
      <c r="BI3" s="34" t="s">
        <v>279</v>
      </c>
      <c r="BK3" s="34" t="s">
        <v>50</v>
      </c>
      <c r="BL3" s="34" t="s">
        <v>242</v>
      </c>
      <c r="BM3" s="34" t="s">
        <v>243</v>
      </c>
      <c r="BN3" s="35">
        <v>43790.095331180557</v>
      </c>
      <c r="BR3" s="34" t="s">
        <v>257</v>
      </c>
      <c r="BS3" s="34">
        <v>4.1120201916795197E+18</v>
      </c>
      <c r="BT3" s="34" t="s">
        <v>245</v>
      </c>
      <c r="BV3" s="34">
        <v>2020</v>
      </c>
      <c r="BW3" s="34" t="s">
        <v>246</v>
      </c>
      <c r="BY3" s="34">
        <v>4.1120201916797199E+18</v>
      </c>
      <c r="BZ3" s="34" t="s">
        <v>1163</v>
      </c>
      <c r="CA3" s="34" t="s">
        <v>248</v>
      </c>
    </row>
    <row r="4" spans="1:79" x14ac:dyDescent="0.2">
      <c r="A4" s="34" t="s">
        <v>1117</v>
      </c>
      <c r="B4" s="34" t="s">
        <v>1116</v>
      </c>
      <c r="C4" s="34">
        <v>2019</v>
      </c>
      <c r="D4" s="34" t="s">
        <v>365</v>
      </c>
      <c r="E4" s="34">
        <v>2.0191217916631802E+17</v>
      </c>
      <c r="F4" s="34" t="s">
        <v>225</v>
      </c>
      <c r="G4" s="34" t="s">
        <v>1162</v>
      </c>
      <c r="H4" s="34">
        <v>1366599</v>
      </c>
      <c r="J4" s="34" t="s">
        <v>227</v>
      </c>
      <c r="K4" s="34" t="s">
        <v>228</v>
      </c>
      <c r="N4" s="34" t="s">
        <v>1114</v>
      </c>
      <c r="O4" s="34" t="s">
        <v>66</v>
      </c>
      <c r="P4" s="34" t="s">
        <v>1113</v>
      </c>
      <c r="Q4" s="34" t="s">
        <v>34</v>
      </c>
      <c r="R4" s="34" t="s">
        <v>1112</v>
      </c>
      <c r="S4" s="34" t="s">
        <v>39</v>
      </c>
      <c r="T4" s="34" t="s">
        <v>1111</v>
      </c>
      <c r="V4" s="34" t="s">
        <v>1110</v>
      </c>
      <c r="X4" s="34" t="s">
        <v>1109</v>
      </c>
      <c r="Y4" s="34" t="s">
        <v>1108</v>
      </c>
      <c r="Z4" s="34">
        <v>20176</v>
      </c>
      <c r="AA4" s="34" t="s">
        <v>1107</v>
      </c>
      <c r="AB4" s="34" t="s">
        <v>1106</v>
      </c>
      <c r="AD4" s="34">
        <v>15</v>
      </c>
      <c r="AE4" s="34" t="s">
        <v>298</v>
      </c>
      <c r="AI4" s="36">
        <v>43777</v>
      </c>
      <c r="AJ4" s="34">
        <v>192.31</v>
      </c>
      <c r="AK4" s="34">
        <v>4423.13</v>
      </c>
      <c r="BG4" s="34" t="s">
        <v>28</v>
      </c>
      <c r="BI4" s="34" t="s">
        <v>279</v>
      </c>
      <c r="BK4" s="34" t="s">
        <v>50</v>
      </c>
      <c r="BL4" s="34" t="s">
        <v>242</v>
      </c>
      <c r="BM4" s="34" t="s">
        <v>243</v>
      </c>
      <c r="BN4" s="35">
        <v>43818.070849340278</v>
      </c>
      <c r="BR4" s="34" t="s">
        <v>257</v>
      </c>
      <c r="BS4" s="34">
        <v>4.1218201916816502E+18</v>
      </c>
      <c r="BT4" s="34" t="s">
        <v>245</v>
      </c>
      <c r="BV4" s="34">
        <v>2020</v>
      </c>
      <c r="BW4" s="34" t="s">
        <v>246</v>
      </c>
      <c r="BY4" s="34">
        <v>4.1218201916816599E+18</v>
      </c>
      <c r="BZ4" s="34" t="s">
        <v>1160</v>
      </c>
      <c r="CA4" s="34" t="s">
        <v>248</v>
      </c>
    </row>
    <row r="5" spans="1:79" x14ac:dyDescent="0.2">
      <c r="A5" s="34" t="s">
        <v>1117</v>
      </c>
      <c r="B5" s="34" t="s">
        <v>1116</v>
      </c>
      <c r="C5" s="34">
        <v>2019</v>
      </c>
      <c r="D5" s="34" t="s">
        <v>365</v>
      </c>
      <c r="E5" s="34">
        <v>2.0191217916631802E+17</v>
      </c>
      <c r="F5" s="34" t="s">
        <v>225</v>
      </c>
      <c r="G5" s="34" t="s">
        <v>1161</v>
      </c>
      <c r="H5" s="34">
        <v>1366599</v>
      </c>
      <c r="J5" s="34" t="s">
        <v>227</v>
      </c>
      <c r="K5" s="34" t="s">
        <v>228</v>
      </c>
      <c r="N5" s="34" t="s">
        <v>1114</v>
      </c>
      <c r="O5" s="34" t="s">
        <v>66</v>
      </c>
      <c r="P5" s="34" t="s">
        <v>1113</v>
      </c>
      <c r="Q5" s="34" t="s">
        <v>34</v>
      </c>
      <c r="R5" s="34" t="s">
        <v>1112</v>
      </c>
      <c r="S5" s="34" t="s">
        <v>39</v>
      </c>
      <c r="T5" s="34" t="s">
        <v>1111</v>
      </c>
      <c r="V5" s="34" t="s">
        <v>1110</v>
      </c>
      <c r="X5" s="34" t="s">
        <v>1109</v>
      </c>
      <c r="Y5" s="34" t="s">
        <v>1108</v>
      </c>
      <c r="Z5" s="34">
        <v>20176</v>
      </c>
      <c r="AA5" s="34" t="s">
        <v>1107</v>
      </c>
      <c r="AB5" s="34" t="s">
        <v>1106</v>
      </c>
      <c r="AD5" s="34">
        <v>15</v>
      </c>
      <c r="AE5" s="34" t="s">
        <v>298</v>
      </c>
      <c r="AI5" s="36">
        <v>43791</v>
      </c>
      <c r="AJ5" s="34">
        <v>192.31</v>
      </c>
      <c r="AK5" s="34">
        <v>4615.4399999999996</v>
      </c>
      <c r="BG5" s="34" t="s">
        <v>28</v>
      </c>
      <c r="BI5" s="34" t="s">
        <v>279</v>
      </c>
      <c r="BK5" s="34" t="s">
        <v>50</v>
      </c>
      <c r="BL5" s="34" t="s">
        <v>242</v>
      </c>
      <c r="BM5" s="34" t="s">
        <v>243</v>
      </c>
      <c r="BN5" s="35">
        <v>43818.070849340278</v>
      </c>
      <c r="BR5" s="34" t="s">
        <v>257</v>
      </c>
      <c r="BS5" s="34">
        <v>4.1218201916816502E+18</v>
      </c>
      <c r="BT5" s="34" t="s">
        <v>245</v>
      </c>
      <c r="BV5" s="34">
        <v>2020</v>
      </c>
      <c r="BW5" s="34" t="s">
        <v>246</v>
      </c>
      <c r="BY5" s="34">
        <v>4.1218201916816599E+18</v>
      </c>
      <c r="BZ5" s="34" t="s">
        <v>1160</v>
      </c>
      <c r="CA5" s="34" t="s">
        <v>248</v>
      </c>
    </row>
    <row r="6" spans="1:79" x14ac:dyDescent="0.2">
      <c r="A6" s="34" t="s">
        <v>1117</v>
      </c>
      <c r="B6" s="34" t="s">
        <v>1116</v>
      </c>
      <c r="C6" s="34">
        <v>2019</v>
      </c>
      <c r="D6" s="34" t="s">
        <v>268</v>
      </c>
      <c r="E6" s="34">
        <v>2.0200130918250202E+17</v>
      </c>
      <c r="F6" s="34" t="s">
        <v>225</v>
      </c>
      <c r="G6" s="34" t="s">
        <v>1159</v>
      </c>
      <c r="H6" s="34">
        <v>1375953</v>
      </c>
      <c r="J6" s="34" t="s">
        <v>227</v>
      </c>
      <c r="K6" s="34" t="s">
        <v>228</v>
      </c>
      <c r="N6" s="34" t="s">
        <v>1114</v>
      </c>
      <c r="O6" s="34" t="s">
        <v>66</v>
      </c>
      <c r="P6" s="34" t="s">
        <v>1113</v>
      </c>
      <c r="Q6" s="34" t="s">
        <v>34</v>
      </c>
      <c r="R6" s="34" t="s">
        <v>1112</v>
      </c>
      <c r="S6" s="34" t="s">
        <v>39</v>
      </c>
      <c r="T6" s="34" t="s">
        <v>1111</v>
      </c>
      <c r="V6" s="34" t="s">
        <v>1110</v>
      </c>
      <c r="X6" s="34" t="s">
        <v>1109</v>
      </c>
      <c r="Y6" s="34" t="s">
        <v>1108</v>
      </c>
      <c r="Z6" s="34">
        <v>20176</v>
      </c>
      <c r="AA6" s="34" t="s">
        <v>1107</v>
      </c>
      <c r="AB6" s="34" t="s">
        <v>1106</v>
      </c>
      <c r="AD6" s="34">
        <v>15</v>
      </c>
      <c r="AE6" s="34" t="s">
        <v>298</v>
      </c>
      <c r="AI6" s="36">
        <v>43805</v>
      </c>
      <c r="AJ6" s="34">
        <v>192.31</v>
      </c>
      <c r="AK6" s="34">
        <v>4807.75</v>
      </c>
      <c r="BG6" s="34" t="s">
        <v>28</v>
      </c>
      <c r="BI6" s="34" t="s">
        <v>279</v>
      </c>
      <c r="BK6" s="34" t="s">
        <v>50</v>
      </c>
      <c r="BL6" s="34" t="s">
        <v>242</v>
      </c>
      <c r="BM6" s="34" t="s">
        <v>243</v>
      </c>
      <c r="BN6" s="35">
        <v>43882.104242106485</v>
      </c>
      <c r="BR6" s="34" t="s">
        <v>257</v>
      </c>
      <c r="BS6" s="34">
        <v>4.0130202016861302E+18</v>
      </c>
      <c r="BT6" s="34" t="s">
        <v>245</v>
      </c>
      <c r="BV6" s="34">
        <v>2020</v>
      </c>
      <c r="BW6" s="34" t="s">
        <v>246</v>
      </c>
      <c r="BY6" s="34">
        <v>4.02202020169331E+18</v>
      </c>
      <c r="BZ6" s="34" t="s">
        <v>1157</v>
      </c>
      <c r="CA6" s="34" t="s">
        <v>248</v>
      </c>
    </row>
    <row r="7" spans="1:79" x14ac:dyDescent="0.2">
      <c r="A7" s="34" t="s">
        <v>1117</v>
      </c>
      <c r="B7" s="34" t="s">
        <v>1116</v>
      </c>
      <c r="C7" s="34">
        <v>2019</v>
      </c>
      <c r="D7" s="34" t="s">
        <v>268</v>
      </c>
      <c r="E7" s="34">
        <v>2.0200130918250202E+17</v>
      </c>
      <c r="F7" s="34" t="s">
        <v>225</v>
      </c>
      <c r="G7" s="34" t="s">
        <v>1158</v>
      </c>
      <c r="H7" s="34">
        <v>1375953</v>
      </c>
      <c r="J7" s="34" t="s">
        <v>227</v>
      </c>
      <c r="K7" s="34" t="s">
        <v>228</v>
      </c>
      <c r="N7" s="34" t="s">
        <v>1114</v>
      </c>
      <c r="O7" s="34" t="s">
        <v>66</v>
      </c>
      <c r="P7" s="34" t="s">
        <v>1113</v>
      </c>
      <c r="Q7" s="34" t="s">
        <v>34</v>
      </c>
      <c r="R7" s="34" t="s">
        <v>1112</v>
      </c>
      <c r="S7" s="34" t="s">
        <v>39</v>
      </c>
      <c r="T7" s="34" t="s">
        <v>1111</v>
      </c>
      <c r="V7" s="34" t="s">
        <v>1110</v>
      </c>
      <c r="X7" s="34" t="s">
        <v>1109</v>
      </c>
      <c r="Y7" s="34" t="s">
        <v>1108</v>
      </c>
      <c r="Z7" s="34">
        <v>20176</v>
      </c>
      <c r="AA7" s="34" t="s">
        <v>1107</v>
      </c>
      <c r="AB7" s="34" t="s">
        <v>1106</v>
      </c>
      <c r="AD7" s="34">
        <v>15</v>
      </c>
      <c r="AE7" s="34" t="s">
        <v>298</v>
      </c>
      <c r="AI7" s="36">
        <v>43819</v>
      </c>
      <c r="AJ7" s="34">
        <v>192.25</v>
      </c>
      <c r="AK7" s="34">
        <v>5000</v>
      </c>
      <c r="BG7" s="34" t="s">
        <v>28</v>
      </c>
      <c r="BI7" s="34" t="s">
        <v>279</v>
      </c>
      <c r="BK7" s="34" t="s">
        <v>50</v>
      </c>
      <c r="BL7" s="34" t="s">
        <v>242</v>
      </c>
      <c r="BM7" s="34" t="s">
        <v>243</v>
      </c>
      <c r="BN7" s="35">
        <v>43882.104242106485</v>
      </c>
      <c r="BR7" s="34" t="s">
        <v>257</v>
      </c>
      <c r="BS7" s="34">
        <v>4.0130202016861302E+18</v>
      </c>
      <c r="BT7" s="34" t="s">
        <v>245</v>
      </c>
      <c r="BV7" s="34">
        <v>2020</v>
      </c>
      <c r="BW7" s="34" t="s">
        <v>246</v>
      </c>
      <c r="BY7" s="34">
        <v>4.02202020169331E+18</v>
      </c>
      <c r="BZ7" s="34" t="s">
        <v>1157</v>
      </c>
      <c r="CA7" s="34" t="s">
        <v>248</v>
      </c>
    </row>
    <row r="8" spans="1:79" x14ac:dyDescent="0.2">
      <c r="A8" s="34" t="s">
        <v>1117</v>
      </c>
      <c r="B8" s="34" t="s">
        <v>1116</v>
      </c>
      <c r="C8" s="34">
        <v>2020</v>
      </c>
      <c r="D8" s="34" t="s">
        <v>374</v>
      </c>
      <c r="E8" s="34">
        <v>2.0200218918651901E+17</v>
      </c>
      <c r="F8" s="34" t="s">
        <v>225</v>
      </c>
      <c r="G8" s="34" t="s">
        <v>1156</v>
      </c>
      <c r="H8" s="34">
        <v>1383171</v>
      </c>
      <c r="J8" s="34" t="s">
        <v>227</v>
      </c>
      <c r="K8" s="34" t="s">
        <v>228</v>
      </c>
      <c r="N8" s="34" t="s">
        <v>1114</v>
      </c>
      <c r="O8" s="34" t="s">
        <v>66</v>
      </c>
      <c r="P8" s="34" t="s">
        <v>1113</v>
      </c>
      <c r="Q8" s="34" t="s">
        <v>34</v>
      </c>
      <c r="R8" s="34" t="s">
        <v>1112</v>
      </c>
      <c r="S8" s="34" t="s">
        <v>39</v>
      </c>
      <c r="T8" s="34" t="s">
        <v>1111</v>
      </c>
      <c r="V8" s="34" t="s">
        <v>1110</v>
      </c>
      <c r="X8" s="34" t="s">
        <v>1109</v>
      </c>
      <c r="Y8" s="34" t="s">
        <v>1108</v>
      </c>
      <c r="Z8" s="34">
        <v>20176</v>
      </c>
      <c r="AA8" s="34" t="s">
        <v>1107</v>
      </c>
      <c r="AB8" s="34" t="s">
        <v>1106</v>
      </c>
      <c r="AD8" s="34">
        <v>15</v>
      </c>
      <c r="AE8" s="34" t="s">
        <v>298</v>
      </c>
      <c r="AI8" s="36">
        <v>43847</v>
      </c>
      <c r="AJ8" s="34">
        <v>192.31</v>
      </c>
      <c r="AK8" s="34">
        <v>384.62</v>
      </c>
      <c r="BG8" s="34" t="s">
        <v>28</v>
      </c>
      <c r="BI8" s="34" t="s">
        <v>279</v>
      </c>
      <c r="BK8" s="34" t="s">
        <v>50</v>
      </c>
      <c r="BL8" s="34" t="s">
        <v>242</v>
      </c>
      <c r="BM8" s="34" t="s">
        <v>243</v>
      </c>
      <c r="BN8" s="35">
        <v>43888.063638622683</v>
      </c>
      <c r="BR8" s="34" t="s">
        <v>257</v>
      </c>
      <c r="BS8" s="34">
        <v>4.0219202016927498E+18</v>
      </c>
      <c r="BT8" s="34" t="s">
        <v>245</v>
      </c>
      <c r="BV8" s="34">
        <v>2020</v>
      </c>
      <c r="BW8" s="34" t="s">
        <v>246</v>
      </c>
      <c r="BY8" s="34">
        <v>4.0226202016942899E+18</v>
      </c>
      <c r="BZ8" s="34" t="s">
        <v>1154</v>
      </c>
      <c r="CA8" s="34" t="s">
        <v>248</v>
      </c>
    </row>
    <row r="9" spans="1:79" x14ac:dyDescent="0.2">
      <c r="A9" s="34" t="s">
        <v>1117</v>
      </c>
      <c r="B9" s="34" t="s">
        <v>1116</v>
      </c>
      <c r="C9" s="34">
        <v>2020</v>
      </c>
      <c r="D9" s="34" t="s">
        <v>374</v>
      </c>
      <c r="E9" s="34">
        <v>2.0200218918651901E+17</v>
      </c>
      <c r="F9" s="34" t="s">
        <v>225</v>
      </c>
      <c r="G9" s="34" t="s">
        <v>1155</v>
      </c>
      <c r="H9" s="34">
        <v>1383171</v>
      </c>
      <c r="J9" s="34" t="s">
        <v>227</v>
      </c>
      <c r="K9" s="34" t="s">
        <v>228</v>
      </c>
      <c r="N9" s="34" t="s">
        <v>1114</v>
      </c>
      <c r="O9" s="34" t="s">
        <v>66</v>
      </c>
      <c r="P9" s="34" t="s">
        <v>1113</v>
      </c>
      <c r="Q9" s="34" t="s">
        <v>34</v>
      </c>
      <c r="R9" s="34" t="s">
        <v>1112</v>
      </c>
      <c r="S9" s="34" t="s">
        <v>39</v>
      </c>
      <c r="T9" s="34" t="s">
        <v>1111</v>
      </c>
      <c r="V9" s="34" t="s">
        <v>1110</v>
      </c>
      <c r="X9" s="34" t="s">
        <v>1109</v>
      </c>
      <c r="Y9" s="34" t="s">
        <v>1108</v>
      </c>
      <c r="Z9" s="34">
        <v>20176</v>
      </c>
      <c r="AA9" s="34" t="s">
        <v>1107</v>
      </c>
      <c r="AB9" s="34" t="s">
        <v>1106</v>
      </c>
      <c r="AD9" s="34">
        <v>15</v>
      </c>
      <c r="AE9" s="34" t="s">
        <v>298</v>
      </c>
      <c r="AI9" s="36">
        <v>43861</v>
      </c>
      <c r="AJ9" s="34">
        <v>192.31</v>
      </c>
      <c r="AK9" s="34">
        <v>576.92999999999995</v>
      </c>
      <c r="BG9" s="34" t="s">
        <v>28</v>
      </c>
      <c r="BI9" s="34" t="s">
        <v>279</v>
      </c>
      <c r="BK9" s="34" t="s">
        <v>50</v>
      </c>
      <c r="BL9" s="34" t="s">
        <v>242</v>
      </c>
      <c r="BM9" s="34" t="s">
        <v>243</v>
      </c>
      <c r="BN9" s="35">
        <v>43888.063638622683</v>
      </c>
      <c r="BR9" s="34" t="s">
        <v>257</v>
      </c>
      <c r="BS9" s="34">
        <v>4.0219202016927498E+18</v>
      </c>
      <c r="BT9" s="34" t="s">
        <v>245</v>
      </c>
      <c r="BV9" s="34">
        <v>2020</v>
      </c>
      <c r="BW9" s="34" t="s">
        <v>246</v>
      </c>
      <c r="BY9" s="34">
        <v>4.0226202016942899E+18</v>
      </c>
      <c r="BZ9" s="34" t="s">
        <v>1154</v>
      </c>
      <c r="CA9" s="34" t="s">
        <v>248</v>
      </c>
    </row>
    <row r="10" spans="1:79" x14ac:dyDescent="0.2">
      <c r="A10" s="34" t="s">
        <v>1117</v>
      </c>
      <c r="B10" s="34" t="s">
        <v>1116</v>
      </c>
      <c r="C10" s="34">
        <v>2020</v>
      </c>
      <c r="D10" s="34" t="s">
        <v>386</v>
      </c>
      <c r="E10" s="34">
        <v>2.0200318920389699E+17</v>
      </c>
      <c r="F10" s="34" t="s">
        <v>225</v>
      </c>
      <c r="G10" s="34" t="s">
        <v>1153</v>
      </c>
      <c r="H10" s="34">
        <v>1390603</v>
      </c>
      <c r="J10" s="34" t="s">
        <v>227</v>
      </c>
      <c r="K10" s="34" t="s">
        <v>228</v>
      </c>
      <c r="N10" s="34" t="s">
        <v>1114</v>
      </c>
      <c r="O10" s="34" t="s">
        <v>66</v>
      </c>
      <c r="P10" s="34" t="s">
        <v>1113</v>
      </c>
      <c r="Q10" s="34" t="s">
        <v>34</v>
      </c>
      <c r="R10" s="34" t="s">
        <v>1112</v>
      </c>
      <c r="S10" s="34" t="s">
        <v>39</v>
      </c>
      <c r="T10" s="34" t="s">
        <v>1111</v>
      </c>
      <c r="V10" s="34" t="s">
        <v>1110</v>
      </c>
      <c r="X10" s="34" t="s">
        <v>1109</v>
      </c>
      <c r="Y10" s="34" t="s">
        <v>1108</v>
      </c>
      <c r="Z10" s="34">
        <v>20176</v>
      </c>
      <c r="AA10" s="34" t="s">
        <v>1107</v>
      </c>
      <c r="AB10" s="34" t="s">
        <v>1106</v>
      </c>
      <c r="AD10" s="34">
        <v>15</v>
      </c>
      <c r="AE10" s="34" t="s">
        <v>298</v>
      </c>
      <c r="AI10" s="36">
        <v>43875</v>
      </c>
      <c r="AJ10" s="34">
        <v>192.31</v>
      </c>
      <c r="AK10" s="34">
        <v>769.24</v>
      </c>
      <c r="BG10" s="34" t="s">
        <v>28</v>
      </c>
      <c r="BI10" s="34" t="s">
        <v>279</v>
      </c>
      <c r="BK10" s="34" t="s">
        <v>50</v>
      </c>
      <c r="BL10" s="34" t="s">
        <v>242</v>
      </c>
      <c r="BM10" s="34" t="s">
        <v>243</v>
      </c>
      <c r="BN10" s="35">
        <v>43910.095719155092</v>
      </c>
      <c r="BR10" s="34" t="s">
        <v>257</v>
      </c>
      <c r="BS10" s="34">
        <v>4.03192020170385E+18</v>
      </c>
      <c r="BT10" s="34" t="s">
        <v>245</v>
      </c>
      <c r="BV10" s="34">
        <v>2020</v>
      </c>
      <c r="BW10" s="34" t="s">
        <v>246</v>
      </c>
      <c r="BY10" s="34">
        <v>4.0319202017038899E+18</v>
      </c>
      <c r="BZ10" s="34" t="s">
        <v>1152</v>
      </c>
      <c r="CA10" s="34" t="s">
        <v>248</v>
      </c>
    </row>
    <row r="11" spans="1:79" x14ac:dyDescent="0.2">
      <c r="A11" s="34" t="s">
        <v>1117</v>
      </c>
      <c r="B11" s="34" t="s">
        <v>1116</v>
      </c>
      <c r="C11" s="34">
        <v>2020</v>
      </c>
      <c r="D11" s="34" t="s">
        <v>386</v>
      </c>
      <c r="E11" s="34">
        <v>2.0200318920389699E+17</v>
      </c>
      <c r="F11" s="34" t="s">
        <v>225</v>
      </c>
      <c r="G11" s="34" t="s">
        <v>1151</v>
      </c>
      <c r="H11" s="34">
        <v>1390603</v>
      </c>
      <c r="J11" s="34" t="s">
        <v>227</v>
      </c>
      <c r="K11" s="34" t="s">
        <v>228</v>
      </c>
      <c r="N11" s="34" t="s">
        <v>1114</v>
      </c>
      <c r="O11" s="34" t="s">
        <v>66</v>
      </c>
      <c r="P11" s="34" t="s">
        <v>1113</v>
      </c>
      <c r="Q11" s="34" t="s">
        <v>34</v>
      </c>
      <c r="R11" s="34" t="s">
        <v>1112</v>
      </c>
      <c r="S11" s="34" t="s">
        <v>39</v>
      </c>
      <c r="T11" s="34" t="s">
        <v>1111</v>
      </c>
      <c r="V11" s="34" t="s">
        <v>1110</v>
      </c>
      <c r="X11" s="34" t="s">
        <v>1109</v>
      </c>
      <c r="Y11" s="34" t="s">
        <v>1108</v>
      </c>
      <c r="Z11" s="34">
        <v>20176</v>
      </c>
      <c r="AA11" s="34" t="s">
        <v>1107</v>
      </c>
      <c r="AB11" s="34" t="s">
        <v>1106</v>
      </c>
      <c r="AD11" s="34">
        <v>15</v>
      </c>
      <c r="AE11" s="34" t="s">
        <v>298</v>
      </c>
      <c r="AI11" s="36">
        <v>43889</v>
      </c>
      <c r="AJ11" s="34">
        <v>192.31</v>
      </c>
      <c r="AK11" s="34">
        <v>961.55</v>
      </c>
      <c r="BG11" s="34" t="s">
        <v>28</v>
      </c>
      <c r="BI11" s="34" t="s">
        <v>279</v>
      </c>
      <c r="BK11" s="34" t="s">
        <v>50</v>
      </c>
      <c r="BL11" s="34" t="s">
        <v>242</v>
      </c>
      <c r="BM11" s="34" t="s">
        <v>243</v>
      </c>
      <c r="BN11" s="35">
        <v>43910.095719155092</v>
      </c>
      <c r="BR11" s="34" t="s">
        <v>257</v>
      </c>
      <c r="BS11" s="34">
        <v>4.03192020170385E+18</v>
      </c>
      <c r="BT11" s="34" t="s">
        <v>245</v>
      </c>
      <c r="BV11" s="34">
        <v>2020</v>
      </c>
      <c r="BW11" s="34" t="s">
        <v>246</v>
      </c>
      <c r="BY11" s="34">
        <v>4.0319202017038899E+18</v>
      </c>
      <c r="BZ11" s="34" t="s">
        <v>1150</v>
      </c>
      <c r="CA11" s="34" t="s">
        <v>248</v>
      </c>
    </row>
    <row r="12" spans="1:79" x14ac:dyDescent="0.2">
      <c r="A12" s="34" t="s">
        <v>1117</v>
      </c>
      <c r="B12" s="34" t="s">
        <v>1116</v>
      </c>
      <c r="C12" s="34">
        <v>2020</v>
      </c>
      <c r="D12" s="34" t="s">
        <v>408</v>
      </c>
      <c r="E12" s="34">
        <v>2.020041792197E+17</v>
      </c>
      <c r="F12" s="34" t="s">
        <v>225</v>
      </c>
      <c r="G12" s="34" t="s">
        <v>1149</v>
      </c>
      <c r="H12" s="34">
        <v>1401883</v>
      </c>
      <c r="J12" s="34" t="s">
        <v>227</v>
      </c>
      <c r="K12" s="34" t="s">
        <v>228</v>
      </c>
      <c r="N12" s="34" t="s">
        <v>1114</v>
      </c>
      <c r="O12" s="34" t="s">
        <v>66</v>
      </c>
      <c r="P12" s="34" t="s">
        <v>1113</v>
      </c>
      <c r="Q12" s="34" t="s">
        <v>34</v>
      </c>
      <c r="R12" s="34" t="s">
        <v>1112</v>
      </c>
      <c r="S12" s="34" t="s">
        <v>39</v>
      </c>
      <c r="T12" s="34" t="s">
        <v>1111</v>
      </c>
      <c r="V12" s="34" t="s">
        <v>1110</v>
      </c>
      <c r="X12" s="34" t="s">
        <v>1109</v>
      </c>
      <c r="Y12" s="34" t="s">
        <v>1108</v>
      </c>
      <c r="Z12" s="34">
        <v>20176</v>
      </c>
      <c r="AA12" s="34" t="s">
        <v>1107</v>
      </c>
      <c r="AB12" s="34" t="s">
        <v>1106</v>
      </c>
      <c r="AD12" s="34">
        <v>15</v>
      </c>
      <c r="AE12" s="34" t="s">
        <v>298</v>
      </c>
      <c r="AI12" s="36">
        <v>43903</v>
      </c>
      <c r="AJ12" s="34">
        <v>192.31</v>
      </c>
      <c r="AK12" s="34">
        <v>1153.8599999999999</v>
      </c>
      <c r="BG12" s="34" t="s">
        <v>28</v>
      </c>
      <c r="BI12" s="34" t="s">
        <v>279</v>
      </c>
      <c r="BK12" s="34" t="s">
        <v>50</v>
      </c>
      <c r="BL12" s="34" t="s">
        <v>242</v>
      </c>
      <c r="BM12" s="34" t="s">
        <v>243</v>
      </c>
      <c r="BN12" s="35">
        <v>43942.073532951392</v>
      </c>
      <c r="BR12" s="34" t="s">
        <v>257</v>
      </c>
      <c r="BS12" s="34">
        <v>4.0418202017373102E+18</v>
      </c>
      <c r="BT12" s="34" t="s">
        <v>245</v>
      </c>
      <c r="BV12" s="34">
        <v>2020</v>
      </c>
      <c r="BW12" s="34" t="s">
        <v>246</v>
      </c>
      <c r="BY12" s="34">
        <v>4.0420202017373798E+18</v>
      </c>
      <c r="BZ12" s="34" t="s">
        <v>1148</v>
      </c>
      <c r="CA12" s="34" t="s">
        <v>248</v>
      </c>
    </row>
    <row r="13" spans="1:79" x14ac:dyDescent="0.2">
      <c r="A13" s="34" t="s">
        <v>1117</v>
      </c>
      <c r="B13" s="34" t="s">
        <v>1116</v>
      </c>
      <c r="C13" s="34">
        <v>2020</v>
      </c>
      <c r="D13" s="34" t="s">
        <v>408</v>
      </c>
      <c r="E13" s="34">
        <v>2.020041792197E+17</v>
      </c>
      <c r="F13" s="34" t="s">
        <v>225</v>
      </c>
      <c r="G13" s="34" t="s">
        <v>1147</v>
      </c>
      <c r="H13" s="34">
        <v>1401883</v>
      </c>
      <c r="J13" s="34" t="s">
        <v>227</v>
      </c>
      <c r="K13" s="34" t="s">
        <v>228</v>
      </c>
      <c r="N13" s="34" t="s">
        <v>1114</v>
      </c>
      <c r="O13" s="34" t="s">
        <v>66</v>
      </c>
      <c r="P13" s="34" t="s">
        <v>1113</v>
      </c>
      <c r="Q13" s="34" t="s">
        <v>34</v>
      </c>
      <c r="R13" s="34" t="s">
        <v>1112</v>
      </c>
      <c r="S13" s="34" t="s">
        <v>39</v>
      </c>
      <c r="T13" s="34" t="s">
        <v>1111</v>
      </c>
      <c r="V13" s="34" t="s">
        <v>1110</v>
      </c>
      <c r="X13" s="34" t="s">
        <v>1109</v>
      </c>
      <c r="Y13" s="34" t="s">
        <v>1108</v>
      </c>
      <c r="Z13" s="34">
        <v>20176</v>
      </c>
      <c r="AA13" s="34" t="s">
        <v>1107</v>
      </c>
      <c r="AB13" s="34" t="s">
        <v>1106</v>
      </c>
      <c r="AD13" s="34">
        <v>15</v>
      </c>
      <c r="AE13" s="34" t="s">
        <v>298</v>
      </c>
      <c r="AI13" s="36">
        <v>43917</v>
      </c>
      <c r="AJ13" s="34">
        <v>192.31</v>
      </c>
      <c r="AK13" s="34">
        <v>1346.17</v>
      </c>
      <c r="BG13" s="34" t="s">
        <v>28</v>
      </c>
      <c r="BI13" s="34" t="s">
        <v>279</v>
      </c>
      <c r="BK13" s="34" t="s">
        <v>50</v>
      </c>
      <c r="BL13" s="34" t="s">
        <v>242</v>
      </c>
      <c r="BM13" s="34" t="s">
        <v>243</v>
      </c>
      <c r="BN13" s="35">
        <v>43942.073532951392</v>
      </c>
      <c r="BR13" s="34" t="s">
        <v>257</v>
      </c>
      <c r="BS13" s="34">
        <v>4.0418202017373102E+18</v>
      </c>
      <c r="BT13" s="34" t="s">
        <v>245</v>
      </c>
      <c r="BV13" s="34">
        <v>2020</v>
      </c>
      <c r="BW13" s="34" t="s">
        <v>246</v>
      </c>
      <c r="BY13" s="34">
        <v>4.0420202017373798E+18</v>
      </c>
      <c r="BZ13" s="34" t="s">
        <v>1146</v>
      </c>
      <c r="CA13" s="34" t="s">
        <v>248</v>
      </c>
    </row>
    <row r="14" spans="1:79" x14ac:dyDescent="0.2">
      <c r="A14" s="34" t="s">
        <v>1117</v>
      </c>
      <c r="B14" s="34" t="s">
        <v>1116</v>
      </c>
      <c r="C14" s="34">
        <v>2020</v>
      </c>
      <c r="D14" s="34" t="s">
        <v>461</v>
      </c>
      <c r="E14" s="34">
        <v>2.0200512923267299E+17</v>
      </c>
      <c r="F14" s="34" t="s">
        <v>225</v>
      </c>
      <c r="G14" s="34" t="s">
        <v>1145</v>
      </c>
      <c r="H14" s="34">
        <v>1405315</v>
      </c>
      <c r="J14" s="34" t="s">
        <v>227</v>
      </c>
      <c r="K14" s="34" t="s">
        <v>228</v>
      </c>
      <c r="N14" s="34" t="s">
        <v>1114</v>
      </c>
      <c r="O14" s="34" t="s">
        <v>66</v>
      </c>
      <c r="P14" s="34" t="s">
        <v>1113</v>
      </c>
      <c r="Q14" s="34" t="s">
        <v>34</v>
      </c>
      <c r="R14" s="34" t="s">
        <v>1112</v>
      </c>
      <c r="S14" s="34" t="s">
        <v>39</v>
      </c>
      <c r="T14" s="34" t="s">
        <v>1111</v>
      </c>
      <c r="V14" s="34" t="s">
        <v>1110</v>
      </c>
      <c r="X14" s="34" t="s">
        <v>1109</v>
      </c>
      <c r="Y14" s="34" t="s">
        <v>1108</v>
      </c>
      <c r="Z14" s="34">
        <v>20176</v>
      </c>
      <c r="AA14" s="34" t="s">
        <v>1107</v>
      </c>
      <c r="AB14" s="34" t="s">
        <v>1106</v>
      </c>
      <c r="AD14" s="34">
        <v>15</v>
      </c>
      <c r="AE14" s="34" t="s">
        <v>298</v>
      </c>
      <c r="AI14" s="36">
        <v>43931</v>
      </c>
      <c r="AJ14" s="34">
        <v>192.31</v>
      </c>
      <c r="AK14" s="34">
        <v>1538.48</v>
      </c>
      <c r="BG14" s="34" t="s">
        <v>28</v>
      </c>
      <c r="BI14" s="34" t="s">
        <v>279</v>
      </c>
      <c r="BK14" s="34" t="s">
        <v>50</v>
      </c>
      <c r="BL14" s="34" t="s">
        <v>242</v>
      </c>
      <c r="BM14" s="34" t="s">
        <v>243</v>
      </c>
      <c r="BN14" s="35">
        <v>43965.058838680554</v>
      </c>
      <c r="BR14" s="34" t="s">
        <v>257</v>
      </c>
      <c r="BS14" s="34">
        <v>4.05132020174272E+18</v>
      </c>
      <c r="BT14" s="34" t="s">
        <v>245</v>
      </c>
      <c r="BV14" s="34">
        <v>2020</v>
      </c>
      <c r="BW14" s="34" t="s">
        <v>246</v>
      </c>
      <c r="BY14" s="34">
        <v>4.05132020174285E+18</v>
      </c>
      <c r="BZ14" s="34" t="s">
        <v>1143</v>
      </c>
      <c r="CA14" s="34" t="s">
        <v>248</v>
      </c>
    </row>
    <row r="15" spans="1:79" x14ac:dyDescent="0.2">
      <c r="A15" s="34" t="s">
        <v>1117</v>
      </c>
      <c r="B15" s="34" t="s">
        <v>1116</v>
      </c>
      <c r="C15" s="34">
        <v>2020</v>
      </c>
      <c r="D15" s="34" t="s">
        <v>461</v>
      </c>
      <c r="E15" s="34">
        <v>2.0200512923267299E+17</v>
      </c>
      <c r="F15" s="34" t="s">
        <v>225</v>
      </c>
      <c r="G15" s="34" t="s">
        <v>1144</v>
      </c>
      <c r="H15" s="34">
        <v>1405315</v>
      </c>
      <c r="J15" s="34" t="s">
        <v>227</v>
      </c>
      <c r="K15" s="34" t="s">
        <v>228</v>
      </c>
      <c r="N15" s="34" t="s">
        <v>1114</v>
      </c>
      <c r="O15" s="34" t="s">
        <v>66</v>
      </c>
      <c r="P15" s="34" t="s">
        <v>1113</v>
      </c>
      <c r="Q15" s="34" t="s">
        <v>34</v>
      </c>
      <c r="R15" s="34" t="s">
        <v>1112</v>
      </c>
      <c r="S15" s="34" t="s">
        <v>39</v>
      </c>
      <c r="T15" s="34" t="s">
        <v>1111</v>
      </c>
      <c r="V15" s="34" t="s">
        <v>1110</v>
      </c>
      <c r="X15" s="34" t="s">
        <v>1109</v>
      </c>
      <c r="Y15" s="34" t="s">
        <v>1108</v>
      </c>
      <c r="Z15" s="34">
        <v>20176</v>
      </c>
      <c r="AA15" s="34" t="s">
        <v>1107</v>
      </c>
      <c r="AB15" s="34" t="s">
        <v>1106</v>
      </c>
      <c r="AD15" s="34">
        <v>15</v>
      </c>
      <c r="AE15" s="34" t="s">
        <v>298</v>
      </c>
      <c r="AI15" s="36">
        <v>43945</v>
      </c>
      <c r="AJ15" s="34">
        <v>192.31</v>
      </c>
      <c r="AK15" s="34">
        <v>1730.79</v>
      </c>
      <c r="BG15" s="34" t="s">
        <v>28</v>
      </c>
      <c r="BI15" s="34" t="s">
        <v>279</v>
      </c>
      <c r="BK15" s="34" t="s">
        <v>50</v>
      </c>
      <c r="BL15" s="34" t="s">
        <v>242</v>
      </c>
      <c r="BM15" s="34" t="s">
        <v>243</v>
      </c>
      <c r="BN15" s="35">
        <v>43965.058838680554</v>
      </c>
      <c r="BR15" s="34" t="s">
        <v>257</v>
      </c>
      <c r="BS15" s="34">
        <v>4.05132020174272E+18</v>
      </c>
      <c r="BT15" s="34" t="s">
        <v>245</v>
      </c>
      <c r="BV15" s="34">
        <v>2020</v>
      </c>
      <c r="BW15" s="34" t="s">
        <v>246</v>
      </c>
      <c r="BY15" s="34">
        <v>4.05132020174285E+18</v>
      </c>
      <c r="BZ15" s="34" t="s">
        <v>1143</v>
      </c>
      <c r="CA15" s="34" t="s">
        <v>248</v>
      </c>
    </row>
    <row r="16" spans="1:79" x14ac:dyDescent="0.2">
      <c r="A16" s="34" t="s">
        <v>1117</v>
      </c>
      <c r="B16" s="34" t="s">
        <v>1116</v>
      </c>
      <c r="C16" s="34">
        <v>2020</v>
      </c>
      <c r="D16" s="34" t="s">
        <v>505</v>
      </c>
      <c r="E16" s="34">
        <v>2.0200819926139901E+17</v>
      </c>
      <c r="F16" s="34" t="s">
        <v>225</v>
      </c>
      <c r="G16" s="34" t="s">
        <v>1142</v>
      </c>
      <c r="H16" s="34">
        <v>1433413</v>
      </c>
      <c r="J16" s="34" t="s">
        <v>227</v>
      </c>
      <c r="K16" s="34" t="s">
        <v>228</v>
      </c>
      <c r="N16" s="34" t="s">
        <v>1114</v>
      </c>
      <c r="O16" s="34" t="s">
        <v>66</v>
      </c>
      <c r="P16" s="34" t="s">
        <v>1113</v>
      </c>
      <c r="Q16" s="34" t="s">
        <v>34</v>
      </c>
      <c r="R16" s="34" t="s">
        <v>1112</v>
      </c>
      <c r="S16" s="34" t="s">
        <v>39</v>
      </c>
      <c r="T16" s="34" t="s">
        <v>1111</v>
      </c>
      <c r="V16" s="34" t="s">
        <v>1110</v>
      </c>
      <c r="X16" s="34" t="s">
        <v>1109</v>
      </c>
      <c r="Y16" s="34" t="s">
        <v>1108</v>
      </c>
      <c r="Z16" s="34">
        <v>20176</v>
      </c>
      <c r="AA16" s="34" t="s">
        <v>1107</v>
      </c>
      <c r="AB16" s="34" t="s">
        <v>1106</v>
      </c>
      <c r="AD16" s="34">
        <v>15</v>
      </c>
      <c r="AE16" s="34" t="s">
        <v>298</v>
      </c>
      <c r="AI16" s="36">
        <v>44015</v>
      </c>
      <c r="AJ16" s="34">
        <v>192.31</v>
      </c>
      <c r="AK16" s="34">
        <v>2692.34</v>
      </c>
      <c r="BG16" s="34" t="s">
        <v>28</v>
      </c>
      <c r="BI16" s="34" t="s">
        <v>279</v>
      </c>
      <c r="BK16" s="34" t="s">
        <v>50</v>
      </c>
      <c r="BL16" s="34" t="s">
        <v>242</v>
      </c>
      <c r="BM16" s="34" t="s">
        <v>243</v>
      </c>
      <c r="BN16" s="35">
        <v>44072.153819606479</v>
      </c>
      <c r="BR16" s="34" t="s">
        <v>257</v>
      </c>
      <c r="BS16" s="34">
        <v>4.0820202018293499E+18</v>
      </c>
      <c r="BT16" s="34" t="s">
        <v>245</v>
      </c>
      <c r="BV16" s="34">
        <v>2020</v>
      </c>
      <c r="BW16" s="34" t="s">
        <v>246</v>
      </c>
      <c r="BY16" s="34">
        <v>4.08292020183123E+18</v>
      </c>
      <c r="BZ16" s="34" t="s">
        <v>1140</v>
      </c>
      <c r="CA16" s="34" t="s">
        <v>248</v>
      </c>
    </row>
    <row r="17" spans="1:79" x14ac:dyDescent="0.2">
      <c r="A17" s="34" t="s">
        <v>1117</v>
      </c>
      <c r="B17" s="34" t="s">
        <v>1116</v>
      </c>
      <c r="C17" s="34">
        <v>2020</v>
      </c>
      <c r="D17" s="34" t="s">
        <v>505</v>
      </c>
      <c r="E17" s="34">
        <v>2.0200819926139901E+17</v>
      </c>
      <c r="F17" s="34" t="s">
        <v>225</v>
      </c>
      <c r="G17" s="34" t="s">
        <v>1141</v>
      </c>
      <c r="H17" s="34">
        <v>1433413</v>
      </c>
      <c r="J17" s="34" t="s">
        <v>227</v>
      </c>
      <c r="K17" s="34" t="s">
        <v>228</v>
      </c>
      <c r="N17" s="34" t="s">
        <v>1114</v>
      </c>
      <c r="O17" s="34" t="s">
        <v>66</v>
      </c>
      <c r="P17" s="34" t="s">
        <v>1113</v>
      </c>
      <c r="Q17" s="34" t="s">
        <v>34</v>
      </c>
      <c r="R17" s="34" t="s">
        <v>1112</v>
      </c>
      <c r="S17" s="34" t="s">
        <v>39</v>
      </c>
      <c r="T17" s="34" t="s">
        <v>1111</v>
      </c>
      <c r="V17" s="34" t="s">
        <v>1110</v>
      </c>
      <c r="X17" s="34" t="s">
        <v>1109</v>
      </c>
      <c r="Y17" s="34" t="s">
        <v>1108</v>
      </c>
      <c r="Z17" s="34">
        <v>20176</v>
      </c>
      <c r="AA17" s="34" t="s">
        <v>1107</v>
      </c>
      <c r="AB17" s="34" t="s">
        <v>1106</v>
      </c>
      <c r="AD17" s="34">
        <v>15</v>
      </c>
      <c r="AE17" s="34" t="s">
        <v>298</v>
      </c>
      <c r="AI17" s="36">
        <v>44029</v>
      </c>
      <c r="AJ17" s="34">
        <v>192.31</v>
      </c>
      <c r="AK17" s="34">
        <v>2884.65</v>
      </c>
      <c r="BG17" s="34" t="s">
        <v>28</v>
      </c>
      <c r="BI17" s="34" t="s">
        <v>279</v>
      </c>
      <c r="BK17" s="34" t="s">
        <v>50</v>
      </c>
      <c r="BL17" s="34" t="s">
        <v>242</v>
      </c>
      <c r="BM17" s="34" t="s">
        <v>243</v>
      </c>
      <c r="BN17" s="35">
        <v>44072.153819606479</v>
      </c>
      <c r="BR17" s="34" t="s">
        <v>257</v>
      </c>
      <c r="BS17" s="34">
        <v>4.0820202018293499E+18</v>
      </c>
      <c r="BT17" s="34" t="s">
        <v>245</v>
      </c>
      <c r="BV17" s="34">
        <v>2020</v>
      </c>
      <c r="BW17" s="34" t="s">
        <v>246</v>
      </c>
      <c r="BY17" s="34">
        <v>4.08292020183123E+18</v>
      </c>
      <c r="BZ17" s="34" t="s">
        <v>1140</v>
      </c>
      <c r="CA17" s="34" t="s">
        <v>248</v>
      </c>
    </row>
    <row r="18" spans="1:79" x14ac:dyDescent="0.2">
      <c r="A18" s="34" t="s">
        <v>1117</v>
      </c>
      <c r="B18" s="34" t="s">
        <v>1116</v>
      </c>
      <c r="C18" s="34">
        <v>2020</v>
      </c>
      <c r="D18" s="34" t="s">
        <v>505</v>
      </c>
      <c r="E18" s="34">
        <v>2.0200819926139901E+17</v>
      </c>
      <c r="F18" s="34" t="s">
        <v>225</v>
      </c>
      <c r="G18" s="34" t="s">
        <v>1139</v>
      </c>
      <c r="H18" s="34">
        <v>1433413</v>
      </c>
      <c r="J18" s="34" t="s">
        <v>227</v>
      </c>
      <c r="K18" s="34" t="s">
        <v>228</v>
      </c>
      <c r="N18" s="34" t="s">
        <v>1114</v>
      </c>
      <c r="O18" s="34" t="s">
        <v>66</v>
      </c>
      <c r="P18" s="34" t="s">
        <v>1113</v>
      </c>
      <c r="Q18" s="34" t="s">
        <v>34</v>
      </c>
      <c r="R18" s="34" t="s">
        <v>1112</v>
      </c>
      <c r="S18" s="34" t="s">
        <v>39</v>
      </c>
      <c r="T18" s="34" t="s">
        <v>1111</v>
      </c>
      <c r="V18" s="34" t="s">
        <v>1110</v>
      </c>
      <c r="X18" s="34" t="s">
        <v>1109</v>
      </c>
      <c r="Y18" s="34" t="s">
        <v>1108</v>
      </c>
      <c r="Z18" s="34">
        <v>20176</v>
      </c>
      <c r="AA18" s="34" t="s">
        <v>1107</v>
      </c>
      <c r="AB18" s="34" t="s">
        <v>1106</v>
      </c>
      <c r="AD18" s="34">
        <v>15</v>
      </c>
      <c r="AE18" s="34" t="s">
        <v>298</v>
      </c>
      <c r="AI18" s="36">
        <v>44043</v>
      </c>
      <c r="AJ18" s="34">
        <v>192.31</v>
      </c>
      <c r="AK18" s="34">
        <v>3076.96</v>
      </c>
      <c r="BG18" s="34" t="s">
        <v>28</v>
      </c>
      <c r="BI18" s="34" t="s">
        <v>279</v>
      </c>
      <c r="BK18" s="34" t="s">
        <v>50</v>
      </c>
      <c r="BL18" s="34" t="s">
        <v>242</v>
      </c>
      <c r="BM18" s="34" t="s">
        <v>243</v>
      </c>
      <c r="BN18" s="35">
        <v>44072.153819606479</v>
      </c>
      <c r="BR18" s="34" t="s">
        <v>257</v>
      </c>
      <c r="BS18" s="34">
        <v>4.0820202018293499E+18</v>
      </c>
      <c r="BT18" s="34" t="s">
        <v>245</v>
      </c>
      <c r="BV18" s="34">
        <v>2020</v>
      </c>
      <c r="BW18" s="34" t="s">
        <v>246</v>
      </c>
      <c r="BY18" s="34">
        <v>4.08292020183123E+18</v>
      </c>
      <c r="BZ18" s="34" t="s">
        <v>1138</v>
      </c>
      <c r="CA18" s="34" t="s">
        <v>248</v>
      </c>
    </row>
    <row r="19" spans="1:79" x14ac:dyDescent="0.2">
      <c r="A19" s="34" t="s">
        <v>1117</v>
      </c>
      <c r="B19" s="34" t="s">
        <v>1116</v>
      </c>
      <c r="C19" s="34">
        <v>2020</v>
      </c>
      <c r="D19" s="34" t="s">
        <v>498</v>
      </c>
      <c r="E19" s="34">
        <v>2.0200619924001101E+17</v>
      </c>
      <c r="F19" s="34" t="s">
        <v>225</v>
      </c>
      <c r="G19" s="34" t="s">
        <v>1137</v>
      </c>
      <c r="H19" s="34">
        <v>1413408</v>
      </c>
      <c r="J19" s="34" t="s">
        <v>227</v>
      </c>
      <c r="K19" s="34" t="s">
        <v>228</v>
      </c>
      <c r="N19" s="34" t="s">
        <v>1114</v>
      </c>
      <c r="O19" s="34" t="s">
        <v>66</v>
      </c>
      <c r="P19" s="34" t="s">
        <v>1113</v>
      </c>
      <c r="Q19" s="34" t="s">
        <v>34</v>
      </c>
      <c r="R19" s="34" t="s">
        <v>1112</v>
      </c>
      <c r="S19" s="34" t="s">
        <v>39</v>
      </c>
      <c r="T19" s="34" t="s">
        <v>1111</v>
      </c>
      <c r="V19" s="34" t="s">
        <v>1110</v>
      </c>
      <c r="X19" s="34" t="s">
        <v>1109</v>
      </c>
      <c r="Y19" s="34" t="s">
        <v>1108</v>
      </c>
      <c r="Z19" s="34">
        <v>20176</v>
      </c>
      <c r="AA19" s="34" t="s">
        <v>1107</v>
      </c>
      <c r="AB19" s="34" t="s">
        <v>1106</v>
      </c>
      <c r="AD19" s="34">
        <v>15</v>
      </c>
      <c r="AE19" s="34" t="s">
        <v>298</v>
      </c>
      <c r="AI19" s="36">
        <v>43959</v>
      </c>
      <c r="AJ19" s="34">
        <v>192.31</v>
      </c>
      <c r="AK19" s="34">
        <v>1923.1</v>
      </c>
      <c r="BG19" s="34" t="s">
        <v>28</v>
      </c>
      <c r="BI19" s="34" t="s">
        <v>279</v>
      </c>
      <c r="BK19" s="34" t="s">
        <v>50</v>
      </c>
      <c r="BL19" s="34" t="s">
        <v>242</v>
      </c>
      <c r="BM19" s="34" t="s">
        <v>243</v>
      </c>
      <c r="BN19" s="35">
        <v>44002.074839386572</v>
      </c>
      <c r="BR19" s="34" t="s">
        <v>257</v>
      </c>
      <c r="BS19" s="34">
        <v>4.0619202017759299E+18</v>
      </c>
      <c r="BT19" s="34" t="s">
        <v>245</v>
      </c>
      <c r="BV19" s="34">
        <v>2020</v>
      </c>
      <c r="BW19" s="34" t="s">
        <v>246</v>
      </c>
      <c r="BY19" s="34">
        <v>4.0619202017760502E+18</v>
      </c>
      <c r="BZ19" s="34" t="s">
        <v>1135</v>
      </c>
      <c r="CA19" s="34" t="s">
        <v>248</v>
      </c>
    </row>
    <row r="20" spans="1:79" x14ac:dyDescent="0.2">
      <c r="A20" s="34" t="s">
        <v>1117</v>
      </c>
      <c r="B20" s="34" t="s">
        <v>1116</v>
      </c>
      <c r="C20" s="34">
        <v>2020</v>
      </c>
      <c r="D20" s="34" t="s">
        <v>498</v>
      </c>
      <c r="E20" s="34">
        <v>2.0200619924001101E+17</v>
      </c>
      <c r="F20" s="34" t="s">
        <v>225</v>
      </c>
      <c r="G20" s="34" t="s">
        <v>1136</v>
      </c>
      <c r="H20" s="34">
        <v>1413408</v>
      </c>
      <c r="J20" s="34" t="s">
        <v>227</v>
      </c>
      <c r="K20" s="34" t="s">
        <v>228</v>
      </c>
      <c r="N20" s="34" t="s">
        <v>1114</v>
      </c>
      <c r="O20" s="34" t="s">
        <v>66</v>
      </c>
      <c r="P20" s="34" t="s">
        <v>1113</v>
      </c>
      <c r="Q20" s="34" t="s">
        <v>34</v>
      </c>
      <c r="R20" s="34" t="s">
        <v>1112</v>
      </c>
      <c r="S20" s="34" t="s">
        <v>39</v>
      </c>
      <c r="T20" s="34" t="s">
        <v>1111</v>
      </c>
      <c r="V20" s="34" t="s">
        <v>1110</v>
      </c>
      <c r="X20" s="34" t="s">
        <v>1109</v>
      </c>
      <c r="Y20" s="34" t="s">
        <v>1108</v>
      </c>
      <c r="Z20" s="34">
        <v>20176</v>
      </c>
      <c r="AA20" s="34" t="s">
        <v>1107</v>
      </c>
      <c r="AB20" s="34" t="s">
        <v>1106</v>
      </c>
      <c r="AD20" s="34">
        <v>15</v>
      </c>
      <c r="AE20" s="34" t="s">
        <v>298</v>
      </c>
      <c r="AI20" s="36">
        <v>43973</v>
      </c>
      <c r="AJ20" s="34">
        <v>192.31</v>
      </c>
      <c r="AK20" s="34">
        <v>2115.41</v>
      </c>
      <c r="BG20" s="34" t="s">
        <v>28</v>
      </c>
      <c r="BI20" s="34" t="s">
        <v>279</v>
      </c>
      <c r="BK20" s="34" t="s">
        <v>50</v>
      </c>
      <c r="BL20" s="34" t="s">
        <v>242</v>
      </c>
      <c r="BM20" s="34" t="s">
        <v>243</v>
      </c>
      <c r="BN20" s="35">
        <v>44002.074839386572</v>
      </c>
      <c r="BR20" s="34" t="s">
        <v>257</v>
      </c>
      <c r="BS20" s="34">
        <v>4.0619202017759299E+18</v>
      </c>
      <c r="BT20" s="34" t="s">
        <v>245</v>
      </c>
      <c r="BV20" s="34">
        <v>2020</v>
      </c>
      <c r="BW20" s="34" t="s">
        <v>246</v>
      </c>
      <c r="BY20" s="34">
        <v>4.0619202017760502E+18</v>
      </c>
      <c r="BZ20" s="34" t="s">
        <v>1135</v>
      </c>
      <c r="CA20" s="34" t="s">
        <v>248</v>
      </c>
    </row>
    <row r="21" spans="1:79" x14ac:dyDescent="0.2">
      <c r="A21" s="34" t="s">
        <v>1117</v>
      </c>
      <c r="B21" s="34" t="s">
        <v>1116</v>
      </c>
      <c r="C21" s="34">
        <v>2020</v>
      </c>
      <c r="D21" s="34" t="s">
        <v>572</v>
      </c>
      <c r="E21" s="34">
        <v>2.0200720925046499E+17</v>
      </c>
      <c r="F21" s="34" t="s">
        <v>225</v>
      </c>
      <c r="G21" s="34" t="s">
        <v>1134</v>
      </c>
      <c r="H21" s="34">
        <v>1426845</v>
      </c>
      <c r="J21" s="34" t="s">
        <v>227</v>
      </c>
      <c r="K21" s="34" t="s">
        <v>228</v>
      </c>
      <c r="N21" s="34" t="s">
        <v>1114</v>
      </c>
      <c r="O21" s="34" t="s">
        <v>66</v>
      </c>
      <c r="P21" s="34" t="s">
        <v>1113</v>
      </c>
      <c r="Q21" s="34" t="s">
        <v>34</v>
      </c>
      <c r="R21" s="34" t="s">
        <v>1112</v>
      </c>
      <c r="S21" s="34" t="s">
        <v>39</v>
      </c>
      <c r="T21" s="34" t="s">
        <v>1111</v>
      </c>
      <c r="V21" s="34" t="s">
        <v>1110</v>
      </c>
      <c r="X21" s="34" t="s">
        <v>1109</v>
      </c>
      <c r="Y21" s="34" t="s">
        <v>1108</v>
      </c>
      <c r="Z21" s="34">
        <v>20176</v>
      </c>
      <c r="AA21" s="34" t="s">
        <v>1107</v>
      </c>
      <c r="AB21" s="34" t="s">
        <v>1106</v>
      </c>
      <c r="AD21" s="34">
        <v>15</v>
      </c>
      <c r="AE21" s="34" t="s">
        <v>298</v>
      </c>
      <c r="AI21" s="36">
        <v>43987</v>
      </c>
      <c r="AJ21" s="34">
        <v>192.31</v>
      </c>
      <c r="AK21" s="34">
        <v>2307.7199999999998</v>
      </c>
      <c r="BG21" s="34" t="s">
        <v>28</v>
      </c>
      <c r="BI21" s="34" t="s">
        <v>279</v>
      </c>
      <c r="BK21" s="34" t="s">
        <v>50</v>
      </c>
      <c r="BL21" s="34" t="s">
        <v>242</v>
      </c>
      <c r="BM21" s="34" t="s">
        <v>243</v>
      </c>
      <c r="BN21" s="35">
        <v>44042.167482696757</v>
      </c>
      <c r="BR21" s="34" t="s">
        <v>257</v>
      </c>
      <c r="BS21" s="34">
        <v>4.0720202017911798E+18</v>
      </c>
      <c r="BT21" s="34" t="s">
        <v>245</v>
      </c>
      <c r="BV21" s="34">
        <v>2020</v>
      </c>
      <c r="BW21" s="34" t="s">
        <v>246</v>
      </c>
      <c r="BY21" s="34">
        <v>4.0730202018090399E+18</v>
      </c>
      <c r="BZ21" s="34" t="s">
        <v>1132</v>
      </c>
      <c r="CA21" s="34" t="s">
        <v>248</v>
      </c>
    </row>
    <row r="22" spans="1:79" x14ac:dyDescent="0.2">
      <c r="A22" s="34" t="s">
        <v>1117</v>
      </c>
      <c r="B22" s="34" t="s">
        <v>1116</v>
      </c>
      <c r="C22" s="34">
        <v>2020</v>
      </c>
      <c r="D22" s="34" t="s">
        <v>572</v>
      </c>
      <c r="E22" s="34">
        <v>2.0200720925046499E+17</v>
      </c>
      <c r="F22" s="34" t="s">
        <v>225</v>
      </c>
      <c r="G22" s="34" t="s">
        <v>1133</v>
      </c>
      <c r="H22" s="34">
        <v>1426845</v>
      </c>
      <c r="J22" s="34" t="s">
        <v>227</v>
      </c>
      <c r="K22" s="34" t="s">
        <v>228</v>
      </c>
      <c r="N22" s="34" t="s">
        <v>1114</v>
      </c>
      <c r="O22" s="34" t="s">
        <v>66</v>
      </c>
      <c r="P22" s="34" t="s">
        <v>1113</v>
      </c>
      <c r="Q22" s="34" t="s">
        <v>34</v>
      </c>
      <c r="R22" s="34" t="s">
        <v>1112</v>
      </c>
      <c r="S22" s="34" t="s">
        <v>39</v>
      </c>
      <c r="T22" s="34" t="s">
        <v>1111</v>
      </c>
      <c r="V22" s="34" t="s">
        <v>1110</v>
      </c>
      <c r="X22" s="34" t="s">
        <v>1109</v>
      </c>
      <c r="Y22" s="34" t="s">
        <v>1108</v>
      </c>
      <c r="Z22" s="34">
        <v>20176</v>
      </c>
      <c r="AA22" s="34" t="s">
        <v>1107</v>
      </c>
      <c r="AB22" s="34" t="s">
        <v>1106</v>
      </c>
      <c r="AD22" s="34">
        <v>15</v>
      </c>
      <c r="AE22" s="34" t="s">
        <v>298</v>
      </c>
      <c r="AI22" s="36">
        <v>44001</v>
      </c>
      <c r="AJ22" s="34">
        <v>192.31</v>
      </c>
      <c r="AK22" s="34">
        <v>2500.0300000000002</v>
      </c>
      <c r="BG22" s="34" t="s">
        <v>28</v>
      </c>
      <c r="BI22" s="34" t="s">
        <v>279</v>
      </c>
      <c r="BK22" s="34" t="s">
        <v>50</v>
      </c>
      <c r="BL22" s="34" t="s">
        <v>242</v>
      </c>
      <c r="BM22" s="34" t="s">
        <v>243</v>
      </c>
      <c r="BN22" s="35">
        <v>44042.16960465278</v>
      </c>
      <c r="BR22" s="34" t="s">
        <v>257</v>
      </c>
      <c r="BS22" s="34">
        <v>4.0720202017911798E+18</v>
      </c>
      <c r="BT22" s="34" t="s">
        <v>245</v>
      </c>
      <c r="BV22" s="34">
        <v>2020</v>
      </c>
      <c r="BW22" s="34" t="s">
        <v>246</v>
      </c>
      <c r="BY22" s="34">
        <v>4.0730202018090399E+18</v>
      </c>
      <c r="BZ22" s="34" t="s">
        <v>1132</v>
      </c>
      <c r="CA22" s="34" t="s">
        <v>248</v>
      </c>
    </row>
    <row r="23" spans="1:79" x14ac:dyDescent="0.2">
      <c r="A23" s="34" t="s">
        <v>1117</v>
      </c>
      <c r="B23" s="34" t="s">
        <v>1116</v>
      </c>
      <c r="C23" s="34">
        <v>2020</v>
      </c>
      <c r="D23" s="34" t="s">
        <v>288</v>
      </c>
      <c r="E23" s="34">
        <v>2.0200917926723699E+17</v>
      </c>
      <c r="F23" s="34" t="s">
        <v>225</v>
      </c>
      <c r="G23" s="34" t="s">
        <v>1131</v>
      </c>
      <c r="H23" s="34">
        <v>1438908</v>
      </c>
      <c r="J23" s="34" t="s">
        <v>227</v>
      </c>
      <c r="K23" s="34" t="s">
        <v>228</v>
      </c>
      <c r="N23" s="34" t="s">
        <v>1114</v>
      </c>
      <c r="O23" s="34" t="s">
        <v>66</v>
      </c>
      <c r="P23" s="34" t="s">
        <v>1113</v>
      </c>
      <c r="Q23" s="34" t="s">
        <v>34</v>
      </c>
      <c r="R23" s="34" t="s">
        <v>1112</v>
      </c>
      <c r="S23" s="34" t="s">
        <v>39</v>
      </c>
      <c r="T23" s="34" t="s">
        <v>1111</v>
      </c>
      <c r="V23" s="34" t="s">
        <v>1110</v>
      </c>
      <c r="X23" s="34" t="s">
        <v>1109</v>
      </c>
      <c r="Y23" s="34" t="s">
        <v>1108</v>
      </c>
      <c r="Z23" s="34">
        <v>20176</v>
      </c>
      <c r="AA23" s="34" t="s">
        <v>1107</v>
      </c>
      <c r="AB23" s="34" t="s">
        <v>1106</v>
      </c>
      <c r="AD23" s="34">
        <v>15</v>
      </c>
      <c r="AE23" s="34" t="s">
        <v>298</v>
      </c>
      <c r="AI23" s="36">
        <v>44057</v>
      </c>
      <c r="AJ23" s="34">
        <v>192.31</v>
      </c>
      <c r="AK23" s="34">
        <v>3269.27</v>
      </c>
      <c r="BG23" s="34" t="s">
        <v>28</v>
      </c>
      <c r="BI23" s="34" t="s">
        <v>279</v>
      </c>
      <c r="BK23" s="34" t="s">
        <v>50</v>
      </c>
      <c r="BL23" s="34" t="s">
        <v>242</v>
      </c>
      <c r="BM23" s="34" t="s">
        <v>243</v>
      </c>
      <c r="BN23" s="35">
        <v>44093.150925740738</v>
      </c>
      <c r="BR23" s="34" t="s">
        <v>257</v>
      </c>
      <c r="BS23" s="34">
        <v>4.0919202018490399E+18</v>
      </c>
      <c r="BT23" s="34" t="s">
        <v>245</v>
      </c>
      <c r="BV23" s="34">
        <v>2020</v>
      </c>
      <c r="BW23" s="34" t="s">
        <v>246</v>
      </c>
      <c r="BY23" s="34">
        <v>4.0919202018490701E+18</v>
      </c>
      <c r="BZ23" s="34" t="s">
        <v>1130</v>
      </c>
      <c r="CA23" s="34" t="s">
        <v>248</v>
      </c>
    </row>
    <row r="24" spans="1:79" x14ac:dyDescent="0.2">
      <c r="A24" s="34" t="s">
        <v>1117</v>
      </c>
      <c r="B24" s="34" t="s">
        <v>1116</v>
      </c>
      <c r="C24" s="34">
        <v>2020</v>
      </c>
      <c r="D24" s="34" t="s">
        <v>288</v>
      </c>
      <c r="E24" s="34">
        <v>2.0200917926723699E+17</v>
      </c>
      <c r="F24" s="34" t="s">
        <v>225</v>
      </c>
      <c r="G24" s="34" t="s">
        <v>1129</v>
      </c>
      <c r="H24" s="34">
        <v>1438908</v>
      </c>
      <c r="J24" s="34" t="s">
        <v>227</v>
      </c>
      <c r="K24" s="34" t="s">
        <v>228</v>
      </c>
      <c r="N24" s="34" t="s">
        <v>1114</v>
      </c>
      <c r="O24" s="34" t="s">
        <v>66</v>
      </c>
      <c r="P24" s="34" t="s">
        <v>1113</v>
      </c>
      <c r="Q24" s="34" t="s">
        <v>34</v>
      </c>
      <c r="R24" s="34" t="s">
        <v>1112</v>
      </c>
      <c r="S24" s="34" t="s">
        <v>39</v>
      </c>
      <c r="T24" s="34" t="s">
        <v>1111</v>
      </c>
      <c r="V24" s="34" t="s">
        <v>1110</v>
      </c>
      <c r="X24" s="34" t="s">
        <v>1109</v>
      </c>
      <c r="Y24" s="34" t="s">
        <v>1108</v>
      </c>
      <c r="Z24" s="34">
        <v>20176</v>
      </c>
      <c r="AA24" s="34" t="s">
        <v>1107</v>
      </c>
      <c r="AB24" s="34" t="s">
        <v>1106</v>
      </c>
      <c r="AD24" s="34">
        <v>15</v>
      </c>
      <c r="AE24" s="34" t="s">
        <v>298</v>
      </c>
      <c r="AI24" s="36">
        <v>44071</v>
      </c>
      <c r="AJ24" s="34">
        <v>192.31</v>
      </c>
      <c r="AK24" s="34">
        <v>3461.58</v>
      </c>
      <c r="BG24" s="34" t="s">
        <v>28</v>
      </c>
      <c r="BI24" s="34" t="s">
        <v>279</v>
      </c>
      <c r="BK24" s="34" t="s">
        <v>50</v>
      </c>
      <c r="BL24" s="34" t="s">
        <v>242</v>
      </c>
      <c r="BM24" s="34" t="s">
        <v>243</v>
      </c>
      <c r="BN24" s="35">
        <v>44093.150925740738</v>
      </c>
      <c r="BR24" s="34" t="s">
        <v>257</v>
      </c>
      <c r="BS24" s="34">
        <v>4.0919202018490399E+18</v>
      </c>
      <c r="BT24" s="34" t="s">
        <v>245</v>
      </c>
      <c r="BV24" s="34">
        <v>2020</v>
      </c>
      <c r="BW24" s="34" t="s">
        <v>246</v>
      </c>
      <c r="BY24" s="34">
        <v>4.0919202018490701E+18</v>
      </c>
      <c r="BZ24" s="34" t="s">
        <v>1128</v>
      </c>
      <c r="CA24" s="34" t="s">
        <v>248</v>
      </c>
    </row>
    <row r="25" spans="1:79" x14ac:dyDescent="0.2">
      <c r="A25" s="34" t="s">
        <v>1117</v>
      </c>
      <c r="B25" s="34" t="s">
        <v>1116</v>
      </c>
      <c r="C25" s="34">
        <v>2020</v>
      </c>
      <c r="D25" s="34" t="s">
        <v>310</v>
      </c>
      <c r="E25" s="34">
        <v>2.0201020929738899E+17</v>
      </c>
      <c r="F25" s="34" t="s">
        <v>225</v>
      </c>
      <c r="G25" s="34" t="s">
        <v>1127</v>
      </c>
      <c r="H25" s="34">
        <v>1457440</v>
      </c>
      <c r="J25" s="34" t="s">
        <v>227</v>
      </c>
      <c r="K25" s="34" t="s">
        <v>228</v>
      </c>
      <c r="N25" s="34" t="s">
        <v>1114</v>
      </c>
      <c r="O25" s="34" t="s">
        <v>66</v>
      </c>
      <c r="P25" s="34" t="s">
        <v>1113</v>
      </c>
      <c r="Q25" s="34" t="s">
        <v>34</v>
      </c>
      <c r="R25" s="34" t="s">
        <v>1112</v>
      </c>
      <c r="S25" s="34" t="s">
        <v>39</v>
      </c>
      <c r="T25" s="34" t="s">
        <v>1111</v>
      </c>
      <c r="V25" s="34" t="s">
        <v>1110</v>
      </c>
      <c r="X25" s="34" t="s">
        <v>1109</v>
      </c>
      <c r="Y25" s="34" t="s">
        <v>1108</v>
      </c>
      <c r="Z25" s="34">
        <v>20176</v>
      </c>
      <c r="AA25" s="34" t="s">
        <v>1107</v>
      </c>
      <c r="AB25" s="34" t="s">
        <v>1106</v>
      </c>
      <c r="AD25" s="34">
        <v>15</v>
      </c>
      <c r="AE25" s="34" t="s">
        <v>298</v>
      </c>
      <c r="AI25" s="36">
        <v>44085</v>
      </c>
      <c r="AJ25" s="34">
        <v>192.31</v>
      </c>
      <c r="AK25" s="34">
        <v>3653.89</v>
      </c>
      <c r="BG25" s="34" t="s">
        <v>28</v>
      </c>
      <c r="BI25" s="34" t="s">
        <v>279</v>
      </c>
      <c r="BK25" s="34" t="s">
        <v>50</v>
      </c>
      <c r="BL25" s="34" t="s">
        <v>242</v>
      </c>
      <c r="BM25" s="34" t="s">
        <v>243</v>
      </c>
      <c r="BN25" s="35">
        <v>44167.159361493053</v>
      </c>
      <c r="BR25" s="34" t="s">
        <v>257</v>
      </c>
      <c r="BS25" s="34">
        <v>4.1021202018822298E+18</v>
      </c>
      <c r="BT25" s="34" t="s">
        <v>245</v>
      </c>
      <c r="BV25" s="34">
        <v>2020</v>
      </c>
      <c r="BW25" s="34" t="s">
        <v>246</v>
      </c>
      <c r="BY25" s="34">
        <v>4.1202202019629501E+18</v>
      </c>
      <c r="BZ25" s="34" t="s">
        <v>1125</v>
      </c>
      <c r="CA25" s="34" t="s">
        <v>248</v>
      </c>
    </row>
    <row r="26" spans="1:79" x14ac:dyDescent="0.2">
      <c r="A26" s="34" t="s">
        <v>1117</v>
      </c>
      <c r="B26" s="34" t="s">
        <v>1116</v>
      </c>
      <c r="C26" s="34">
        <v>2020</v>
      </c>
      <c r="D26" s="34" t="s">
        <v>310</v>
      </c>
      <c r="E26" s="34">
        <v>2.0201020929738899E+17</v>
      </c>
      <c r="F26" s="34" t="s">
        <v>225</v>
      </c>
      <c r="G26" s="34" t="s">
        <v>1126</v>
      </c>
      <c r="H26" s="34">
        <v>1457440</v>
      </c>
      <c r="J26" s="34" t="s">
        <v>227</v>
      </c>
      <c r="K26" s="34" t="s">
        <v>228</v>
      </c>
      <c r="N26" s="34" t="s">
        <v>1114</v>
      </c>
      <c r="O26" s="34" t="s">
        <v>66</v>
      </c>
      <c r="P26" s="34" t="s">
        <v>1113</v>
      </c>
      <c r="Q26" s="34" t="s">
        <v>34</v>
      </c>
      <c r="R26" s="34" t="s">
        <v>1112</v>
      </c>
      <c r="S26" s="34" t="s">
        <v>39</v>
      </c>
      <c r="T26" s="34" t="s">
        <v>1111</v>
      </c>
      <c r="V26" s="34" t="s">
        <v>1110</v>
      </c>
      <c r="X26" s="34" t="s">
        <v>1109</v>
      </c>
      <c r="Y26" s="34" t="s">
        <v>1108</v>
      </c>
      <c r="Z26" s="34">
        <v>20176</v>
      </c>
      <c r="AA26" s="34" t="s">
        <v>1107</v>
      </c>
      <c r="AB26" s="34" t="s">
        <v>1106</v>
      </c>
      <c r="AD26" s="34">
        <v>15</v>
      </c>
      <c r="AE26" s="34" t="s">
        <v>298</v>
      </c>
      <c r="AI26" s="36">
        <v>44099</v>
      </c>
      <c r="AJ26" s="34">
        <v>192.31</v>
      </c>
      <c r="AK26" s="34">
        <v>3846.2</v>
      </c>
      <c r="BG26" s="34" t="s">
        <v>28</v>
      </c>
      <c r="BI26" s="34" t="s">
        <v>279</v>
      </c>
      <c r="BK26" s="34" t="s">
        <v>50</v>
      </c>
      <c r="BL26" s="34" t="s">
        <v>242</v>
      </c>
      <c r="BM26" s="34" t="s">
        <v>243</v>
      </c>
      <c r="BN26" s="35">
        <v>44167.159361493053</v>
      </c>
      <c r="BR26" s="34" t="s">
        <v>257</v>
      </c>
      <c r="BS26" s="34">
        <v>4.1021202018822298E+18</v>
      </c>
      <c r="BT26" s="34" t="s">
        <v>245</v>
      </c>
      <c r="BV26" s="34">
        <v>2020</v>
      </c>
      <c r="BW26" s="34" t="s">
        <v>246</v>
      </c>
      <c r="BY26" s="34">
        <v>4.1202202019629501E+18</v>
      </c>
      <c r="BZ26" s="34" t="s">
        <v>1125</v>
      </c>
      <c r="CA26" s="34" t="s">
        <v>248</v>
      </c>
    </row>
    <row r="27" spans="1:79" x14ac:dyDescent="0.2">
      <c r="A27" s="34" t="s">
        <v>1117</v>
      </c>
      <c r="B27" s="34" t="s">
        <v>1116</v>
      </c>
      <c r="C27" s="34">
        <v>2020</v>
      </c>
      <c r="D27" s="34" t="s">
        <v>303</v>
      </c>
      <c r="E27" s="34">
        <v>2.0201021932676E+17</v>
      </c>
      <c r="F27" s="34" t="s">
        <v>225</v>
      </c>
      <c r="G27" s="34" t="s">
        <v>1124</v>
      </c>
      <c r="H27" s="34">
        <v>1459982</v>
      </c>
      <c r="J27" s="34" t="s">
        <v>227</v>
      </c>
      <c r="K27" s="34" t="s">
        <v>228</v>
      </c>
      <c r="N27" s="34" t="s">
        <v>1114</v>
      </c>
      <c r="O27" s="34" t="s">
        <v>66</v>
      </c>
      <c r="P27" s="34" t="s">
        <v>1113</v>
      </c>
      <c r="Q27" s="34" t="s">
        <v>34</v>
      </c>
      <c r="R27" s="34" t="s">
        <v>1112</v>
      </c>
      <c r="S27" s="34" t="s">
        <v>39</v>
      </c>
      <c r="T27" s="34" t="s">
        <v>1111</v>
      </c>
      <c r="V27" s="34" t="s">
        <v>1110</v>
      </c>
      <c r="X27" s="34" t="s">
        <v>1109</v>
      </c>
      <c r="Y27" s="34" t="s">
        <v>1108</v>
      </c>
      <c r="Z27" s="34">
        <v>20176</v>
      </c>
      <c r="AA27" s="34" t="s">
        <v>1107</v>
      </c>
      <c r="AB27" s="34" t="s">
        <v>1106</v>
      </c>
      <c r="AD27" s="34">
        <v>15</v>
      </c>
      <c r="AE27" s="34" t="s">
        <v>298</v>
      </c>
      <c r="AI27" s="36">
        <v>44113</v>
      </c>
      <c r="AJ27" s="34">
        <v>192.31</v>
      </c>
      <c r="AK27" s="34">
        <v>4038.51</v>
      </c>
      <c r="BG27" s="34" t="s">
        <v>28</v>
      </c>
      <c r="BI27" s="34" t="s">
        <v>279</v>
      </c>
      <c r="BK27" s="34" t="s">
        <v>50</v>
      </c>
      <c r="BL27" s="34" t="s">
        <v>242</v>
      </c>
      <c r="BM27" s="34" t="s">
        <v>243</v>
      </c>
      <c r="BN27" s="35">
        <v>44167.163253553241</v>
      </c>
      <c r="BR27" s="34" t="s">
        <v>257</v>
      </c>
      <c r="BS27" s="34">
        <v>4.1022202018826598E+18</v>
      </c>
      <c r="BT27" s="34" t="s">
        <v>245</v>
      </c>
      <c r="BV27" s="34">
        <v>2020</v>
      </c>
      <c r="BW27" s="34" t="s">
        <v>246</v>
      </c>
      <c r="BY27" s="34">
        <v>4.12022020196305E+18</v>
      </c>
      <c r="BZ27" s="34" t="s">
        <v>1123</v>
      </c>
      <c r="CA27" s="34" t="s">
        <v>248</v>
      </c>
    </row>
    <row r="28" spans="1:79" x14ac:dyDescent="0.2">
      <c r="A28" s="34" t="s">
        <v>1117</v>
      </c>
      <c r="B28" s="34" t="s">
        <v>1116</v>
      </c>
      <c r="C28" s="34">
        <v>2020</v>
      </c>
      <c r="D28" s="34" t="s">
        <v>268</v>
      </c>
      <c r="E28" s="34">
        <v>2.0210129941397101E+17</v>
      </c>
      <c r="F28" s="34" t="s">
        <v>225</v>
      </c>
      <c r="G28" s="34" t="s">
        <v>1122</v>
      </c>
      <c r="H28" s="34">
        <v>1493829</v>
      </c>
      <c r="J28" s="34" t="s">
        <v>227</v>
      </c>
      <c r="K28" s="34" t="s">
        <v>228</v>
      </c>
      <c r="N28" s="34" t="s">
        <v>1114</v>
      </c>
      <c r="O28" s="34" t="s">
        <v>66</v>
      </c>
      <c r="P28" s="34" t="s">
        <v>1113</v>
      </c>
      <c r="Q28" s="34" t="s">
        <v>34</v>
      </c>
      <c r="R28" s="34" t="s">
        <v>1112</v>
      </c>
      <c r="S28" s="34" t="s">
        <v>39</v>
      </c>
      <c r="T28" s="34" t="s">
        <v>1111</v>
      </c>
      <c r="V28" s="34" t="s">
        <v>1110</v>
      </c>
      <c r="X28" s="34" t="s">
        <v>1109</v>
      </c>
      <c r="Y28" s="34" t="s">
        <v>1108</v>
      </c>
      <c r="Z28" s="34">
        <v>20176</v>
      </c>
      <c r="AA28" s="34" t="s">
        <v>1107</v>
      </c>
      <c r="AB28" s="34" t="s">
        <v>1106</v>
      </c>
      <c r="AD28" s="34">
        <v>15</v>
      </c>
      <c r="AE28" s="34" t="s">
        <v>298</v>
      </c>
      <c r="AI28" s="36">
        <v>44169</v>
      </c>
      <c r="AJ28" s="34">
        <v>192.31</v>
      </c>
      <c r="AK28" s="34">
        <v>4807.75</v>
      </c>
      <c r="BG28" s="34" t="s">
        <v>28</v>
      </c>
      <c r="BI28" s="34" t="s">
        <v>279</v>
      </c>
      <c r="BK28" s="34" t="s">
        <v>50</v>
      </c>
      <c r="BL28" s="34" t="s">
        <v>242</v>
      </c>
      <c r="BM28" s="34" t="s">
        <v>243</v>
      </c>
      <c r="BN28" s="35">
        <v>44230.154218842596</v>
      </c>
      <c r="BR28" s="34" t="s">
        <v>257</v>
      </c>
      <c r="BS28" s="34">
        <v>4.01302021213907E+18</v>
      </c>
      <c r="BT28" s="34" t="s">
        <v>245</v>
      </c>
      <c r="BV28" s="34">
        <v>2020</v>
      </c>
      <c r="BW28" s="34" t="s">
        <v>246</v>
      </c>
      <c r="BY28" s="34">
        <v>4.0203202121403602E+18</v>
      </c>
      <c r="BZ28" s="34" t="s">
        <v>1120</v>
      </c>
      <c r="CA28" s="34" t="s">
        <v>248</v>
      </c>
    </row>
    <row r="29" spans="1:79" x14ac:dyDescent="0.2">
      <c r="A29" s="34" t="s">
        <v>1117</v>
      </c>
      <c r="B29" s="34" t="s">
        <v>1116</v>
      </c>
      <c r="C29" s="34">
        <v>2020</v>
      </c>
      <c r="D29" s="34" t="s">
        <v>268</v>
      </c>
      <c r="E29" s="34">
        <v>2.0210129941397101E+17</v>
      </c>
      <c r="F29" s="34" t="s">
        <v>225</v>
      </c>
      <c r="G29" s="34" t="s">
        <v>1121</v>
      </c>
      <c r="H29" s="34">
        <v>1493829</v>
      </c>
      <c r="J29" s="34" t="s">
        <v>227</v>
      </c>
      <c r="K29" s="34" t="s">
        <v>228</v>
      </c>
      <c r="N29" s="34" t="s">
        <v>1114</v>
      </c>
      <c r="O29" s="34" t="s">
        <v>66</v>
      </c>
      <c r="P29" s="34" t="s">
        <v>1113</v>
      </c>
      <c r="Q29" s="34" t="s">
        <v>34</v>
      </c>
      <c r="R29" s="34" t="s">
        <v>1112</v>
      </c>
      <c r="S29" s="34" t="s">
        <v>39</v>
      </c>
      <c r="T29" s="34" t="s">
        <v>1111</v>
      </c>
      <c r="V29" s="34" t="s">
        <v>1110</v>
      </c>
      <c r="X29" s="34" t="s">
        <v>1109</v>
      </c>
      <c r="Y29" s="34" t="s">
        <v>1108</v>
      </c>
      <c r="Z29" s="34">
        <v>20176</v>
      </c>
      <c r="AA29" s="34" t="s">
        <v>1107</v>
      </c>
      <c r="AB29" s="34" t="s">
        <v>1106</v>
      </c>
      <c r="AD29" s="34">
        <v>15</v>
      </c>
      <c r="AE29" s="34" t="s">
        <v>298</v>
      </c>
      <c r="AI29" s="36">
        <v>44183</v>
      </c>
      <c r="AJ29" s="34">
        <v>192.25</v>
      </c>
      <c r="AK29" s="34">
        <v>5000</v>
      </c>
      <c r="BG29" s="34" t="s">
        <v>28</v>
      </c>
      <c r="BI29" s="34" t="s">
        <v>279</v>
      </c>
      <c r="BK29" s="34" t="s">
        <v>50</v>
      </c>
      <c r="BL29" s="34" t="s">
        <v>242</v>
      </c>
      <c r="BM29" s="34" t="s">
        <v>243</v>
      </c>
      <c r="BN29" s="35">
        <v>44230.154218842596</v>
      </c>
      <c r="BR29" s="34" t="s">
        <v>257</v>
      </c>
      <c r="BS29" s="34">
        <v>4.01302021213907E+18</v>
      </c>
      <c r="BT29" s="34" t="s">
        <v>245</v>
      </c>
      <c r="BV29" s="34">
        <v>2020</v>
      </c>
      <c r="BW29" s="34" t="s">
        <v>246</v>
      </c>
      <c r="BY29" s="34">
        <v>4.0203202121403602E+18</v>
      </c>
      <c r="BZ29" s="34" t="s">
        <v>1120</v>
      </c>
      <c r="CA29" s="34" t="s">
        <v>248</v>
      </c>
    </row>
    <row r="30" spans="1:79" x14ac:dyDescent="0.2">
      <c r="A30" s="34" t="s">
        <v>1117</v>
      </c>
      <c r="B30" s="34" t="s">
        <v>1116</v>
      </c>
      <c r="C30" s="34">
        <v>2020</v>
      </c>
      <c r="D30" s="34" t="s">
        <v>224</v>
      </c>
      <c r="E30" s="34">
        <v>2.0201203934000602E+17</v>
      </c>
      <c r="F30" s="34" t="s">
        <v>225</v>
      </c>
      <c r="G30" s="34" t="s">
        <v>1119</v>
      </c>
      <c r="H30" s="34">
        <v>1479855</v>
      </c>
      <c r="J30" s="34" t="s">
        <v>227</v>
      </c>
      <c r="K30" s="34" t="s">
        <v>228</v>
      </c>
      <c r="N30" s="34" t="s">
        <v>1114</v>
      </c>
      <c r="O30" s="34" t="s">
        <v>66</v>
      </c>
      <c r="P30" s="34" t="s">
        <v>1113</v>
      </c>
      <c r="Q30" s="34" t="s">
        <v>34</v>
      </c>
      <c r="R30" s="34" t="s">
        <v>1112</v>
      </c>
      <c r="S30" s="34" t="s">
        <v>39</v>
      </c>
      <c r="T30" s="34" t="s">
        <v>1111</v>
      </c>
      <c r="V30" s="34" t="s">
        <v>1110</v>
      </c>
      <c r="X30" s="34" t="s">
        <v>1109</v>
      </c>
      <c r="Y30" s="34" t="s">
        <v>1108</v>
      </c>
      <c r="Z30" s="34">
        <v>20176</v>
      </c>
      <c r="AA30" s="34" t="s">
        <v>1107</v>
      </c>
      <c r="AB30" s="34" t="s">
        <v>1106</v>
      </c>
      <c r="AD30" s="34">
        <v>15</v>
      </c>
      <c r="AE30" s="34" t="s">
        <v>298</v>
      </c>
      <c r="AI30" s="36">
        <v>44127</v>
      </c>
      <c r="AJ30" s="34">
        <v>192.31</v>
      </c>
      <c r="AK30" s="34">
        <v>4230.82</v>
      </c>
      <c r="BG30" s="34" t="s">
        <v>28</v>
      </c>
      <c r="BI30" s="34" t="s">
        <v>279</v>
      </c>
      <c r="BK30" s="34" t="s">
        <v>50</v>
      </c>
      <c r="BL30" s="34" t="s">
        <v>242</v>
      </c>
      <c r="BM30" s="34" t="s">
        <v>243</v>
      </c>
      <c r="BN30" s="35">
        <v>44197.155095428243</v>
      </c>
      <c r="BR30" s="34" t="s">
        <v>257</v>
      </c>
      <c r="BS30" s="34">
        <v>4.1204202019634299E+18</v>
      </c>
      <c r="BT30" s="34" t="s">
        <v>245</v>
      </c>
      <c r="BV30" s="34">
        <v>2020</v>
      </c>
      <c r="BW30" s="34" t="s">
        <v>246</v>
      </c>
      <c r="BY30" s="34">
        <v>4.0101202119889603E+18</v>
      </c>
      <c r="BZ30" s="34" t="s">
        <v>1105</v>
      </c>
      <c r="CA30" s="34" t="s">
        <v>248</v>
      </c>
    </row>
    <row r="31" spans="1:79" x14ac:dyDescent="0.2">
      <c r="A31" s="34" t="s">
        <v>1117</v>
      </c>
      <c r="B31" s="34" t="s">
        <v>1116</v>
      </c>
      <c r="C31" s="34">
        <v>2020</v>
      </c>
      <c r="D31" s="34" t="s">
        <v>224</v>
      </c>
      <c r="E31" s="34">
        <v>2.0201203934000602E+17</v>
      </c>
      <c r="F31" s="34" t="s">
        <v>225</v>
      </c>
      <c r="G31" s="34" t="s">
        <v>1118</v>
      </c>
      <c r="H31" s="34">
        <v>1479855</v>
      </c>
      <c r="J31" s="34" t="s">
        <v>227</v>
      </c>
      <c r="K31" s="34" t="s">
        <v>228</v>
      </c>
      <c r="N31" s="34" t="s">
        <v>1114</v>
      </c>
      <c r="O31" s="34" t="s">
        <v>66</v>
      </c>
      <c r="P31" s="34" t="s">
        <v>1113</v>
      </c>
      <c r="Q31" s="34" t="s">
        <v>34</v>
      </c>
      <c r="R31" s="34" t="s">
        <v>1112</v>
      </c>
      <c r="S31" s="34" t="s">
        <v>39</v>
      </c>
      <c r="T31" s="34" t="s">
        <v>1111</v>
      </c>
      <c r="V31" s="34" t="s">
        <v>1110</v>
      </c>
      <c r="X31" s="34" t="s">
        <v>1109</v>
      </c>
      <c r="Y31" s="34" t="s">
        <v>1108</v>
      </c>
      <c r="Z31" s="34">
        <v>20176</v>
      </c>
      <c r="AA31" s="34" t="s">
        <v>1107</v>
      </c>
      <c r="AB31" s="34" t="s">
        <v>1106</v>
      </c>
      <c r="AD31" s="34">
        <v>15</v>
      </c>
      <c r="AE31" s="34" t="s">
        <v>298</v>
      </c>
      <c r="AI31" s="36">
        <v>44141</v>
      </c>
      <c r="AJ31" s="34">
        <v>192.31</v>
      </c>
      <c r="AK31" s="34">
        <v>4423.13</v>
      </c>
      <c r="BG31" s="34" t="s">
        <v>28</v>
      </c>
      <c r="BI31" s="34" t="s">
        <v>279</v>
      </c>
      <c r="BK31" s="34" t="s">
        <v>50</v>
      </c>
      <c r="BL31" s="34" t="s">
        <v>242</v>
      </c>
      <c r="BM31" s="34" t="s">
        <v>243</v>
      </c>
      <c r="BN31" s="35">
        <v>44197.155095428243</v>
      </c>
      <c r="BR31" s="34" t="s">
        <v>257</v>
      </c>
      <c r="BS31" s="34">
        <v>4.1204202019634299E+18</v>
      </c>
      <c r="BT31" s="34" t="s">
        <v>245</v>
      </c>
      <c r="BV31" s="34">
        <v>2020</v>
      </c>
      <c r="BW31" s="34" t="s">
        <v>246</v>
      </c>
      <c r="BY31" s="34">
        <v>4.0101202119889603E+18</v>
      </c>
      <c r="BZ31" s="34" t="s">
        <v>1105</v>
      </c>
      <c r="CA31" s="34" t="s">
        <v>248</v>
      </c>
    </row>
    <row r="32" spans="1:79" x14ac:dyDescent="0.2">
      <c r="A32" s="34" t="s">
        <v>1117</v>
      </c>
      <c r="B32" s="34" t="s">
        <v>1116</v>
      </c>
      <c r="C32" s="34">
        <v>2020</v>
      </c>
      <c r="D32" s="34" t="s">
        <v>224</v>
      </c>
      <c r="E32" s="34">
        <v>2.0201203934000602E+17</v>
      </c>
      <c r="F32" s="34" t="s">
        <v>225</v>
      </c>
      <c r="G32" s="34" t="s">
        <v>1115</v>
      </c>
      <c r="H32" s="34">
        <v>1479855</v>
      </c>
      <c r="J32" s="34" t="s">
        <v>227</v>
      </c>
      <c r="K32" s="34" t="s">
        <v>228</v>
      </c>
      <c r="N32" s="34" t="s">
        <v>1114</v>
      </c>
      <c r="O32" s="34" t="s">
        <v>66</v>
      </c>
      <c r="P32" s="34" t="s">
        <v>1113</v>
      </c>
      <c r="Q32" s="34" t="s">
        <v>34</v>
      </c>
      <c r="R32" s="34" t="s">
        <v>1112</v>
      </c>
      <c r="S32" s="34" t="s">
        <v>39</v>
      </c>
      <c r="T32" s="34" t="s">
        <v>1111</v>
      </c>
      <c r="V32" s="34" t="s">
        <v>1110</v>
      </c>
      <c r="X32" s="34" t="s">
        <v>1109</v>
      </c>
      <c r="Y32" s="34" t="s">
        <v>1108</v>
      </c>
      <c r="Z32" s="34">
        <v>20176</v>
      </c>
      <c r="AA32" s="34" t="s">
        <v>1107</v>
      </c>
      <c r="AB32" s="34" t="s">
        <v>1106</v>
      </c>
      <c r="AD32" s="34">
        <v>15</v>
      </c>
      <c r="AE32" s="34" t="s">
        <v>298</v>
      </c>
      <c r="AI32" s="36">
        <v>44155</v>
      </c>
      <c r="AJ32" s="34">
        <v>192.31</v>
      </c>
      <c r="AK32" s="34">
        <v>4615.4399999999996</v>
      </c>
      <c r="BG32" s="34" t="s">
        <v>28</v>
      </c>
      <c r="BI32" s="34" t="s">
        <v>279</v>
      </c>
      <c r="BK32" s="34" t="s">
        <v>50</v>
      </c>
      <c r="BL32" s="34" t="s">
        <v>242</v>
      </c>
      <c r="BM32" s="34" t="s">
        <v>243</v>
      </c>
      <c r="BN32" s="35">
        <v>44197.155095428243</v>
      </c>
      <c r="BR32" s="34" t="s">
        <v>257</v>
      </c>
      <c r="BS32" s="34">
        <v>4.1204202019634299E+18</v>
      </c>
      <c r="BT32" s="34" t="s">
        <v>245</v>
      </c>
      <c r="BV32" s="34">
        <v>2020</v>
      </c>
      <c r="BW32" s="34" t="s">
        <v>246</v>
      </c>
      <c r="BY32" s="34">
        <v>4.0101202119889603E+18</v>
      </c>
      <c r="BZ32" s="34" t="s">
        <v>1105</v>
      </c>
      <c r="CA32" s="34" t="s">
        <v>248</v>
      </c>
    </row>
    <row r="35" spans="1:22" x14ac:dyDescent="0.2">
      <c r="V35" s="34" t="str">
        <f>+V32&amp;X32&amp;Y32&amp;Z32</f>
        <v>43414 TURNBERRY ISLE COURTLEESBURGVA20176</v>
      </c>
    </row>
    <row r="37" spans="1:22" ht="15" x14ac:dyDescent="0.25">
      <c r="A37" s="27" t="s">
        <v>261</v>
      </c>
      <c r="B37" t="s">
        <v>263</v>
      </c>
      <c r="C37"/>
      <c r="D37" s="34" t="s">
        <v>1064</v>
      </c>
      <c r="E37" s="34" t="s">
        <v>1</v>
      </c>
    </row>
    <row r="38" spans="1:22" ht="15" x14ac:dyDescent="0.25">
      <c r="A38" s="28" t="s">
        <v>1116</v>
      </c>
      <c r="B38" s="2">
        <v>5961.4900000000025</v>
      </c>
      <c r="C38"/>
      <c r="D38" s="37">
        <v>0.52810000000000001</v>
      </c>
      <c r="E38" s="37">
        <v>0.47189999999999999</v>
      </c>
    </row>
    <row r="39" spans="1:22" ht="15" x14ac:dyDescent="0.25">
      <c r="A39" s="28" t="s">
        <v>262</v>
      </c>
      <c r="B39" s="2">
        <v>5961.4900000000025</v>
      </c>
      <c r="C39"/>
    </row>
    <row r="40" spans="1:22" ht="15" x14ac:dyDescent="0.25">
      <c r="A40"/>
      <c r="B40"/>
      <c r="C40"/>
    </row>
    <row r="41" spans="1:22" ht="15" x14ac:dyDescent="0.25">
      <c r="A41"/>
      <c r="B41"/>
      <c r="C41"/>
    </row>
    <row r="42" spans="1:22" ht="15" x14ac:dyDescent="0.25">
      <c r="A42"/>
      <c r="B42"/>
      <c r="C42"/>
    </row>
    <row r="43" spans="1:22" ht="15" x14ac:dyDescent="0.25">
      <c r="A43"/>
      <c r="B43"/>
      <c r="C43"/>
    </row>
    <row r="44" spans="1:22" ht="15" x14ac:dyDescent="0.25">
      <c r="A44"/>
      <c r="B44"/>
      <c r="C44"/>
    </row>
    <row r="45" spans="1:22" ht="15" x14ac:dyDescent="0.25">
      <c r="A45"/>
      <c r="B45"/>
      <c r="C45"/>
    </row>
    <row r="46" spans="1:22" ht="15" x14ac:dyDescent="0.25">
      <c r="A46"/>
      <c r="B46"/>
      <c r="C46"/>
    </row>
    <row r="47" spans="1:22" ht="15" x14ac:dyDescent="0.25">
      <c r="A47"/>
      <c r="B47"/>
      <c r="C47"/>
    </row>
    <row r="48" spans="1:22" ht="15" x14ac:dyDescent="0.25">
      <c r="A48"/>
      <c r="B48"/>
      <c r="C48"/>
    </row>
    <row r="49" spans="1:3" ht="15" x14ac:dyDescent="0.25">
      <c r="A49"/>
      <c r="B49"/>
      <c r="C49"/>
    </row>
    <row r="50" spans="1:3" ht="15" x14ac:dyDescent="0.25">
      <c r="A50"/>
      <c r="B50"/>
      <c r="C50"/>
    </row>
    <row r="51" spans="1:3" ht="15" x14ac:dyDescent="0.25">
      <c r="A51"/>
      <c r="B51"/>
      <c r="C51"/>
    </row>
    <row r="52" spans="1:3" ht="15" x14ac:dyDescent="0.25">
      <c r="A52"/>
      <c r="B52"/>
      <c r="C52"/>
    </row>
    <row r="53" spans="1:3" ht="15" x14ac:dyDescent="0.25">
      <c r="A53"/>
      <c r="B53"/>
      <c r="C53"/>
    </row>
    <row r="54" spans="1:3" ht="15" x14ac:dyDescent="0.25">
      <c r="A54"/>
      <c r="B54"/>
      <c r="C54"/>
    </row>
  </sheetData>
  <autoFilter ref="A1:C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"/>
  <sheetViews>
    <sheetView topLeftCell="Z1" workbookViewId="0">
      <selection activeCell="V5" sqref="V5"/>
    </sheetView>
  </sheetViews>
  <sheetFormatPr defaultRowHeight="12.75" x14ac:dyDescent="0.2"/>
  <cols>
    <col min="1" max="16384" width="9.140625" style="34"/>
  </cols>
  <sheetData>
    <row r="1" spans="1:79" x14ac:dyDescent="0.2">
      <c r="A1" s="34" t="s">
        <v>144</v>
      </c>
      <c r="B1" s="34" t="s">
        <v>145</v>
      </c>
      <c r="C1" s="34" t="s">
        <v>146</v>
      </c>
      <c r="D1" s="34" t="s">
        <v>147</v>
      </c>
      <c r="E1" s="34" t="s">
        <v>148</v>
      </c>
      <c r="F1" s="34" t="s">
        <v>149</v>
      </c>
      <c r="G1" s="34" t="s">
        <v>150</v>
      </c>
      <c r="H1" s="34" t="s">
        <v>151</v>
      </c>
      <c r="I1" s="34" t="s">
        <v>145</v>
      </c>
      <c r="J1" s="34" t="s">
        <v>152</v>
      </c>
      <c r="K1" s="34" t="s">
        <v>153</v>
      </c>
      <c r="L1" s="34" t="s">
        <v>154</v>
      </c>
      <c r="M1" s="34" t="s">
        <v>155</v>
      </c>
      <c r="N1" s="34" t="s">
        <v>156</v>
      </c>
      <c r="O1" s="34" t="s">
        <v>157</v>
      </c>
      <c r="P1" s="34" t="s">
        <v>158</v>
      </c>
      <c r="Q1" s="34" t="s">
        <v>159</v>
      </c>
      <c r="R1" s="34" t="s">
        <v>160</v>
      </c>
      <c r="S1" s="34" t="s">
        <v>161</v>
      </c>
      <c r="T1" s="34" t="s">
        <v>162</v>
      </c>
      <c r="U1" s="34" t="s">
        <v>163</v>
      </c>
      <c r="V1" s="34" t="s">
        <v>164</v>
      </c>
      <c r="W1" s="34" t="s">
        <v>165</v>
      </c>
      <c r="X1" s="34" t="s">
        <v>166</v>
      </c>
      <c r="Y1" s="34" t="s">
        <v>167</v>
      </c>
      <c r="Z1" s="34" t="s">
        <v>168</v>
      </c>
      <c r="AA1" s="34" t="s">
        <v>169</v>
      </c>
      <c r="AB1" s="34" t="s">
        <v>170</v>
      </c>
      <c r="AC1" s="34" t="s">
        <v>171</v>
      </c>
      <c r="AD1" s="34" t="s">
        <v>172</v>
      </c>
      <c r="AE1" s="34" t="s">
        <v>173</v>
      </c>
      <c r="AF1" s="34" t="s">
        <v>174</v>
      </c>
      <c r="AG1" s="34" t="s">
        <v>175</v>
      </c>
      <c r="AH1" s="34" t="s">
        <v>176</v>
      </c>
      <c r="AI1" s="34" t="s">
        <v>177</v>
      </c>
      <c r="AJ1" s="34" t="s">
        <v>178</v>
      </c>
      <c r="AK1" s="34" t="s">
        <v>179</v>
      </c>
      <c r="AL1" s="34" t="s">
        <v>180</v>
      </c>
      <c r="AM1" s="34" t="s">
        <v>181</v>
      </c>
      <c r="AN1" s="34" t="s">
        <v>182</v>
      </c>
      <c r="AO1" s="34" t="s">
        <v>183</v>
      </c>
      <c r="AP1" s="34" t="s">
        <v>184</v>
      </c>
      <c r="AQ1" s="34" t="s">
        <v>185</v>
      </c>
      <c r="AR1" s="34" t="s">
        <v>186</v>
      </c>
      <c r="AS1" s="34" t="s">
        <v>187</v>
      </c>
      <c r="AT1" s="34" t="s">
        <v>188</v>
      </c>
      <c r="AU1" s="34" t="s">
        <v>189</v>
      </c>
      <c r="AV1" s="34" t="s">
        <v>190</v>
      </c>
      <c r="AW1" s="34" t="s">
        <v>191</v>
      </c>
      <c r="AX1" s="34" t="s">
        <v>192</v>
      </c>
      <c r="AY1" s="34" t="s">
        <v>193</v>
      </c>
      <c r="AZ1" s="34" t="s">
        <v>194</v>
      </c>
      <c r="BA1" s="34" t="s">
        <v>195</v>
      </c>
      <c r="BB1" s="34" t="s">
        <v>196</v>
      </c>
      <c r="BC1" s="34" t="s">
        <v>197</v>
      </c>
      <c r="BD1" s="34" t="s">
        <v>198</v>
      </c>
      <c r="BE1" s="34" t="s">
        <v>199</v>
      </c>
      <c r="BF1" s="34" t="s">
        <v>200</v>
      </c>
      <c r="BG1" s="34" t="s">
        <v>201</v>
      </c>
      <c r="BH1" s="34" t="s">
        <v>202</v>
      </c>
      <c r="BI1" s="34" t="s">
        <v>203</v>
      </c>
      <c r="BJ1" s="34" t="s">
        <v>204</v>
      </c>
      <c r="BK1" s="34" t="s">
        <v>205</v>
      </c>
      <c r="BL1" s="34" t="s">
        <v>206</v>
      </c>
      <c r="BM1" s="34" t="s">
        <v>207</v>
      </c>
      <c r="BN1" s="34" t="s">
        <v>208</v>
      </c>
      <c r="BO1" s="34" t="s">
        <v>209</v>
      </c>
      <c r="BP1" s="34" t="s">
        <v>210</v>
      </c>
      <c r="BQ1" s="34" t="s">
        <v>211</v>
      </c>
      <c r="BR1" s="34" t="s">
        <v>212</v>
      </c>
      <c r="BS1" s="34" t="s">
        <v>213</v>
      </c>
      <c r="BT1" s="34" t="s">
        <v>214</v>
      </c>
      <c r="BU1" s="34" t="s">
        <v>215</v>
      </c>
      <c r="BV1" s="34" t="s">
        <v>216</v>
      </c>
      <c r="BW1" s="34" t="s">
        <v>217</v>
      </c>
      <c r="BX1" s="34" t="s">
        <v>218</v>
      </c>
      <c r="BY1" s="34" t="s">
        <v>219</v>
      </c>
      <c r="BZ1" s="34" t="s">
        <v>220</v>
      </c>
      <c r="CA1" s="34" t="s">
        <v>221</v>
      </c>
    </row>
    <row r="2" spans="1:79" x14ac:dyDescent="0.2">
      <c r="A2" s="34" t="s">
        <v>622</v>
      </c>
      <c r="B2" s="34" t="s">
        <v>623</v>
      </c>
      <c r="C2" s="34">
        <v>2020</v>
      </c>
      <c r="D2" s="34" t="s">
        <v>648</v>
      </c>
      <c r="E2" s="34">
        <v>2.0210602944861101E+17</v>
      </c>
      <c r="F2" s="34" t="s">
        <v>225</v>
      </c>
      <c r="G2" s="34">
        <v>5518895</v>
      </c>
      <c r="H2" s="34">
        <v>1518550</v>
      </c>
      <c r="J2" s="34" t="s">
        <v>227</v>
      </c>
      <c r="K2" s="34" t="s">
        <v>228</v>
      </c>
      <c r="N2" s="34" t="s">
        <v>1101</v>
      </c>
      <c r="O2" s="34" t="s">
        <v>39</v>
      </c>
      <c r="Q2" s="34" t="s">
        <v>28</v>
      </c>
      <c r="R2" s="34" t="s">
        <v>1100</v>
      </c>
      <c r="T2" s="34" t="s">
        <v>1099</v>
      </c>
      <c r="V2" s="34" t="s">
        <v>1098</v>
      </c>
      <c r="X2" s="34" t="s">
        <v>1096</v>
      </c>
      <c r="Y2" s="34" t="s">
        <v>52</v>
      </c>
      <c r="Z2" s="34">
        <v>100257755</v>
      </c>
      <c r="AA2" s="34" t="s">
        <v>1095</v>
      </c>
      <c r="AB2" s="34" t="s">
        <v>1094</v>
      </c>
      <c r="AD2" s="34" t="s">
        <v>237</v>
      </c>
      <c r="AE2" s="34" t="s">
        <v>238</v>
      </c>
      <c r="AI2" s="36">
        <v>44177</v>
      </c>
      <c r="AJ2" s="34">
        <v>250</v>
      </c>
      <c r="AK2" s="34">
        <v>250</v>
      </c>
      <c r="BG2" s="34" t="s">
        <v>737</v>
      </c>
      <c r="BH2" s="34" t="s">
        <v>649</v>
      </c>
      <c r="BJ2" s="34">
        <v>2020</v>
      </c>
      <c r="BK2" s="34" t="s">
        <v>50</v>
      </c>
      <c r="BL2" s="34" t="s">
        <v>242</v>
      </c>
      <c r="BM2" s="34" t="s">
        <v>243</v>
      </c>
      <c r="BN2" s="35">
        <v>44358.156532256944</v>
      </c>
      <c r="BP2" s="34" t="s">
        <v>1103</v>
      </c>
      <c r="BQ2" s="34" t="s">
        <v>318</v>
      </c>
      <c r="BR2" s="34" t="s">
        <v>244</v>
      </c>
      <c r="BS2" s="34">
        <v>4.0604202112998001E+18</v>
      </c>
      <c r="BT2" s="34" t="s">
        <v>245</v>
      </c>
      <c r="BU2" s="34" t="s">
        <v>283</v>
      </c>
      <c r="BV2" s="34">
        <v>2020</v>
      </c>
      <c r="BW2" s="34" t="s">
        <v>246</v>
      </c>
      <c r="BY2" s="34">
        <v>4.0611202113066598E+18</v>
      </c>
      <c r="BZ2" s="34" t="s">
        <v>1102</v>
      </c>
      <c r="CA2" s="34" t="s">
        <v>248</v>
      </c>
    </row>
    <row r="3" spans="1:79" x14ac:dyDescent="0.2">
      <c r="A3" s="34" t="s">
        <v>404</v>
      </c>
      <c r="B3" s="34" t="s">
        <v>424</v>
      </c>
      <c r="C3" s="34">
        <v>2020</v>
      </c>
      <c r="D3" s="34" t="s">
        <v>750</v>
      </c>
      <c r="E3" s="34">
        <v>2.0201224939409402E+17</v>
      </c>
      <c r="F3" s="34" t="s">
        <v>225</v>
      </c>
      <c r="G3" s="34">
        <v>11438160</v>
      </c>
      <c r="H3" s="34">
        <v>1484293</v>
      </c>
      <c r="J3" s="34" t="s">
        <v>227</v>
      </c>
      <c r="K3" s="34" t="s">
        <v>228</v>
      </c>
      <c r="L3" s="34" t="s">
        <v>316</v>
      </c>
      <c r="N3" s="34" t="s">
        <v>1101</v>
      </c>
      <c r="O3" s="34" t="s">
        <v>39</v>
      </c>
      <c r="Q3" s="34" t="s">
        <v>28</v>
      </c>
      <c r="R3" s="34" t="s">
        <v>1100</v>
      </c>
      <c r="T3" s="34" t="s">
        <v>1099</v>
      </c>
      <c r="V3" s="34" t="s">
        <v>1098</v>
      </c>
      <c r="W3" s="34" t="s">
        <v>1097</v>
      </c>
      <c r="X3" s="34" t="s">
        <v>1096</v>
      </c>
      <c r="Y3" s="34" t="s">
        <v>52</v>
      </c>
      <c r="Z3" s="34">
        <v>100257755</v>
      </c>
      <c r="AA3" s="34" t="s">
        <v>1095</v>
      </c>
      <c r="AB3" s="34" t="s">
        <v>1094</v>
      </c>
      <c r="AC3" s="34" t="s">
        <v>316</v>
      </c>
      <c r="AD3" s="34" t="s">
        <v>237</v>
      </c>
      <c r="AE3" s="34" t="s">
        <v>238</v>
      </c>
      <c r="AI3" s="36">
        <v>44177</v>
      </c>
      <c r="AJ3" s="34">
        <v>500</v>
      </c>
      <c r="AK3" s="34">
        <v>500</v>
      </c>
      <c r="BG3" s="34" t="s">
        <v>240</v>
      </c>
      <c r="BH3" s="34" t="s">
        <v>753</v>
      </c>
      <c r="BI3" s="34" t="s">
        <v>241</v>
      </c>
      <c r="BJ3" s="34">
        <v>2020</v>
      </c>
      <c r="BK3" s="34" t="s">
        <v>50</v>
      </c>
      <c r="BL3" s="34" t="s">
        <v>242</v>
      </c>
      <c r="BM3" s="34" t="s">
        <v>243</v>
      </c>
      <c r="BN3" s="35">
        <v>44219.476544236109</v>
      </c>
      <c r="BP3" s="34" t="s">
        <v>1093</v>
      </c>
      <c r="BQ3" s="34" t="s">
        <v>318</v>
      </c>
      <c r="BR3" s="34" t="s">
        <v>244</v>
      </c>
      <c r="BS3" s="34">
        <v>4.12262020198637E+18</v>
      </c>
      <c r="BT3" s="34" t="s">
        <v>245</v>
      </c>
      <c r="BU3" s="34" t="s">
        <v>283</v>
      </c>
      <c r="BV3" s="34">
        <v>2020</v>
      </c>
      <c r="BW3" s="34" t="s">
        <v>246</v>
      </c>
      <c r="BY3" s="34">
        <v>4.0123202121360502E+18</v>
      </c>
      <c r="BZ3" s="34" t="s">
        <v>1092</v>
      </c>
      <c r="CA3" s="34" t="s">
        <v>248</v>
      </c>
    </row>
    <row r="5" spans="1:79" x14ac:dyDescent="0.2">
      <c r="V5" s="34" t="str">
        <f>+V3&amp;X3&amp;Y3&amp;Z3</f>
        <v>420 RIVERSIDE DRNEW YORKNY100257755</v>
      </c>
      <c r="AJ5" s="34">
        <f>SUM(AJ2:AJ4)</f>
        <v>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3"/>
  <sheetViews>
    <sheetView topLeftCell="M1" workbookViewId="0">
      <selection activeCell="V9" sqref="V9"/>
    </sheetView>
  </sheetViews>
  <sheetFormatPr defaultRowHeight="15" x14ac:dyDescent="0.25"/>
  <cols>
    <col min="1" max="1" width="17.85546875" bestFit="1" customWidth="1"/>
    <col min="2" max="2" width="34.5703125" bestFit="1" customWidth="1"/>
    <col min="3" max="3" width="9.28515625" bestFit="1" customWidth="1"/>
    <col min="5" max="5" width="12.42578125" bestFit="1" customWidth="1"/>
    <col min="7" max="8" width="9.28515625" bestFit="1" customWidth="1"/>
    <col min="26" max="26" width="10" bestFit="1" customWidth="1"/>
    <col min="35" max="37" width="9.28515625" bestFit="1" customWidth="1"/>
    <col min="62" max="62" width="9.28515625" bestFit="1" customWidth="1"/>
    <col min="66" max="66" width="9.28515625" bestFit="1" customWidth="1"/>
    <col min="71" max="71" width="12.42578125" bestFit="1" customWidth="1"/>
    <col min="74" max="74" width="9.28515625" bestFit="1" customWidth="1"/>
    <col min="77" max="77" width="12.42578125" bestFit="1" customWidth="1"/>
  </cols>
  <sheetData>
    <row r="1" spans="1:79" x14ac:dyDescent="0.25">
      <c r="A1" s="31" t="s">
        <v>144</v>
      </c>
      <c r="B1" s="31" t="s">
        <v>145</v>
      </c>
      <c r="C1" s="31" t="s">
        <v>146</v>
      </c>
      <c r="D1" s="31" t="s">
        <v>147</v>
      </c>
      <c r="E1" s="31" t="s">
        <v>148</v>
      </c>
      <c r="F1" s="31" t="s">
        <v>149</v>
      </c>
      <c r="G1" s="31" t="s">
        <v>150</v>
      </c>
      <c r="H1" s="31" t="s">
        <v>151</v>
      </c>
      <c r="I1" s="31" t="s">
        <v>145</v>
      </c>
      <c r="J1" s="31" t="s">
        <v>152</v>
      </c>
      <c r="K1" s="31" t="s">
        <v>153</v>
      </c>
      <c r="L1" s="31" t="s">
        <v>154</v>
      </c>
      <c r="M1" s="31" t="s">
        <v>155</v>
      </c>
      <c r="N1" s="31" t="s">
        <v>156</v>
      </c>
      <c r="O1" s="31" t="s">
        <v>157</v>
      </c>
      <c r="P1" s="31" t="s">
        <v>158</v>
      </c>
      <c r="Q1" s="31" t="s">
        <v>159</v>
      </c>
      <c r="R1" s="31" t="s">
        <v>160</v>
      </c>
      <c r="S1" s="31" t="s">
        <v>161</v>
      </c>
      <c r="T1" s="31" t="s">
        <v>162</v>
      </c>
      <c r="U1" s="31" t="s">
        <v>163</v>
      </c>
      <c r="V1" s="31" t="s">
        <v>164</v>
      </c>
      <c r="W1" s="31" t="s">
        <v>165</v>
      </c>
      <c r="X1" s="31" t="s">
        <v>166</v>
      </c>
      <c r="Y1" s="31" t="s">
        <v>167</v>
      </c>
      <c r="Z1" s="31" t="s">
        <v>168</v>
      </c>
      <c r="AA1" s="31" t="s">
        <v>169</v>
      </c>
      <c r="AB1" s="31" t="s">
        <v>170</v>
      </c>
      <c r="AC1" s="31" t="s">
        <v>171</v>
      </c>
      <c r="AD1" s="31" t="s">
        <v>172</v>
      </c>
      <c r="AE1" s="31" t="s">
        <v>173</v>
      </c>
      <c r="AF1" s="31" t="s">
        <v>174</v>
      </c>
      <c r="AG1" s="31" t="s">
        <v>175</v>
      </c>
      <c r="AH1" s="31" t="s">
        <v>176</v>
      </c>
      <c r="AI1" s="31" t="s">
        <v>177</v>
      </c>
      <c r="AJ1" s="31" t="s">
        <v>178</v>
      </c>
      <c r="AK1" s="31" t="s">
        <v>179</v>
      </c>
      <c r="AL1" s="31" t="s">
        <v>180</v>
      </c>
      <c r="AM1" s="31" t="s">
        <v>181</v>
      </c>
      <c r="AN1" s="31" t="s">
        <v>182</v>
      </c>
      <c r="AO1" s="31" t="s">
        <v>183</v>
      </c>
      <c r="AP1" s="31" t="s">
        <v>184</v>
      </c>
      <c r="AQ1" s="31" t="s">
        <v>185</v>
      </c>
      <c r="AR1" s="31" t="s">
        <v>186</v>
      </c>
      <c r="AS1" s="31" t="s">
        <v>187</v>
      </c>
      <c r="AT1" s="31" t="s">
        <v>188</v>
      </c>
      <c r="AU1" s="31" t="s">
        <v>189</v>
      </c>
      <c r="AV1" s="31" t="s">
        <v>190</v>
      </c>
      <c r="AW1" s="31" t="s">
        <v>191</v>
      </c>
      <c r="AX1" s="31" t="s">
        <v>192</v>
      </c>
      <c r="AY1" s="31" t="s">
        <v>193</v>
      </c>
      <c r="AZ1" s="31" t="s">
        <v>194</v>
      </c>
      <c r="BA1" s="31" t="s">
        <v>195</v>
      </c>
      <c r="BB1" s="31" t="s">
        <v>196</v>
      </c>
      <c r="BC1" s="31" t="s">
        <v>197</v>
      </c>
      <c r="BD1" s="31" t="s">
        <v>198</v>
      </c>
      <c r="BE1" s="31" t="s">
        <v>199</v>
      </c>
      <c r="BF1" s="31" t="s">
        <v>200</v>
      </c>
      <c r="BG1" s="31" t="s">
        <v>201</v>
      </c>
      <c r="BH1" s="31" t="s">
        <v>202</v>
      </c>
      <c r="BI1" s="31" t="s">
        <v>203</v>
      </c>
      <c r="BJ1" s="31" t="s">
        <v>204</v>
      </c>
      <c r="BK1" s="31" t="s">
        <v>205</v>
      </c>
      <c r="BL1" s="31" t="s">
        <v>206</v>
      </c>
      <c r="BM1" s="31" t="s">
        <v>207</v>
      </c>
      <c r="BN1" s="31" t="s">
        <v>208</v>
      </c>
      <c r="BO1" s="31" t="s">
        <v>209</v>
      </c>
      <c r="BP1" s="31" t="s">
        <v>210</v>
      </c>
      <c r="BQ1" s="31" t="s">
        <v>211</v>
      </c>
      <c r="BR1" s="31" t="s">
        <v>212</v>
      </c>
      <c r="BS1" s="31" t="s">
        <v>213</v>
      </c>
      <c r="BT1" s="31" t="s">
        <v>214</v>
      </c>
      <c r="BU1" s="31" t="s">
        <v>215</v>
      </c>
      <c r="BV1" s="31" t="s">
        <v>216</v>
      </c>
      <c r="BW1" s="31" t="s">
        <v>217</v>
      </c>
      <c r="BX1" s="31" t="s">
        <v>218</v>
      </c>
      <c r="BY1" s="31" t="s">
        <v>219</v>
      </c>
      <c r="BZ1" s="31" t="s">
        <v>220</v>
      </c>
      <c r="CA1" s="31" t="s">
        <v>221</v>
      </c>
    </row>
    <row r="2" spans="1:79" x14ac:dyDescent="0.25">
      <c r="A2" s="31" t="s">
        <v>316</v>
      </c>
      <c r="B2" s="31" t="s">
        <v>325</v>
      </c>
      <c r="C2" s="31">
        <v>2019</v>
      </c>
      <c r="D2" s="31" t="s">
        <v>268</v>
      </c>
      <c r="E2" s="31">
        <v>2.02001299170592E+17</v>
      </c>
      <c r="F2" s="31" t="s">
        <v>225</v>
      </c>
      <c r="G2" s="31" t="s">
        <v>1066</v>
      </c>
      <c r="H2" s="31">
        <v>1378435</v>
      </c>
      <c r="I2" s="31"/>
      <c r="J2" s="31" t="s">
        <v>227</v>
      </c>
      <c r="K2" s="31" t="s">
        <v>228</v>
      </c>
      <c r="L2" s="31"/>
      <c r="M2" s="31"/>
      <c r="N2" s="31" t="s">
        <v>1067</v>
      </c>
      <c r="O2" s="31" t="s">
        <v>254</v>
      </c>
      <c r="P2" s="31"/>
      <c r="Q2" s="31" t="s">
        <v>255</v>
      </c>
      <c r="R2" s="31" t="s">
        <v>1068</v>
      </c>
      <c r="S2" s="31"/>
      <c r="T2" s="31" t="s">
        <v>1069</v>
      </c>
      <c r="U2" s="31"/>
      <c r="V2" s="31" t="s">
        <v>1070</v>
      </c>
      <c r="W2" s="31"/>
      <c r="X2" s="31" t="s">
        <v>1071</v>
      </c>
      <c r="Y2" s="31" t="s">
        <v>1072</v>
      </c>
      <c r="Z2" s="31">
        <v>15237</v>
      </c>
      <c r="AA2" s="31" t="s">
        <v>1073</v>
      </c>
      <c r="AB2" s="31" t="s">
        <v>1073</v>
      </c>
      <c r="AC2" s="31"/>
      <c r="AD2" s="31"/>
      <c r="AE2" s="31"/>
      <c r="AF2" s="31" t="s">
        <v>331</v>
      </c>
      <c r="AG2" s="31"/>
      <c r="AH2" s="31"/>
      <c r="AI2" s="31">
        <v>43815</v>
      </c>
      <c r="AJ2" s="31">
        <v>100</v>
      </c>
      <c r="AK2" s="31">
        <v>100</v>
      </c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 t="s">
        <v>332</v>
      </c>
      <c r="BG2" s="31"/>
      <c r="BH2" s="31"/>
      <c r="BI2" s="31"/>
      <c r="BJ2" s="31"/>
      <c r="BK2" s="31" t="s">
        <v>50</v>
      </c>
      <c r="BL2" s="31" t="s">
        <v>242</v>
      </c>
      <c r="BM2" s="31" t="s">
        <v>243</v>
      </c>
      <c r="BN2" s="31">
        <v>43894.298203321756</v>
      </c>
      <c r="BO2" s="31"/>
      <c r="BP2" s="31"/>
      <c r="BQ2" s="31"/>
      <c r="BR2" s="31" t="s">
        <v>257</v>
      </c>
      <c r="BS2" s="31">
        <v>4.02012020168638E+18</v>
      </c>
      <c r="BT2" s="31" t="s">
        <v>245</v>
      </c>
      <c r="BU2" s="31" t="s">
        <v>1074</v>
      </c>
      <c r="BV2" s="31">
        <v>2020</v>
      </c>
      <c r="BW2" s="31" t="s">
        <v>246</v>
      </c>
      <c r="BX2" s="31"/>
      <c r="BY2" s="31">
        <v>4.0302202012296602E+18</v>
      </c>
      <c r="BZ2" s="31" t="s">
        <v>1075</v>
      </c>
      <c r="CA2" s="31" t="s">
        <v>248</v>
      </c>
    </row>
    <row r="3" spans="1:79" x14ac:dyDescent="0.25">
      <c r="A3" s="31" t="s">
        <v>316</v>
      </c>
      <c r="B3" s="31" t="s">
        <v>325</v>
      </c>
      <c r="C3" s="31">
        <v>2020</v>
      </c>
      <c r="D3" s="31" t="s">
        <v>374</v>
      </c>
      <c r="E3" s="31">
        <v>2.0200221920071002E+17</v>
      </c>
      <c r="F3" s="31" t="s">
        <v>225</v>
      </c>
      <c r="G3" s="31" t="s">
        <v>1076</v>
      </c>
      <c r="H3" s="31">
        <v>1385527</v>
      </c>
      <c r="I3" s="31"/>
      <c r="J3" s="31" t="s">
        <v>227</v>
      </c>
      <c r="K3" s="31" t="s">
        <v>228</v>
      </c>
      <c r="L3" s="31"/>
      <c r="M3" s="31"/>
      <c r="N3" s="31" t="s">
        <v>1067</v>
      </c>
      <c r="O3" s="31" t="s">
        <v>254</v>
      </c>
      <c r="P3" s="31"/>
      <c r="Q3" s="31" t="s">
        <v>255</v>
      </c>
      <c r="R3" s="31" t="s">
        <v>1068</v>
      </c>
      <c r="S3" s="31"/>
      <c r="T3" s="31" t="s">
        <v>1069</v>
      </c>
      <c r="U3" s="31"/>
      <c r="V3" s="31" t="s">
        <v>1070</v>
      </c>
      <c r="W3" s="31"/>
      <c r="X3" s="31" t="s">
        <v>1071</v>
      </c>
      <c r="Y3" s="31" t="s">
        <v>1072</v>
      </c>
      <c r="Z3" s="31">
        <v>15237</v>
      </c>
      <c r="AA3" s="31" t="s">
        <v>1073</v>
      </c>
      <c r="AB3" s="31" t="s">
        <v>1073</v>
      </c>
      <c r="AC3" s="31"/>
      <c r="AD3" s="31"/>
      <c r="AE3" s="31"/>
      <c r="AF3" s="31" t="s">
        <v>331</v>
      </c>
      <c r="AG3" s="31"/>
      <c r="AH3" s="31"/>
      <c r="AI3" s="31">
        <v>43832</v>
      </c>
      <c r="AJ3" s="31">
        <v>100</v>
      </c>
      <c r="AK3" s="31">
        <v>100</v>
      </c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 t="s">
        <v>50</v>
      </c>
      <c r="BL3" s="31" t="s">
        <v>242</v>
      </c>
      <c r="BM3" s="31" t="s">
        <v>243</v>
      </c>
      <c r="BN3" s="31">
        <v>43915.263040891201</v>
      </c>
      <c r="BO3" s="31"/>
      <c r="BP3" s="31"/>
      <c r="BQ3" s="31"/>
      <c r="BR3" s="31" t="s">
        <v>257</v>
      </c>
      <c r="BS3" s="31">
        <v>4.02212020169344E+18</v>
      </c>
      <c r="BT3" s="31" t="s">
        <v>245</v>
      </c>
      <c r="BU3" s="31" t="s">
        <v>1074</v>
      </c>
      <c r="BV3" s="31">
        <v>2020</v>
      </c>
      <c r="BW3" s="31" t="s">
        <v>246</v>
      </c>
      <c r="BX3" s="31"/>
      <c r="BY3" s="31">
        <v>4.0324202017082998E+18</v>
      </c>
      <c r="BZ3" s="31" t="s">
        <v>1077</v>
      </c>
      <c r="CA3" s="31" t="s">
        <v>248</v>
      </c>
    </row>
    <row r="4" spans="1:79" x14ac:dyDescent="0.25">
      <c r="A4" s="31" t="s">
        <v>316</v>
      </c>
      <c r="B4" s="31" t="s">
        <v>325</v>
      </c>
      <c r="C4" s="31">
        <v>2020</v>
      </c>
      <c r="D4" s="31" t="s">
        <v>386</v>
      </c>
      <c r="E4" s="31">
        <v>2.0200320921134899E+17</v>
      </c>
      <c r="F4" s="31" t="s">
        <v>225</v>
      </c>
      <c r="G4" s="31" t="s">
        <v>1078</v>
      </c>
      <c r="H4" s="31">
        <v>1391686</v>
      </c>
      <c r="I4" s="31"/>
      <c r="J4" s="31" t="s">
        <v>227</v>
      </c>
      <c r="K4" s="31" t="s">
        <v>228</v>
      </c>
      <c r="L4" s="31"/>
      <c r="M4" s="31"/>
      <c r="N4" s="31" t="s">
        <v>1067</v>
      </c>
      <c r="O4" s="31" t="s">
        <v>254</v>
      </c>
      <c r="P4" s="31"/>
      <c r="Q4" s="31" t="s">
        <v>255</v>
      </c>
      <c r="R4" s="31" t="s">
        <v>1068</v>
      </c>
      <c r="S4" s="31"/>
      <c r="T4" s="31" t="s">
        <v>1069</v>
      </c>
      <c r="U4" s="31"/>
      <c r="V4" s="31" t="s">
        <v>1070</v>
      </c>
      <c r="W4" s="31"/>
      <c r="X4" s="31" t="s">
        <v>1071</v>
      </c>
      <c r="Y4" s="31" t="s">
        <v>1072</v>
      </c>
      <c r="Z4" s="31">
        <v>15237</v>
      </c>
      <c r="AA4" s="31" t="s">
        <v>1073</v>
      </c>
      <c r="AB4" s="31" t="s">
        <v>1073</v>
      </c>
      <c r="AC4" s="31"/>
      <c r="AD4" s="31"/>
      <c r="AE4" s="31"/>
      <c r="AF4" s="31" t="s">
        <v>331</v>
      </c>
      <c r="AG4" s="31"/>
      <c r="AH4" s="31"/>
      <c r="AI4" s="31">
        <v>43863</v>
      </c>
      <c r="AJ4" s="31">
        <v>25</v>
      </c>
      <c r="AK4" s="31">
        <v>125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 t="s">
        <v>50</v>
      </c>
      <c r="BL4" s="31" t="s">
        <v>242</v>
      </c>
      <c r="BM4" s="31" t="s">
        <v>243</v>
      </c>
      <c r="BN4" s="31">
        <v>43924.473267141206</v>
      </c>
      <c r="BO4" s="31"/>
      <c r="BP4" s="31"/>
      <c r="BQ4" s="31"/>
      <c r="BR4" s="31" t="s">
        <v>257</v>
      </c>
      <c r="BS4" s="31">
        <v>4.0323202017043999E+18</v>
      </c>
      <c r="BT4" s="31" t="s">
        <v>245</v>
      </c>
      <c r="BU4" s="31" t="s">
        <v>1074</v>
      </c>
      <c r="BV4" s="31">
        <v>2020</v>
      </c>
      <c r="BW4" s="31" t="s">
        <v>246</v>
      </c>
      <c r="BX4" s="31"/>
      <c r="BY4" s="31">
        <v>4.0402202017252803E+18</v>
      </c>
      <c r="BZ4" s="31" t="s">
        <v>1079</v>
      </c>
      <c r="CA4" s="31" t="s">
        <v>248</v>
      </c>
    </row>
    <row r="5" spans="1:79" x14ac:dyDescent="0.25">
      <c r="A5" s="31" t="s">
        <v>316</v>
      </c>
      <c r="B5" s="31" t="s">
        <v>325</v>
      </c>
      <c r="C5" s="31">
        <v>2020</v>
      </c>
      <c r="D5" s="31" t="s">
        <v>408</v>
      </c>
      <c r="E5" s="31">
        <v>2.0200421922913798E+17</v>
      </c>
      <c r="F5" s="31" t="s">
        <v>225</v>
      </c>
      <c r="G5" s="31" t="s">
        <v>1080</v>
      </c>
      <c r="H5" s="31">
        <v>1402724</v>
      </c>
      <c r="I5" s="31"/>
      <c r="J5" s="31" t="s">
        <v>227</v>
      </c>
      <c r="K5" s="31" t="s">
        <v>228</v>
      </c>
      <c r="L5" s="31"/>
      <c r="M5" s="31"/>
      <c r="N5" s="31" t="s">
        <v>1067</v>
      </c>
      <c r="O5" s="31" t="s">
        <v>254</v>
      </c>
      <c r="P5" s="31"/>
      <c r="Q5" s="31" t="s">
        <v>255</v>
      </c>
      <c r="R5" s="31" t="s">
        <v>1068</v>
      </c>
      <c r="S5" s="31"/>
      <c r="T5" s="31" t="s">
        <v>1069</v>
      </c>
      <c r="U5" s="31"/>
      <c r="V5" s="31" t="s">
        <v>1070</v>
      </c>
      <c r="W5" s="31"/>
      <c r="X5" s="31" t="s">
        <v>1071</v>
      </c>
      <c r="Y5" s="31" t="s">
        <v>1072</v>
      </c>
      <c r="Z5" s="31">
        <v>15237</v>
      </c>
      <c r="AA5" s="31" t="s">
        <v>1073</v>
      </c>
      <c r="AB5" s="31" t="s">
        <v>1073</v>
      </c>
      <c r="AC5" s="31"/>
      <c r="AD5" s="31"/>
      <c r="AE5" s="31"/>
      <c r="AF5" s="31" t="s">
        <v>331</v>
      </c>
      <c r="AG5" s="31"/>
      <c r="AH5" s="31"/>
      <c r="AI5" s="31">
        <v>43892</v>
      </c>
      <c r="AJ5" s="31">
        <v>25</v>
      </c>
      <c r="AK5" s="31">
        <v>150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 t="s">
        <v>50</v>
      </c>
      <c r="BL5" s="31" t="s">
        <v>242</v>
      </c>
      <c r="BM5" s="31" t="s">
        <v>243</v>
      </c>
      <c r="BN5" s="31">
        <v>43966.323171793978</v>
      </c>
      <c r="BO5" s="31"/>
      <c r="BP5" s="31"/>
      <c r="BQ5" s="31"/>
      <c r="BR5" s="31" t="s">
        <v>257</v>
      </c>
      <c r="BS5" s="31">
        <v>4.0420202017373501E+18</v>
      </c>
      <c r="BT5" s="31" t="s">
        <v>245</v>
      </c>
      <c r="BU5" s="31" t="s">
        <v>1074</v>
      </c>
      <c r="BV5" s="31">
        <v>2020</v>
      </c>
      <c r="BW5" s="31" t="s">
        <v>246</v>
      </c>
      <c r="BX5" s="31"/>
      <c r="BY5" s="31">
        <v>4.0514202017475599E+18</v>
      </c>
      <c r="BZ5" s="31" t="s">
        <v>1081</v>
      </c>
      <c r="CA5" s="31" t="s">
        <v>248</v>
      </c>
    </row>
    <row r="6" spans="1:79" x14ac:dyDescent="0.25">
      <c r="A6" s="31" t="s">
        <v>1082</v>
      </c>
      <c r="B6" s="31" t="s">
        <v>1083</v>
      </c>
      <c r="C6" s="31">
        <v>2020</v>
      </c>
      <c r="D6" s="31" t="s">
        <v>408</v>
      </c>
      <c r="E6" s="31">
        <v>2.0200715924997101E+17</v>
      </c>
      <c r="F6" s="31" t="s">
        <v>269</v>
      </c>
      <c r="G6" s="31">
        <v>1611598</v>
      </c>
      <c r="H6" s="31">
        <v>1424519</v>
      </c>
      <c r="I6" s="31"/>
      <c r="J6" s="31" t="s">
        <v>227</v>
      </c>
      <c r="K6" s="31" t="s">
        <v>228</v>
      </c>
      <c r="L6" s="31" t="s">
        <v>316</v>
      </c>
      <c r="M6" s="31"/>
      <c r="N6" s="31" t="s">
        <v>1067</v>
      </c>
      <c r="O6" s="31" t="s">
        <v>28</v>
      </c>
      <c r="P6" s="31"/>
      <c r="Q6" s="31" t="s">
        <v>28</v>
      </c>
      <c r="R6" s="31" t="s">
        <v>1068</v>
      </c>
      <c r="S6" s="31"/>
      <c r="T6" s="31" t="s">
        <v>1069</v>
      </c>
      <c r="U6" s="31"/>
      <c r="V6" s="31" t="s">
        <v>1084</v>
      </c>
      <c r="W6" s="31"/>
      <c r="X6" s="31" t="s">
        <v>1071</v>
      </c>
      <c r="Y6" s="31" t="s">
        <v>1072</v>
      </c>
      <c r="Z6" s="31">
        <v>152373908</v>
      </c>
      <c r="AA6" s="31" t="s">
        <v>1073</v>
      </c>
      <c r="AB6" s="31" t="s">
        <v>1073</v>
      </c>
      <c r="AC6" s="31" t="s">
        <v>316</v>
      </c>
      <c r="AD6" s="31" t="s">
        <v>237</v>
      </c>
      <c r="AE6" s="31" t="s">
        <v>238</v>
      </c>
      <c r="AF6" s="31"/>
      <c r="AG6" s="31"/>
      <c r="AH6" s="31"/>
      <c r="AI6" s="31">
        <v>43892</v>
      </c>
      <c r="AJ6" s="31">
        <v>25</v>
      </c>
      <c r="AK6" s="31">
        <v>250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 t="s">
        <v>278</v>
      </c>
      <c r="BH6" s="31"/>
      <c r="BI6" s="31" t="s">
        <v>279</v>
      </c>
      <c r="BJ6" s="31">
        <v>2020</v>
      </c>
      <c r="BK6" s="31" t="s">
        <v>0</v>
      </c>
      <c r="BL6" s="31" t="s">
        <v>633</v>
      </c>
      <c r="BM6" s="31" t="s">
        <v>243</v>
      </c>
      <c r="BN6" s="31">
        <v>44029.117212037039</v>
      </c>
      <c r="BO6" s="31"/>
      <c r="BP6" s="31" t="s">
        <v>1085</v>
      </c>
      <c r="BQ6" s="31" t="s">
        <v>281</v>
      </c>
      <c r="BR6" s="31" t="s">
        <v>282</v>
      </c>
      <c r="BS6" s="31">
        <v>4.0716202017908598E+18</v>
      </c>
      <c r="BT6" s="31" t="s">
        <v>245</v>
      </c>
      <c r="BU6" s="31" t="s">
        <v>283</v>
      </c>
      <c r="BV6" s="31">
        <v>2020</v>
      </c>
      <c r="BW6" s="31" t="s">
        <v>246</v>
      </c>
      <c r="BX6" s="31"/>
      <c r="BY6" s="31">
        <v>4.0716202017909002E+18</v>
      </c>
      <c r="BZ6" s="31" t="s">
        <v>1086</v>
      </c>
      <c r="CA6" s="31" t="s">
        <v>248</v>
      </c>
    </row>
    <row r="7" spans="1:79" x14ac:dyDescent="0.25">
      <c r="A7" s="31" t="s">
        <v>1082</v>
      </c>
      <c r="B7" s="31" t="s">
        <v>1083</v>
      </c>
      <c r="C7" s="31">
        <v>2020</v>
      </c>
      <c r="D7" s="31" t="s">
        <v>386</v>
      </c>
      <c r="E7" s="31">
        <v>2.0200715924995101E+17</v>
      </c>
      <c r="F7" s="31" t="s">
        <v>269</v>
      </c>
      <c r="G7" s="31">
        <v>1250568</v>
      </c>
      <c r="H7" s="31">
        <v>1424472</v>
      </c>
      <c r="I7" s="31"/>
      <c r="J7" s="31" t="s">
        <v>227</v>
      </c>
      <c r="K7" s="31" t="s">
        <v>228</v>
      </c>
      <c r="L7" s="31"/>
      <c r="M7" s="31"/>
      <c r="N7" s="31" t="s">
        <v>1067</v>
      </c>
      <c r="O7" s="31" t="s">
        <v>28</v>
      </c>
      <c r="P7" s="31"/>
      <c r="Q7" s="31" t="s">
        <v>28</v>
      </c>
      <c r="R7" s="31" t="s">
        <v>1068</v>
      </c>
      <c r="S7" s="31"/>
      <c r="T7" s="31" t="s">
        <v>1069</v>
      </c>
      <c r="U7" s="31"/>
      <c r="V7" s="31" t="s">
        <v>1084</v>
      </c>
      <c r="W7" s="31"/>
      <c r="X7" s="31" t="s">
        <v>1071</v>
      </c>
      <c r="Y7" s="31" t="s">
        <v>1072</v>
      </c>
      <c r="Z7" s="31">
        <v>152373908</v>
      </c>
      <c r="AA7" s="31" t="s">
        <v>1073</v>
      </c>
      <c r="AB7" s="31" t="s">
        <v>1073</v>
      </c>
      <c r="AC7" s="31"/>
      <c r="AD7" s="31" t="s">
        <v>237</v>
      </c>
      <c r="AE7" s="31" t="s">
        <v>238</v>
      </c>
      <c r="AF7" s="31"/>
      <c r="AG7" s="31"/>
      <c r="AH7" s="31"/>
      <c r="AI7" s="31">
        <v>43863</v>
      </c>
      <c r="AJ7" s="31">
        <v>25</v>
      </c>
      <c r="AK7" s="31">
        <v>225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 t="s">
        <v>278</v>
      </c>
      <c r="BH7" s="31"/>
      <c r="BI7" s="31" t="s">
        <v>279</v>
      </c>
      <c r="BJ7" s="31">
        <v>2020</v>
      </c>
      <c r="BK7" s="31" t="s">
        <v>50</v>
      </c>
      <c r="BL7" s="31" t="s">
        <v>242</v>
      </c>
      <c r="BM7" s="31" t="s">
        <v>243</v>
      </c>
      <c r="BN7" s="31">
        <v>44033.136889791669</v>
      </c>
      <c r="BO7" s="31"/>
      <c r="BP7" s="31" t="s">
        <v>1087</v>
      </c>
      <c r="BQ7" s="31" t="s">
        <v>281</v>
      </c>
      <c r="BR7" s="31" t="s">
        <v>282</v>
      </c>
      <c r="BS7" s="31">
        <v>4.0716202017908598E+18</v>
      </c>
      <c r="BT7" s="31" t="s">
        <v>245</v>
      </c>
      <c r="BU7" s="31" t="s">
        <v>283</v>
      </c>
      <c r="BV7" s="31">
        <v>2020</v>
      </c>
      <c r="BW7" s="31" t="s">
        <v>246</v>
      </c>
      <c r="BX7" s="31"/>
      <c r="BY7" s="31">
        <v>4.0720202017919698E+18</v>
      </c>
      <c r="BZ7" s="31" t="s">
        <v>1088</v>
      </c>
      <c r="CA7" s="31" t="s">
        <v>248</v>
      </c>
    </row>
    <row r="9" spans="1:79" x14ac:dyDescent="0.25">
      <c r="V9" t="str">
        <f>+V5&amp;X5&amp;Y5&amp;Z5</f>
        <v>117 LEE ROADPITTSBURGHPA15237</v>
      </c>
    </row>
    <row r="10" spans="1:79" x14ac:dyDescent="0.25">
      <c r="A10" s="27" t="s">
        <v>261</v>
      </c>
      <c r="B10" t="s">
        <v>263</v>
      </c>
    </row>
    <row r="11" spans="1:79" x14ac:dyDescent="0.25">
      <c r="A11" s="28" t="s">
        <v>325</v>
      </c>
      <c r="B11" s="2">
        <v>250</v>
      </c>
    </row>
    <row r="12" spans="1:79" x14ac:dyDescent="0.25">
      <c r="A12" s="28" t="s">
        <v>1083</v>
      </c>
      <c r="B12" s="2">
        <v>50</v>
      </c>
    </row>
    <row r="13" spans="1:79" x14ac:dyDescent="0.25">
      <c r="A13" s="28" t="s">
        <v>262</v>
      </c>
      <c r="B13" s="2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30"/>
  <sheetViews>
    <sheetView topLeftCell="T401" workbookViewId="0">
      <selection activeCell="V410" sqref="V410"/>
    </sheetView>
  </sheetViews>
  <sheetFormatPr defaultRowHeight="12.75" x14ac:dyDescent="0.2"/>
  <cols>
    <col min="1" max="1" width="54.28515625" style="31" bestFit="1" customWidth="1"/>
    <col min="2" max="2" width="34.5703125" style="31" customWidth="1"/>
    <col min="3" max="3" width="9.85546875" style="31" bestFit="1" customWidth="1"/>
    <col min="4" max="4" width="10" style="31" bestFit="1" customWidth="1"/>
    <col min="5" max="5" width="12.140625" style="31" bestFit="1" customWidth="1"/>
    <col min="6" max="6" width="10.42578125" style="31" bestFit="1" customWidth="1"/>
    <col min="7" max="7" width="16" style="31" bestFit="1" customWidth="1"/>
    <col min="8" max="8" width="10" style="31" bestFit="1" customWidth="1"/>
    <col min="9" max="9" width="13.85546875" style="31" bestFit="1" customWidth="1"/>
    <col min="10" max="10" width="9.85546875" style="31" bestFit="1" customWidth="1"/>
    <col min="11" max="11" width="14.5703125" style="31" bestFit="1" customWidth="1"/>
    <col min="12" max="12" width="15.28515625" style="31" bestFit="1" customWidth="1"/>
    <col min="13" max="13" width="14.85546875" style="31" bestFit="1" customWidth="1"/>
    <col min="14" max="14" width="16" style="31" bestFit="1" customWidth="1"/>
    <col min="15" max="15" width="21" style="31" bestFit="1" customWidth="1"/>
    <col min="16" max="16" width="24.7109375" style="31" bestFit="1" customWidth="1"/>
    <col min="17" max="17" width="26.85546875" style="31" bestFit="1" customWidth="1"/>
    <col min="18" max="18" width="18.85546875" style="31" bestFit="1" customWidth="1"/>
    <col min="19" max="19" width="20.85546875" style="31" bestFit="1" customWidth="1"/>
    <col min="20" max="20" width="18.5703125" style="31" bestFit="1" customWidth="1"/>
    <col min="21" max="21" width="14.85546875" style="31" bestFit="1" customWidth="1"/>
    <col min="22" max="22" width="31" style="31" bestFit="1" customWidth="1"/>
    <col min="23" max="23" width="16.85546875" style="31" bestFit="1" customWidth="1"/>
    <col min="24" max="24" width="13.5703125" style="31" bestFit="1" customWidth="1"/>
    <col min="25" max="25" width="14.42578125" style="31" bestFit="1" customWidth="1"/>
    <col min="26" max="26" width="12.7109375" style="31" bestFit="1" customWidth="1"/>
    <col min="27" max="27" width="25" style="31" bestFit="1" customWidth="1"/>
    <col min="28" max="28" width="22.140625" style="31" bestFit="1" customWidth="1"/>
    <col min="29" max="29" width="12" style="31" bestFit="1" customWidth="1"/>
    <col min="30" max="30" width="10.5703125" style="31" bestFit="1" customWidth="1"/>
    <col min="31" max="31" width="46" style="31" bestFit="1" customWidth="1"/>
    <col min="32" max="32" width="26.7109375" style="31" bestFit="1" customWidth="1"/>
    <col min="33" max="33" width="10.140625" style="31" bestFit="1" customWidth="1"/>
    <col min="34" max="34" width="13.7109375" style="31" bestFit="1" customWidth="1"/>
    <col min="35" max="35" width="21.140625" style="31" bestFit="1" customWidth="1"/>
    <col min="36" max="36" width="23.7109375" style="31" bestFit="1" customWidth="1"/>
    <col min="37" max="37" width="22.140625" style="31" bestFit="1" customWidth="1"/>
    <col min="38" max="38" width="10.85546875" style="31" bestFit="1" customWidth="1"/>
    <col min="39" max="39" width="13.5703125" style="31" bestFit="1" customWidth="1"/>
    <col min="40" max="40" width="17.7109375" style="31" bestFit="1" customWidth="1"/>
    <col min="41" max="41" width="17.42578125" style="31" bestFit="1" customWidth="1"/>
    <col min="42" max="42" width="19.7109375" style="31" bestFit="1" customWidth="1"/>
    <col min="43" max="44" width="13.7109375" style="31" bestFit="1" customWidth="1"/>
    <col min="45" max="45" width="13.85546875" style="31" bestFit="1" customWidth="1"/>
    <col min="46" max="46" width="17.42578125" style="31" bestFit="1" customWidth="1"/>
    <col min="47" max="47" width="18.7109375" style="31" bestFit="1" customWidth="1"/>
    <col min="48" max="48" width="22.28515625" style="31" bestFit="1" customWidth="1"/>
    <col min="49" max="49" width="20.28515625" style="31" bestFit="1" customWidth="1"/>
    <col min="50" max="50" width="18.28515625" style="31" bestFit="1" customWidth="1"/>
    <col min="51" max="51" width="20.85546875" style="31" bestFit="1" customWidth="1"/>
    <col min="52" max="53" width="22.140625" style="31" bestFit="1" customWidth="1"/>
    <col min="54" max="54" width="19.7109375" style="31" bestFit="1" customWidth="1"/>
    <col min="55" max="55" width="20.5703125" style="31" bestFit="1" customWidth="1"/>
    <col min="56" max="56" width="19" style="31" bestFit="1" customWidth="1"/>
    <col min="57" max="57" width="19.5703125" style="31" bestFit="1" customWidth="1"/>
    <col min="58" max="58" width="32.85546875" style="31" bestFit="1" customWidth="1"/>
    <col min="59" max="59" width="11.42578125" style="31" bestFit="1" customWidth="1"/>
    <col min="60" max="60" width="17.28515625" style="31" bestFit="1" customWidth="1"/>
    <col min="61" max="61" width="19.5703125" style="31" bestFit="1" customWidth="1"/>
    <col min="62" max="62" width="14.7109375" style="31" bestFit="1" customWidth="1"/>
    <col min="63" max="63" width="17.7109375" style="31" bestFit="1" customWidth="1"/>
    <col min="64" max="64" width="22.42578125" style="31" bestFit="1" customWidth="1"/>
    <col min="65" max="65" width="18.140625" style="31" bestFit="1" customWidth="1"/>
    <col min="66" max="66" width="11.5703125" style="31" bestFit="1" customWidth="1"/>
    <col min="67" max="67" width="13.140625" style="31" bestFit="1" customWidth="1"/>
    <col min="68" max="68" width="25" style="31" bestFit="1" customWidth="1"/>
    <col min="69" max="69" width="26" style="31" bestFit="1" customWidth="1"/>
    <col min="70" max="70" width="9.28515625" style="31" bestFit="1" customWidth="1"/>
    <col min="71" max="71" width="10.7109375" style="31" bestFit="1" customWidth="1"/>
    <col min="72" max="72" width="10.85546875" style="31" bestFit="1" customWidth="1"/>
    <col min="73" max="73" width="105.42578125" style="31" bestFit="1" customWidth="1"/>
    <col min="74" max="74" width="24" style="31" bestFit="1" customWidth="1"/>
    <col min="75" max="75" width="12.28515625" style="31" bestFit="1" customWidth="1"/>
    <col min="76" max="76" width="12.42578125" style="31" bestFit="1" customWidth="1"/>
    <col min="77" max="77" width="10.7109375" style="31" bestFit="1" customWidth="1"/>
    <col min="78" max="78" width="49.5703125" style="31" bestFit="1" customWidth="1"/>
    <col min="79" max="79" width="58" style="31" bestFit="1" customWidth="1"/>
    <col min="80" max="16384" width="9.140625" style="31"/>
  </cols>
  <sheetData>
    <row r="1" spans="1:79" x14ac:dyDescent="0.2">
      <c r="A1" s="31" t="s">
        <v>144</v>
      </c>
      <c r="B1" s="31" t="s">
        <v>145</v>
      </c>
      <c r="C1" s="31" t="s">
        <v>146</v>
      </c>
      <c r="D1" s="31" t="s">
        <v>147</v>
      </c>
      <c r="E1" s="31" t="s">
        <v>148</v>
      </c>
      <c r="F1" s="31" t="s">
        <v>149</v>
      </c>
      <c r="G1" s="31" t="s">
        <v>150</v>
      </c>
      <c r="H1" s="31" t="s">
        <v>151</v>
      </c>
      <c r="I1" s="31" t="s">
        <v>145</v>
      </c>
      <c r="J1" s="31" t="s">
        <v>152</v>
      </c>
      <c r="K1" s="31" t="s">
        <v>153</v>
      </c>
      <c r="L1" s="31" t="s">
        <v>154</v>
      </c>
      <c r="M1" s="31" t="s">
        <v>155</v>
      </c>
      <c r="N1" s="31" t="s">
        <v>156</v>
      </c>
      <c r="O1" s="31" t="s">
        <v>157</v>
      </c>
      <c r="P1" s="31" t="s">
        <v>158</v>
      </c>
      <c r="Q1" s="31" t="s">
        <v>159</v>
      </c>
      <c r="R1" s="31" t="s">
        <v>160</v>
      </c>
      <c r="S1" s="31" t="s">
        <v>161</v>
      </c>
      <c r="T1" s="31" t="s">
        <v>162</v>
      </c>
      <c r="U1" s="31" t="s">
        <v>163</v>
      </c>
      <c r="V1" s="31" t="s">
        <v>164</v>
      </c>
      <c r="W1" s="31" t="s">
        <v>165</v>
      </c>
      <c r="X1" s="31" t="s">
        <v>166</v>
      </c>
      <c r="Y1" s="31" t="s">
        <v>167</v>
      </c>
      <c r="Z1" s="31" t="s">
        <v>168</v>
      </c>
      <c r="AA1" s="31" t="s">
        <v>169</v>
      </c>
      <c r="AB1" s="31" t="s">
        <v>170</v>
      </c>
      <c r="AC1" s="31" t="s">
        <v>171</v>
      </c>
      <c r="AD1" s="31" t="s">
        <v>172</v>
      </c>
      <c r="AE1" s="31" t="s">
        <v>173</v>
      </c>
      <c r="AF1" s="31" t="s">
        <v>174</v>
      </c>
      <c r="AG1" s="31" t="s">
        <v>175</v>
      </c>
      <c r="AH1" s="31" t="s">
        <v>176</v>
      </c>
      <c r="AI1" s="31" t="s">
        <v>177</v>
      </c>
      <c r="AJ1" s="31" t="s">
        <v>178</v>
      </c>
      <c r="AK1" s="31" t="s">
        <v>179</v>
      </c>
      <c r="AL1" s="31" t="s">
        <v>180</v>
      </c>
      <c r="AM1" s="31" t="s">
        <v>181</v>
      </c>
      <c r="AN1" s="31" t="s">
        <v>182</v>
      </c>
      <c r="AO1" s="31" t="s">
        <v>183</v>
      </c>
      <c r="AP1" s="31" t="s">
        <v>184</v>
      </c>
      <c r="AQ1" s="31" t="s">
        <v>185</v>
      </c>
      <c r="AR1" s="31" t="s">
        <v>186</v>
      </c>
      <c r="AS1" s="31" t="s">
        <v>187</v>
      </c>
      <c r="AT1" s="31" t="s">
        <v>188</v>
      </c>
      <c r="AU1" s="31" t="s">
        <v>189</v>
      </c>
      <c r="AV1" s="31" t="s">
        <v>190</v>
      </c>
      <c r="AW1" s="31" t="s">
        <v>191</v>
      </c>
      <c r="AX1" s="31" t="s">
        <v>192</v>
      </c>
      <c r="AY1" s="31" t="s">
        <v>193</v>
      </c>
      <c r="AZ1" s="31" t="s">
        <v>194</v>
      </c>
      <c r="BA1" s="31" t="s">
        <v>195</v>
      </c>
      <c r="BB1" s="31" t="s">
        <v>196</v>
      </c>
      <c r="BC1" s="31" t="s">
        <v>197</v>
      </c>
      <c r="BD1" s="31" t="s">
        <v>198</v>
      </c>
      <c r="BE1" s="31" t="s">
        <v>199</v>
      </c>
      <c r="BF1" s="31" t="s">
        <v>200</v>
      </c>
      <c r="BG1" s="31" t="s">
        <v>201</v>
      </c>
      <c r="BH1" s="31" t="s">
        <v>202</v>
      </c>
      <c r="BI1" s="31" t="s">
        <v>203</v>
      </c>
      <c r="BJ1" s="31" t="s">
        <v>204</v>
      </c>
      <c r="BK1" s="31" t="s">
        <v>205</v>
      </c>
      <c r="BL1" s="31" t="s">
        <v>206</v>
      </c>
      <c r="BM1" s="31" t="s">
        <v>207</v>
      </c>
      <c r="BN1" s="31" t="s">
        <v>208</v>
      </c>
      <c r="BO1" s="31" t="s">
        <v>209</v>
      </c>
      <c r="BP1" s="31" t="s">
        <v>210</v>
      </c>
      <c r="BQ1" s="31" t="s">
        <v>211</v>
      </c>
      <c r="BR1" s="31" t="s">
        <v>212</v>
      </c>
      <c r="BS1" s="31" t="s">
        <v>213</v>
      </c>
      <c r="BT1" s="31" t="s">
        <v>214</v>
      </c>
      <c r="BU1" s="31" t="s">
        <v>215</v>
      </c>
      <c r="BV1" s="31" t="s">
        <v>216</v>
      </c>
      <c r="BW1" s="31" t="s">
        <v>217</v>
      </c>
      <c r="BX1" s="31" t="s">
        <v>218</v>
      </c>
      <c r="BY1" s="31" t="s">
        <v>219</v>
      </c>
      <c r="BZ1" s="31" t="s">
        <v>220</v>
      </c>
      <c r="CA1" s="31" t="s">
        <v>221</v>
      </c>
    </row>
    <row r="2" spans="1:79" x14ac:dyDescent="0.2">
      <c r="A2" s="31" t="s">
        <v>286</v>
      </c>
      <c r="B2" s="31" t="s">
        <v>287</v>
      </c>
      <c r="C2" s="31">
        <v>2020</v>
      </c>
      <c r="D2" s="31" t="s">
        <v>288</v>
      </c>
      <c r="E2" s="31">
        <v>2.0200919927528198E+17</v>
      </c>
      <c r="F2" s="31" t="s">
        <v>225</v>
      </c>
      <c r="G2" s="31" t="s">
        <v>289</v>
      </c>
      <c r="H2" s="31">
        <v>1439904</v>
      </c>
      <c r="J2" s="31" t="s">
        <v>227</v>
      </c>
      <c r="K2" s="31" t="s">
        <v>228</v>
      </c>
      <c r="N2" s="31" t="s">
        <v>290</v>
      </c>
      <c r="O2" s="31" t="s">
        <v>66</v>
      </c>
      <c r="Q2" s="31" t="s">
        <v>255</v>
      </c>
      <c r="R2" s="31" t="s">
        <v>291</v>
      </c>
      <c r="T2" s="31" t="s">
        <v>292</v>
      </c>
      <c r="V2" s="31" t="s">
        <v>293</v>
      </c>
      <c r="X2" s="31" t="s">
        <v>294</v>
      </c>
      <c r="Y2" s="31" t="s">
        <v>295</v>
      </c>
      <c r="Z2" s="31">
        <v>303121941</v>
      </c>
      <c r="AA2" s="31" t="s">
        <v>296</v>
      </c>
      <c r="AB2" s="31" t="s">
        <v>297</v>
      </c>
      <c r="AD2" s="31">
        <v>15</v>
      </c>
      <c r="AE2" s="31" t="s">
        <v>298</v>
      </c>
      <c r="AI2" s="32">
        <v>44053</v>
      </c>
      <c r="AJ2" s="31">
        <v>25</v>
      </c>
      <c r="AK2" s="31">
        <v>450</v>
      </c>
      <c r="BG2" s="31" t="s">
        <v>28</v>
      </c>
      <c r="BI2" s="31" t="s">
        <v>279</v>
      </c>
      <c r="BK2" s="31" t="s">
        <v>50</v>
      </c>
      <c r="BL2" s="31" t="s">
        <v>242</v>
      </c>
      <c r="BM2" s="31" t="s">
        <v>243</v>
      </c>
      <c r="BN2" s="33">
        <v>44106.151153240738</v>
      </c>
      <c r="BR2" s="31" t="s">
        <v>257</v>
      </c>
      <c r="BS2" s="31">
        <v>4.0920202018491402E+18</v>
      </c>
      <c r="BT2" s="31" t="s">
        <v>245</v>
      </c>
      <c r="BV2" s="31">
        <v>2020</v>
      </c>
      <c r="BW2" s="31" t="s">
        <v>246</v>
      </c>
      <c r="BY2" s="31">
        <v>4.1002202018559401E+18</v>
      </c>
      <c r="BZ2" s="31" t="s">
        <v>299</v>
      </c>
      <c r="CA2" s="31" t="s">
        <v>248</v>
      </c>
    </row>
    <row r="3" spans="1:79" x14ac:dyDescent="0.2">
      <c r="A3" s="31" t="s">
        <v>286</v>
      </c>
      <c r="B3" s="31" t="s">
        <v>287</v>
      </c>
      <c r="C3" s="31">
        <v>2020</v>
      </c>
      <c r="D3" s="31" t="s">
        <v>288</v>
      </c>
      <c r="E3" s="31">
        <v>2.0200919927528198E+17</v>
      </c>
      <c r="F3" s="31" t="s">
        <v>225</v>
      </c>
      <c r="G3" s="31" t="s">
        <v>300</v>
      </c>
      <c r="H3" s="31">
        <v>1439904</v>
      </c>
      <c r="J3" s="31" t="s">
        <v>227</v>
      </c>
      <c r="K3" s="31" t="s">
        <v>228</v>
      </c>
      <c r="N3" s="31" t="s">
        <v>290</v>
      </c>
      <c r="O3" s="31" t="s">
        <v>66</v>
      </c>
      <c r="Q3" s="31" t="s">
        <v>255</v>
      </c>
      <c r="R3" s="31" t="s">
        <v>291</v>
      </c>
      <c r="T3" s="31" t="s">
        <v>292</v>
      </c>
      <c r="V3" s="31" t="s">
        <v>293</v>
      </c>
      <c r="X3" s="31" t="s">
        <v>294</v>
      </c>
      <c r="Y3" s="31" t="s">
        <v>295</v>
      </c>
      <c r="Z3" s="31">
        <v>303121941</v>
      </c>
      <c r="AA3" s="31" t="s">
        <v>296</v>
      </c>
      <c r="AB3" s="31" t="s">
        <v>297</v>
      </c>
      <c r="AD3" s="31">
        <v>15</v>
      </c>
      <c r="AE3" s="31" t="s">
        <v>298</v>
      </c>
      <c r="AI3" s="32">
        <v>44074</v>
      </c>
      <c r="AJ3" s="31">
        <v>25</v>
      </c>
      <c r="AK3" s="31">
        <v>450</v>
      </c>
      <c r="BG3" s="31" t="s">
        <v>28</v>
      </c>
      <c r="BI3" s="31" t="s">
        <v>279</v>
      </c>
      <c r="BK3" s="31" t="s">
        <v>50</v>
      </c>
      <c r="BL3" s="31" t="s">
        <v>242</v>
      </c>
      <c r="BM3" s="31" t="s">
        <v>243</v>
      </c>
      <c r="BN3" s="33">
        <v>44106.151153240738</v>
      </c>
      <c r="BR3" s="31" t="s">
        <v>257</v>
      </c>
      <c r="BS3" s="31">
        <v>4.0920202018491402E+18</v>
      </c>
      <c r="BT3" s="31" t="s">
        <v>245</v>
      </c>
      <c r="BV3" s="31">
        <v>2020</v>
      </c>
      <c r="BW3" s="31" t="s">
        <v>246</v>
      </c>
      <c r="BY3" s="31">
        <v>4.1002202018559401E+18</v>
      </c>
      <c r="BZ3" s="31" t="s">
        <v>299</v>
      </c>
      <c r="CA3" s="31" t="s">
        <v>248</v>
      </c>
    </row>
    <row r="4" spans="1:79" x14ac:dyDescent="0.2">
      <c r="A4" s="31" t="s">
        <v>286</v>
      </c>
      <c r="B4" s="31" t="s">
        <v>287</v>
      </c>
      <c r="C4" s="31">
        <v>2020</v>
      </c>
      <c r="D4" s="31" t="s">
        <v>268</v>
      </c>
      <c r="E4" s="31">
        <v>2.0210129941384099E+17</v>
      </c>
      <c r="F4" s="31" t="s">
        <v>225</v>
      </c>
      <c r="G4" s="31" t="s">
        <v>301</v>
      </c>
      <c r="H4" s="31">
        <v>1492994</v>
      </c>
      <c r="J4" s="31" t="s">
        <v>227</v>
      </c>
      <c r="K4" s="31" t="s">
        <v>228</v>
      </c>
      <c r="N4" s="31" t="s">
        <v>290</v>
      </c>
      <c r="O4" s="31" t="s">
        <v>66</v>
      </c>
      <c r="Q4" s="31" t="s">
        <v>255</v>
      </c>
      <c r="R4" s="31" t="s">
        <v>291</v>
      </c>
      <c r="T4" s="31" t="s">
        <v>292</v>
      </c>
      <c r="V4" s="31" t="s">
        <v>293</v>
      </c>
      <c r="X4" s="31" t="s">
        <v>294</v>
      </c>
      <c r="Y4" s="31" t="s">
        <v>295</v>
      </c>
      <c r="Z4" s="31">
        <v>303121941</v>
      </c>
      <c r="AA4" s="31" t="s">
        <v>296</v>
      </c>
      <c r="AB4" s="31" t="s">
        <v>297</v>
      </c>
      <c r="AD4" s="31">
        <v>15</v>
      </c>
      <c r="AE4" s="31" t="s">
        <v>298</v>
      </c>
      <c r="AI4" s="32">
        <v>44165</v>
      </c>
      <c r="AJ4" s="31">
        <v>50</v>
      </c>
      <c r="AK4" s="31">
        <v>750</v>
      </c>
      <c r="BG4" s="31" t="s">
        <v>28</v>
      </c>
      <c r="BI4" s="31" t="s">
        <v>279</v>
      </c>
      <c r="BK4" s="31" t="s">
        <v>50</v>
      </c>
      <c r="BL4" s="31" t="s">
        <v>242</v>
      </c>
      <c r="BM4" s="31" t="s">
        <v>243</v>
      </c>
      <c r="BN4" s="33">
        <v>44229.151481435183</v>
      </c>
      <c r="BR4" s="31" t="s">
        <v>257</v>
      </c>
      <c r="BS4" s="31">
        <v>4.01302021213907E+18</v>
      </c>
      <c r="BT4" s="31" t="s">
        <v>245</v>
      </c>
      <c r="BV4" s="31">
        <v>2020</v>
      </c>
      <c r="BW4" s="31" t="s">
        <v>246</v>
      </c>
      <c r="BY4" s="31">
        <v>4.0202202121401098E+18</v>
      </c>
      <c r="BZ4" s="31" t="s">
        <v>302</v>
      </c>
      <c r="CA4" s="31" t="s">
        <v>248</v>
      </c>
    </row>
    <row r="5" spans="1:79" x14ac:dyDescent="0.2">
      <c r="A5" s="31" t="s">
        <v>286</v>
      </c>
      <c r="B5" s="31" t="s">
        <v>287</v>
      </c>
      <c r="C5" s="31">
        <v>2020</v>
      </c>
      <c r="D5" s="31" t="s">
        <v>303</v>
      </c>
      <c r="E5" s="31">
        <v>2.0201022933283002E+17</v>
      </c>
      <c r="F5" s="31" t="s">
        <v>225</v>
      </c>
      <c r="G5" s="31" t="s">
        <v>304</v>
      </c>
      <c r="H5" s="31">
        <v>1462303</v>
      </c>
      <c r="J5" s="31" t="s">
        <v>227</v>
      </c>
      <c r="K5" s="31" t="s">
        <v>228</v>
      </c>
      <c r="N5" s="31" t="s">
        <v>290</v>
      </c>
      <c r="O5" s="31" t="s">
        <v>66</v>
      </c>
      <c r="Q5" s="31" t="s">
        <v>255</v>
      </c>
      <c r="R5" s="31" t="s">
        <v>291</v>
      </c>
      <c r="T5" s="31" t="s">
        <v>292</v>
      </c>
      <c r="V5" s="31" t="s">
        <v>293</v>
      </c>
      <c r="X5" s="31" t="s">
        <v>294</v>
      </c>
      <c r="Y5" s="31" t="s">
        <v>295</v>
      </c>
      <c r="Z5" s="31">
        <v>303121941</v>
      </c>
      <c r="AA5" s="31" t="s">
        <v>296</v>
      </c>
      <c r="AB5" s="31" t="s">
        <v>297</v>
      </c>
      <c r="AD5" s="31">
        <v>15</v>
      </c>
      <c r="AE5" s="31" t="s">
        <v>298</v>
      </c>
      <c r="AI5" s="32">
        <v>44105</v>
      </c>
      <c r="AJ5" s="31">
        <v>50</v>
      </c>
      <c r="AK5" s="31">
        <v>700</v>
      </c>
      <c r="BG5" s="31" t="s">
        <v>28</v>
      </c>
      <c r="BI5" s="31" t="s">
        <v>279</v>
      </c>
      <c r="BK5" s="31" t="s">
        <v>50</v>
      </c>
      <c r="BL5" s="31" t="s">
        <v>242</v>
      </c>
      <c r="BM5" s="31" t="s">
        <v>243</v>
      </c>
      <c r="BN5" s="33">
        <v>44169.190042523151</v>
      </c>
      <c r="BR5" s="31" t="s">
        <v>257</v>
      </c>
      <c r="BS5" s="31">
        <v>4.1023202018827602E+18</v>
      </c>
      <c r="BT5" s="31" t="s">
        <v>245</v>
      </c>
      <c r="BV5" s="31">
        <v>2020</v>
      </c>
      <c r="BW5" s="31" t="s">
        <v>246</v>
      </c>
      <c r="BY5" s="31">
        <v>4.1204202019644201E+18</v>
      </c>
      <c r="BZ5" s="31" t="s">
        <v>305</v>
      </c>
      <c r="CA5" s="31" t="s">
        <v>248</v>
      </c>
    </row>
    <row r="6" spans="1:79" x14ac:dyDescent="0.2">
      <c r="A6" s="31" t="s">
        <v>286</v>
      </c>
      <c r="B6" s="31" t="s">
        <v>287</v>
      </c>
      <c r="C6" s="31">
        <v>2020</v>
      </c>
      <c r="D6" s="31" t="s">
        <v>288</v>
      </c>
      <c r="E6" s="31">
        <v>2.0200919927528198E+17</v>
      </c>
      <c r="F6" s="31" t="s">
        <v>225</v>
      </c>
      <c r="G6" s="31" t="s">
        <v>306</v>
      </c>
      <c r="H6" s="31">
        <v>1439904</v>
      </c>
      <c r="J6" s="31" t="s">
        <v>227</v>
      </c>
      <c r="K6" s="31" t="s">
        <v>228</v>
      </c>
      <c r="N6" s="31" t="s">
        <v>290</v>
      </c>
      <c r="O6" s="31" t="s">
        <v>66</v>
      </c>
      <c r="Q6" s="31" t="s">
        <v>255</v>
      </c>
      <c r="R6" s="31" t="s">
        <v>291</v>
      </c>
      <c r="T6" s="31" t="s">
        <v>292</v>
      </c>
      <c r="V6" s="31" t="s">
        <v>293</v>
      </c>
      <c r="X6" s="31" t="s">
        <v>294</v>
      </c>
      <c r="Y6" s="31" t="s">
        <v>295</v>
      </c>
      <c r="Z6" s="31">
        <v>303121941</v>
      </c>
      <c r="AA6" s="31" t="s">
        <v>296</v>
      </c>
      <c r="AB6" s="31" t="s">
        <v>297</v>
      </c>
      <c r="AD6" s="31">
        <v>15</v>
      </c>
      <c r="AE6" s="31" t="s">
        <v>298</v>
      </c>
      <c r="AI6" s="32">
        <v>44046</v>
      </c>
      <c r="AJ6" s="31">
        <v>100</v>
      </c>
      <c r="AK6" s="31">
        <v>450</v>
      </c>
      <c r="BG6" s="31" t="s">
        <v>28</v>
      </c>
      <c r="BI6" s="31" t="s">
        <v>279</v>
      </c>
      <c r="BK6" s="31" t="s">
        <v>50</v>
      </c>
      <c r="BL6" s="31" t="s">
        <v>242</v>
      </c>
      <c r="BM6" s="31" t="s">
        <v>243</v>
      </c>
      <c r="BN6" s="33">
        <v>44106.151153240738</v>
      </c>
      <c r="BR6" s="31" t="s">
        <v>257</v>
      </c>
      <c r="BS6" s="31">
        <v>4.0920202018491402E+18</v>
      </c>
      <c r="BT6" s="31" t="s">
        <v>245</v>
      </c>
      <c r="BV6" s="31">
        <v>2020</v>
      </c>
      <c r="BW6" s="31" t="s">
        <v>246</v>
      </c>
      <c r="BY6" s="31">
        <v>4.1002202018559401E+18</v>
      </c>
      <c r="BZ6" s="31" t="s">
        <v>307</v>
      </c>
      <c r="CA6" s="31" t="s">
        <v>248</v>
      </c>
    </row>
    <row r="7" spans="1:79" x14ac:dyDescent="0.2">
      <c r="A7" s="31" t="s">
        <v>286</v>
      </c>
      <c r="B7" s="31" t="s">
        <v>287</v>
      </c>
      <c r="C7" s="31">
        <v>2020</v>
      </c>
      <c r="D7" s="31" t="s">
        <v>288</v>
      </c>
      <c r="E7" s="31">
        <v>2.0200919927528198E+17</v>
      </c>
      <c r="F7" s="31" t="s">
        <v>225</v>
      </c>
      <c r="G7" s="31" t="s">
        <v>308</v>
      </c>
      <c r="H7" s="31">
        <v>1439904</v>
      </c>
      <c r="J7" s="31" t="s">
        <v>227</v>
      </c>
      <c r="K7" s="31" t="s">
        <v>228</v>
      </c>
      <c r="N7" s="31" t="s">
        <v>290</v>
      </c>
      <c r="O7" s="31" t="s">
        <v>66</v>
      </c>
      <c r="Q7" s="31" t="s">
        <v>255</v>
      </c>
      <c r="R7" s="31" t="s">
        <v>291</v>
      </c>
      <c r="T7" s="31" t="s">
        <v>292</v>
      </c>
      <c r="V7" s="31" t="s">
        <v>293</v>
      </c>
      <c r="X7" s="31" t="s">
        <v>294</v>
      </c>
      <c r="Y7" s="31" t="s">
        <v>295</v>
      </c>
      <c r="Z7" s="31">
        <v>303121941</v>
      </c>
      <c r="AA7" s="31" t="s">
        <v>296</v>
      </c>
      <c r="AB7" s="31" t="s">
        <v>297</v>
      </c>
      <c r="AD7" s="31">
        <v>15</v>
      </c>
      <c r="AE7" s="31" t="s">
        <v>298</v>
      </c>
      <c r="AI7" s="32">
        <v>44053</v>
      </c>
      <c r="AJ7" s="31">
        <v>100</v>
      </c>
      <c r="AK7" s="31">
        <v>450</v>
      </c>
      <c r="BG7" s="31" t="s">
        <v>28</v>
      </c>
      <c r="BI7" s="31" t="s">
        <v>279</v>
      </c>
      <c r="BK7" s="31" t="s">
        <v>50</v>
      </c>
      <c r="BL7" s="31" t="s">
        <v>242</v>
      </c>
      <c r="BM7" s="31" t="s">
        <v>243</v>
      </c>
      <c r="BN7" s="33">
        <v>44106.151153240738</v>
      </c>
      <c r="BR7" s="31" t="s">
        <v>257</v>
      </c>
      <c r="BS7" s="31">
        <v>4.0920202018491402E+18</v>
      </c>
      <c r="BT7" s="31" t="s">
        <v>245</v>
      </c>
      <c r="BV7" s="31">
        <v>2020</v>
      </c>
      <c r="BW7" s="31" t="s">
        <v>246</v>
      </c>
      <c r="BY7" s="31">
        <v>4.1002202018559401E+18</v>
      </c>
      <c r="BZ7" s="31" t="s">
        <v>307</v>
      </c>
      <c r="CA7" s="31" t="s">
        <v>248</v>
      </c>
    </row>
    <row r="8" spans="1:79" x14ac:dyDescent="0.2">
      <c r="A8" s="31" t="s">
        <v>286</v>
      </c>
      <c r="B8" s="31" t="s">
        <v>287</v>
      </c>
      <c r="C8" s="31">
        <v>2020</v>
      </c>
      <c r="D8" s="31" t="s">
        <v>288</v>
      </c>
      <c r="E8" s="31">
        <v>2.0200919927528198E+17</v>
      </c>
      <c r="F8" s="31" t="s">
        <v>225</v>
      </c>
      <c r="G8" s="31" t="s">
        <v>309</v>
      </c>
      <c r="H8" s="31">
        <v>1439904</v>
      </c>
      <c r="J8" s="31" t="s">
        <v>227</v>
      </c>
      <c r="K8" s="31" t="s">
        <v>228</v>
      </c>
      <c r="N8" s="31" t="s">
        <v>290</v>
      </c>
      <c r="O8" s="31" t="s">
        <v>66</v>
      </c>
      <c r="Q8" s="31" t="s">
        <v>255</v>
      </c>
      <c r="R8" s="31" t="s">
        <v>291</v>
      </c>
      <c r="T8" s="31" t="s">
        <v>292</v>
      </c>
      <c r="V8" s="31" t="s">
        <v>293</v>
      </c>
      <c r="X8" s="31" t="s">
        <v>294</v>
      </c>
      <c r="Y8" s="31" t="s">
        <v>295</v>
      </c>
      <c r="Z8" s="31">
        <v>303121941</v>
      </c>
      <c r="AA8" s="31" t="s">
        <v>296</v>
      </c>
      <c r="AB8" s="31" t="s">
        <v>297</v>
      </c>
      <c r="AD8" s="31">
        <v>15</v>
      </c>
      <c r="AE8" s="31" t="s">
        <v>298</v>
      </c>
      <c r="AI8" s="32">
        <v>44067</v>
      </c>
      <c r="AJ8" s="31">
        <v>100</v>
      </c>
      <c r="AK8" s="31">
        <v>450</v>
      </c>
      <c r="BG8" s="31" t="s">
        <v>28</v>
      </c>
      <c r="BI8" s="31" t="s">
        <v>279</v>
      </c>
      <c r="BK8" s="31" t="s">
        <v>50</v>
      </c>
      <c r="BL8" s="31" t="s">
        <v>242</v>
      </c>
      <c r="BM8" s="31" t="s">
        <v>243</v>
      </c>
      <c r="BN8" s="33">
        <v>44106.151153240738</v>
      </c>
      <c r="BR8" s="31" t="s">
        <v>257</v>
      </c>
      <c r="BS8" s="31">
        <v>4.0920202018491402E+18</v>
      </c>
      <c r="BT8" s="31" t="s">
        <v>245</v>
      </c>
      <c r="BV8" s="31">
        <v>2020</v>
      </c>
      <c r="BW8" s="31" t="s">
        <v>246</v>
      </c>
      <c r="BY8" s="31">
        <v>4.1002202018559401E+18</v>
      </c>
      <c r="BZ8" s="31" t="s">
        <v>299</v>
      </c>
      <c r="CA8" s="31" t="s">
        <v>248</v>
      </c>
    </row>
    <row r="9" spans="1:79" x14ac:dyDescent="0.2">
      <c r="A9" s="31" t="s">
        <v>286</v>
      </c>
      <c r="B9" s="31" t="s">
        <v>287</v>
      </c>
      <c r="C9" s="31">
        <v>2020</v>
      </c>
      <c r="D9" s="31" t="s">
        <v>310</v>
      </c>
      <c r="E9" s="31">
        <v>2.0201020929829402E+17</v>
      </c>
      <c r="F9" s="31" t="s">
        <v>225</v>
      </c>
      <c r="G9" s="31" t="s">
        <v>311</v>
      </c>
      <c r="H9" s="31">
        <v>1458645</v>
      </c>
      <c r="J9" s="31" t="s">
        <v>227</v>
      </c>
      <c r="K9" s="31" t="s">
        <v>228</v>
      </c>
      <c r="N9" s="31" t="s">
        <v>290</v>
      </c>
      <c r="O9" s="31" t="s">
        <v>66</v>
      </c>
      <c r="Q9" s="31" t="s">
        <v>255</v>
      </c>
      <c r="R9" s="31" t="s">
        <v>291</v>
      </c>
      <c r="T9" s="31" t="s">
        <v>292</v>
      </c>
      <c r="V9" s="31" t="s">
        <v>293</v>
      </c>
      <c r="X9" s="31" t="s">
        <v>294</v>
      </c>
      <c r="Y9" s="31" t="s">
        <v>295</v>
      </c>
      <c r="Z9" s="31">
        <v>303121941</v>
      </c>
      <c r="AA9" s="31" t="s">
        <v>296</v>
      </c>
      <c r="AB9" s="31" t="s">
        <v>297</v>
      </c>
      <c r="AD9" s="31">
        <v>15</v>
      </c>
      <c r="AE9" s="31" t="s">
        <v>298</v>
      </c>
      <c r="AI9" s="32">
        <v>44095</v>
      </c>
      <c r="AJ9" s="31">
        <v>100</v>
      </c>
      <c r="AK9" s="31">
        <v>650</v>
      </c>
      <c r="BG9" s="31" t="s">
        <v>28</v>
      </c>
      <c r="BI9" s="31" t="s">
        <v>279</v>
      </c>
      <c r="BK9" s="31" t="s">
        <v>50</v>
      </c>
      <c r="BL9" s="31" t="s">
        <v>242</v>
      </c>
      <c r="BM9" s="31" t="s">
        <v>243</v>
      </c>
      <c r="BN9" s="33">
        <v>44170.162140023145</v>
      </c>
      <c r="BR9" s="31" t="s">
        <v>257</v>
      </c>
      <c r="BS9" s="31">
        <v>4.1022202018826598E+18</v>
      </c>
      <c r="BT9" s="31" t="s">
        <v>245</v>
      </c>
      <c r="BV9" s="31">
        <v>2020</v>
      </c>
      <c r="BW9" s="31" t="s">
        <v>246</v>
      </c>
      <c r="BY9" s="31">
        <v>4.1205202019660698E+18</v>
      </c>
      <c r="BZ9" s="31" t="s">
        <v>312</v>
      </c>
      <c r="CA9" s="31" t="s">
        <v>248</v>
      </c>
    </row>
    <row r="10" spans="1:79" x14ac:dyDescent="0.2">
      <c r="A10" s="31" t="s">
        <v>286</v>
      </c>
      <c r="B10" s="31" t="s">
        <v>287</v>
      </c>
      <c r="C10" s="31">
        <v>2020</v>
      </c>
      <c r="D10" s="31" t="s">
        <v>310</v>
      </c>
      <c r="E10" s="31">
        <v>2.0201020929829402E+17</v>
      </c>
      <c r="F10" s="31" t="s">
        <v>225</v>
      </c>
      <c r="G10" s="31" t="s">
        <v>313</v>
      </c>
      <c r="H10" s="31">
        <v>1458645</v>
      </c>
      <c r="J10" s="31" t="s">
        <v>227</v>
      </c>
      <c r="K10" s="31" t="s">
        <v>228</v>
      </c>
      <c r="N10" s="31" t="s">
        <v>290</v>
      </c>
      <c r="O10" s="31" t="s">
        <v>66</v>
      </c>
      <c r="Q10" s="31" t="s">
        <v>255</v>
      </c>
      <c r="R10" s="31" t="s">
        <v>291</v>
      </c>
      <c r="T10" s="31" t="s">
        <v>292</v>
      </c>
      <c r="V10" s="31" t="s">
        <v>293</v>
      </c>
      <c r="X10" s="31" t="s">
        <v>294</v>
      </c>
      <c r="Y10" s="31" t="s">
        <v>295</v>
      </c>
      <c r="Z10" s="31">
        <v>303121941</v>
      </c>
      <c r="AA10" s="31" t="s">
        <v>296</v>
      </c>
      <c r="AB10" s="31" t="s">
        <v>297</v>
      </c>
      <c r="AD10" s="31">
        <v>15</v>
      </c>
      <c r="AE10" s="31" t="s">
        <v>298</v>
      </c>
      <c r="AI10" s="32">
        <v>44095</v>
      </c>
      <c r="AJ10" s="31">
        <v>100</v>
      </c>
      <c r="AK10" s="31">
        <v>650</v>
      </c>
      <c r="BG10" s="31" t="s">
        <v>28</v>
      </c>
      <c r="BI10" s="31" t="s">
        <v>279</v>
      </c>
      <c r="BK10" s="31" t="s">
        <v>50</v>
      </c>
      <c r="BL10" s="31" t="s">
        <v>242</v>
      </c>
      <c r="BM10" s="31" t="s">
        <v>243</v>
      </c>
      <c r="BN10" s="33">
        <v>44170.162140023145</v>
      </c>
      <c r="BR10" s="31" t="s">
        <v>257</v>
      </c>
      <c r="BS10" s="31">
        <v>4.1022202018826598E+18</v>
      </c>
      <c r="BT10" s="31" t="s">
        <v>245</v>
      </c>
      <c r="BV10" s="31">
        <v>2020</v>
      </c>
      <c r="BW10" s="31" t="s">
        <v>246</v>
      </c>
      <c r="BY10" s="31">
        <v>4.1205202019660698E+18</v>
      </c>
      <c r="BZ10" s="31" t="s">
        <v>312</v>
      </c>
      <c r="CA10" s="31" t="s">
        <v>248</v>
      </c>
    </row>
    <row r="11" spans="1:79" x14ac:dyDescent="0.2">
      <c r="A11" s="31" t="s">
        <v>314</v>
      </c>
      <c r="B11" s="31" t="s">
        <v>315</v>
      </c>
      <c r="C11" s="31">
        <v>2019</v>
      </c>
      <c r="D11" s="31" t="s">
        <v>268</v>
      </c>
      <c r="E11" s="31">
        <v>2.02001319184184E+17</v>
      </c>
      <c r="F11" s="31" t="s">
        <v>225</v>
      </c>
      <c r="G11" s="31">
        <v>13548096</v>
      </c>
      <c r="H11" s="31">
        <v>1376980</v>
      </c>
      <c r="J11" s="31" t="s">
        <v>227</v>
      </c>
      <c r="K11" s="31" t="s">
        <v>228</v>
      </c>
      <c r="L11" s="31" t="s">
        <v>316</v>
      </c>
      <c r="N11" s="31" t="s">
        <v>290</v>
      </c>
      <c r="O11" s="31" t="s">
        <v>26</v>
      </c>
      <c r="Q11" s="31" t="s">
        <v>255</v>
      </c>
      <c r="R11" s="31" t="s">
        <v>291</v>
      </c>
      <c r="T11" s="31" t="s">
        <v>292</v>
      </c>
      <c r="V11" s="31" t="s">
        <v>293</v>
      </c>
      <c r="X11" s="31" t="s">
        <v>294</v>
      </c>
      <c r="Y11" s="31" t="s">
        <v>295</v>
      </c>
      <c r="Z11" s="31">
        <v>303121941</v>
      </c>
      <c r="AA11" s="31" t="s">
        <v>296</v>
      </c>
      <c r="AB11" s="31" t="s">
        <v>297</v>
      </c>
      <c r="AC11" s="31" t="s">
        <v>316</v>
      </c>
      <c r="AD11" s="31" t="s">
        <v>237</v>
      </c>
      <c r="AE11" s="31" t="s">
        <v>238</v>
      </c>
      <c r="AI11" s="32">
        <v>43830</v>
      </c>
      <c r="AJ11" s="31">
        <v>100</v>
      </c>
      <c r="AK11" s="31">
        <v>300</v>
      </c>
      <c r="BG11" s="31" t="s">
        <v>28</v>
      </c>
      <c r="BI11" s="31" t="s">
        <v>279</v>
      </c>
      <c r="BK11" s="31" t="s">
        <v>50</v>
      </c>
      <c r="BL11" s="31" t="s">
        <v>242</v>
      </c>
      <c r="BM11" s="31" t="s">
        <v>243</v>
      </c>
      <c r="BN11" s="33">
        <v>43869.070997499999</v>
      </c>
      <c r="BP11" s="31" t="s">
        <v>317</v>
      </c>
      <c r="BQ11" s="31" t="s">
        <v>318</v>
      </c>
      <c r="BR11" s="31" t="s">
        <v>257</v>
      </c>
      <c r="BS11" s="31">
        <v>4.0131202016861901E+18</v>
      </c>
      <c r="BT11" s="31" t="s">
        <v>245</v>
      </c>
      <c r="BU11" s="31" t="s">
        <v>283</v>
      </c>
      <c r="BV11" s="31">
        <v>2020</v>
      </c>
      <c r="BW11" s="31" t="s">
        <v>246</v>
      </c>
      <c r="BY11" s="31">
        <v>4.0207202016877102E+18</v>
      </c>
      <c r="BZ11" s="31" t="s">
        <v>319</v>
      </c>
      <c r="CA11" s="31" t="s">
        <v>248</v>
      </c>
    </row>
    <row r="12" spans="1:79" x14ac:dyDescent="0.2">
      <c r="A12" s="31" t="s">
        <v>320</v>
      </c>
      <c r="B12" s="31" t="s">
        <v>321</v>
      </c>
      <c r="C12" s="31">
        <v>2020</v>
      </c>
      <c r="D12" s="31" t="s">
        <v>310</v>
      </c>
      <c r="E12" s="31">
        <v>2.02103309442644E+17</v>
      </c>
      <c r="F12" s="31" t="s">
        <v>225</v>
      </c>
      <c r="G12" s="31">
        <v>31827833</v>
      </c>
      <c r="H12" s="31">
        <v>1506705</v>
      </c>
      <c r="J12" s="31" t="s">
        <v>227</v>
      </c>
      <c r="K12" s="31" t="s">
        <v>228</v>
      </c>
      <c r="N12" s="31" t="s">
        <v>290</v>
      </c>
      <c r="O12" s="31" t="s">
        <v>26</v>
      </c>
      <c r="Q12" s="31" t="s">
        <v>255</v>
      </c>
      <c r="R12" s="31" t="s">
        <v>291</v>
      </c>
      <c r="T12" s="31" t="s">
        <v>292</v>
      </c>
      <c r="V12" s="31" t="s">
        <v>293</v>
      </c>
      <c r="X12" s="31" t="s">
        <v>294</v>
      </c>
      <c r="Y12" s="31" t="s">
        <v>295</v>
      </c>
      <c r="Z12" s="31">
        <v>303121941</v>
      </c>
      <c r="AA12" s="31" t="s">
        <v>296</v>
      </c>
      <c r="AB12" s="31" t="s">
        <v>297</v>
      </c>
      <c r="AD12" s="31" t="s">
        <v>237</v>
      </c>
      <c r="AE12" s="31" t="s">
        <v>238</v>
      </c>
      <c r="AI12" s="32">
        <v>44103</v>
      </c>
      <c r="AJ12" s="31">
        <v>125</v>
      </c>
      <c r="AK12" s="31">
        <v>1479</v>
      </c>
      <c r="BG12" s="31" t="s">
        <v>28</v>
      </c>
      <c r="BI12" s="31" t="s">
        <v>279</v>
      </c>
      <c r="BK12" s="31" t="s">
        <v>50</v>
      </c>
      <c r="BL12" s="31" t="s">
        <v>242</v>
      </c>
      <c r="BM12" s="31" t="s">
        <v>243</v>
      </c>
      <c r="BN12" s="33">
        <v>44292.177269131942</v>
      </c>
      <c r="BP12" s="31" t="s">
        <v>322</v>
      </c>
      <c r="BQ12" s="31" t="s">
        <v>318</v>
      </c>
      <c r="BR12" s="31" t="s">
        <v>257</v>
      </c>
      <c r="BS12" s="31">
        <v>4.0331202112704102E+18</v>
      </c>
      <c r="BT12" s="31" t="s">
        <v>245</v>
      </c>
      <c r="BU12" s="31" t="s">
        <v>323</v>
      </c>
      <c r="BV12" s="31">
        <v>2020</v>
      </c>
      <c r="BW12" s="31" t="s">
        <v>246</v>
      </c>
      <c r="BY12" s="31">
        <v>4.0406202112750397E+18</v>
      </c>
      <c r="BZ12" s="31" t="s">
        <v>324</v>
      </c>
      <c r="CA12" s="31" t="s">
        <v>248</v>
      </c>
    </row>
    <row r="13" spans="1:79" x14ac:dyDescent="0.2">
      <c r="A13" s="31" t="s">
        <v>316</v>
      </c>
      <c r="B13" s="31" t="s">
        <v>325</v>
      </c>
      <c r="C13" s="31">
        <v>2020</v>
      </c>
      <c r="D13" s="31" t="s">
        <v>310</v>
      </c>
      <c r="E13" s="31">
        <v>2.0201214937663398E+17</v>
      </c>
      <c r="F13" s="31" t="s">
        <v>225</v>
      </c>
      <c r="G13" s="31" t="s">
        <v>326</v>
      </c>
      <c r="H13" s="31">
        <v>1482832</v>
      </c>
      <c r="J13" s="31" t="s">
        <v>227</v>
      </c>
      <c r="K13" s="31" t="s">
        <v>228</v>
      </c>
      <c r="L13" s="31" t="s">
        <v>286</v>
      </c>
      <c r="N13" s="31" t="s">
        <v>290</v>
      </c>
      <c r="O13" s="31" t="s">
        <v>254</v>
      </c>
      <c r="Q13" s="31" t="s">
        <v>255</v>
      </c>
      <c r="R13" s="31" t="s">
        <v>291</v>
      </c>
      <c r="T13" s="31" t="s">
        <v>292</v>
      </c>
      <c r="V13" s="31" t="s">
        <v>327</v>
      </c>
      <c r="X13" s="31" t="s">
        <v>294</v>
      </c>
      <c r="Y13" s="31" t="s">
        <v>295</v>
      </c>
      <c r="Z13" s="31">
        <v>30312</v>
      </c>
      <c r="AA13" s="31" t="s">
        <v>328</v>
      </c>
      <c r="AB13" s="31" t="s">
        <v>297</v>
      </c>
      <c r="AC13" s="31" t="s">
        <v>286</v>
      </c>
      <c r="AD13" s="31" t="s">
        <v>329</v>
      </c>
      <c r="AE13" s="31" t="s">
        <v>330</v>
      </c>
      <c r="AF13" s="31" t="s">
        <v>331</v>
      </c>
      <c r="AI13" s="32">
        <v>44094</v>
      </c>
      <c r="AJ13" s="31">
        <v>100</v>
      </c>
      <c r="AK13" s="31">
        <v>700</v>
      </c>
      <c r="BF13" s="31" t="s">
        <v>332</v>
      </c>
      <c r="BK13" s="31" t="s">
        <v>50</v>
      </c>
      <c r="BL13" s="31" t="s">
        <v>242</v>
      </c>
      <c r="BM13" s="31" t="s">
        <v>243</v>
      </c>
      <c r="BN13" s="33">
        <v>44218.645524872685</v>
      </c>
      <c r="BR13" s="31" t="s">
        <v>257</v>
      </c>
      <c r="BS13" s="31">
        <v>4.1216202019742802E+18</v>
      </c>
      <c r="BT13" s="31" t="s">
        <v>245</v>
      </c>
      <c r="BU13" s="31" t="s">
        <v>333</v>
      </c>
      <c r="BV13" s="31">
        <v>2020</v>
      </c>
      <c r="BW13" s="31" t="s">
        <v>246</v>
      </c>
      <c r="BY13" s="31">
        <v>4.0121202121183498E+18</v>
      </c>
      <c r="BZ13" s="31" t="s">
        <v>334</v>
      </c>
      <c r="CA13" s="31" t="s">
        <v>248</v>
      </c>
    </row>
    <row r="14" spans="1:79" x14ac:dyDescent="0.2">
      <c r="A14" s="31" t="s">
        <v>316</v>
      </c>
      <c r="B14" s="31" t="s">
        <v>325</v>
      </c>
      <c r="C14" s="31">
        <v>2020</v>
      </c>
      <c r="D14" s="31" t="s">
        <v>310</v>
      </c>
      <c r="E14" s="31">
        <v>2.0201214937663398E+17</v>
      </c>
      <c r="F14" s="31" t="s">
        <v>225</v>
      </c>
      <c r="G14" s="31" t="s">
        <v>335</v>
      </c>
      <c r="H14" s="31">
        <v>1482832</v>
      </c>
      <c r="J14" s="31" t="s">
        <v>227</v>
      </c>
      <c r="K14" s="31" t="s">
        <v>228</v>
      </c>
      <c r="N14" s="31" t="s">
        <v>290</v>
      </c>
      <c r="O14" s="31" t="s">
        <v>254</v>
      </c>
      <c r="Q14" s="31" t="s">
        <v>255</v>
      </c>
      <c r="R14" s="31" t="s">
        <v>291</v>
      </c>
      <c r="T14" s="31" t="s">
        <v>292</v>
      </c>
      <c r="V14" s="31" t="s">
        <v>327</v>
      </c>
      <c r="X14" s="31" t="s">
        <v>294</v>
      </c>
      <c r="Y14" s="31" t="s">
        <v>295</v>
      </c>
      <c r="Z14" s="31">
        <v>30312</v>
      </c>
      <c r="AA14" s="31" t="s">
        <v>328</v>
      </c>
      <c r="AB14" s="31" t="s">
        <v>297</v>
      </c>
      <c r="AD14" s="31">
        <v>15</v>
      </c>
      <c r="AE14" s="31" t="s">
        <v>298</v>
      </c>
      <c r="AF14" s="31" t="s">
        <v>336</v>
      </c>
      <c r="AI14" s="32">
        <v>44094</v>
      </c>
      <c r="AJ14" s="31">
        <v>10</v>
      </c>
      <c r="AK14" s="31">
        <v>1172.9000000000001</v>
      </c>
      <c r="BF14" s="31" t="s">
        <v>332</v>
      </c>
      <c r="BK14" s="31" t="s">
        <v>50</v>
      </c>
      <c r="BL14" s="31" t="s">
        <v>242</v>
      </c>
      <c r="BM14" s="31" t="s">
        <v>243</v>
      </c>
      <c r="BN14" s="33">
        <v>44218.64572158565</v>
      </c>
      <c r="BR14" s="31" t="s">
        <v>257</v>
      </c>
      <c r="BS14" s="31">
        <v>4.1216202019742802E+18</v>
      </c>
      <c r="BT14" s="31" t="s">
        <v>245</v>
      </c>
      <c r="BU14" s="31" t="s">
        <v>337</v>
      </c>
      <c r="BV14" s="31">
        <v>2020</v>
      </c>
      <c r="BW14" s="31" t="s">
        <v>246</v>
      </c>
      <c r="BY14" s="31">
        <v>4.0121202121183601E+18</v>
      </c>
      <c r="BZ14" s="31" t="s">
        <v>338</v>
      </c>
      <c r="CA14" s="31" t="s">
        <v>248</v>
      </c>
    </row>
    <row r="15" spans="1:79" x14ac:dyDescent="0.2">
      <c r="A15" s="31" t="s">
        <v>316</v>
      </c>
      <c r="B15" s="31" t="s">
        <v>325</v>
      </c>
      <c r="C15" s="31">
        <v>2020</v>
      </c>
      <c r="D15" s="31" t="s">
        <v>310</v>
      </c>
      <c r="E15" s="31">
        <v>2.0201214937663398E+17</v>
      </c>
      <c r="F15" s="31" t="s">
        <v>225</v>
      </c>
      <c r="G15" s="31" t="s">
        <v>339</v>
      </c>
      <c r="H15" s="31">
        <v>1482832</v>
      </c>
      <c r="J15" s="31" t="s">
        <v>227</v>
      </c>
      <c r="K15" s="31" t="s">
        <v>228</v>
      </c>
      <c r="N15" s="31" t="s">
        <v>290</v>
      </c>
      <c r="O15" s="31" t="s">
        <v>254</v>
      </c>
      <c r="Q15" s="31" t="s">
        <v>255</v>
      </c>
      <c r="R15" s="31" t="s">
        <v>291</v>
      </c>
      <c r="T15" s="31" t="s">
        <v>292</v>
      </c>
      <c r="V15" s="31" t="s">
        <v>327</v>
      </c>
      <c r="X15" s="31" t="s">
        <v>294</v>
      </c>
      <c r="Y15" s="31" t="s">
        <v>295</v>
      </c>
      <c r="Z15" s="31">
        <v>30312</v>
      </c>
      <c r="AA15" s="31" t="s">
        <v>328</v>
      </c>
      <c r="AB15" s="31" t="s">
        <v>297</v>
      </c>
      <c r="AD15" s="31">
        <v>15</v>
      </c>
      <c r="AE15" s="31" t="s">
        <v>298</v>
      </c>
      <c r="AF15" s="31" t="s">
        <v>336</v>
      </c>
      <c r="AI15" s="32">
        <v>44094</v>
      </c>
      <c r="AJ15" s="31">
        <v>10</v>
      </c>
      <c r="AK15" s="31">
        <v>1172.9000000000001</v>
      </c>
      <c r="BF15" s="31" t="s">
        <v>332</v>
      </c>
      <c r="BK15" s="31" t="s">
        <v>50</v>
      </c>
      <c r="BL15" s="31" t="s">
        <v>242</v>
      </c>
      <c r="BM15" s="31" t="s">
        <v>243</v>
      </c>
      <c r="BN15" s="33">
        <v>44218.645761550928</v>
      </c>
      <c r="BR15" s="31" t="s">
        <v>257</v>
      </c>
      <c r="BS15" s="31">
        <v>4.1216202019742802E+18</v>
      </c>
      <c r="BT15" s="31" t="s">
        <v>245</v>
      </c>
      <c r="BU15" s="31" t="s">
        <v>337</v>
      </c>
      <c r="BV15" s="31">
        <v>2020</v>
      </c>
      <c r="BW15" s="31" t="s">
        <v>246</v>
      </c>
      <c r="BY15" s="31">
        <v>4.0121202121183601E+18</v>
      </c>
      <c r="BZ15" s="31" t="s">
        <v>338</v>
      </c>
      <c r="CA15" s="31" t="s">
        <v>248</v>
      </c>
    </row>
    <row r="16" spans="1:79" x14ac:dyDescent="0.2">
      <c r="A16" s="31" t="s">
        <v>316</v>
      </c>
      <c r="B16" s="31" t="s">
        <v>325</v>
      </c>
      <c r="C16" s="31">
        <v>2020</v>
      </c>
      <c r="D16" s="31" t="s">
        <v>310</v>
      </c>
      <c r="E16" s="31">
        <v>2.0201214937663398E+17</v>
      </c>
      <c r="F16" s="31" t="s">
        <v>225</v>
      </c>
      <c r="G16" s="31" t="s">
        <v>340</v>
      </c>
      <c r="H16" s="31">
        <v>1482832</v>
      </c>
      <c r="J16" s="31" t="s">
        <v>227</v>
      </c>
      <c r="K16" s="31" t="s">
        <v>228</v>
      </c>
      <c r="L16" s="31" t="s">
        <v>341</v>
      </c>
      <c r="N16" s="31" t="s">
        <v>290</v>
      </c>
      <c r="O16" s="31" t="s">
        <v>254</v>
      </c>
      <c r="Q16" s="31" t="s">
        <v>255</v>
      </c>
      <c r="R16" s="31" t="s">
        <v>291</v>
      </c>
      <c r="T16" s="31" t="s">
        <v>292</v>
      </c>
      <c r="V16" s="31" t="s">
        <v>327</v>
      </c>
      <c r="X16" s="31" t="s">
        <v>294</v>
      </c>
      <c r="Y16" s="31" t="s">
        <v>295</v>
      </c>
      <c r="Z16" s="31">
        <v>30312</v>
      </c>
      <c r="AA16" s="31" t="s">
        <v>328</v>
      </c>
      <c r="AB16" s="31" t="s">
        <v>297</v>
      </c>
      <c r="AC16" s="31" t="s">
        <v>341</v>
      </c>
      <c r="AD16" s="31" t="s">
        <v>329</v>
      </c>
      <c r="AE16" s="31" t="s">
        <v>330</v>
      </c>
      <c r="AF16" s="31" t="s">
        <v>331</v>
      </c>
      <c r="AI16" s="32">
        <v>44092</v>
      </c>
      <c r="AJ16" s="31">
        <v>100</v>
      </c>
      <c r="AK16" s="31">
        <v>1400</v>
      </c>
      <c r="BF16" s="31" t="s">
        <v>332</v>
      </c>
      <c r="BK16" s="31" t="s">
        <v>50</v>
      </c>
      <c r="BL16" s="31" t="s">
        <v>242</v>
      </c>
      <c r="BM16" s="31" t="s">
        <v>243</v>
      </c>
      <c r="BN16" s="33">
        <v>44218.6458733912</v>
      </c>
      <c r="BR16" s="31" t="s">
        <v>257</v>
      </c>
      <c r="BS16" s="31">
        <v>4.1216202019742802E+18</v>
      </c>
      <c r="BT16" s="31" t="s">
        <v>245</v>
      </c>
      <c r="BU16" s="31" t="s">
        <v>342</v>
      </c>
      <c r="BV16" s="31">
        <v>2020</v>
      </c>
      <c r="BW16" s="31" t="s">
        <v>246</v>
      </c>
      <c r="BY16" s="31">
        <v>4.0121202121106002E+18</v>
      </c>
      <c r="BZ16" s="31" t="s">
        <v>343</v>
      </c>
      <c r="CA16" s="31" t="s">
        <v>248</v>
      </c>
    </row>
    <row r="17" spans="1:79" x14ac:dyDescent="0.2">
      <c r="A17" s="31" t="s">
        <v>316</v>
      </c>
      <c r="B17" s="31" t="s">
        <v>325</v>
      </c>
      <c r="C17" s="31">
        <v>2020</v>
      </c>
      <c r="D17" s="31" t="s">
        <v>310</v>
      </c>
      <c r="E17" s="31">
        <v>2.0201214937663398E+17</v>
      </c>
      <c r="F17" s="31" t="s">
        <v>225</v>
      </c>
      <c r="G17" s="31" t="s">
        <v>344</v>
      </c>
      <c r="H17" s="31">
        <v>1482832</v>
      </c>
      <c r="J17" s="31" t="s">
        <v>227</v>
      </c>
      <c r="K17" s="31" t="s">
        <v>228</v>
      </c>
      <c r="N17" s="31" t="s">
        <v>290</v>
      </c>
      <c r="O17" s="31" t="s">
        <v>254</v>
      </c>
      <c r="Q17" s="31" t="s">
        <v>255</v>
      </c>
      <c r="R17" s="31" t="s">
        <v>291</v>
      </c>
      <c r="T17" s="31" t="s">
        <v>292</v>
      </c>
      <c r="V17" s="31" t="s">
        <v>327</v>
      </c>
      <c r="X17" s="31" t="s">
        <v>294</v>
      </c>
      <c r="Y17" s="31" t="s">
        <v>295</v>
      </c>
      <c r="Z17" s="31">
        <v>30312</v>
      </c>
      <c r="AA17" s="31" t="s">
        <v>328</v>
      </c>
      <c r="AB17" s="31" t="s">
        <v>297</v>
      </c>
      <c r="AD17" s="31">
        <v>15</v>
      </c>
      <c r="AE17" s="31" t="s">
        <v>298</v>
      </c>
      <c r="AF17" s="31" t="s">
        <v>336</v>
      </c>
      <c r="AI17" s="32">
        <v>44092</v>
      </c>
      <c r="AJ17" s="31">
        <v>10</v>
      </c>
      <c r="AK17" s="31">
        <v>1172.9000000000001</v>
      </c>
      <c r="BF17" s="31" t="s">
        <v>332</v>
      </c>
      <c r="BK17" s="31" t="s">
        <v>50</v>
      </c>
      <c r="BL17" s="31" t="s">
        <v>242</v>
      </c>
      <c r="BM17" s="31" t="s">
        <v>243</v>
      </c>
      <c r="BN17" s="33">
        <v>44218.646019398147</v>
      </c>
      <c r="BR17" s="31" t="s">
        <v>257</v>
      </c>
      <c r="BS17" s="31">
        <v>4.1216202019742802E+18</v>
      </c>
      <c r="BT17" s="31" t="s">
        <v>245</v>
      </c>
      <c r="BU17" s="31" t="s">
        <v>337</v>
      </c>
      <c r="BV17" s="31">
        <v>2020</v>
      </c>
      <c r="BW17" s="31" t="s">
        <v>246</v>
      </c>
      <c r="BY17" s="31">
        <v>4.0121202121106099E+18</v>
      </c>
      <c r="BZ17" s="31" t="s">
        <v>345</v>
      </c>
      <c r="CA17" s="31" t="s">
        <v>248</v>
      </c>
    </row>
    <row r="18" spans="1:79" x14ac:dyDescent="0.2">
      <c r="A18" s="31" t="s">
        <v>316</v>
      </c>
      <c r="B18" s="31" t="s">
        <v>325</v>
      </c>
      <c r="C18" s="31">
        <v>2020</v>
      </c>
      <c r="D18" s="31" t="s">
        <v>310</v>
      </c>
      <c r="E18" s="31">
        <v>2.0201214937663398E+17</v>
      </c>
      <c r="F18" s="31" t="s">
        <v>225</v>
      </c>
      <c r="G18" s="31" t="s">
        <v>346</v>
      </c>
      <c r="H18" s="31">
        <v>1482832</v>
      </c>
      <c r="J18" s="31" t="s">
        <v>227</v>
      </c>
      <c r="K18" s="31" t="s">
        <v>228</v>
      </c>
      <c r="N18" s="31" t="s">
        <v>290</v>
      </c>
      <c r="O18" s="31" t="s">
        <v>254</v>
      </c>
      <c r="Q18" s="31" t="s">
        <v>255</v>
      </c>
      <c r="R18" s="31" t="s">
        <v>291</v>
      </c>
      <c r="T18" s="31" t="s">
        <v>292</v>
      </c>
      <c r="V18" s="31" t="s">
        <v>327</v>
      </c>
      <c r="X18" s="31" t="s">
        <v>294</v>
      </c>
      <c r="Y18" s="31" t="s">
        <v>295</v>
      </c>
      <c r="Z18" s="31">
        <v>30312</v>
      </c>
      <c r="AA18" s="31" t="s">
        <v>328</v>
      </c>
      <c r="AB18" s="31" t="s">
        <v>297</v>
      </c>
      <c r="AD18" s="31">
        <v>15</v>
      </c>
      <c r="AE18" s="31" t="s">
        <v>298</v>
      </c>
      <c r="AF18" s="31" t="s">
        <v>336</v>
      </c>
      <c r="AI18" s="32">
        <v>44092</v>
      </c>
      <c r="AJ18" s="31">
        <v>10</v>
      </c>
      <c r="AK18" s="31">
        <v>1172.9000000000001</v>
      </c>
      <c r="BF18" s="31" t="s">
        <v>332</v>
      </c>
      <c r="BK18" s="31" t="s">
        <v>50</v>
      </c>
      <c r="BL18" s="31" t="s">
        <v>242</v>
      </c>
      <c r="BM18" s="31" t="s">
        <v>243</v>
      </c>
      <c r="BN18" s="33">
        <v>44218.646067476853</v>
      </c>
      <c r="BR18" s="31" t="s">
        <v>257</v>
      </c>
      <c r="BS18" s="31">
        <v>4.1216202019742802E+18</v>
      </c>
      <c r="BT18" s="31" t="s">
        <v>245</v>
      </c>
      <c r="BU18" s="31" t="s">
        <v>337</v>
      </c>
      <c r="BV18" s="31">
        <v>2020</v>
      </c>
      <c r="BW18" s="31" t="s">
        <v>246</v>
      </c>
      <c r="BY18" s="31">
        <v>4.0121202121106099E+18</v>
      </c>
      <c r="BZ18" s="31" t="s">
        <v>343</v>
      </c>
      <c r="CA18" s="31" t="s">
        <v>248</v>
      </c>
    </row>
    <row r="19" spans="1:79" x14ac:dyDescent="0.2">
      <c r="A19" s="31" t="s">
        <v>316</v>
      </c>
      <c r="B19" s="31" t="s">
        <v>325</v>
      </c>
      <c r="C19" s="31">
        <v>2020</v>
      </c>
      <c r="D19" s="31" t="s">
        <v>310</v>
      </c>
      <c r="E19" s="31">
        <v>2.0201214937663398E+17</v>
      </c>
      <c r="F19" s="31" t="s">
        <v>225</v>
      </c>
      <c r="G19" s="31" t="s">
        <v>347</v>
      </c>
      <c r="H19" s="31">
        <v>1482832</v>
      </c>
      <c r="J19" s="31" t="s">
        <v>227</v>
      </c>
      <c r="K19" s="31" t="s">
        <v>228</v>
      </c>
      <c r="L19" s="31" t="s">
        <v>341</v>
      </c>
      <c r="N19" s="31" t="s">
        <v>290</v>
      </c>
      <c r="O19" s="31" t="s">
        <v>254</v>
      </c>
      <c r="Q19" s="31" t="s">
        <v>255</v>
      </c>
      <c r="R19" s="31" t="s">
        <v>291</v>
      </c>
      <c r="T19" s="31" t="s">
        <v>292</v>
      </c>
      <c r="V19" s="31" t="s">
        <v>327</v>
      </c>
      <c r="X19" s="31" t="s">
        <v>294</v>
      </c>
      <c r="Y19" s="31" t="s">
        <v>295</v>
      </c>
      <c r="Z19" s="31">
        <v>30312</v>
      </c>
      <c r="AA19" s="31" t="s">
        <v>328</v>
      </c>
      <c r="AB19" s="31" t="s">
        <v>297</v>
      </c>
      <c r="AC19" s="31" t="s">
        <v>341</v>
      </c>
      <c r="AD19" s="31" t="s">
        <v>329</v>
      </c>
      <c r="AE19" s="31" t="s">
        <v>330</v>
      </c>
      <c r="AF19" s="31" t="s">
        <v>331</v>
      </c>
      <c r="AI19" s="32">
        <v>44092</v>
      </c>
      <c r="AJ19" s="31">
        <v>100</v>
      </c>
      <c r="AK19" s="31">
        <v>1400</v>
      </c>
      <c r="BF19" s="31" t="s">
        <v>332</v>
      </c>
      <c r="BK19" s="31" t="s">
        <v>50</v>
      </c>
      <c r="BL19" s="31" t="s">
        <v>242</v>
      </c>
      <c r="BM19" s="31" t="s">
        <v>243</v>
      </c>
      <c r="BN19" s="33">
        <v>44218.646292268517</v>
      </c>
      <c r="BR19" s="31" t="s">
        <v>257</v>
      </c>
      <c r="BS19" s="31">
        <v>4.1216202019742802E+18</v>
      </c>
      <c r="BT19" s="31" t="s">
        <v>245</v>
      </c>
      <c r="BU19" s="31" t="s">
        <v>342</v>
      </c>
      <c r="BV19" s="31">
        <v>2020</v>
      </c>
      <c r="BW19" s="31" t="s">
        <v>246</v>
      </c>
      <c r="BY19" s="31">
        <v>4.0121202121106299E+18</v>
      </c>
      <c r="BZ19" s="31" t="s">
        <v>345</v>
      </c>
      <c r="CA19" s="31" t="s">
        <v>248</v>
      </c>
    </row>
    <row r="20" spans="1:79" x14ac:dyDescent="0.2">
      <c r="A20" s="31" t="s">
        <v>316</v>
      </c>
      <c r="B20" s="31" t="s">
        <v>325</v>
      </c>
      <c r="C20" s="31">
        <v>2019</v>
      </c>
      <c r="D20" s="31" t="s">
        <v>268</v>
      </c>
      <c r="E20" s="31">
        <v>2.0200129917011398E+17</v>
      </c>
      <c r="F20" s="31" t="s">
        <v>225</v>
      </c>
      <c r="G20" s="31" t="s">
        <v>348</v>
      </c>
      <c r="H20" s="31">
        <v>1378435</v>
      </c>
      <c r="J20" s="31" t="s">
        <v>227</v>
      </c>
      <c r="K20" s="31" t="s">
        <v>228</v>
      </c>
      <c r="N20" s="31" t="s">
        <v>290</v>
      </c>
      <c r="O20" s="31" t="s">
        <v>254</v>
      </c>
      <c r="Q20" s="31" t="s">
        <v>255</v>
      </c>
      <c r="R20" s="31" t="s">
        <v>291</v>
      </c>
      <c r="T20" s="31" t="s">
        <v>292</v>
      </c>
      <c r="V20" s="31" t="s">
        <v>349</v>
      </c>
      <c r="X20" s="31" t="s">
        <v>294</v>
      </c>
      <c r="Y20" s="31" t="s">
        <v>295</v>
      </c>
      <c r="Z20" s="31">
        <v>30312</v>
      </c>
      <c r="AA20" s="31" t="s">
        <v>328</v>
      </c>
      <c r="AB20" s="31" t="s">
        <v>297</v>
      </c>
      <c r="AF20" s="31" t="s">
        <v>336</v>
      </c>
      <c r="AI20" s="32">
        <v>43767</v>
      </c>
      <c r="AJ20" s="31">
        <v>10</v>
      </c>
      <c r="AK20" s="31">
        <v>106.3</v>
      </c>
      <c r="BF20" s="31" t="s">
        <v>332</v>
      </c>
      <c r="BK20" s="31" t="s">
        <v>50</v>
      </c>
      <c r="BL20" s="31" t="s">
        <v>242</v>
      </c>
      <c r="BM20" s="31" t="s">
        <v>243</v>
      </c>
      <c r="BN20" s="33">
        <v>43894.297285277775</v>
      </c>
      <c r="BR20" s="31" t="s">
        <v>257</v>
      </c>
      <c r="BS20" s="31">
        <v>4.02012020168638E+18</v>
      </c>
      <c r="BT20" s="31" t="s">
        <v>245</v>
      </c>
      <c r="BU20" s="31" t="s">
        <v>337</v>
      </c>
      <c r="BV20" s="31">
        <v>2020</v>
      </c>
      <c r="BW20" s="31" t="s">
        <v>246</v>
      </c>
      <c r="BY20" s="31">
        <v>4.0302202012257802E+18</v>
      </c>
      <c r="BZ20" s="31" t="s">
        <v>350</v>
      </c>
      <c r="CA20" s="31" t="s">
        <v>248</v>
      </c>
    </row>
    <row r="21" spans="1:79" x14ac:dyDescent="0.2">
      <c r="A21" s="31" t="s">
        <v>316</v>
      </c>
      <c r="B21" s="31" t="s">
        <v>325</v>
      </c>
      <c r="C21" s="31">
        <v>2019</v>
      </c>
      <c r="D21" s="31" t="s">
        <v>268</v>
      </c>
      <c r="E21" s="31">
        <v>2.0200129917011398E+17</v>
      </c>
      <c r="F21" s="31" t="s">
        <v>225</v>
      </c>
      <c r="G21" s="31" t="s">
        <v>351</v>
      </c>
      <c r="H21" s="31">
        <v>1378435</v>
      </c>
      <c r="J21" s="31" t="s">
        <v>227</v>
      </c>
      <c r="K21" s="31" t="s">
        <v>228</v>
      </c>
      <c r="N21" s="31" t="s">
        <v>290</v>
      </c>
      <c r="O21" s="31" t="s">
        <v>254</v>
      </c>
      <c r="Q21" s="31" t="s">
        <v>255</v>
      </c>
      <c r="R21" s="31" t="s">
        <v>291</v>
      </c>
      <c r="T21" s="31" t="s">
        <v>292</v>
      </c>
      <c r="V21" s="31" t="s">
        <v>349</v>
      </c>
      <c r="X21" s="31" t="s">
        <v>294</v>
      </c>
      <c r="Y21" s="31" t="s">
        <v>295</v>
      </c>
      <c r="Z21" s="31">
        <v>30312</v>
      </c>
      <c r="AA21" s="31" t="s">
        <v>328</v>
      </c>
      <c r="AB21" s="31" t="s">
        <v>297</v>
      </c>
      <c r="AF21" s="31" t="s">
        <v>336</v>
      </c>
      <c r="AI21" s="32">
        <v>43804</v>
      </c>
      <c r="AJ21" s="31">
        <v>12.5</v>
      </c>
      <c r="AK21" s="31">
        <v>106.3</v>
      </c>
      <c r="BF21" s="31" t="s">
        <v>332</v>
      </c>
      <c r="BK21" s="31" t="s">
        <v>50</v>
      </c>
      <c r="BL21" s="31" t="s">
        <v>242</v>
      </c>
      <c r="BM21" s="31" t="s">
        <v>243</v>
      </c>
      <c r="BN21" s="33">
        <v>43894.316806516203</v>
      </c>
      <c r="BR21" s="31" t="s">
        <v>257</v>
      </c>
      <c r="BS21" s="31">
        <v>4.02012020168638E+18</v>
      </c>
      <c r="BT21" s="31" t="s">
        <v>245</v>
      </c>
      <c r="BU21" s="31" t="s">
        <v>337</v>
      </c>
      <c r="BV21" s="31">
        <v>2020</v>
      </c>
      <c r="BW21" s="31" t="s">
        <v>246</v>
      </c>
      <c r="BY21" s="31">
        <v>4.0302202012387599E+18</v>
      </c>
      <c r="BZ21" s="31" t="s">
        <v>352</v>
      </c>
      <c r="CA21" s="31" t="s">
        <v>248</v>
      </c>
    </row>
    <row r="22" spans="1:79" x14ac:dyDescent="0.2">
      <c r="A22" s="31" t="s">
        <v>316</v>
      </c>
      <c r="B22" s="31" t="s">
        <v>325</v>
      </c>
      <c r="C22" s="31">
        <v>2019</v>
      </c>
      <c r="D22" s="31" t="s">
        <v>268</v>
      </c>
      <c r="E22" s="31">
        <v>2.0200129917011398E+17</v>
      </c>
      <c r="F22" s="31" t="s">
        <v>225</v>
      </c>
      <c r="G22" s="31" t="s">
        <v>353</v>
      </c>
      <c r="H22" s="31">
        <v>1378435</v>
      </c>
      <c r="J22" s="31" t="s">
        <v>227</v>
      </c>
      <c r="K22" s="31" t="s">
        <v>228</v>
      </c>
      <c r="L22" s="31" t="s">
        <v>320</v>
      </c>
      <c r="N22" s="31" t="s">
        <v>290</v>
      </c>
      <c r="O22" s="31" t="s">
        <v>254</v>
      </c>
      <c r="Q22" s="31" t="s">
        <v>255</v>
      </c>
      <c r="R22" s="31" t="s">
        <v>291</v>
      </c>
      <c r="T22" s="31" t="s">
        <v>292</v>
      </c>
      <c r="V22" s="31" t="s">
        <v>349</v>
      </c>
      <c r="X22" s="31" t="s">
        <v>294</v>
      </c>
      <c r="Y22" s="31" t="s">
        <v>295</v>
      </c>
      <c r="Z22" s="31">
        <v>30312</v>
      </c>
      <c r="AA22" s="31" t="s">
        <v>328</v>
      </c>
      <c r="AB22" s="31" t="s">
        <v>297</v>
      </c>
      <c r="AC22" s="31" t="s">
        <v>320</v>
      </c>
      <c r="AD22" s="31" t="s">
        <v>329</v>
      </c>
      <c r="AE22" s="31" t="s">
        <v>330</v>
      </c>
      <c r="AF22" s="31" t="s">
        <v>331</v>
      </c>
      <c r="AI22" s="32">
        <v>43799</v>
      </c>
      <c r="AJ22" s="31">
        <v>94</v>
      </c>
      <c r="AK22" s="31">
        <v>838</v>
      </c>
      <c r="BF22" s="31" t="s">
        <v>332</v>
      </c>
      <c r="BK22" s="31" t="s">
        <v>50</v>
      </c>
      <c r="BL22" s="31" t="s">
        <v>242</v>
      </c>
      <c r="BM22" s="31" t="s">
        <v>243</v>
      </c>
      <c r="BN22" s="33">
        <v>43894.354334224539</v>
      </c>
      <c r="BR22" s="31" t="s">
        <v>257</v>
      </c>
      <c r="BS22" s="31">
        <v>4.02012020168638E+18</v>
      </c>
      <c r="BT22" s="31" t="s">
        <v>245</v>
      </c>
      <c r="BU22" s="31" t="s">
        <v>354</v>
      </c>
      <c r="BV22" s="31">
        <v>2020</v>
      </c>
      <c r="BW22" s="31" t="s">
        <v>246</v>
      </c>
      <c r="BY22" s="31">
        <v>4.0302202012386801E+18</v>
      </c>
      <c r="BZ22" s="31" t="s">
        <v>352</v>
      </c>
      <c r="CA22" s="31" t="s">
        <v>248</v>
      </c>
    </row>
    <row r="23" spans="1:79" x14ac:dyDescent="0.2">
      <c r="A23" s="31" t="s">
        <v>316</v>
      </c>
      <c r="B23" s="31" t="s">
        <v>325</v>
      </c>
      <c r="C23" s="31">
        <v>2019</v>
      </c>
      <c r="D23" s="31" t="s">
        <v>268</v>
      </c>
      <c r="E23" s="31">
        <v>2.0200129917011398E+17</v>
      </c>
      <c r="F23" s="31" t="s">
        <v>225</v>
      </c>
      <c r="G23" s="31" t="s">
        <v>355</v>
      </c>
      <c r="H23" s="31">
        <v>1378435</v>
      </c>
      <c r="J23" s="31" t="s">
        <v>227</v>
      </c>
      <c r="K23" s="31" t="s">
        <v>228</v>
      </c>
      <c r="L23" s="31" t="s">
        <v>320</v>
      </c>
      <c r="N23" s="31" t="s">
        <v>290</v>
      </c>
      <c r="O23" s="31" t="s">
        <v>254</v>
      </c>
      <c r="Q23" s="31" t="s">
        <v>255</v>
      </c>
      <c r="R23" s="31" t="s">
        <v>291</v>
      </c>
      <c r="T23" s="31" t="s">
        <v>292</v>
      </c>
      <c r="V23" s="31" t="s">
        <v>349</v>
      </c>
      <c r="X23" s="31" t="s">
        <v>294</v>
      </c>
      <c r="Y23" s="31" t="s">
        <v>295</v>
      </c>
      <c r="Z23" s="31">
        <v>30312</v>
      </c>
      <c r="AA23" s="31" t="s">
        <v>328</v>
      </c>
      <c r="AB23" s="31" t="s">
        <v>297</v>
      </c>
      <c r="AC23" s="31" t="s">
        <v>320</v>
      </c>
      <c r="AD23" s="31" t="s">
        <v>329</v>
      </c>
      <c r="AE23" s="31" t="s">
        <v>330</v>
      </c>
      <c r="AF23" s="31" t="s">
        <v>331</v>
      </c>
      <c r="AI23" s="32">
        <v>43767</v>
      </c>
      <c r="AJ23" s="31">
        <v>100</v>
      </c>
      <c r="AK23" s="31">
        <v>838</v>
      </c>
      <c r="BF23" s="31" t="s">
        <v>332</v>
      </c>
      <c r="BK23" s="31" t="s">
        <v>50</v>
      </c>
      <c r="BL23" s="31" t="s">
        <v>242</v>
      </c>
      <c r="BM23" s="31" t="s">
        <v>243</v>
      </c>
      <c r="BN23" s="33">
        <v>43894.401286828703</v>
      </c>
      <c r="BR23" s="31" t="s">
        <v>257</v>
      </c>
      <c r="BS23" s="31">
        <v>4.02012020168638E+18</v>
      </c>
      <c r="BT23" s="31" t="s">
        <v>245</v>
      </c>
      <c r="BU23" s="31" t="s">
        <v>354</v>
      </c>
      <c r="BV23" s="31">
        <v>2020</v>
      </c>
      <c r="BW23" s="31" t="s">
        <v>246</v>
      </c>
      <c r="BY23" s="31">
        <v>4.0302202012381501E+18</v>
      </c>
      <c r="BZ23" s="31" t="s">
        <v>350</v>
      </c>
      <c r="CA23" s="31" t="s">
        <v>248</v>
      </c>
    </row>
    <row r="24" spans="1:79" x14ac:dyDescent="0.2">
      <c r="A24" s="31" t="s">
        <v>316</v>
      </c>
      <c r="B24" s="31" t="s">
        <v>325</v>
      </c>
      <c r="C24" s="31">
        <v>2019</v>
      </c>
      <c r="D24" s="31" t="s">
        <v>268</v>
      </c>
      <c r="E24" s="31">
        <v>2.0200129917011398E+17</v>
      </c>
      <c r="F24" s="31" t="s">
        <v>225</v>
      </c>
      <c r="G24" s="31" t="s">
        <v>356</v>
      </c>
      <c r="H24" s="31">
        <v>1378435</v>
      </c>
      <c r="J24" s="31" t="s">
        <v>227</v>
      </c>
      <c r="K24" s="31" t="s">
        <v>228</v>
      </c>
      <c r="L24" s="31" t="s">
        <v>314</v>
      </c>
      <c r="N24" s="31" t="s">
        <v>290</v>
      </c>
      <c r="O24" s="31" t="s">
        <v>254</v>
      </c>
      <c r="Q24" s="31" t="s">
        <v>255</v>
      </c>
      <c r="R24" s="31" t="s">
        <v>291</v>
      </c>
      <c r="T24" s="31" t="s">
        <v>292</v>
      </c>
      <c r="V24" s="31" t="s">
        <v>349</v>
      </c>
      <c r="X24" s="31" t="s">
        <v>294</v>
      </c>
      <c r="Y24" s="31" t="s">
        <v>295</v>
      </c>
      <c r="Z24" s="31">
        <v>30312</v>
      </c>
      <c r="AA24" s="31" t="s">
        <v>328</v>
      </c>
      <c r="AB24" s="31" t="s">
        <v>297</v>
      </c>
      <c r="AC24" s="31" t="s">
        <v>314</v>
      </c>
      <c r="AD24" s="31" t="s">
        <v>329</v>
      </c>
      <c r="AE24" s="31" t="s">
        <v>330</v>
      </c>
      <c r="AF24" s="31" t="s">
        <v>331</v>
      </c>
      <c r="AI24" s="32">
        <v>43830</v>
      </c>
      <c r="AJ24" s="31">
        <v>100</v>
      </c>
      <c r="AK24" s="31">
        <v>300</v>
      </c>
      <c r="BF24" s="31" t="s">
        <v>332</v>
      </c>
      <c r="BK24" s="31" t="s">
        <v>50</v>
      </c>
      <c r="BL24" s="31" t="s">
        <v>242</v>
      </c>
      <c r="BM24" s="31" t="s">
        <v>243</v>
      </c>
      <c r="BN24" s="33">
        <v>43894.425324050928</v>
      </c>
      <c r="BR24" s="31" t="s">
        <v>257</v>
      </c>
      <c r="BS24" s="31">
        <v>4.02012020168638E+18</v>
      </c>
      <c r="BT24" s="31" t="s">
        <v>245</v>
      </c>
      <c r="BU24" s="31" t="s">
        <v>357</v>
      </c>
      <c r="BV24" s="31">
        <v>2020</v>
      </c>
      <c r="BW24" s="31" t="s">
        <v>246</v>
      </c>
      <c r="BY24" s="31">
        <v>4.03022020122383E+18</v>
      </c>
      <c r="BZ24" s="31" t="s">
        <v>358</v>
      </c>
      <c r="CA24" s="31" t="s">
        <v>248</v>
      </c>
    </row>
    <row r="25" spans="1:79" x14ac:dyDescent="0.2">
      <c r="A25" s="31" t="s">
        <v>316</v>
      </c>
      <c r="B25" s="31" t="s">
        <v>325</v>
      </c>
      <c r="C25" s="31">
        <v>2019</v>
      </c>
      <c r="D25" s="31" t="s">
        <v>268</v>
      </c>
      <c r="E25" s="31">
        <v>2.0200129917011398E+17</v>
      </c>
      <c r="F25" s="31" t="s">
        <v>225</v>
      </c>
      <c r="G25" s="31" t="s">
        <v>359</v>
      </c>
      <c r="H25" s="31">
        <v>1378435</v>
      </c>
      <c r="J25" s="31" t="s">
        <v>227</v>
      </c>
      <c r="K25" s="31" t="s">
        <v>228</v>
      </c>
      <c r="N25" s="31" t="s">
        <v>290</v>
      </c>
      <c r="O25" s="31" t="s">
        <v>254</v>
      </c>
      <c r="Q25" s="31" t="s">
        <v>255</v>
      </c>
      <c r="R25" s="31" t="s">
        <v>291</v>
      </c>
      <c r="T25" s="31" t="s">
        <v>292</v>
      </c>
      <c r="V25" s="31" t="s">
        <v>349</v>
      </c>
      <c r="X25" s="31" t="s">
        <v>294</v>
      </c>
      <c r="Y25" s="31" t="s">
        <v>295</v>
      </c>
      <c r="Z25" s="31">
        <v>30312</v>
      </c>
      <c r="AA25" s="31" t="s">
        <v>328</v>
      </c>
      <c r="AB25" s="31" t="s">
        <v>297</v>
      </c>
      <c r="AF25" s="31" t="s">
        <v>336</v>
      </c>
      <c r="AI25" s="32">
        <v>43799</v>
      </c>
      <c r="AJ25" s="31">
        <v>9.4</v>
      </c>
      <c r="AK25" s="31">
        <v>106.3</v>
      </c>
      <c r="BF25" s="31" t="s">
        <v>332</v>
      </c>
      <c r="BK25" s="31" t="s">
        <v>50</v>
      </c>
      <c r="BL25" s="31" t="s">
        <v>242</v>
      </c>
      <c r="BM25" s="31" t="s">
        <v>243</v>
      </c>
      <c r="BN25" s="33">
        <v>43894.427502268518</v>
      </c>
      <c r="BR25" s="31" t="s">
        <v>257</v>
      </c>
      <c r="BS25" s="31">
        <v>4.02012020168638E+18</v>
      </c>
      <c r="BT25" s="31" t="s">
        <v>245</v>
      </c>
      <c r="BU25" s="31" t="s">
        <v>337</v>
      </c>
      <c r="BV25" s="31">
        <v>2020</v>
      </c>
      <c r="BW25" s="31" t="s">
        <v>246</v>
      </c>
      <c r="BY25" s="31">
        <v>4.0302202012263199E+18</v>
      </c>
      <c r="BZ25" s="31" t="s">
        <v>350</v>
      </c>
      <c r="CA25" s="31" t="s">
        <v>248</v>
      </c>
    </row>
    <row r="26" spans="1:79" x14ac:dyDescent="0.2">
      <c r="A26" s="31" t="s">
        <v>316</v>
      </c>
      <c r="B26" s="31" t="s">
        <v>325</v>
      </c>
      <c r="C26" s="31">
        <v>2019</v>
      </c>
      <c r="D26" s="31" t="s">
        <v>268</v>
      </c>
      <c r="E26" s="31">
        <v>2.0200129917011398E+17</v>
      </c>
      <c r="F26" s="31" t="s">
        <v>225</v>
      </c>
      <c r="G26" s="31" t="s">
        <v>360</v>
      </c>
      <c r="H26" s="31">
        <v>1378435</v>
      </c>
      <c r="J26" s="31" t="s">
        <v>227</v>
      </c>
      <c r="K26" s="31" t="s">
        <v>228</v>
      </c>
      <c r="N26" s="31" t="s">
        <v>290</v>
      </c>
      <c r="O26" s="31" t="s">
        <v>254</v>
      </c>
      <c r="Q26" s="31" t="s">
        <v>255</v>
      </c>
      <c r="R26" s="31" t="s">
        <v>291</v>
      </c>
      <c r="T26" s="31" t="s">
        <v>292</v>
      </c>
      <c r="V26" s="31" t="s">
        <v>349</v>
      </c>
      <c r="X26" s="31" t="s">
        <v>294</v>
      </c>
      <c r="Y26" s="31" t="s">
        <v>295</v>
      </c>
      <c r="Z26" s="31">
        <v>30312</v>
      </c>
      <c r="AA26" s="31" t="s">
        <v>328</v>
      </c>
      <c r="AB26" s="31" t="s">
        <v>297</v>
      </c>
      <c r="AF26" s="31" t="s">
        <v>336</v>
      </c>
      <c r="AI26" s="32">
        <v>43830</v>
      </c>
      <c r="AJ26" s="31">
        <v>10</v>
      </c>
      <c r="AK26" s="31">
        <v>106.3</v>
      </c>
      <c r="BF26" s="31" t="s">
        <v>332</v>
      </c>
      <c r="BK26" s="31" t="s">
        <v>50</v>
      </c>
      <c r="BL26" s="31" t="s">
        <v>242</v>
      </c>
      <c r="BM26" s="31" t="s">
        <v>243</v>
      </c>
      <c r="BN26" s="33">
        <v>43894.466685092593</v>
      </c>
      <c r="BR26" s="31" t="s">
        <v>257</v>
      </c>
      <c r="BS26" s="31">
        <v>4.02012020168638E+18</v>
      </c>
      <c r="BT26" s="31" t="s">
        <v>245</v>
      </c>
      <c r="BU26" s="31" t="s">
        <v>337</v>
      </c>
      <c r="BV26" s="31">
        <v>2020</v>
      </c>
      <c r="BW26" s="31" t="s">
        <v>246</v>
      </c>
      <c r="BY26" s="31">
        <v>4.0302202012330998E+18</v>
      </c>
      <c r="BZ26" s="31" t="s">
        <v>361</v>
      </c>
      <c r="CA26" s="31" t="s">
        <v>248</v>
      </c>
    </row>
    <row r="27" spans="1:79" x14ac:dyDescent="0.2">
      <c r="A27" s="31" t="s">
        <v>316</v>
      </c>
      <c r="B27" s="31" t="s">
        <v>325</v>
      </c>
      <c r="C27" s="31">
        <v>2019</v>
      </c>
      <c r="D27" s="31" t="s">
        <v>268</v>
      </c>
      <c r="E27" s="31">
        <v>2.0200129917011398E+17</v>
      </c>
      <c r="F27" s="31" t="s">
        <v>225</v>
      </c>
      <c r="G27" s="31" t="s">
        <v>362</v>
      </c>
      <c r="H27" s="31">
        <v>1378435</v>
      </c>
      <c r="J27" s="31" t="s">
        <v>227</v>
      </c>
      <c r="K27" s="31" t="s">
        <v>228</v>
      </c>
      <c r="N27" s="31" t="s">
        <v>290</v>
      </c>
      <c r="O27" s="31" t="s">
        <v>254</v>
      </c>
      <c r="Q27" s="31" t="s">
        <v>255</v>
      </c>
      <c r="R27" s="31" t="s">
        <v>291</v>
      </c>
      <c r="T27" s="31" t="s">
        <v>292</v>
      </c>
      <c r="V27" s="31" t="s">
        <v>349</v>
      </c>
      <c r="X27" s="31" t="s">
        <v>294</v>
      </c>
      <c r="Y27" s="31" t="s">
        <v>295</v>
      </c>
      <c r="Z27" s="31">
        <v>30312</v>
      </c>
      <c r="AA27" s="31" t="s">
        <v>328</v>
      </c>
      <c r="AB27" s="31" t="s">
        <v>297</v>
      </c>
      <c r="AF27" s="31" t="s">
        <v>336</v>
      </c>
      <c r="AI27" s="32">
        <v>43811</v>
      </c>
      <c r="AJ27" s="31">
        <v>9.4</v>
      </c>
      <c r="AK27" s="31">
        <v>106.3</v>
      </c>
      <c r="BF27" s="31" t="s">
        <v>332</v>
      </c>
      <c r="BK27" s="31" t="s">
        <v>50</v>
      </c>
      <c r="BL27" s="31" t="s">
        <v>242</v>
      </c>
      <c r="BM27" s="31" t="s">
        <v>243</v>
      </c>
      <c r="BN27" s="33">
        <v>43894.490267870373</v>
      </c>
      <c r="BR27" s="31" t="s">
        <v>257</v>
      </c>
      <c r="BS27" s="31">
        <v>4.02012020168638E+18</v>
      </c>
      <c r="BT27" s="31" t="s">
        <v>245</v>
      </c>
      <c r="BU27" s="31" t="s">
        <v>337</v>
      </c>
      <c r="BV27" s="31">
        <v>2020</v>
      </c>
      <c r="BW27" s="31" t="s">
        <v>246</v>
      </c>
      <c r="BY27" s="31">
        <v>4.0302202012159201E+18</v>
      </c>
      <c r="BZ27" s="31" t="s">
        <v>361</v>
      </c>
      <c r="CA27" s="31" t="s">
        <v>248</v>
      </c>
    </row>
    <row r="28" spans="1:79" x14ac:dyDescent="0.2">
      <c r="A28" s="31" t="s">
        <v>316</v>
      </c>
      <c r="B28" s="31" t="s">
        <v>325</v>
      </c>
      <c r="C28" s="31">
        <v>2019</v>
      </c>
      <c r="D28" s="31" t="s">
        <v>268</v>
      </c>
      <c r="E28" s="31">
        <v>2.0200129917011398E+17</v>
      </c>
      <c r="F28" s="31" t="s">
        <v>225</v>
      </c>
      <c r="G28" s="31" t="s">
        <v>363</v>
      </c>
      <c r="H28" s="31">
        <v>1378435</v>
      </c>
      <c r="J28" s="31" t="s">
        <v>227</v>
      </c>
      <c r="K28" s="31" t="s">
        <v>228</v>
      </c>
      <c r="L28" s="31" t="s">
        <v>320</v>
      </c>
      <c r="N28" s="31" t="s">
        <v>290</v>
      </c>
      <c r="O28" s="31" t="s">
        <v>254</v>
      </c>
      <c r="Q28" s="31" t="s">
        <v>255</v>
      </c>
      <c r="R28" s="31" t="s">
        <v>291</v>
      </c>
      <c r="T28" s="31" t="s">
        <v>292</v>
      </c>
      <c r="V28" s="31" t="s">
        <v>349</v>
      </c>
      <c r="X28" s="31" t="s">
        <v>294</v>
      </c>
      <c r="Y28" s="31" t="s">
        <v>295</v>
      </c>
      <c r="Z28" s="31">
        <v>30312</v>
      </c>
      <c r="AA28" s="31" t="s">
        <v>328</v>
      </c>
      <c r="AB28" s="31" t="s">
        <v>297</v>
      </c>
      <c r="AC28" s="31" t="s">
        <v>320</v>
      </c>
      <c r="AD28" s="31" t="s">
        <v>329</v>
      </c>
      <c r="AE28" s="31" t="s">
        <v>330</v>
      </c>
      <c r="AF28" s="31" t="s">
        <v>331</v>
      </c>
      <c r="AI28" s="32">
        <v>43804</v>
      </c>
      <c r="AJ28" s="31">
        <v>125</v>
      </c>
      <c r="AK28" s="31">
        <v>838</v>
      </c>
      <c r="BF28" s="31" t="s">
        <v>332</v>
      </c>
      <c r="BK28" s="31" t="s">
        <v>50</v>
      </c>
      <c r="BL28" s="31" t="s">
        <v>242</v>
      </c>
      <c r="BM28" s="31" t="s">
        <v>243</v>
      </c>
      <c r="BN28" s="33">
        <v>43894.50595590278</v>
      </c>
      <c r="BR28" s="31" t="s">
        <v>257</v>
      </c>
      <c r="BS28" s="31">
        <v>4.02012020168638E+18</v>
      </c>
      <c r="BT28" s="31" t="s">
        <v>245</v>
      </c>
      <c r="BU28" s="31" t="s">
        <v>354</v>
      </c>
      <c r="BV28" s="31">
        <v>2020</v>
      </c>
      <c r="BW28" s="31" t="s">
        <v>246</v>
      </c>
      <c r="BY28" s="31">
        <v>4.03022020122639E+18</v>
      </c>
      <c r="BZ28" s="31" t="s">
        <v>352</v>
      </c>
      <c r="CA28" s="31" t="s">
        <v>248</v>
      </c>
    </row>
    <row r="29" spans="1:79" x14ac:dyDescent="0.2">
      <c r="A29" s="31" t="s">
        <v>316</v>
      </c>
      <c r="B29" s="31" t="s">
        <v>325</v>
      </c>
      <c r="C29" s="31">
        <v>2019</v>
      </c>
      <c r="D29" s="31" t="s">
        <v>268</v>
      </c>
      <c r="E29" s="31">
        <v>2.0200129917011398E+17</v>
      </c>
      <c r="F29" s="31" t="s">
        <v>225</v>
      </c>
      <c r="G29" s="31" t="s">
        <v>364</v>
      </c>
      <c r="H29" s="31">
        <v>1378435</v>
      </c>
      <c r="J29" s="31" t="s">
        <v>227</v>
      </c>
      <c r="K29" s="31" t="s">
        <v>228</v>
      </c>
      <c r="L29" s="31" t="s">
        <v>320</v>
      </c>
      <c r="N29" s="31" t="s">
        <v>290</v>
      </c>
      <c r="O29" s="31" t="s">
        <v>254</v>
      </c>
      <c r="Q29" s="31" t="s">
        <v>255</v>
      </c>
      <c r="R29" s="31" t="s">
        <v>291</v>
      </c>
      <c r="T29" s="31" t="s">
        <v>292</v>
      </c>
      <c r="V29" s="31" t="s">
        <v>349</v>
      </c>
      <c r="X29" s="31" t="s">
        <v>294</v>
      </c>
      <c r="Y29" s="31" t="s">
        <v>295</v>
      </c>
      <c r="Z29" s="31">
        <v>30312</v>
      </c>
      <c r="AA29" s="31" t="s">
        <v>328</v>
      </c>
      <c r="AB29" s="31" t="s">
        <v>297</v>
      </c>
      <c r="AC29" s="31" t="s">
        <v>320</v>
      </c>
      <c r="AD29" s="31" t="s">
        <v>329</v>
      </c>
      <c r="AE29" s="31" t="s">
        <v>330</v>
      </c>
      <c r="AF29" s="31" t="s">
        <v>331</v>
      </c>
      <c r="AI29" s="32">
        <v>43811</v>
      </c>
      <c r="AJ29" s="31">
        <v>94</v>
      </c>
      <c r="AK29" s="31">
        <v>838</v>
      </c>
      <c r="BF29" s="31" t="s">
        <v>332</v>
      </c>
      <c r="BK29" s="31" t="s">
        <v>50</v>
      </c>
      <c r="BL29" s="31" t="s">
        <v>242</v>
      </c>
      <c r="BM29" s="31" t="s">
        <v>243</v>
      </c>
      <c r="BN29" s="33">
        <v>43894.579374918983</v>
      </c>
      <c r="BR29" s="31" t="s">
        <v>257</v>
      </c>
      <c r="BS29" s="31">
        <v>4.02012020168638E+18</v>
      </c>
      <c r="BT29" s="31" t="s">
        <v>245</v>
      </c>
      <c r="BU29" s="31" t="s">
        <v>354</v>
      </c>
      <c r="BV29" s="31">
        <v>2020</v>
      </c>
      <c r="BW29" s="31" t="s">
        <v>246</v>
      </c>
      <c r="BY29" s="31">
        <v>4.0302202012234102E+18</v>
      </c>
      <c r="BZ29" s="31" t="s">
        <v>361</v>
      </c>
      <c r="CA29" s="31" t="s">
        <v>248</v>
      </c>
    </row>
    <row r="30" spans="1:79" x14ac:dyDescent="0.2">
      <c r="A30" s="31" t="s">
        <v>320</v>
      </c>
      <c r="B30" s="31" t="s">
        <v>321</v>
      </c>
      <c r="C30" s="31">
        <v>2019</v>
      </c>
      <c r="D30" s="31" t="s">
        <v>365</v>
      </c>
      <c r="E30" s="31">
        <v>2.0200302920361101E+17</v>
      </c>
      <c r="F30" s="31" t="s">
        <v>225</v>
      </c>
      <c r="G30" s="31">
        <v>27978234</v>
      </c>
      <c r="H30" s="31">
        <v>1387464</v>
      </c>
      <c r="J30" s="31" t="s">
        <v>227</v>
      </c>
      <c r="K30" s="31" t="s">
        <v>228</v>
      </c>
      <c r="N30" s="31" t="s">
        <v>366</v>
      </c>
      <c r="O30" s="31" t="s">
        <v>26</v>
      </c>
      <c r="Q30" s="31" t="s">
        <v>255</v>
      </c>
      <c r="R30" s="31" t="s">
        <v>291</v>
      </c>
      <c r="S30" s="31" t="s">
        <v>367</v>
      </c>
      <c r="T30" s="31" t="s">
        <v>292</v>
      </c>
      <c r="V30" s="31" t="s">
        <v>293</v>
      </c>
      <c r="X30" s="31" t="s">
        <v>294</v>
      </c>
      <c r="Y30" s="31" t="s">
        <v>295</v>
      </c>
      <c r="Z30" s="31">
        <v>303121941</v>
      </c>
      <c r="AA30" s="31" t="s">
        <v>296</v>
      </c>
      <c r="AB30" s="31" t="s">
        <v>297</v>
      </c>
      <c r="AI30" s="32">
        <v>43799</v>
      </c>
      <c r="AJ30" s="31">
        <v>94</v>
      </c>
      <c r="AK30" s="31">
        <v>619</v>
      </c>
      <c r="BK30" s="31" t="s">
        <v>50</v>
      </c>
      <c r="BL30" s="31" t="s">
        <v>242</v>
      </c>
      <c r="BM30" s="31" t="s">
        <v>243</v>
      </c>
      <c r="BN30" s="33">
        <v>43895.507802893517</v>
      </c>
      <c r="BP30" s="31" t="s">
        <v>368</v>
      </c>
      <c r="BQ30" s="31" t="s">
        <v>318</v>
      </c>
      <c r="BR30" s="31" t="s">
        <v>257</v>
      </c>
      <c r="BS30" s="31">
        <v>4.0304202017001298E+18</v>
      </c>
      <c r="BT30" s="31" t="s">
        <v>245</v>
      </c>
      <c r="BU30" s="31" t="s">
        <v>323</v>
      </c>
      <c r="BV30" s="31">
        <v>2020</v>
      </c>
      <c r="BW30" s="31" t="s">
        <v>246</v>
      </c>
      <c r="BY30" s="31">
        <v>4.0304202017018399E+18</v>
      </c>
      <c r="BZ30" s="31" t="s">
        <v>369</v>
      </c>
      <c r="CA30" s="31" t="s">
        <v>248</v>
      </c>
    </row>
    <row r="31" spans="1:79" x14ac:dyDescent="0.2">
      <c r="A31" s="31" t="s">
        <v>320</v>
      </c>
      <c r="B31" s="31" t="s">
        <v>321</v>
      </c>
      <c r="C31" s="31">
        <v>2019</v>
      </c>
      <c r="D31" s="31" t="s">
        <v>268</v>
      </c>
      <c r="E31" s="31">
        <v>2.0200303920370499E+17</v>
      </c>
      <c r="F31" s="31" t="s">
        <v>225</v>
      </c>
      <c r="G31" s="31">
        <v>28209176</v>
      </c>
      <c r="H31" s="31">
        <v>1387576</v>
      </c>
      <c r="J31" s="31" t="s">
        <v>227</v>
      </c>
      <c r="K31" s="31" t="s">
        <v>228</v>
      </c>
      <c r="N31" s="31" t="s">
        <v>366</v>
      </c>
      <c r="O31" s="31" t="s">
        <v>26</v>
      </c>
      <c r="Q31" s="31" t="s">
        <v>255</v>
      </c>
      <c r="R31" s="31" t="s">
        <v>291</v>
      </c>
      <c r="S31" s="31" t="s">
        <v>367</v>
      </c>
      <c r="T31" s="31" t="s">
        <v>292</v>
      </c>
      <c r="V31" s="31" t="s">
        <v>293</v>
      </c>
      <c r="X31" s="31" t="s">
        <v>294</v>
      </c>
      <c r="Y31" s="31" t="s">
        <v>295</v>
      </c>
      <c r="Z31" s="31">
        <v>303121941</v>
      </c>
      <c r="AA31" s="31" t="s">
        <v>296</v>
      </c>
      <c r="AB31" s="31" t="s">
        <v>297</v>
      </c>
      <c r="AI31" s="32">
        <v>43804</v>
      </c>
      <c r="AJ31" s="31">
        <v>125</v>
      </c>
      <c r="AK31" s="31">
        <v>744</v>
      </c>
      <c r="BK31" s="31" t="s">
        <v>50</v>
      </c>
      <c r="BL31" s="31" t="s">
        <v>242</v>
      </c>
      <c r="BM31" s="31" t="s">
        <v>243</v>
      </c>
      <c r="BN31" s="33">
        <v>43897.102914768519</v>
      </c>
      <c r="BP31" s="31" t="s">
        <v>370</v>
      </c>
      <c r="BQ31" s="31" t="s">
        <v>318</v>
      </c>
      <c r="BR31" s="31" t="s">
        <v>257</v>
      </c>
      <c r="BS31" s="31">
        <v>4.0304202017001298E+18</v>
      </c>
      <c r="BT31" s="31" t="s">
        <v>245</v>
      </c>
      <c r="BU31" s="31" t="s">
        <v>323</v>
      </c>
      <c r="BV31" s="31">
        <v>2020</v>
      </c>
      <c r="BW31" s="31" t="s">
        <v>246</v>
      </c>
      <c r="BY31" s="31">
        <v>4.03062020170238E+18</v>
      </c>
      <c r="BZ31" s="31" t="s">
        <v>371</v>
      </c>
      <c r="CA31" s="31" t="s">
        <v>248</v>
      </c>
    </row>
    <row r="32" spans="1:79" x14ac:dyDescent="0.2">
      <c r="A32" s="31" t="s">
        <v>320</v>
      </c>
      <c r="B32" s="31" t="s">
        <v>321</v>
      </c>
      <c r="C32" s="31">
        <v>2019</v>
      </c>
      <c r="D32" s="31" t="s">
        <v>268</v>
      </c>
      <c r="E32" s="31">
        <v>2.0200303920370499E+17</v>
      </c>
      <c r="F32" s="31" t="s">
        <v>225</v>
      </c>
      <c r="G32" s="31">
        <v>28232437</v>
      </c>
      <c r="H32" s="31">
        <v>1387576</v>
      </c>
      <c r="J32" s="31" t="s">
        <v>227</v>
      </c>
      <c r="K32" s="31" t="s">
        <v>228</v>
      </c>
      <c r="N32" s="31" t="s">
        <v>366</v>
      </c>
      <c r="O32" s="31" t="s">
        <v>26</v>
      </c>
      <c r="Q32" s="31" t="s">
        <v>255</v>
      </c>
      <c r="R32" s="31" t="s">
        <v>291</v>
      </c>
      <c r="S32" s="31" t="s">
        <v>367</v>
      </c>
      <c r="T32" s="31" t="s">
        <v>292</v>
      </c>
      <c r="V32" s="31" t="s">
        <v>293</v>
      </c>
      <c r="X32" s="31" t="s">
        <v>294</v>
      </c>
      <c r="Y32" s="31" t="s">
        <v>295</v>
      </c>
      <c r="Z32" s="31">
        <v>303121941</v>
      </c>
      <c r="AA32" s="31" t="s">
        <v>296</v>
      </c>
      <c r="AB32" s="31" t="s">
        <v>297</v>
      </c>
      <c r="AI32" s="32">
        <v>43811</v>
      </c>
      <c r="AJ32" s="31">
        <v>94</v>
      </c>
      <c r="AK32" s="31">
        <v>838</v>
      </c>
      <c r="BK32" s="31" t="s">
        <v>50</v>
      </c>
      <c r="BL32" s="31" t="s">
        <v>242</v>
      </c>
      <c r="BM32" s="31" t="s">
        <v>243</v>
      </c>
      <c r="BN32" s="33">
        <v>43897.102914768519</v>
      </c>
      <c r="BP32" s="31" t="s">
        <v>372</v>
      </c>
      <c r="BQ32" s="31" t="s">
        <v>318</v>
      </c>
      <c r="BR32" s="31" t="s">
        <v>257</v>
      </c>
      <c r="BS32" s="31">
        <v>4.0304202017001298E+18</v>
      </c>
      <c r="BT32" s="31" t="s">
        <v>245</v>
      </c>
      <c r="BU32" s="31" t="s">
        <v>323</v>
      </c>
      <c r="BV32" s="31">
        <v>2020</v>
      </c>
      <c r="BW32" s="31" t="s">
        <v>246</v>
      </c>
      <c r="BY32" s="31">
        <v>4.03062020170238E+18</v>
      </c>
      <c r="BZ32" s="31" t="s">
        <v>373</v>
      </c>
      <c r="CA32" s="31" t="s">
        <v>248</v>
      </c>
    </row>
    <row r="33" spans="1:79" x14ac:dyDescent="0.2">
      <c r="A33" s="31" t="s">
        <v>316</v>
      </c>
      <c r="B33" s="31" t="s">
        <v>325</v>
      </c>
      <c r="C33" s="31">
        <v>2020</v>
      </c>
      <c r="D33" s="31" t="s">
        <v>374</v>
      </c>
      <c r="E33" s="31">
        <v>2.0200221920060301E+17</v>
      </c>
      <c r="F33" s="31" t="s">
        <v>225</v>
      </c>
      <c r="G33" s="31" t="s">
        <v>375</v>
      </c>
      <c r="H33" s="31">
        <v>1385527</v>
      </c>
      <c r="J33" s="31" t="s">
        <v>227</v>
      </c>
      <c r="K33" s="31" t="s">
        <v>228</v>
      </c>
      <c r="N33" s="31" t="s">
        <v>290</v>
      </c>
      <c r="O33" s="31" t="s">
        <v>254</v>
      </c>
      <c r="Q33" s="31" t="s">
        <v>255</v>
      </c>
      <c r="R33" s="31" t="s">
        <v>291</v>
      </c>
      <c r="T33" s="31" t="s">
        <v>292</v>
      </c>
      <c r="V33" s="31" t="s">
        <v>327</v>
      </c>
      <c r="X33" s="31" t="s">
        <v>294</v>
      </c>
      <c r="Y33" s="31" t="s">
        <v>295</v>
      </c>
      <c r="Z33" s="31">
        <v>30312</v>
      </c>
      <c r="AA33" s="31" t="s">
        <v>328</v>
      </c>
      <c r="AB33" s="31" t="s">
        <v>297</v>
      </c>
      <c r="AF33" s="31" t="s">
        <v>336</v>
      </c>
      <c r="AI33" s="32">
        <v>43861</v>
      </c>
      <c r="AJ33" s="31">
        <v>10</v>
      </c>
      <c r="AK33" s="31">
        <v>30</v>
      </c>
      <c r="BK33" s="31" t="s">
        <v>50</v>
      </c>
      <c r="BL33" s="31" t="s">
        <v>242</v>
      </c>
      <c r="BM33" s="31" t="s">
        <v>243</v>
      </c>
      <c r="BN33" s="33">
        <v>43915.284841261571</v>
      </c>
      <c r="BR33" s="31" t="s">
        <v>257</v>
      </c>
      <c r="BS33" s="31">
        <v>4.02212020169344E+18</v>
      </c>
      <c r="BT33" s="31" t="s">
        <v>245</v>
      </c>
      <c r="BU33" s="31" t="s">
        <v>337</v>
      </c>
      <c r="BV33" s="31">
        <v>2020</v>
      </c>
      <c r="BW33" s="31" t="s">
        <v>246</v>
      </c>
      <c r="BY33" s="31">
        <v>4.0324202017076797E+18</v>
      </c>
      <c r="BZ33" s="31" t="s">
        <v>376</v>
      </c>
      <c r="CA33" s="31" t="s">
        <v>248</v>
      </c>
    </row>
    <row r="34" spans="1:79" x14ac:dyDescent="0.2">
      <c r="A34" s="31" t="s">
        <v>316</v>
      </c>
      <c r="B34" s="31" t="s">
        <v>325</v>
      </c>
      <c r="C34" s="31">
        <v>2020</v>
      </c>
      <c r="D34" s="31" t="s">
        <v>374</v>
      </c>
      <c r="E34" s="31">
        <v>2.0200221920060301E+17</v>
      </c>
      <c r="F34" s="31" t="s">
        <v>225</v>
      </c>
      <c r="G34" s="31" t="s">
        <v>377</v>
      </c>
      <c r="H34" s="31">
        <v>1385527</v>
      </c>
      <c r="J34" s="31" t="s">
        <v>227</v>
      </c>
      <c r="K34" s="31" t="s">
        <v>228</v>
      </c>
      <c r="N34" s="31" t="s">
        <v>290</v>
      </c>
      <c r="O34" s="31" t="s">
        <v>254</v>
      </c>
      <c r="Q34" s="31" t="s">
        <v>255</v>
      </c>
      <c r="R34" s="31" t="s">
        <v>291</v>
      </c>
      <c r="T34" s="31" t="s">
        <v>292</v>
      </c>
      <c r="V34" s="31" t="s">
        <v>327</v>
      </c>
      <c r="X34" s="31" t="s">
        <v>294</v>
      </c>
      <c r="Y34" s="31" t="s">
        <v>295</v>
      </c>
      <c r="Z34" s="31">
        <v>30312</v>
      </c>
      <c r="AA34" s="31" t="s">
        <v>328</v>
      </c>
      <c r="AB34" s="31" t="s">
        <v>297</v>
      </c>
      <c r="AF34" s="31" t="s">
        <v>336</v>
      </c>
      <c r="AI34" s="32">
        <v>43861</v>
      </c>
      <c r="AJ34" s="31">
        <v>10</v>
      </c>
      <c r="AK34" s="31">
        <v>30</v>
      </c>
      <c r="BK34" s="31" t="s">
        <v>50</v>
      </c>
      <c r="BL34" s="31" t="s">
        <v>242</v>
      </c>
      <c r="BM34" s="31" t="s">
        <v>243</v>
      </c>
      <c r="BN34" s="33">
        <v>43915.292520682873</v>
      </c>
      <c r="BR34" s="31" t="s">
        <v>257</v>
      </c>
      <c r="BS34" s="31">
        <v>4.02212020169344E+18</v>
      </c>
      <c r="BT34" s="31" t="s">
        <v>245</v>
      </c>
      <c r="BU34" s="31" t="s">
        <v>337</v>
      </c>
      <c r="BV34" s="31">
        <v>2020</v>
      </c>
      <c r="BW34" s="31" t="s">
        <v>246</v>
      </c>
      <c r="BY34" s="31">
        <v>4.0324202017076797E+18</v>
      </c>
      <c r="BZ34" s="31" t="s">
        <v>376</v>
      </c>
      <c r="CA34" s="31" t="s">
        <v>248</v>
      </c>
    </row>
    <row r="35" spans="1:79" x14ac:dyDescent="0.2">
      <c r="A35" s="31" t="s">
        <v>316</v>
      </c>
      <c r="B35" s="31" t="s">
        <v>325</v>
      </c>
      <c r="C35" s="31">
        <v>2020</v>
      </c>
      <c r="D35" s="31" t="s">
        <v>374</v>
      </c>
      <c r="E35" s="31">
        <v>2.0200221920060301E+17</v>
      </c>
      <c r="F35" s="31" t="s">
        <v>225</v>
      </c>
      <c r="G35" s="31" t="s">
        <v>378</v>
      </c>
      <c r="H35" s="31">
        <v>1385527</v>
      </c>
      <c r="J35" s="31" t="s">
        <v>227</v>
      </c>
      <c r="K35" s="31" t="s">
        <v>228</v>
      </c>
      <c r="N35" s="31" t="s">
        <v>290</v>
      </c>
      <c r="O35" s="31" t="s">
        <v>254</v>
      </c>
      <c r="Q35" s="31" t="s">
        <v>255</v>
      </c>
      <c r="R35" s="31" t="s">
        <v>291</v>
      </c>
      <c r="T35" s="31" t="s">
        <v>292</v>
      </c>
      <c r="V35" s="31" t="s">
        <v>327</v>
      </c>
      <c r="X35" s="31" t="s">
        <v>294</v>
      </c>
      <c r="Y35" s="31" t="s">
        <v>295</v>
      </c>
      <c r="Z35" s="31">
        <v>30312</v>
      </c>
      <c r="AA35" s="31" t="s">
        <v>328</v>
      </c>
      <c r="AB35" s="31" t="s">
        <v>297</v>
      </c>
      <c r="AF35" s="31" t="s">
        <v>336</v>
      </c>
      <c r="AI35" s="32">
        <v>43861</v>
      </c>
      <c r="AJ35" s="31">
        <v>10</v>
      </c>
      <c r="AK35" s="31">
        <v>30</v>
      </c>
      <c r="BK35" s="31" t="s">
        <v>50</v>
      </c>
      <c r="BL35" s="31" t="s">
        <v>242</v>
      </c>
      <c r="BM35" s="31" t="s">
        <v>243</v>
      </c>
      <c r="BN35" s="33">
        <v>43915.305080428239</v>
      </c>
      <c r="BR35" s="31" t="s">
        <v>257</v>
      </c>
      <c r="BS35" s="31">
        <v>4.02212020169344E+18</v>
      </c>
      <c r="BT35" s="31" t="s">
        <v>245</v>
      </c>
      <c r="BU35" s="31" t="s">
        <v>337</v>
      </c>
      <c r="BV35" s="31">
        <v>2020</v>
      </c>
      <c r="BW35" s="31" t="s">
        <v>246</v>
      </c>
      <c r="BY35" s="31">
        <v>4.0324202017076797E+18</v>
      </c>
      <c r="BZ35" s="31" t="s">
        <v>379</v>
      </c>
      <c r="CA35" s="31" t="s">
        <v>248</v>
      </c>
    </row>
    <row r="36" spans="1:79" x14ac:dyDescent="0.2">
      <c r="A36" s="31" t="s">
        <v>316</v>
      </c>
      <c r="B36" s="31" t="s">
        <v>325</v>
      </c>
      <c r="C36" s="31">
        <v>2020</v>
      </c>
      <c r="D36" s="31" t="s">
        <v>374</v>
      </c>
      <c r="E36" s="31">
        <v>2.0200221920060301E+17</v>
      </c>
      <c r="F36" s="31" t="s">
        <v>225</v>
      </c>
      <c r="G36" s="31" t="s">
        <v>380</v>
      </c>
      <c r="H36" s="31">
        <v>1385527</v>
      </c>
      <c r="J36" s="31" t="s">
        <v>227</v>
      </c>
      <c r="K36" s="31" t="s">
        <v>228</v>
      </c>
      <c r="N36" s="31" t="s">
        <v>290</v>
      </c>
      <c r="O36" s="31" t="s">
        <v>254</v>
      </c>
      <c r="Q36" s="31" t="s">
        <v>255</v>
      </c>
      <c r="R36" s="31" t="s">
        <v>291</v>
      </c>
      <c r="T36" s="31" t="s">
        <v>292</v>
      </c>
      <c r="V36" s="31" t="s">
        <v>327</v>
      </c>
      <c r="X36" s="31" t="s">
        <v>294</v>
      </c>
      <c r="Y36" s="31" t="s">
        <v>295</v>
      </c>
      <c r="Z36" s="31">
        <v>30312</v>
      </c>
      <c r="AA36" s="31" t="s">
        <v>328</v>
      </c>
      <c r="AB36" s="31" t="s">
        <v>297</v>
      </c>
      <c r="AF36" s="31" t="s">
        <v>331</v>
      </c>
      <c r="AI36" s="32">
        <v>43861</v>
      </c>
      <c r="AJ36" s="31">
        <v>100</v>
      </c>
      <c r="AK36" s="31">
        <v>100</v>
      </c>
      <c r="BK36" s="31" t="s">
        <v>50</v>
      </c>
      <c r="BL36" s="31" t="s">
        <v>242</v>
      </c>
      <c r="BM36" s="31" t="s">
        <v>243</v>
      </c>
      <c r="BN36" s="33">
        <v>43915.322695821756</v>
      </c>
      <c r="BR36" s="31" t="s">
        <v>257</v>
      </c>
      <c r="BS36" s="31">
        <v>4.02212020169344E+18</v>
      </c>
      <c r="BT36" s="31" t="s">
        <v>245</v>
      </c>
      <c r="BU36" s="31" t="s">
        <v>381</v>
      </c>
      <c r="BV36" s="31">
        <v>2020</v>
      </c>
      <c r="BW36" s="31" t="s">
        <v>246</v>
      </c>
      <c r="BY36" s="31">
        <v>4.0324202017076797E+18</v>
      </c>
      <c r="BZ36" s="31" t="s">
        <v>382</v>
      </c>
      <c r="CA36" s="31" t="s">
        <v>248</v>
      </c>
    </row>
    <row r="37" spans="1:79" x14ac:dyDescent="0.2">
      <c r="A37" s="31" t="s">
        <v>316</v>
      </c>
      <c r="B37" s="31" t="s">
        <v>325</v>
      </c>
      <c r="C37" s="31">
        <v>2020</v>
      </c>
      <c r="D37" s="31" t="s">
        <v>374</v>
      </c>
      <c r="E37" s="31">
        <v>2.0200221920060301E+17</v>
      </c>
      <c r="F37" s="31" t="s">
        <v>225</v>
      </c>
      <c r="G37" s="31" t="s">
        <v>383</v>
      </c>
      <c r="H37" s="31">
        <v>1385527</v>
      </c>
      <c r="J37" s="31" t="s">
        <v>227</v>
      </c>
      <c r="K37" s="31" t="s">
        <v>228</v>
      </c>
      <c r="N37" s="31" t="s">
        <v>290</v>
      </c>
      <c r="O37" s="31" t="s">
        <v>254</v>
      </c>
      <c r="Q37" s="31" t="s">
        <v>255</v>
      </c>
      <c r="R37" s="31" t="s">
        <v>291</v>
      </c>
      <c r="T37" s="31" t="s">
        <v>292</v>
      </c>
      <c r="V37" s="31" t="s">
        <v>327</v>
      </c>
      <c r="X37" s="31" t="s">
        <v>294</v>
      </c>
      <c r="Y37" s="31" t="s">
        <v>295</v>
      </c>
      <c r="Z37" s="31">
        <v>30312</v>
      </c>
      <c r="AA37" s="31" t="s">
        <v>328</v>
      </c>
      <c r="AB37" s="31" t="s">
        <v>297</v>
      </c>
      <c r="AF37" s="31" t="s">
        <v>331</v>
      </c>
      <c r="AI37" s="32">
        <v>43861</v>
      </c>
      <c r="AJ37" s="31">
        <v>100</v>
      </c>
      <c r="AK37" s="31">
        <v>100</v>
      </c>
      <c r="BK37" s="31" t="s">
        <v>50</v>
      </c>
      <c r="BL37" s="31" t="s">
        <v>242</v>
      </c>
      <c r="BM37" s="31" t="s">
        <v>243</v>
      </c>
      <c r="BN37" s="33">
        <v>43915.322695821756</v>
      </c>
      <c r="BR37" s="31" t="s">
        <v>257</v>
      </c>
      <c r="BS37" s="31">
        <v>4.02212020169344E+18</v>
      </c>
      <c r="BT37" s="31" t="s">
        <v>245</v>
      </c>
      <c r="BU37" s="31" t="s">
        <v>357</v>
      </c>
      <c r="BV37" s="31">
        <v>2020</v>
      </c>
      <c r="BW37" s="31" t="s">
        <v>246</v>
      </c>
      <c r="BY37" s="31">
        <v>4.0324202017076797E+18</v>
      </c>
      <c r="BZ37" s="31" t="s">
        <v>376</v>
      </c>
      <c r="CA37" s="31" t="s">
        <v>248</v>
      </c>
    </row>
    <row r="38" spans="1:79" x14ac:dyDescent="0.2">
      <c r="A38" s="31" t="s">
        <v>316</v>
      </c>
      <c r="B38" s="31" t="s">
        <v>325</v>
      </c>
      <c r="C38" s="31">
        <v>2020</v>
      </c>
      <c r="D38" s="31" t="s">
        <v>374</v>
      </c>
      <c r="E38" s="31">
        <v>2.0200221920060301E+17</v>
      </c>
      <c r="F38" s="31" t="s">
        <v>225</v>
      </c>
      <c r="G38" s="31" t="s">
        <v>384</v>
      </c>
      <c r="H38" s="31">
        <v>1385527</v>
      </c>
      <c r="J38" s="31" t="s">
        <v>227</v>
      </c>
      <c r="K38" s="31" t="s">
        <v>228</v>
      </c>
      <c r="N38" s="31" t="s">
        <v>290</v>
      </c>
      <c r="O38" s="31" t="s">
        <v>254</v>
      </c>
      <c r="Q38" s="31" t="s">
        <v>255</v>
      </c>
      <c r="R38" s="31" t="s">
        <v>291</v>
      </c>
      <c r="T38" s="31" t="s">
        <v>292</v>
      </c>
      <c r="V38" s="31" t="s">
        <v>327</v>
      </c>
      <c r="X38" s="31" t="s">
        <v>294</v>
      </c>
      <c r="Y38" s="31" t="s">
        <v>295</v>
      </c>
      <c r="Z38" s="31">
        <v>30312</v>
      </c>
      <c r="AA38" s="31" t="s">
        <v>328</v>
      </c>
      <c r="AB38" s="31" t="s">
        <v>297</v>
      </c>
      <c r="AF38" s="31" t="s">
        <v>331</v>
      </c>
      <c r="AI38" s="32">
        <v>43861</v>
      </c>
      <c r="AJ38" s="31">
        <v>100</v>
      </c>
      <c r="AK38" s="31">
        <v>100</v>
      </c>
      <c r="BK38" s="31" t="s">
        <v>50</v>
      </c>
      <c r="BL38" s="31" t="s">
        <v>242</v>
      </c>
      <c r="BM38" s="31" t="s">
        <v>243</v>
      </c>
      <c r="BN38" s="33">
        <v>43915.327568414352</v>
      </c>
      <c r="BR38" s="31" t="s">
        <v>257</v>
      </c>
      <c r="BS38" s="31">
        <v>4.02212020169344E+18</v>
      </c>
      <c r="BT38" s="31" t="s">
        <v>245</v>
      </c>
      <c r="BU38" s="31" t="s">
        <v>385</v>
      </c>
      <c r="BV38" s="31">
        <v>2020</v>
      </c>
      <c r="BW38" s="31" t="s">
        <v>246</v>
      </c>
      <c r="BY38" s="31">
        <v>4.0324202017076797E+18</v>
      </c>
      <c r="BZ38" s="31" t="s">
        <v>379</v>
      </c>
      <c r="CA38" s="31" t="s">
        <v>248</v>
      </c>
    </row>
    <row r="39" spans="1:79" x14ac:dyDescent="0.2">
      <c r="A39" s="31" t="s">
        <v>316</v>
      </c>
      <c r="B39" s="31" t="s">
        <v>325</v>
      </c>
      <c r="C39" s="31">
        <v>2020</v>
      </c>
      <c r="D39" s="31" t="s">
        <v>386</v>
      </c>
      <c r="E39" s="31">
        <v>2.0200320921117901E+17</v>
      </c>
      <c r="F39" s="31" t="s">
        <v>225</v>
      </c>
      <c r="G39" s="31" t="s">
        <v>387</v>
      </c>
      <c r="H39" s="31">
        <v>1391686</v>
      </c>
      <c r="J39" s="31" t="s">
        <v>227</v>
      </c>
      <c r="K39" s="31" t="s">
        <v>228</v>
      </c>
      <c r="N39" s="31" t="s">
        <v>290</v>
      </c>
      <c r="O39" s="31" t="s">
        <v>254</v>
      </c>
      <c r="Q39" s="31" t="s">
        <v>255</v>
      </c>
      <c r="R39" s="31" t="s">
        <v>291</v>
      </c>
      <c r="T39" s="31" t="s">
        <v>292</v>
      </c>
      <c r="V39" s="31" t="s">
        <v>327</v>
      </c>
      <c r="X39" s="31" t="s">
        <v>294</v>
      </c>
      <c r="Y39" s="31" t="s">
        <v>295</v>
      </c>
      <c r="Z39" s="31">
        <v>30312</v>
      </c>
      <c r="AA39" s="31" t="s">
        <v>328</v>
      </c>
      <c r="AB39" s="31" t="s">
        <v>297</v>
      </c>
      <c r="AF39" s="31" t="s">
        <v>336</v>
      </c>
      <c r="AI39" s="32">
        <v>43868</v>
      </c>
      <c r="AJ39" s="31">
        <v>10</v>
      </c>
      <c r="AK39" s="31">
        <v>154.4</v>
      </c>
      <c r="BK39" s="31" t="s">
        <v>50</v>
      </c>
      <c r="BL39" s="31" t="s">
        <v>242</v>
      </c>
      <c r="BM39" s="31" t="s">
        <v>243</v>
      </c>
      <c r="BN39" s="33">
        <v>43924.424695532405</v>
      </c>
      <c r="BR39" s="31" t="s">
        <v>257</v>
      </c>
      <c r="BS39" s="31">
        <v>4.0323202017043999E+18</v>
      </c>
      <c r="BT39" s="31" t="s">
        <v>245</v>
      </c>
      <c r="BU39" s="31" t="s">
        <v>337</v>
      </c>
      <c r="BV39" s="31">
        <v>2020</v>
      </c>
      <c r="BW39" s="31" t="s">
        <v>246</v>
      </c>
      <c r="BY39" s="31">
        <v>4.04022020172429E+18</v>
      </c>
      <c r="BZ39" s="31" t="s">
        <v>388</v>
      </c>
      <c r="CA39" s="31" t="s">
        <v>248</v>
      </c>
    </row>
    <row r="40" spans="1:79" x14ac:dyDescent="0.2">
      <c r="A40" s="31" t="s">
        <v>316</v>
      </c>
      <c r="B40" s="31" t="s">
        <v>325</v>
      </c>
      <c r="C40" s="31">
        <v>2020</v>
      </c>
      <c r="D40" s="31" t="s">
        <v>386</v>
      </c>
      <c r="E40" s="31">
        <v>2.0200320921117901E+17</v>
      </c>
      <c r="F40" s="31" t="s">
        <v>225</v>
      </c>
      <c r="G40" s="31" t="s">
        <v>389</v>
      </c>
      <c r="H40" s="31">
        <v>1391686</v>
      </c>
      <c r="J40" s="31" t="s">
        <v>227</v>
      </c>
      <c r="K40" s="31" t="s">
        <v>228</v>
      </c>
      <c r="N40" s="31" t="s">
        <v>290</v>
      </c>
      <c r="O40" s="31" t="s">
        <v>254</v>
      </c>
      <c r="Q40" s="31" t="s">
        <v>255</v>
      </c>
      <c r="R40" s="31" t="s">
        <v>291</v>
      </c>
      <c r="T40" s="31" t="s">
        <v>292</v>
      </c>
      <c r="V40" s="31" t="s">
        <v>327</v>
      </c>
      <c r="X40" s="31" t="s">
        <v>294</v>
      </c>
      <c r="Y40" s="31" t="s">
        <v>295</v>
      </c>
      <c r="Z40" s="31">
        <v>30312</v>
      </c>
      <c r="AA40" s="31" t="s">
        <v>328</v>
      </c>
      <c r="AB40" s="31" t="s">
        <v>297</v>
      </c>
      <c r="AF40" s="31" t="s">
        <v>331</v>
      </c>
      <c r="AI40" s="32">
        <v>43868</v>
      </c>
      <c r="AJ40" s="31">
        <v>100</v>
      </c>
      <c r="AK40" s="31">
        <v>200</v>
      </c>
      <c r="BK40" s="31" t="s">
        <v>50</v>
      </c>
      <c r="BL40" s="31" t="s">
        <v>242</v>
      </c>
      <c r="BM40" s="31" t="s">
        <v>243</v>
      </c>
      <c r="BN40" s="33">
        <v>43924.437580972219</v>
      </c>
      <c r="BR40" s="31" t="s">
        <v>257</v>
      </c>
      <c r="BS40" s="31">
        <v>4.0323202017043999E+18</v>
      </c>
      <c r="BT40" s="31" t="s">
        <v>245</v>
      </c>
      <c r="BU40" s="31" t="s">
        <v>357</v>
      </c>
      <c r="BV40" s="31">
        <v>2020</v>
      </c>
      <c r="BW40" s="31" t="s">
        <v>246</v>
      </c>
      <c r="BY40" s="31">
        <v>4.04022020172429E+18</v>
      </c>
      <c r="BZ40" s="31" t="s">
        <v>390</v>
      </c>
      <c r="CA40" s="31" t="s">
        <v>248</v>
      </c>
    </row>
    <row r="41" spans="1:79" x14ac:dyDescent="0.2">
      <c r="A41" s="31" t="s">
        <v>316</v>
      </c>
      <c r="B41" s="31" t="s">
        <v>325</v>
      </c>
      <c r="C41" s="31">
        <v>2020</v>
      </c>
      <c r="D41" s="31" t="s">
        <v>386</v>
      </c>
      <c r="E41" s="31">
        <v>2.0200320921117901E+17</v>
      </c>
      <c r="F41" s="31" t="s">
        <v>225</v>
      </c>
      <c r="G41" s="31" t="s">
        <v>391</v>
      </c>
      <c r="H41" s="31">
        <v>1391686</v>
      </c>
      <c r="J41" s="31" t="s">
        <v>227</v>
      </c>
      <c r="K41" s="31" t="s">
        <v>228</v>
      </c>
      <c r="N41" s="31" t="s">
        <v>290</v>
      </c>
      <c r="O41" s="31" t="s">
        <v>254</v>
      </c>
      <c r="Q41" s="31" t="s">
        <v>255</v>
      </c>
      <c r="R41" s="31" t="s">
        <v>291</v>
      </c>
      <c r="T41" s="31" t="s">
        <v>292</v>
      </c>
      <c r="V41" s="31" t="s">
        <v>327</v>
      </c>
      <c r="X41" s="31" t="s">
        <v>294</v>
      </c>
      <c r="Y41" s="31" t="s">
        <v>295</v>
      </c>
      <c r="Z41" s="31">
        <v>30312</v>
      </c>
      <c r="AA41" s="31" t="s">
        <v>328</v>
      </c>
      <c r="AB41" s="31" t="s">
        <v>297</v>
      </c>
      <c r="AF41" s="31" t="s">
        <v>336</v>
      </c>
      <c r="AI41" s="32">
        <v>43890</v>
      </c>
      <c r="AJ41" s="31">
        <v>40</v>
      </c>
      <c r="AK41" s="31">
        <v>154.4</v>
      </c>
      <c r="BK41" s="31" t="s">
        <v>50</v>
      </c>
      <c r="BL41" s="31" t="s">
        <v>242</v>
      </c>
      <c r="BM41" s="31" t="s">
        <v>243</v>
      </c>
      <c r="BN41" s="33">
        <v>43924.437580983795</v>
      </c>
      <c r="BR41" s="31" t="s">
        <v>257</v>
      </c>
      <c r="BS41" s="31">
        <v>4.0323202017043999E+18</v>
      </c>
      <c r="BT41" s="31" t="s">
        <v>245</v>
      </c>
      <c r="BU41" s="31" t="s">
        <v>337</v>
      </c>
      <c r="BV41" s="31">
        <v>2020</v>
      </c>
      <c r="BW41" s="31" t="s">
        <v>246</v>
      </c>
      <c r="BY41" s="31">
        <v>4.04022020172429E+18</v>
      </c>
      <c r="BZ41" s="31" t="s">
        <v>392</v>
      </c>
      <c r="CA41" s="31" t="s">
        <v>248</v>
      </c>
    </row>
    <row r="42" spans="1:79" x14ac:dyDescent="0.2">
      <c r="A42" s="31" t="s">
        <v>316</v>
      </c>
      <c r="B42" s="31" t="s">
        <v>325</v>
      </c>
      <c r="C42" s="31">
        <v>2020</v>
      </c>
      <c r="D42" s="31" t="s">
        <v>386</v>
      </c>
      <c r="E42" s="31">
        <v>2.0200320921117901E+17</v>
      </c>
      <c r="F42" s="31" t="s">
        <v>225</v>
      </c>
      <c r="G42" s="31" t="s">
        <v>393</v>
      </c>
      <c r="H42" s="31">
        <v>1391686</v>
      </c>
      <c r="J42" s="31" t="s">
        <v>227</v>
      </c>
      <c r="K42" s="31" t="s">
        <v>228</v>
      </c>
      <c r="N42" s="31" t="s">
        <v>290</v>
      </c>
      <c r="O42" s="31" t="s">
        <v>254</v>
      </c>
      <c r="Q42" s="31" t="s">
        <v>255</v>
      </c>
      <c r="R42" s="31" t="s">
        <v>291</v>
      </c>
      <c r="T42" s="31" t="s">
        <v>292</v>
      </c>
      <c r="V42" s="31" t="s">
        <v>327</v>
      </c>
      <c r="X42" s="31" t="s">
        <v>294</v>
      </c>
      <c r="Y42" s="31" t="s">
        <v>295</v>
      </c>
      <c r="Z42" s="31">
        <v>30312</v>
      </c>
      <c r="AA42" s="31" t="s">
        <v>328</v>
      </c>
      <c r="AB42" s="31" t="s">
        <v>297</v>
      </c>
      <c r="AF42" s="31" t="s">
        <v>331</v>
      </c>
      <c r="AI42" s="32">
        <v>43890</v>
      </c>
      <c r="AJ42" s="31">
        <v>94</v>
      </c>
      <c r="AK42" s="31">
        <v>194</v>
      </c>
      <c r="BK42" s="31" t="s">
        <v>50</v>
      </c>
      <c r="BL42" s="31" t="s">
        <v>242</v>
      </c>
      <c r="BM42" s="31" t="s">
        <v>243</v>
      </c>
      <c r="BN42" s="33">
        <v>43924.454436678243</v>
      </c>
      <c r="BR42" s="31" t="s">
        <v>257</v>
      </c>
      <c r="BS42" s="31">
        <v>4.0323202017043999E+18</v>
      </c>
      <c r="BT42" s="31" t="s">
        <v>245</v>
      </c>
      <c r="BU42" s="31" t="s">
        <v>354</v>
      </c>
      <c r="BV42" s="31">
        <v>2020</v>
      </c>
      <c r="BW42" s="31" t="s">
        <v>246</v>
      </c>
      <c r="BY42" s="31">
        <v>4.04022020172429E+18</v>
      </c>
      <c r="BZ42" s="31" t="s">
        <v>392</v>
      </c>
      <c r="CA42" s="31" t="s">
        <v>248</v>
      </c>
    </row>
    <row r="43" spans="1:79" x14ac:dyDescent="0.2">
      <c r="A43" s="31" t="s">
        <v>316</v>
      </c>
      <c r="B43" s="31" t="s">
        <v>325</v>
      </c>
      <c r="C43" s="31">
        <v>2020</v>
      </c>
      <c r="D43" s="31" t="s">
        <v>386</v>
      </c>
      <c r="E43" s="31">
        <v>2.0200320921117901E+17</v>
      </c>
      <c r="F43" s="31" t="s">
        <v>225</v>
      </c>
      <c r="G43" s="31" t="s">
        <v>394</v>
      </c>
      <c r="H43" s="31">
        <v>1391686</v>
      </c>
      <c r="J43" s="31" t="s">
        <v>227</v>
      </c>
      <c r="K43" s="31" t="s">
        <v>228</v>
      </c>
      <c r="N43" s="31" t="s">
        <v>290</v>
      </c>
      <c r="O43" s="31" t="s">
        <v>254</v>
      </c>
      <c r="Q43" s="31" t="s">
        <v>255</v>
      </c>
      <c r="R43" s="31" t="s">
        <v>291</v>
      </c>
      <c r="T43" s="31" t="s">
        <v>292</v>
      </c>
      <c r="V43" s="31" t="s">
        <v>327</v>
      </c>
      <c r="X43" s="31" t="s">
        <v>294</v>
      </c>
      <c r="Y43" s="31" t="s">
        <v>295</v>
      </c>
      <c r="Z43" s="31">
        <v>30312</v>
      </c>
      <c r="AA43" s="31" t="s">
        <v>328</v>
      </c>
      <c r="AB43" s="31" t="s">
        <v>297</v>
      </c>
      <c r="AF43" s="31" t="s">
        <v>336</v>
      </c>
      <c r="AI43" s="32">
        <v>43872</v>
      </c>
      <c r="AJ43" s="31">
        <v>10</v>
      </c>
      <c r="AK43" s="31">
        <v>154.4</v>
      </c>
      <c r="BK43" s="31" t="s">
        <v>50</v>
      </c>
      <c r="BL43" s="31" t="s">
        <v>242</v>
      </c>
      <c r="BM43" s="31" t="s">
        <v>243</v>
      </c>
      <c r="BN43" s="33">
        <v>43924.472531840278</v>
      </c>
      <c r="BR43" s="31" t="s">
        <v>257</v>
      </c>
      <c r="BS43" s="31">
        <v>4.0323202017043999E+18</v>
      </c>
      <c r="BT43" s="31" t="s">
        <v>245</v>
      </c>
      <c r="BU43" s="31" t="s">
        <v>337</v>
      </c>
      <c r="BV43" s="31">
        <v>2020</v>
      </c>
      <c r="BW43" s="31" t="s">
        <v>246</v>
      </c>
      <c r="BY43" s="31">
        <v>4.04022020172429E+18</v>
      </c>
      <c r="BZ43" s="31" t="s">
        <v>390</v>
      </c>
      <c r="CA43" s="31" t="s">
        <v>248</v>
      </c>
    </row>
    <row r="44" spans="1:79" x14ac:dyDescent="0.2">
      <c r="A44" s="31" t="s">
        <v>316</v>
      </c>
      <c r="B44" s="31" t="s">
        <v>325</v>
      </c>
      <c r="C44" s="31">
        <v>2020</v>
      </c>
      <c r="D44" s="31" t="s">
        <v>386</v>
      </c>
      <c r="E44" s="31">
        <v>2.0200320921117901E+17</v>
      </c>
      <c r="F44" s="31" t="s">
        <v>225</v>
      </c>
      <c r="G44" s="31" t="s">
        <v>395</v>
      </c>
      <c r="H44" s="31">
        <v>1391686</v>
      </c>
      <c r="J44" s="31" t="s">
        <v>227</v>
      </c>
      <c r="K44" s="31" t="s">
        <v>228</v>
      </c>
      <c r="N44" s="31" t="s">
        <v>290</v>
      </c>
      <c r="O44" s="31" t="s">
        <v>254</v>
      </c>
      <c r="Q44" s="31" t="s">
        <v>255</v>
      </c>
      <c r="R44" s="31" t="s">
        <v>291</v>
      </c>
      <c r="T44" s="31" t="s">
        <v>292</v>
      </c>
      <c r="V44" s="31" t="s">
        <v>327</v>
      </c>
      <c r="X44" s="31" t="s">
        <v>294</v>
      </c>
      <c r="Y44" s="31" t="s">
        <v>295</v>
      </c>
      <c r="Z44" s="31">
        <v>30312</v>
      </c>
      <c r="AA44" s="31" t="s">
        <v>328</v>
      </c>
      <c r="AB44" s="31" t="s">
        <v>297</v>
      </c>
      <c r="AF44" s="31" t="s">
        <v>336</v>
      </c>
      <c r="AI44" s="32">
        <v>43878</v>
      </c>
      <c r="AJ44" s="31">
        <v>20</v>
      </c>
      <c r="AK44" s="31">
        <v>154.4</v>
      </c>
      <c r="BK44" s="31" t="s">
        <v>50</v>
      </c>
      <c r="BL44" s="31" t="s">
        <v>242</v>
      </c>
      <c r="BM44" s="31" t="s">
        <v>243</v>
      </c>
      <c r="BN44" s="33">
        <v>43924.472531840278</v>
      </c>
      <c r="BR44" s="31" t="s">
        <v>257</v>
      </c>
      <c r="BS44" s="31">
        <v>4.0323202017043999E+18</v>
      </c>
      <c r="BT44" s="31" t="s">
        <v>245</v>
      </c>
      <c r="BU44" s="31" t="s">
        <v>337</v>
      </c>
      <c r="BV44" s="31">
        <v>2020</v>
      </c>
      <c r="BW44" s="31" t="s">
        <v>246</v>
      </c>
      <c r="BY44" s="31">
        <v>4.04022020172429E+18</v>
      </c>
      <c r="BZ44" s="31" t="s">
        <v>396</v>
      </c>
      <c r="CA44" s="31" t="s">
        <v>248</v>
      </c>
    </row>
    <row r="45" spans="1:79" x14ac:dyDescent="0.2">
      <c r="A45" s="31" t="s">
        <v>316</v>
      </c>
      <c r="B45" s="31" t="s">
        <v>325</v>
      </c>
      <c r="C45" s="31">
        <v>2020</v>
      </c>
      <c r="D45" s="31" t="s">
        <v>386</v>
      </c>
      <c r="E45" s="31">
        <v>2.0200320921117901E+17</v>
      </c>
      <c r="F45" s="31" t="s">
        <v>225</v>
      </c>
      <c r="G45" s="31" t="s">
        <v>397</v>
      </c>
      <c r="H45" s="31">
        <v>1391686</v>
      </c>
      <c r="J45" s="31" t="s">
        <v>227</v>
      </c>
      <c r="K45" s="31" t="s">
        <v>228</v>
      </c>
      <c r="N45" s="31" t="s">
        <v>290</v>
      </c>
      <c r="O45" s="31" t="s">
        <v>254</v>
      </c>
      <c r="Q45" s="31" t="s">
        <v>255</v>
      </c>
      <c r="R45" s="31" t="s">
        <v>291</v>
      </c>
      <c r="T45" s="31" t="s">
        <v>292</v>
      </c>
      <c r="V45" s="31" t="s">
        <v>327</v>
      </c>
      <c r="X45" s="31" t="s">
        <v>294</v>
      </c>
      <c r="Y45" s="31" t="s">
        <v>295</v>
      </c>
      <c r="Z45" s="31">
        <v>30312</v>
      </c>
      <c r="AA45" s="31" t="s">
        <v>328</v>
      </c>
      <c r="AB45" s="31" t="s">
        <v>297</v>
      </c>
      <c r="AF45" s="31" t="s">
        <v>336</v>
      </c>
      <c r="AI45" s="32">
        <v>43881</v>
      </c>
      <c r="AJ45" s="31">
        <v>5</v>
      </c>
      <c r="AK45" s="31">
        <v>154.4</v>
      </c>
      <c r="BK45" s="31" t="s">
        <v>50</v>
      </c>
      <c r="BL45" s="31" t="s">
        <v>242</v>
      </c>
      <c r="BM45" s="31" t="s">
        <v>243</v>
      </c>
      <c r="BN45" s="33">
        <v>43924.472531840278</v>
      </c>
      <c r="BR45" s="31" t="s">
        <v>257</v>
      </c>
      <c r="BS45" s="31">
        <v>4.0323202017043999E+18</v>
      </c>
      <c r="BT45" s="31" t="s">
        <v>245</v>
      </c>
      <c r="BU45" s="31" t="s">
        <v>337</v>
      </c>
      <c r="BV45" s="31">
        <v>2020</v>
      </c>
      <c r="BW45" s="31" t="s">
        <v>246</v>
      </c>
      <c r="BY45" s="31">
        <v>4.04022020172429E+18</v>
      </c>
      <c r="BZ45" s="31" t="s">
        <v>396</v>
      </c>
      <c r="CA45" s="31" t="s">
        <v>248</v>
      </c>
    </row>
    <row r="46" spans="1:79" x14ac:dyDescent="0.2">
      <c r="A46" s="31" t="s">
        <v>316</v>
      </c>
      <c r="B46" s="31" t="s">
        <v>325</v>
      </c>
      <c r="C46" s="31">
        <v>2020</v>
      </c>
      <c r="D46" s="31" t="s">
        <v>386</v>
      </c>
      <c r="E46" s="31">
        <v>2.0200320921117901E+17</v>
      </c>
      <c r="F46" s="31" t="s">
        <v>225</v>
      </c>
      <c r="G46" s="31" t="s">
        <v>398</v>
      </c>
      <c r="H46" s="31">
        <v>1391686</v>
      </c>
      <c r="J46" s="31" t="s">
        <v>227</v>
      </c>
      <c r="K46" s="31" t="s">
        <v>228</v>
      </c>
      <c r="N46" s="31" t="s">
        <v>290</v>
      </c>
      <c r="O46" s="31" t="s">
        <v>254</v>
      </c>
      <c r="Q46" s="31" t="s">
        <v>255</v>
      </c>
      <c r="R46" s="31" t="s">
        <v>291</v>
      </c>
      <c r="T46" s="31" t="s">
        <v>292</v>
      </c>
      <c r="V46" s="31" t="s">
        <v>327</v>
      </c>
      <c r="X46" s="31" t="s">
        <v>294</v>
      </c>
      <c r="Y46" s="31" t="s">
        <v>295</v>
      </c>
      <c r="Z46" s="31">
        <v>30312</v>
      </c>
      <c r="AA46" s="31" t="s">
        <v>328</v>
      </c>
      <c r="AB46" s="31" t="s">
        <v>297</v>
      </c>
      <c r="AF46" s="31" t="s">
        <v>331</v>
      </c>
      <c r="AI46" s="32">
        <v>43872</v>
      </c>
      <c r="AJ46" s="31">
        <v>100</v>
      </c>
      <c r="AK46" s="31">
        <v>194</v>
      </c>
      <c r="BK46" s="31" t="s">
        <v>50</v>
      </c>
      <c r="BL46" s="31" t="s">
        <v>242</v>
      </c>
      <c r="BM46" s="31" t="s">
        <v>243</v>
      </c>
      <c r="BN46" s="33">
        <v>43924.486161030094</v>
      </c>
      <c r="BR46" s="31" t="s">
        <v>257</v>
      </c>
      <c r="BS46" s="31">
        <v>4.0323202017043999E+18</v>
      </c>
      <c r="BT46" s="31" t="s">
        <v>245</v>
      </c>
      <c r="BU46" s="31" t="s">
        <v>354</v>
      </c>
      <c r="BV46" s="31">
        <v>2020</v>
      </c>
      <c r="BW46" s="31" t="s">
        <v>246</v>
      </c>
      <c r="BY46" s="31">
        <v>4.04022020172429E+18</v>
      </c>
      <c r="BZ46" s="31" t="s">
        <v>390</v>
      </c>
      <c r="CA46" s="31" t="s">
        <v>248</v>
      </c>
    </row>
    <row r="47" spans="1:79" x14ac:dyDescent="0.2">
      <c r="A47" s="31" t="s">
        <v>316</v>
      </c>
      <c r="B47" s="31" t="s">
        <v>325</v>
      </c>
      <c r="C47" s="31">
        <v>2020</v>
      </c>
      <c r="D47" s="31" t="s">
        <v>386</v>
      </c>
      <c r="E47" s="31">
        <v>2.0200320921117901E+17</v>
      </c>
      <c r="F47" s="31" t="s">
        <v>225</v>
      </c>
      <c r="G47" s="31" t="s">
        <v>399</v>
      </c>
      <c r="H47" s="31">
        <v>1391686</v>
      </c>
      <c r="J47" s="31" t="s">
        <v>227</v>
      </c>
      <c r="K47" s="31" t="s">
        <v>228</v>
      </c>
      <c r="N47" s="31" t="s">
        <v>290</v>
      </c>
      <c r="O47" s="31" t="s">
        <v>254</v>
      </c>
      <c r="Q47" s="31" t="s">
        <v>255</v>
      </c>
      <c r="R47" s="31" t="s">
        <v>291</v>
      </c>
      <c r="T47" s="31" t="s">
        <v>292</v>
      </c>
      <c r="V47" s="31" t="s">
        <v>327</v>
      </c>
      <c r="X47" s="31" t="s">
        <v>294</v>
      </c>
      <c r="Y47" s="31" t="s">
        <v>295</v>
      </c>
      <c r="Z47" s="31">
        <v>30312</v>
      </c>
      <c r="AA47" s="31" t="s">
        <v>328</v>
      </c>
      <c r="AB47" s="31" t="s">
        <v>297</v>
      </c>
      <c r="AF47" s="31" t="s">
        <v>336</v>
      </c>
      <c r="AI47" s="32">
        <v>43884</v>
      </c>
      <c r="AJ47" s="31">
        <v>20</v>
      </c>
      <c r="AK47" s="31">
        <v>154.4</v>
      </c>
      <c r="BK47" s="31" t="s">
        <v>50</v>
      </c>
      <c r="BL47" s="31" t="s">
        <v>242</v>
      </c>
      <c r="BM47" s="31" t="s">
        <v>243</v>
      </c>
      <c r="BN47" s="33">
        <v>43924.486161030094</v>
      </c>
      <c r="BR47" s="31" t="s">
        <v>257</v>
      </c>
      <c r="BS47" s="31">
        <v>4.0323202017043999E+18</v>
      </c>
      <c r="BT47" s="31" t="s">
        <v>245</v>
      </c>
      <c r="BU47" s="31" t="s">
        <v>337</v>
      </c>
      <c r="BV47" s="31">
        <v>2020</v>
      </c>
      <c r="BW47" s="31" t="s">
        <v>246</v>
      </c>
      <c r="BY47" s="31">
        <v>4.04022020172429E+18</v>
      </c>
      <c r="BZ47" s="31" t="s">
        <v>400</v>
      </c>
      <c r="CA47" s="31" t="s">
        <v>248</v>
      </c>
    </row>
    <row r="48" spans="1:79" x14ac:dyDescent="0.2">
      <c r="A48" s="31" t="s">
        <v>316</v>
      </c>
      <c r="B48" s="31" t="s">
        <v>325</v>
      </c>
      <c r="C48" s="31">
        <v>2020</v>
      </c>
      <c r="D48" s="31" t="s">
        <v>386</v>
      </c>
      <c r="E48" s="31">
        <v>2.0200320921117901E+17</v>
      </c>
      <c r="F48" s="31" t="s">
        <v>225</v>
      </c>
      <c r="G48" s="31" t="s">
        <v>401</v>
      </c>
      <c r="H48" s="31">
        <v>1391686</v>
      </c>
      <c r="J48" s="31" t="s">
        <v>227</v>
      </c>
      <c r="K48" s="31" t="s">
        <v>228</v>
      </c>
      <c r="N48" s="31" t="s">
        <v>290</v>
      </c>
      <c r="O48" s="31" t="s">
        <v>254</v>
      </c>
      <c r="Q48" s="31" t="s">
        <v>255</v>
      </c>
      <c r="R48" s="31" t="s">
        <v>291</v>
      </c>
      <c r="T48" s="31" t="s">
        <v>292</v>
      </c>
      <c r="V48" s="31" t="s">
        <v>327</v>
      </c>
      <c r="X48" s="31" t="s">
        <v>294</v>
      </c>
      <c r="Y48" s="31" t="s">
        <v>295</v>
      </c>
      <c r="Z48" s="31">
        <v>30312</v>
      </c>
      <c r="AA48" s="31" t="s">
        <v>328</v>
      </c>
      <c r="AB48" s="31" t="s">
        <v>297</v>
      </c>
      <c r="AF48" s="31" t="s">
        <v>336</v>
      </c>
      <c r="AI48" s="32">
        <v>43890</v>
      </c>
      <c r="AJ48" s="31">
        <v>9.4</v>
      </c>
      <c r="AK48" s="31">
        <v>154.4</v>
      </c>
      <c r="BK48" s="31" t="s">
        <v>50</v>
      </c>
      <c r="BL48" s="31" t="s">
        <v>242</v>
      </c>
      <c r="BM48" s="31" t="s">
        <v>243</v>
      </c>
      <c r="BN48" s="33">
        <v>43924.504247453704</v>
      </c>
      <c r="BR48" s="31" t="s">
        <v>257</v>
      </c>
      <c r="BS48" s="31">
        <v>4.0323202017043999E+18</v>
      </c>
      <c r="BT48" s="31" t="s">
        <v>245</v>
      </c>
      <c r="BU48" s="31" t="s">
        <v>337</v>
      </c>
      <c r="BV48" s="31">
        <v>2020</v>
      </c>
      <c r="BW48" s="31" t="s">
        <v>246</v>
      </c>
      <c r="BY48" s="31">
        <v>4.04022020172429E+18</v>
      </c>
      <c r="BZ48" s="31" t="s">
        <v>392</v>
      </c>
      <c r="CA48" s="31" t="s">
        <v>248</v>
      </c>
    </row>
    <row r="49" spans="1:79" x14ac:dyDescent="0.2">
      <c r="A49" s="31" t="s">
        <v>316</v>
      </c>
      <c r="B49" s="31" t="s">
        <v>325</v>
      </c>
      <c r="C49" s="31">
        <v>2020</v>
      </c>
      <c r="D49" s="31" t="s">
        <v>386</v>
      </c>
      <c r="E49" s="31">
        <v>2.0200320921117901E+17</v>
      </c>
      <c r="F49" s="31" t="s">
        <v>225</v>
      </c>
      <c r="G49" s="31" t="s">
        <v>402</v>
      </c>
      <c r="H49" s="31">
        <v>1391686</v>
      </c>
      <c r="J49" s="31" t="s">
        <v>227</v>
      </c>
      <c r="K49" s="31" t="s">
        <v>228</v>
      </c>
      <c r="N49" s="31" t="s">
        <v>290</v>
      </c>
      <c r="O49" s="31" t="s">
        <v>254</v>
      </c>
      <c r="Q49" s="31" t="s">
        <v>255</v>
      </c>
      <c r="R49" s="31" t="s">
        <v>291</v>
      </c>
      <c r="T49" s="31" t="s">
        <v>292</v>
      </c>
      <c r="V49" s="31" t="s">
        <v>327</v>
      </c>
      <c r="X49" s="31" t="s">
        <v>294</v>
      </c>
      <c r="Y49" s="31" t="s">
        <v>295</v>
      </c>
      <c r="Z49" s="31">
        <v>30312</v>
      </c>
      <c r="AA49" s="31" t="s">
        <v>328</v>
      </c>
      <c r="AB49" s="31" t="s">
        <v>297</v>
      </c>
      <c r="AF49" s="31" t="s">
        <v>336</v>
      </c>
      <c r="AI49" s="32">
        <v>43868</v>
      </c>
      <c r="AJ49" s="31">
        <v>10</v>
      </c>
      <c r="AK49" s="31">
        <v>154.4</v>
      </c>
      <c r="BK49" s="31" t="s">
        <v>50</v>
      </c>
      <c r="BL49" s="31" t="s">
        <v>242</v>
      </c>
      <c r="BM49" s="31" t="s">
        <v>243</v>
      </c>
      <c r="BN49" s="33">
        <v>43924.505753495374</v>
      </c>
      <c r="BR49" s="31" t="s">
        <v>257</v>
      </c>
      <c r="BS49" s="31">
        <v>4.0323202017043999E+18</v>
      </c>
      <c r="BT49" s="31" t="s">
        <v>245</v>
      </c>
      <c r="BU49" s="31" t="s">
        <v>337</v>
      </c>
      <c r="BV49" s="31">
        <v>2020</v>
      </c>
      <c r="BW49" s="31" t="s">
        <v>246</v>
      </c>
      <c r="BY49" s="31">
        <v>4.04022020172429E+18</v>
      </c>
      <c r="BZ49" s="31" t="s">
        <v>388</v>
      </c>
      <c r="CA49" s="31" t="s">
        <v>248</v>
      </c>
    </row>
    <row r="50" spans="1:79" x14ac:dyDescent="0.2">
      <c r="A50" s="31" t="s">
        <v>316</v>
      </c>
      <c r="B50" s="31" t="s">
        <v>325</v>
      </c>
      <c r="C50" s="31">
        <v>2020</v>
      </c>
      <c r="D50" s="31" t="s">
        <v>386</v>
      </c>
      <c r="E50" s="31">
        <v>2.0200320921117901E+17</v>
      </c>
      <c r="F50" s="31" t="s">
        <v>225</v>
      </c>
      <c r="G50" s="31" t="s">
        <v>403</v>
      </c>
      <c r="H50" s="31">
        <v>1391686</v>
      </c>
      <c r="J50" s="31" t="s">
        <v>227</v>
      </c>
      <c r="K50" s="31" t="s">
        <v>228</v>
      </c>
      <c r="L50" s="31" t="s">
        <v>404</v>
      </c>
      <c r="N50" s="31" t="s">
        <v>290</v>
      </c>
      <c r="O50" s="31" t="s">
        <v>254</v>
      </c>
      <c r="Q50" s="31" t="s">
        <v>255</v>
      </c>
      <c r="R50" s="31" t="s">
        <v>291</v>
      </c>
      <c r="T50" s="31" t="s">
        <v>292</v>
      </c>
      <c r="V50" s="31" t="s">
        <v>327</v>
      </c>
      <c r="X50" s="31" t="s">
        <v>294</v>
      </c>
      <c r="Y50" s="31" t="s">
        <v>295</v>
      </c>
      <c r="Z50" s="31">
        <v>30312</v>
      </c>
      <c r="AA50" s="31" t="s">
        <v>328</v>
      </c>
      <c r="AB50" s="31" t="s">
        <v>297</v>
      </c>
      <c r="AC50" s="31" t="s">
        <v>404</v>
      </c>
      <c r="AD50" s="31" t="s">
        <v>329</v>
      </c>
      <c r="AE50" s="31" t="s">
        <v>330</v>
      </c>
      <c r="AF50" s="31" t="s">
        <v>331</v>
      </c>
      <c r="AI50" s="32">
        <v>43868</v>
      </c>
      <c r="AJ50" s="31">
        <v>100</v>
      </c>
      <c r="AK50" s="31">
        <v>1000</v>
      </c>
      <c r="AL50" s="31" t="s">
        <v>405</v>
      </c>
      <c r="BG50" s="31" t="s">
        <v>28</v>
      </c>
      <c r="BI50" s="31" t="s">
        <v>279</v>
      </c>
      <c r="BK50" s="31" t="s">
        <v>50</v>
      </c>
      <c r="BL50" s="31" t="s">
        <v>242</v>
      </c>
      <c r="BM50" s="31" t="s">
        <v>243</v>
      </c>
      <c r="BN50" s="33">
        <v>43924.514173356481</v>
      </c>
      <c r="BR50" s="31" t="s">
        <v>257</v>
      </c>
      <c r="BS50" s="31">
        <v>4.0323202017043999E+18</v>
      </c>
      <c r="BT50" s="31" t="s">
        <v>245</v>
      </c>
      <c r="BU50" s="31" t="s">
        <v>385</v>
      </c>
      <c r="BV50" s="31">
        <v>2020</v>
      </c>
      <c r="BW50" s="31" t="s">
        <v>246</v>
      </c>
      <c r="BY50" s="31">
        <v>4.04022020172429E+18</v>
      </c>
      <c r="BZ50" s="31" t="s">
        <v>388</v>
      </c>
      <c r="CA50" s="31" t="s">
        <v>248</v>
      </c>
    </row>
    <row r="51" spans="1:79" x14ac:dyDescent="0.2">
      <c r="A51" s="31" t="s">
        <v>316</v>
      </c>
      <c r="B51" s="31" t="s">
        <v>325</v>
      </c>
      <c r="C51" s="31">
        <v>2020</v>
      </c>
      <c r="D51" s="31" t="s">
        <v>386</v>
      </c>
      <c r="E51" s="31">
        <v>2.0200320921117901E+17</v>
      </c>
      <c r="F51" s="31" t="s">
        <v>225</v>
      </c>
      <c r="G51" s="31" t="s">
        <v>406</v>
      </c>
      <c r="H51" s="31">
        <v>1391686</v>
      </c>
      <c r="J51" s="31" t="s">
        <v>227</v>
      </c>
      <c r="K51" s="31" t="s">
        <v>228</v>
      </c>
      <c r="N51" s="31" t="s">
        <v>290</v>
      </c>
      <c r="O51" s="31" t="s">
        <v>254</v>
      </c>
      <c r="Q51" s="31" t="s">
        <v>255</v>
      </c>
      <c r="R51" s="31" t="s">
        <v>291</v>
      </c>
      <c r="T51" s="31" t="s">
        <v>292</v>
      </c>
      <c r="V51" s="31" t="s">
        <v>327</v>
      </c>
      <c r="X51" s="31" t="s">
        <v>294</v>
      </c>
      <c r="Y51" s="31" t="s">
        <v>295</v>
      </c>
      <c r="Z51" s="31">
        <v>30312</v>
      </c>
      <c r="AA51" s="31" t="s">
        <v>328</v>
      </c>
      <c r="AB51" s="31" t="s">
        <v>297</v>
      </c>
      <c r="AF51" s="31" t="s">
        <v>331</v>
      </c>
      <c r="AI51" s="32">
        <v>43881</v>
      </c>
      <c r="AJ51" s="31">
        <v>50</v>
      </c>
      <c r="AK51" s="31">
        <v>50</v>
      </c>
      <c r="BK51" s="31" t="s">
        <v>50</v>
      </c>
      <c r="BL51" s="31" t="s">
        <v>242</v>
      </c>
      <c r="BM51" s="31" t="s">
        <v>243</v>
      </c>
      <c r="BN51" s="33">
        <v>43924.514173356481</v>
      </c>
      <c r="BR51" s="31" t="s">
        <v>257</v>
      </c>
      <c r="BS51" s="31">
        <v>4.0323202017043999E+18</v>
      </c>
      <c r="BT51" s="31" t="s">
        <v>245</v>
      </c>
      <c r="BU51" s="31" t="s">
        <v>407</v>
      </c>
      <c r="BV51" s="31">
        <v>2020</v>
      </c>
      <c r="BW51" s="31" t="s">
        <v>246</v>
      </c>
      <c r="BY51" s="31">
        <v>4.04022020172429E+18</v>
      </c>
      <c r="BZ51" s="31" t="s">
        <v>400</v>
      </c>
      <c r="CA51" s="31" t="s">
        <v>248</v>
      </c>
    </row>
    <row r="52" spans="1:79" x14ac:dyDescent="0.2">
      <c r="A52" s="31" t="s">
        <v>266</v>
      </c>
      <c r="B52" s="31" t="s">
        <v>267</v>
      </c>
      <c r="C52" s="31">
        <v>2020</v>
      </c>
      <c r="D52" s="31" t="s">
        <v>408</v>
      </c>
      <c r="E52" s="31">
        <v>2.0200420922420301E+17</v>
      </c>
      <c r="F52" s="31" t="s">
        <v>269</v>
      </c>
      <c r="G52" s="31">
        <v>2825331</v>
      </c>
      <c r="H52" s="31">
        <v>1402986</v>
      </c>
      <c r="J52" s="31" t="s">
        <v>227</v>
      </c>
      <c r="K52" s="31" t="s">
        <v>228</v>
      </c>
      <c r="L52" s="31" t="s">
        <v>316</v>
      </c>
      <c r="N52" s="31" t="s">
        <v>290</v>
      </c>
      <c r="O52" s="31" t="s">
        <v>28</v>
      </c>
      <c r="Q52" s="31" t="s">
        <v>28</v>
      </c>
      <c r="R52" s="31" t="s">
        <v>291</v>
      </c>
      <c r="T52" s="31" t="s">
        <v>292</v>
      </c>
      <c r="V52" s="31" t="s">
        <v>293</v>
      </c>
      <c r="X52" s="31" t="s">
        <v>294</v>
      </c>
      <c r="Y52" s="31" t="s">
        <v>295</v>
      </c>
      <c r="Z52" s="31">
        <v>303121941</v>
      </c>
      <c r="AA52" s="31" t="s">
        <v>296</v>
      </c>
      <c r="AB52" s="31" t="s">
        <v>297</v>
      </c>
      <c r="AC52" s="31" t="s">
        <v>316</v>
      </c>
      <c r="AD52" s="31" t="s">
        <v>237</v>
      </c>
      <c r="AE52" s="31" t="s">
        <v>238</v>
      </c>
      <c r="AI52" s="32">
        <v>43892</v>
      </c>
      <c r="AJ52" s="31">
        <v>25</v>
      </c>
      <c r="AK52" s="31">
        <v>275</v>
      </c>
      <c r="BG52" s="31" t="s">
        <v>278</v>
      </c>
      <c r="BI52" s="31" t="s">
        <v>279</v>
      </c>
      <c r="BJ52" s="31">
        <v>2020</v>
      </c>
      <c r="BK52" s="31" t="s">
        <v>50</v>
      </c>
      <c r="BL52" s="31" t="s">
        <v>242</v>
      </c>
      <c r="BM52" s="31" t="s">
        <v>243</v>
      </c>
      <c r="BN52" s="33">
        <v>43945.113994803243</v>
      </c>
      <c r="BP52" s="31" t="s">
        <v>409</v>
      </c>
      <c r="BQ52" s="31" t="s">
        <v>281</v>
      </c>
      <c r="BR52" s="31" t="s">
        <v>282</v>
      </c>
      <c r="BS52" s="31">
        <v>4.0421202017375201E+18</v>
      </c>
      <c r="BT52" s="31" t="s">
        <v>245</v>
      </c>
      <c r="BU52" s="31" t="s">
        <v>283</v>
      </c>
      <c r="BV52" s="31">
        <v>2020</v>
      </c>
      <c r="BW52" s="31" t="s">
        <v>246</v>
      </c>
      <c r="BY52" s="31">
        <v>4.0423202017386798E+18</v>
      </c>
      <c r="BZ52" s="31" t="s">
        <v>410</v>
      </c>
      <c r="CA52" s="31" t="s">
        <v>248</v>
      </c>
    </row>
    <row r="53" spans="1:79" x14ac:dyDescent="0.2">
      <c r="A53" s="31" t="s">
        <v>266</v>
      </c>
      <c r="B53" s="31" t="s">
        <v>267</v>
      </c>
      <c r="C53" s="31">
        <v>2020</v>
      </c>
      <c r="D53" s="31" t="s">
        <v>408</v>
      </c>
      <c r="E53" s="31">
        <v>2.0200420922420301E+17</v>
      </c>
      <c r="F53" s="31" t="s">
        <v>269</v>
      </c>
      <c r="G53" s="31">
        <v>2825441</v>
      </c>
      <c r="H53" s="31">
        <v>1402986</v>
      </c>
      <c r="J53" s="31" t="s">
        <v>227</v>
      </c>
      <c r="K53" s="31" t="s">
        <v>228</v>
      </c>
      <c r="L53" s="31" t="s">
        <v>316</v>
      </c>
      <c r="N53" s="31" t="s">
        <v>290</v>
      </c>
      <c r="O53" s="31" t="s">
        <v>28</v>
      </c>
      <c r="Q53" s="31" t="s">
        <v>28</v>
      </c>
      <c r="R53" s="31" t="s">
        <v>291</v>
      </c>
      <c r="T53" s="31" t="s">
        <v>292</v>
      </c>
      <c r="V53" s="31" t="s">
        <v>293</v>
      </c>
      <c r="X53" s="31" t="s">
        <v>294</v>
      </c>
      <c r="Y53" s="31" t="s">
        <v>295</v>
      </c>
      <c r="Z53" s="31">
        <v>303121941</v>
      </c>
      <c r="AA53" s="31" t="s">
        <v>296</v>
      </c>
      <c r="AB53" s="31" t="s">
        <v>297</v>
      </c>
      <c r="AC53" s="31" t="s">
        <v>316</v>
      </c>
      <c r="AD53" s="31" t="s">
        <v>237</v>
      </c>
      <c r="AE53" s="31" t="s">
        <v>238</v>
      </c>
      <c r="AI53" s="32">
        <v>43892</v>
      </c>
      <c r="AJ53" s="31">
        <v>250</v>
      </c>
      <c r="AK53" s="31">
        <v>275</v>
      </c>
      <c r="BG53" s="31" t="s">
        <v>278</v>
      </c>
      <c r="BI53" s="31" t="s">
        <v>279</v>
      </c>
      <c r="BJ53" s="31">
        <v>2020</v>
      </c>
      <c r="BK53" s="31" t="s">
        <v>50</v>
      </c>
      <c r="BL53" s="31" t="s">
        <v>242</v>
      </c>
      <c r="BM53" s="31" t="s">
        <v>243</v>
      </c>
      <c r="BN53" s="33">
        <v>43945.113994803243</v>
      </c>
      <c r="BP53" s="31" t="s">
        <v>411</v>
      </c>
      <c r="BQ53" s="31" t="s">
        <v>281</v>
      </c>
      <c r="BR53" s="31" t="s">
        <v>282</v>
      </c>
      <c r="BS53" s="31">
        <v>4.0421202017375201E+18</v>
      </c>
      <c r="BT53" s="31" t="s">
        <v>245</v>
      </c>
      <c r="BU53" s="31" t="s">
        <v>283</v>
      </c>
      <c r="BV53" s="31">
        <v>2020</v>
      </c>
      <c r="BW53" s="31" t="s">
        <v>246</v>
      </c>
      <c r="BY53" s="31">
        <v>4.0423202017386798E+18</v>
      </c>
      <c r="BZ53" s="31" t="s">
        <v>412</v>
      </c>
      <c r="CA53" s="31" t="s">
        <v>248</v>
      </c>
    </row>
    <row r="54" spans="1:79" x14ac:dyDescent="0.2">
      <c r="A54" s="31" t="s">
        <v>266</v>
      </c>
      <c r="B54" s="31" t="s">
        <v>267</v>
      </c>
      <c r="C54" s="31">
        <v>2020</v>
      </c>
      <c r="D54" s="31" t="s">
        <v>408</v>
      </c>
      <c r="E54" s="31">
        <v>2.0200420922420301E+17</v>
      </c>
      <c r="F54" s="31" t="s">
        <v>269</v>
      </c>
      <c r="G54" s="31">
        <v>3060865</v>
      </c>
      <c r="H54" s="31">
        <v>1402986</v>
      </c>
      <c r="J54" s="31" t="s">
        <v>227</v>
      </c>
      <c r="K54" s="31" t="s">
        <v>228</v>
      </c>
      <c r="L54" s="31" t="s">
        <v>316</v>
      </c>
      <c r="N54" s="31" t="s">
        <v>290</v>
      </c>
      <c r="O54" s="31" t="s">
        <v>28</v>
      </c>
      <c r="Q54" s="31" t="s">
        <v>28</v>
      </c>
      <c r="R54" s="31" t="s">
        <v>291</v>
      </c>
      <c r="T54" s="31" t="s">
        <v>292</v>
      </c>
      <c r="V54" s="31" t="s">
        <v>293</v>
      </c>
      <c r="X54" s="31" t="s">
        <v>294</v>
      </c>
      <c r="Y54" s="31" t="s">
        <v>295</v>
      </c>
      <c r="Z54" s="31">
        <v>303121941</v>
      </c>
      <c r="AA54" s="31" t="s">
        <v>296</v>
      </c>
      <c r="AB54" s="31" t="s">
        <v>297</v>
      </c>
      <c r="AC54" s="31" t="s">
        <v>316</v>
      </c>
      <c r="AD54" s="31" t="s">
        <v>237</v>
      </c>
      <c r="AE54" s="31" t="s">
        <v>238</v>
      </c>
      <c r="AI54" s="32">
        <v>43895</v>
      </c>
      <c r="AJ54" s="31">
        <v>2484</v>
      </c>
      <c r="AK54" s="31">
        <v>2759</v>
      </c>
      <c r="BG54" s="31" t="s">
        <v>278</v>
      </c>
      <c r="BI54" s="31" t="s">
        <v>279</v>
      </c>
      <c r="BJ54" s="31">
        <v>2020</v>
      </c>
      <c r="BK54" s="31" t="s">
        <v>50</v>
      </c>
      <c r="BL54" s="31" t="s">
        <v>242</v>
      </c>
      <c r="BM54" s="31" t="s">
        <v>243</v>
      </c>
      <c r="BN54" s="33">
        <v>43945.115786516202</v>
      </c>
      <c r="BP54" s="31" t="s">
        <v>413</v>
      </c>
      <c r="BQ54" s="31" t="s">
        <v>281</v>
      </c>
      <c r="BR54" s="31" t="s">
        <v>282</v>
      </c>
      <c r="BS54" s="31">
        <v>4.0421202017375201E+18</v>
      </c>
      <c r="BT54" s="31" t="s">
        <v>245</v>
      </c>
      <c r="BU54" s="31" t="s">
        <v>283</v>
      </c>
      <c r="BV54" s="31">
        <v>2020</v>
      </c>
      <c r="BW54" s="31" t="s">
        <v>246</v>
      </c>
      <c r="BY54" s="31">
        <v>4.0423202017386798E+18</v>
      </c>
      <c r="BZ54" s="31" t="s">
        <v>414</v>
      </c>
      <c r="CA54" s="31" t="s">
        <v>248</v>
      </c>
    </row>
    <row r="55" spans="1:79" x14ac:dyDescent="0.2">
      <c r="A55" s="31" t="s">
        <v>266</v>
      </c>
      <c r="B55" s="31" t="s">
        <v>267</v>
      </c>
      <c r="C55" s="31">
        <v>2020</v>
      </c>
      <c r="D55" s="31" t="s">
        <v>408</v>
      </c>
      <c r="E55" s="31">
        <v>2.0200420922420301E+17</v>
      </c>
      <c r="F55" s="31" t="s">
        <v>269</v>
      </c>
      <c r="G55" s="31">
        <v>3569698</v>
      </c>
      <c r="H55" s="31">
        <v>1402986</v>
      </c>
      <c r="J55" s="31" t="s">
        <v>227</v>
      </c>
      <c r="K55" s="31" t="s">
        <v>228</v>
      </c>
      <c r="N55" s="31" t="s">
        <v>290</v>
      </c>
      <c r="O55" s="31" t="s">
        <v>28</v>
      </c>
      <c r="Q55" s="31" t="s">
        <v>28</v>
      </c>
      <c r="R55" s="31" t="s">
        <v>291</v>
      </c>
      <c r="T55" s="31" t="s">
        <v>292</v>
      </c>
      <c r="V55" s="31" t="s">
        <v>293</v>
      </c>
      <c r="X55" s="31" t="s">
        <v>294</v>
      </c>
      <c r="Y55" s="31" t="s">
        <v>295</v>
      </c>
      <c r="Z55" s="31">
        <v>303121941</v>
      </c>
      <c r="AA55" s="31" t="s">
        <v>296</v>
      </c>
      <c r="AB55" s="31" t="s">
        <v>297</v>
      </c>
      <c r="AD55" s="31">
        <v>15</v>
      </c>
      <c r="AE55" s="31" t="s">
        <v>298</v>
      </c>
      <c r="AG55" s="31" t="s">
        <v>415</v>
      </c>
      <c r="AI55" s="32">
        <v>43898</v>
      </c>
      <c r="AJ55" s="31">
        <v>-9</v>
      </c>
      <c r="AK55" s="31">
        <v>2809</v>
      </c>
      <c r="BG55" s="31" t="s">
        <v>278</v>
      </c>
      <c r="BI55" s="31" t="s">
        <v>279</v>
      </c>
      <c r="BJ55" s="31">
        <v>2020</v>
      </c>
      <c r="BK55" s="31" t="s">
        <v>50</v>
      </c>
      <c r="BL55" s="31" t="s">
        <v>242</v>
      </c>
      <c r="BM55" s="31" t="s">
        <v>243</v>
      </c>
      <c r="BN55" s="33">
        <v>43945.12792697917</v>
      </c>
      <c r="BR55" s="31" t="s">
        <v>282</v>
      </c>
      <c r="BS55" s="31">
        <v>4.0421202017375201E+18</v>
      </c>
      <c r="BT55" s="31" t="s">
        <v>245</v>
      </c>
      <c r="BV55" s="31">
        <v>2020</v>
      </c>
      <c r="BW55" s="31" t="s">
        <v>246</v>
      </c>
      <c r="BY55" s="31">
        <v>4.0423202017386798E+18</v>
      </c>
      <c r="BZ55" s="31" t="s">
        <v>416</v>
      </c>
      <c r="CA55" s="31" t="s">
        <v>248</v>
      </c>
    </row>
    <row r="56" spans="1:79" x14ac:dyDescent="0.2">
      <c r="A56" s="31" t="s">
        <v>266</v>
      </c>
      <c r="B56" s="31" t="s">
        <v>267</v>
      </c>
      <c r="C56" s="31">
        <v>2020</v>
      </c>
      <c r="D56" s="31" t="s">
        <v>408</v>
      </c>
      <c r="E56" s="31">
        <v>2.0200420922420301E+17</v>
      </c>
      <c r="F56" s="31" t="s">
        <v>269</v>
      </c>
      <c r="G56" s="31">
        <v>3076999</v>
      </c>
      <c r="H56" s="31">
        <v>1402986</v>
      </c>
      <c r="J56" s="31" t="s">
        <v>227</v>
      </c>
      <c r="K56" s="31" t="s">
        <v>228</v>
      </c>
      <c r="L56" s="31" t="s">
        <v>316</v>
      </c>
      <c r="N56" s="31" t="s">
        <v>290</v>
      </c>
      <c r="O56" s="31" t="s">
        <v>28</v>
      </c>
      <c r="Q56" s="31" t="s">
        <v>28</v>
      </c>
      <c r="R56" s="31" t="s">
        <v>291</v>
      </c>
      <c r="T56" s="31" t="s">
        <v>292</v>
      </c>
      <c r="V56" s="31" t="s">
        <v>293</v>
      </c>
      <c r="X56" s="31" t="s">
        <v>294</v>
      </c>
      <c r="Y56" s="31" t="s">
        <v>295</v>
      </c>
      <c r="Z56" s="31">
        <v>303121941</v>
      </c>
      <c r="AA56" s="31" t="s">
        <v>296</v>
      </c>
      <c r="AB56" s="31" t="s">
        <v>297</v>
      </c>
      <c r="AC56" s="31" t="s">
        <v>316</v>
      </c>
      <c r="AD56" s="31" t="s">
        <v>237</v>
      </c>
      <c r="AE56" s="31" t="s">
        <v>238</v>
      </c>
      <c r="AI56" s="32">
        <v>43896</v>
      </c>
      <c r="AJ56" s="31">
        <v>50</v>
      </c>
      <c r="AK56" s="31">
        <v>2809</v>
      </c>
      <c r="BG56" s="31" t="s">
        <v>278</v>
      </c>
      <c r="BI56" s="31" t="s">
        <v>279</v>
      </c>
      <c r="BJ56" s="31">
        <v>2020</v>
      </c>
      <c r="BK56" s="31" t="s">
        <v>50</v>
      </c>
      <c r="BL56" s="31" t="s">
        <v>242</v>
      </c>
      <c r="BM56" s="31" t="s">
        <v>243</v>
      </c>
      <c r="BN56" s="33">
        <v>43945.128375289351</v>
      </c>
      <c r="BP56" s="31" t="s">
        <v>417</v>
      </c>
      <c r="BQ56" s="31" t="s">
        <v>281</v>
      </c>
      <c r="BR56" s="31" t="s">
        <v>282</v>
      </c>
      <c r="BS56" s="31">
        <v>4.0421202017375201E+18</v>
      </c>
      <c r="BT56" s="31" t="s">
        <v>245</v>
      </c>
      <c r="BU56" s="31" t="s">
        <v>283</v>
      </c>
      <c r="BV56" s="31">
        <v>2020</v>
      </c>
      <c r="BW56" s="31" t="s">
        <v>246</v>
      </c>
      <c r="BY56" s="31">
        <v>4.0423202017386798E+18</v>
      </c>
      <c r="BZ56" s="31" t="s">
        <v>414</v>
      </c>
      <c r="CA56" s="31" t="s">
        <v>248</v>
      </c>
    </row>
    <row r="57" spans="1:79" x14ac:dyDescent="0.2">
      <c r="A57" s="31" t="s">
        <v>266</v>
      </c>
      <c r="B57" s="31" t="s">
        <v>267</v>
      </c>
      <c r="C57" s="31">
        <v>2020</v>
      </c>
      <c r="D57" s="31" t="s">
        <v>408</v>
      </c>
      <c r="E57" s="31">
        <v>2.0200420922420301E+17</v>
      </c>
      <c r="F57" s="31" t="s">
        <v>269</v>
      </c>
      <c r="G57" s="31">
        <v>3570233</v>
      </c>
      <c r="H57" s="31">
        <v>1402986</v>
      </c>
      <c r="J57" s="31" t="s">
        <v>227</v>
      </c>
      <c r="K57" s="31" t="s">
        <v>228</v>
      </c>
      <c r="N57" s="31" t="s">
        <v>290</v>
      </c>
      <c r="O57" s="31" t="s">
        <v>28</v>
      </c>
      <c r="Q57" s="31" t="s">
        <v>28</v>
      </c>
      <c r="R57" s="31" t="s">
        <v>291</v>
      </c>
      <c r="T57" s="31" t="s">
        <v>292</v>
      </c>
      <c r="V57" s="31" t="s">
        <v>293</v>
      </c>
      <c r="X57" s="31" t="s">
        <v>294</v>
      </c>
      <c r="Y57" s="31" t="s">
        <v>295</v>
      </c>
      <c r="Z57" s="31">
        <v>303121941</v>
      </c>
      <c r="AA57" s="31" t="s">
        <v>296</v>
      </c>
      <c r="AB57" s="31" t="s">
        <v>297</v>
      </c>
      <c r="AD57" s="31">
        <v>15</v>
      </c>
      <c r="AE57" s="31" t="s">
        <v>298</v>
      </c>
      <c r="AG57" s="31" t="s">
        <v>415</v>
      </c>
      <c r="AI57" s="32">
        <v>43898</v>
      </c>
      <c r="AJ57" s="31">
        <v>9</v>
      </c>
      <c r="AK57" s="31">
        <v>2809</v>
      </c>
      <c r="BG57" s="31" t="s">
        <v>240</v>
      </c>
      <c r="BI57" s="31" t="s">
        <v>241</v>
      </c>
      <c r="BJ57" s="31">
        <v>2020</v>
      </c>
      <c r="BK57" s="31" t="s">
        <v>50</v>
      </c>
      <c r="BL57" s="31" t="s">
        <v>242</v>
      </c>
      <c r="BM57" s="31" t="s">
        <v>243</v>
      </c>
      <c r="BN57" s="33">
        <v>43945.128642465279</v>
      </c>
      <c r="BP57" s="31">
        <v>3569698</v>
      </c>
      <c r="BQ57" s="31" t="s">
        <v>281</v>
      </c>
      <c r="BR57" s="31" t="s">
        <v>282</v>
      </c>
      <c r="BS57" s="31">
        <v>4.0421202017375201E+18</v>
      </c>
      <c r="BT57" s="31" t="s">
        <v>245</v>
      </c>
      <c r="BV57" s="31">
        <v>2020</v>
      </c>
      <c r="BW57" s="31" t="s">
        <v>246</v>
      </c>
      <c r="BY57" s="31">
        <v>4.0423202017386798E+18</v>
      </c>
      <c r="BZ57" s="31" t="s">
        <v>416</v>
      </c>
      <c r="CA57" s="31" t="s">
        <v>248</v>
      </c>
    </row>
    <row r="58" spans="1:79" x14ac:dyDescent="0.2">
      <c r="A58" s="31" t="s">
        <v>418</v>
      </c>
      <c r="B58" s="31" t="s">
        <v>419</v>
      </c>
      <c r="C58" s="31">
        <v>2020</v>
      </c>
      <c r="D58" s="31" t="s">
        <v>420</v>
      </c>
      <c r="E58" s="31">
        <v>2.0200415921927699E+17</v>
      </c>
      <c r="F58" s="31" t="s">
        <v>225</v>
      </c>
      <c r="G58" s="31" t="s">
        <v>421</v>
      </c>
      <c r="H58" s="31">
        <v>1399908</v>
      </c>
      <c r="J58" s="31" t="s">
        <v>227</v>
      </c>
      <c r="K58" s="31" t="s">
        <v>228</v>
      </c>
      <c r="L58" s="31" t="s">
        <v>316</v>
      </c>
      <c r="N58" s="31" t="s">
        <v>290</v>
      </c>
      <c r="O58" s="31" t="s">
        <v>75</v>
      </c>
      <c r="Q58" s="31" t="s">
        <v>28</v>
      </c>
      <c r="R58" s="31" t="s">
        <v>291</v>
      </c>
      <c r="T58" s="31" t="s">
        <v>292</v>
      </c>
      <c r="V58" s="31" t="s">
        <v>293</v>
      </c>
      <c r="X58" s="31" t="s">
        <v>294</v>
      </c>
      <c r="Y58" s="31" t="s">
        <v>295</v>
      </c>
      <c r="Z58" s="31">
        <v>303121941</v>
      </c>
      <c r="AA58" s="31" t="s">
        <v>296</v>
      </c>
      <c r="AB58" s="31" t="s">
        <v>297</v>
      </c>
      <c r="AC58" s="31" t="s">
        <v>316</v>
      </c>
      <c r="AD58" s="31" t="s">
        <v>237</v>
      </c>
      <c r="AE58" s="31" t="s">
        <v>238</v>
      </c>
      <c r="AI58" s="32">
        <v>43861</v>
      </c>
      <c r="AJ58" s="31">
        <v>100</v>
      </c>
      <c r="AK58" s="31">
        <v>450</v>
      </c>
      <c r="BG58" s="31" t="s">
        <v>278</v>
      </c>
      <c r="BI58" s="31" t="s">
        <v>279</v>
      </c>
      <c r="BJ58" s="31">
        <v>2020</v>
      </c>
      <c r="BK58" s="31" t="s">
        <v>50</v>
      </c>
      <c r="BL58" s="31" t="s">
        <v>242</v>
      </c>
      <c r="BM58" s="31" t="s">
        <v>243</v>
      </c>
      <c r="BN58" s="33">
        <v>43958.061079444444</v>
      </c>
      <c r="BP58" s="31" t="s">
        <v>422</v>
      </c>
      <c r="BQ58" s="31" t="s">
        <v>318</v>
      </c>
      <c r="BR58" s="31" t="s">
        <v>244</v>
      </c>
      <c r="BS58" s="31">
        <v>4.04152020173679E+18</v>
      </c>
      <c r="BT58" s="31" t="s">
        <v>245</v>
      </c>
      <c r="BU58" s="31" t="s">
        <v>283</v>
      </c>
      <c r="BV58" s="31">
        <v>2020</v>
      </c>
      <c r="BW58" s="31" t="s">
        <v>246</v>
      </c>
      <c r="BY58" s="31">
        <v>4.05062020174193E+18</v>
      </c>
      <c r="BZ58" s="31" t="s">
        <v>423</v>
      </c>
      <c r="CA58" s="31" t="s">
        <v>248</v>
      </c>
    </row>
    <row r="59" spans="1:79" x14ac:dyDescent="0.2">
      <c r="A59" s="31" t="s">
        <v>404</v>
      </c>
      <c r="B59" s="31" t="s">
        <v>424</v>
      </c>
      <c r="C59" s="31">
        <v>2020</v>
      </c>
      <c r="D59" s="31" t="s">
        <v>420</v>
      </c>
      <c r="E59" s="31">
        <v>2.0200415921948301E+17</v>
      </c>
      <c r="F59" s="31" t="s">
        <v>225</v>
      </c>
      <c r="G59" s="31">
        <v>3613631</v>
      </c>
      <c r="H59" s="31">
        <v>1400431</v>
      </c>
      <c r="J59" s="31" t="s">
        <v>227</v>
      </c>
      <c r="K59" s="31" t="s">
        <v>228</v>
      </c>
      <c r="L59" s="31" t="s">
        <v>316</v>
      </c>
      <c r="N59" s="31" t="s">
        <v>290</v>
      </c>
      <c r="O59" s="31" t="s">
        <v>39</v>
      </c>
      <c r="Q59" s="31" t="s">
        <v>28</v>
      </c>
      <c r="R59" s="31" t="s">
        <v>291</v>
      </c>
      <c r="T59" s="31" t="s">
        <v>292</v>
      </c>
      <c r="V59" s="31" t="s">
        <v>293</v>
      </c>
      <c r="X59" s="31" t="s">
        <v>294</v>
      </c>
      <c r="Y59" s="31" t="s">
        <v>295</v>
      </c>
      <c r="Z59" s="31">
        <v>303121941</v>
      </c>
      <c r="AA59" s="31" t="s">
        <v>328</v>
      </c>
      <c r="AB59" s="31" t="s">
        <v>297</v>
      </c>
      <c r="AC59" s="31" t="s">
        <v>316</v>
      </c>
      <c r="AD59" s="31" t="s">
        <v>237</v>
      </c>
      <c r="AE59" s="31" t="s">
        <v>238</v>
      </c>
      <c r="AI59" s="32">
        <v>43890</v>
      </c>
      <c r="AJ59" s="31">
        <v>400</v>
      </c>
      <c r="AK59" s="31">
        <v>1600</v>
      </c>
      <c r="BG59" s="31" t="s">
        <v>278</v>
      </c>
      <c r="BH59" s="31" t="s">
        <v>425</v>
      </c>
      <c r="BI59" s="31" t="s">
        <v>279</v>
      </c>
      <c r="BJ59" s="31">
        <v>2020</v>
      </c>
      <c r="BK59" s="31" t="s">
        <v>50</v>
      </c>
      <c r="BL59" s="31" t="s">
        <v>242</v>
      </c>
      <c r="BM59" s="31" t="s">
        <v>243</v>
      </c>
      <c r="BN59" s="33">
        <v>43956.062169363424</v>
      </c>
      <c r="BP59" s="31" t="s">
        <v>426</v>
      </c>
      <c r="BQ59" s="31" t="s">
        <v>318</v>
      </c>
      <c r="BR59" s="31" t="s">
        <v>244</v>
      </c>
      <c r="BS59" s="31">
        <v>4.0416202017369098E+18</v>
      </c>
      <c r="BT59" s="31" t="s">
        <v>245</v>
      </c>
      <c r="BU59" s="31" t="s">
        <v>283</v>
      </c>
      <c r="BV59" s="31">
        <v>2020</v>
      </c>
      <c r="BW59" s="31" t="s">
        <v>246</v>
      </c>
      <c r="BY59" s="31">
        <v>4.0504202017415199E+18</v>
      </c>
      <c r="BZ59" s="31" t="s">
        <v>427</v>
      </c>
      <c r="CA59" s="31" t="s">
        <v>248</v>
      </c>
    </row>
    <row r="60" spans="1:79" x14ac:dyDescent="0.2">
      <c r="A60" s="31" t="s">
        <v>404</v>
      </c>
      <c r="B60" s="31" t="s">
        <v>424</v>
      </c>
      <c r="C60" s="31">
        <v>2020</v>
      </c>
      <c r="D60" s="31" t="s">
        <v>420</v>
      </c>
      <c r="E60" s="31">
        <v>2.0200415921948301E+17</v>
      </c>
      <c r="F60" s="31" t="s">
        <v>225</v>
      </c>
      <c r="G60" s="31">
        <v>3874032</v>
      </c>
      <c r="H60" s="31">
        <v>1400431</v>
      </c>
      <c r="J60" s="31" t="s">
        <v>227</v>
      </c>
      <c r="K60" s="31" t="s">
        <v>228</v>
      </c>
      <c r="L60" s="31" t="s">
        <v>316</v>
      </c>
      <c r="N60" s="31" t="s">
        <v>290</v>
      </c>
      <c r="O60" s="31" t="s">
        <v>39</v>
      </c>
      <c r="Q60" s="31" t="s">
        <v>28</v>
      </c>
      <c r="R60" s="31" t="s">
        <v>291</v>
      </c>
      <c r="T60" s="31" t="s">
        <v>292</v>
      </c>
      <c r="V60" s="31" t="s">
        <v>293</v>
      </c>
      <c r="X60" s="31" t="s">
        <v>294</v>
      </c>
      <c r="Y60" s="31" t="s">
        <v>295</v>
      </c>
      <c r="Z60" s="31">
        <v>303121941</v>
      </c>
      <c r="AA60" s="31" t="s">
        <v>328</v>
      </c>
      <c r="AB60" s="31" t="s">
        <v>297</v>
      </c>
      <c r="AC60" s="31" t="s">
        <v>316</v>
      </c>
      <c r="AD60" s="31" t="s">
        <v>237</v>
      </c>
      <c r="AE60" s="31" t="s">
        <v>238</v>
      </c>
      <c r="AI60" s="32">
        <v>43909</v>
      </c>
      <c r="AJ60" s="31">
        <v>100</v>
      </c>
      <c r="AK60" s="31">
        <v>1600</v>
      </c>
      <c r="BG60" s="31" t="s">
        <v>278</v>
      </c>
      <c r="BH60" s="31" t="s">
        <v>425</v>
      </c>
      <c r="BI60" s="31" t="s">
        <v>279</v>
      </c>
      <c r="BJ60" s="31">
        <v>2020</v>
      </c>
      <c r="BK60" s="31" t="s">
        <v>50</v>
      </c>
      <c r="BL60" s="31" t="s">
        <v>242</v>
      </c>
      <c r="BM60" s="31" t="s">
        <v>243</v>
      </c>
      <c r="BN60" s="33">
        <v>43956.06216991898</v>
      </c>
      <c r="BP60" s="31" t="s">
        <v>428</v>
      </c>
      <c r="BQ60" s="31" t="s">
        <v>318</v>
      </c>
      <c r="BR60" s="31" t="s">
        <v>244</v>
      </c>
      <c r="BS60" s="31">
        <v>4.0416202017369098E+18</v>
      </c>
      <c r="BT60" s="31" t="s">
        <v>245</v>
      </c>
      <c r="BU60" s="31" t="s">
        <v>283</v>
      </c>
      <c r="BV60" s="31">
        <v>2020</v>
      </c>
      <c r="BW60" s="31" t="s">
        <v>246</v>
      </c>
      <c r="BY60" s="31">
        <v>4.0504202017415199E+18</v>
      </c>
      <c r="BZ60" s="31" t="s">
        <v>429</v>
      </c>
      <c r="CA60" s="31" t="s">
        <v>248</v>
      </c>
    </row>
    <row r="61" spans="1:79" x14ac:dyDescent="0.2">
      <c r="A61" s="31" t="s">
        <v>404</v>
      </c>
      <c r="B61" s="31" t="s">
        <v>424</v>
      </c>
      <c r="C61" s="31">
        <v>2020</v>
      </c>
      <c r="D61" s="31" t="s">
        <v>420</v>
      </c>
      <c r="E61" s="31">
        <v>2.0200415921948301E+17</v>
      </c>
      <c r="F61" s="31" t="s">
        <v>225</v>
      </c>
      <c r="G61" s="31">
        <v>3810453</v>
      </c>
      <c r="H61" s="31">
        <v>1400431</v>
      </c>
      <c r="J61" s="31" t="s">
        <v>227</v>
      </c>
      <c r="K61" s="31" t="s">
        <v>228</v>
      </c>
      <c r="L61" s="31" t="s">
        <v>316</v>
      </c>
      <c r="N61" s="31" t="s">
        <v>290</v>
      </c>
      <c r="O61" s="31" t="s">
        <v>39</v>
      </c>
      <c r="Q61" s="31" t="s">
        <v>28</v>
      </c>
      <c r="R61" s="31" t="s">
        <v>291</v>
      </c>
      <c r="T61" s="31" t="s">
        <v>292</v>
      </c>
      <c r="V61" s="31" t="s">
        <v>293</v>
      </c>
      <c r="X61" s="31" t="s">
        <v>294</v>
      </c>
      <c r="Y61" s="31" t="s">
        <v>295</v>
      </c>
      <c r="Z61" s="31">
        <v>303121941</v>
      </c>
      <c r="AA61" s="31" t="s">
        <v>328</v>
      </c>
      <c r="AB61" s="31" t="s">
        <v>297</v>
      </c>
      <c r="AC61" s="31" t="s">
        <v>316</v>
      </c>
      <c r="AD61" s="31" t="s">
        <v>237</v>
      </c>
      <c r="AE61" s="31" t="s">
        <v>238</v>
      </c>
      <c r="AI61" s="32">
        <v>43895</v>
      </c>
      <c r="AJ61" s="31">
        <v>250</v>
      </c>
      <c r="AK61" s="31">
        <v>1600</v>
      </c>
      <c r="BG61" s="31" t="s">
        <v>278</v>
      </c>
      <c r="BH61" s="31" t="s">
        <v>425</v>
      </c>
      <c r="BI61" s="31" t="s">
        <v>279</v>
      </c>
      <c r="BJ61" s="31">
        <v>2020</v>
      </c>
      <c r="BK61" s="31" t="s">
        <v>50</v>
      </c>
      <c r="BL61" s="31" t="s">
        <v>242</v>
      </c>
      <c r="BM61" s="31" t="s">
        <v>243</v>
      </c>
      <c r="BN61" s="33">
        <v>43956.062170636571</v>
      </c>
      <c r="BP61" s="31" t="s">
        <v>430</v>
      </c>
      <c r="BQ61" s="31" t="s">
        <v>318</v>
      </c>
      <c r="BR61" s="31" t="s">
        <v>244</v>
      </c>
      <c r="BS61" s="31">
        <v>4.0416202017369098E+18</v>
      </c>
      <c r="BT61" s="31" t="s">
        <v>245</v>
      </c>
      <c r="BU61" s="31" t="s">
        <v>283</v>
      </c>
      <c r="BV61" s="31">
        <v>2020</v>
      </c>
      <c r="BW61" s="31" t="s">
        <v>246</v>
      </c>
      <c r="BY61" s="31">
        <v>4.0504202017415199E+18</v>
      </c>
      <c r="BZ61" s="31" t="s">
        <v>431</v>
      </c>
      <c r="CA61" s="31" t="s">
        <v>248</v>
      </c>
    </row>
    <row r="62" spans="1:79" x14ac:dyDescent="0.2">
      <c r="A62" s="31" t="s">
        <v>404</v>
      </c>
      <c r="B62" s="31" t="s">
        <v>424</v>
      </c>
      <c r="C62" s="31">
        <v>2020</v>
      </c>
      <c r="D62" s="31" t="s">
        <v>420</v>
      </c>
      <c r="E62" s="31">
        <v>2.0200415921948301E+17</v>
      </c>
      <c r="F62" s="31" t="s">
        <v>225</v>
      </c>
      <c r="G62" s="31">
        <v>3965924</v>
      </c>
      <c r="H62" s="31">
        <v>1400431</v>
      </c>
      <c r="J62" s="31" t="s">
        <v>227</v>
      </c>
      <c r="K62" s="31" t="s">
        <v>228</v>
      </c>
      <c r="L62" s="31" t="s">
        <v>316</v>
      </c>
      <c r="N62" s="31" t="s">
        <v>290</v>
      </c>
      <c r="O62" s="31" t="s">
        <v>39</v>
      </c>
      <c r="Q62" s="31" t="s">
        <v>28</v>
      </c>
      <c r="R62" s="31" t="s">
        <v>291</v>
      </c>
      <c r="T62" s="31" t="s">
        <v>292</v>
      </c>
      <c r="V62" s="31" t="s">
        <v>293</v>
      </c>
      <c r="X62" s="31" t="s">
        <v>294</v>
      </c>
      <c r="Y62" s="31" t="s">
        <v>295</v>
      </c>
      <c r="Z62" s="31">
        <v>303121941</v>
      </c>
      <c r="AA62" s="31" t="s">
        <v>328</v>
      </c>
      <c r="AB62" s="31" t="s">
        <v>297</v>
      </c>
      <c r="AC62" s="31" t="s">
        <v>316</v>
      </c>
      <c r="AD62" s="31" t="s">
        <v>237</v>
      </c>
      <c r="AE62" s="31" t="s">
        <v>238</v>
      </c>
      <c r="AI62" s="32">
        <v>43915</v>
      </c>
      <c r="AJ62" s="31">
        <v>250</v>
      </c>
      <c r="AK62" s="31">
        <v>1600</v>
      </c>
      <c r="BG62" s="31" t="s">
        <v>278</v>
      </c>
      <c r="BH62" s="31" t="s">
        <v>425</v>
      </c>
      <c r="BI62" s="31" t="s">
        <v>279</v>
      </c>
      <c r="BJ62" s="31">
        <v>2020</v>
      </c>
      <c r="BK62" s="31" t="s">
        <v>50</v>
      </c>
      <c r="BL62" s="31" t="s">
        <v>242</v>
      </c>
      <c r="BM62" s="31" t="s">
        <v>243</v>
      </c>
      <c r="BN62" s="33">
        <v>43956.062170983794</v>
      </c>
      <c r="BP62" s="31" t="s">
        <v>432</v>
      </c>
      <c r="BQ62" s="31" t="s">
        <v>318</v>
      </c>
      <c r="BR62" s="31" t="s">
        <v>244</v>
      </c>
      <c r="BS62" s="31">
        <v>4.0416202017369098E+18</v>
      </c>
      <c r="BT62" s="31" t="s">
        <v>245</v>
      </c>
      <c r="BU62" s="31" t="s">
        <v>283</v>
      </c>
      <c r="BV62" s="31">
        <v>2020</v>
      </c>
      <c r="BW62" s="31" t="s">
        <v>246</v>
      </c>
      <c r="BY62" s="31">
        <v>4.0504202017415199E+18</v>
      </c>
      <c r="BZ62" s="31" t="s">
        <v>433</v>
      </c>
      <c r="CA62" s="31" t="s">
        <v>248</v>
      </c>
    </row>
    <row r="63" spans="1:79" x14ac:dyDescent="0.2">
      <c r="A63" s="31" t="s">
        <v>404</v>
      </c>
      <c r="B63" s="31" t="s">
        <v>424</v>
      </c>
      <c r="C63" s="31">
        <v>2020</v>
      </c>
      <c r="D63" s="31" t="s">
        <v>420</v>
      </c>
      <c r="E63" s="31">
        <v>2.02004159219484E+17</v>
      </c>
      <c r="F63" s="31" t="s">
        <v>225</v>
      </c>
      <c r="G63" s="31">
        <v>3195625</v>
      </c>
      <c r="H63" s="31">
        <v>1400431</v>
      </c>
      <c r="J63" s="31" t="s">
        <v>227</v>
      </c>
      <c r="K63" s="31" t="s">
        <v>228</v>
      </c>
      <c r="L63" s="31" t="s">
        <v>316</v>
      </c>
      <c r="N63" s="31" t="s">
        <v>290</v>
      </c>
      <c r="O63" s="31" t="s">
        <v>39</v>
      </c>
      <c r="Q63" s="31" t="s">
        <v>28</v>
      </c>
      <c r="R63" s="31" t="s">
        <v>291</v>
      </c>
      <c r="T63" s="31" t="s">
        <v>292</v>
      </c>
      <c r="V63" s="31" t="s">
        <v>293</v>
      </c>
      <c r="X63" s="31" t="s">
        <v>294</v>
      </c>
      <c r="Y63" s="31" t="s">
        <v>295</v>
      </c>
      <c r="Z63" s="31">
        <v>303121941</v>
      </c>
      <c r="AA63" s="31" t="s">
        <v>328</v>
      </c>
      <c r="AB63" s="31" t="s">
        <v>297</v>
      </c>
      <c r="AC63" s="31" t="s">
        <v>316</v>
      </c>
      <c r="AD63" s="31" t="s">
        <v>237</v>
      </c>
      <c r="AE63" s="31" t="s">
        <v>238</v>
      </c>
      <c r="AI63" s="32">
        <v>43861</v>
      </c>
      <c r="AJ63" s="31">
        <v>100</v>
      </c>
      <c r="AK63" s="31">
        <v>1600</v>
      </c>
      <c r="BG63" s="31" t="s">
        <v>278</v>
      </c>
      <c r="BH63" s="31" t="s">
        <v>425</v>
      </c>
      <c r="BI63" s="31" t="s">
        <v>279</v>
      </c>
      <c r="BJ63" s="31">
        <v>2020</v>
      </c>
      <c r="BK63" s="31" t="s">
        <v>50</v>
      </c>
      <c r="BL63" s="31" t="s">
        <v>242</v>
      </c>
      <c r="BM63" s="31" t="s">
        <v>243</v>
      </c>
      <c r="BN63" s="33">
        <v>43956.062196122686</v>
      </c>
      <c r="BP63" s="31" t="s">
        <v>434</v>
      </c>
      <c r="BQ63" s="31" t="s">
        <v>318</v>
      </c>
      <c r="BR63" s="31" t="s">
        <v>244</v>
      </c>
      <c r="BS63" s="31">
        <v>4.0416202017369098E+18</v>
      </c>
      <c r="BT63" s="31" t="s">
        <v>245</v>
      </c>
      <c r="BU63" s="31" t="s">
        <v>283</v>
      </c>
      <c r="BV63" s="31">
        <v>2020</v>
      </c>
      <c r="BW63" s="31" t="s">
        <v>246</v>
      </c>
      <c r="BY63" s="31">
        <v>4.0504202017415301E+18</v>
      </c>
      <c r="BZ63" s="31" t="s">
        <v>435</v>
      </c>
      <c r="CA63" s="31" t="s">
        <v>248</v>
      </c>
    </row>
    <row r="64" spans="1:79" x14ac:dyDescent="0.2">
      <c r="A64" s="31" t="s">
        <v>404</v>
      </c>
      <c r="B64" s="31" t="s">
        <v>424</v>
      </c>
      <c r="C64" s="31">
        <v>2020</v>
      </c>
      <c r="D64" s="31" t="s">
        <v>420</v>
      </c>
      <c r="E64" s="31">
        <v>2.02004159219484E+17</v>
      </c>
      <c r="F64" s="31" t="s">
        <v>225</v>
      </c>
      <c r="G64" s="31">
        <v>3202028</v>
      </c>
      <c r="H64" s="31">
        <v>1400431</v>
      </c>
      <c r="J64" s="31" t="s">
        <v>227</v>
      </c>
      <c r="K64" s="31" t="s">
        <v>228</v>
      </c>
      <c r="L64" s="31" t="s">
        <v>316</v>
      </c>
      <c r="N64" s="31" t="s">
        <v>290</v>
      </c>
      <c r="O64" s="31" t="s">
        <v>39</v>
      </c>
      <c r="Q64" s="31" t="s">
        <v>28</v>
      </c>
      <c r="R64" s="31" t="s">
        <v>291</v>
      </c>
      <c r="T64" s="31" t="s">
        <v>292</v>
      </c>
      <c r="V64" s="31" t="s">
        <v>293</v>
      </c>
      <c r="X64" s="31" t="s">
        <v>294</v>
      </c>
      <c r="Y64" s="31" t="s">
        <v>295</v>
      </c>
      <c r="Z64" s="31">
        <v>303121941</v>
      </c>
      <c r="AA64" s="31" t="s">
        <v>328</v>
      </c>
      <c r="AB64" s="31" t="s">
        <v>297</v>
      </c>
      <c r="AC64" s="31" t="s">
        <v>316</v>
      </c>
      <c r="AD64" s="31" t="s">
        <v>237</v>
      </c>
      <c r="AE64" s="31" t="s">
        <v>238</v>
      </c>
      <c r="AI64" s="32">
        <v>43868</v>
      </c>
      <c r="AJ64" s="31">
        <v>100</v>
      </c>
      <c r="AK64" s="31">
        <v>1600</v>
      </c>
      <c r="BG64" s="31" t="s">
        <v>278</v>
      </c>
      <c r="BH64" s="31" t="s">
        <v>425</v>
      </c>
      <c r="BI64" s="31" t="s">
        <v>279</v>
      </c>
      <c r="BJ64" s="31">
        <v>2020</v>
      </c>
      <c r="BK64" s="31" t="s">
        <v>50</v>
      </c>
      <c r="BL64" s="31" t="s">
        <v>242</v>
      </c>
      <c r="BM64" s="31" t="s">
        <v>243</v>
      </c>
      <c r="BN64" s="33">
        <v>43956.062197638887</v>
      </c>
      <c r="BP64" s="31" t="s">
        <v>436</v>
      </c>
      <c r="BQ64" s="31" t="s">
        <v>318</v>
      </c>
      <c r="BR64" s="31" t="s">
        <v>244</v>
      </c>
      <c r="BS64" s="31">
        <v>4.0416202017369098E+18</v>
      </c>
      <c r="BT64" s="31" t="s">
        <v>245</v>
      </c>
      <c r="BU64" s="31" t="s">
        <v>283</v>
      </c>
      <c r="BV64" s="31">
        <v>2020</v>
      </c>
      <c r="BW64" s="31" t="s">
        <v>246</v>
      </c>
      <c r="BY64" s="31">
        <v>4.0504202017415301E+18</v>
      </c>
      <c r="BZ64" s="31" t="s">
        <v>437</v>
      </c>
      <c r="CA64" s="31" t="s">
        <v>248</v>
      </c>
    </row>
    <row r="65" spans="1:79" x14ac:dyDescent="0.2">
      <c r="A65" s="31" t="s">
        <v>404</v>
      </c>
      <c r="B65" s="31" t="s">
        <v>424</v>
      </c>
      <c r="C65" s="31">
        <v>2020</v>
      </c>
      <c r="D65" s="31" t="s">
        <v>420</v>
      </c>
      <c r="E65" s="31">
        <v>2.02004159219484E+17</v>
      </c>
      <c r="F65" s="31" t="s">
        <v>225</v>
      </c>
      <c r="G65" s="31">
        <v>3611128</v>
      </c>
      <c r="H65" s="31">
        <v>1400431</v>
      </c>
      <c r="J65" s="31" t="s">
        <v>227</v>
      </c>
      <c r="K65" s="31" t="s">
        <v>228</v>
      </c>
      <c r="L65" s="31" t="s">
        <v>316</v>
      </c>
      <c r="N65" s="31" t="s">
        <v>290</v>
      </c>
      <c r="O65" s="31" t="s">
        <v>39</v>
      </c>
      <c r="Q65" s="31" t="s">
        <v>28</v>
      </c>
      <c r="R65" s="31" t="s">
        <v>291</v>
      </c>
      <c r="T65" s="31" t="s">
        <v>292</v>
      </c>
      <c r="V65" s="31" t="s">
        <v>293</v>
      </c>
      <c r="X65" s="31" t="s">
        <v>294</v>
      </c>
      <c r="Y65" s="31" t="s">
        <v>295</v>
      </c>
      <c r="Z65" s="31">
        <v>303121941</v>
      </c>
      <c r="AA65" s="31" t="s">
        <v>328</v>
      </c>
      <c r="AB65" s="31" t="s">
        <v>297</v>
      </c>
      <c r="AC65" s="31" t="s">
        <v>316</v>
      </c>
      <c r="AD65" s="31" t="s">
        <v>237</v>
      </c>
      <c r="AE65" s="31" t="s">
        <v>238</v>
      </c>
      <c r="AI65" s="32">
        <v>43878</v>
      </c>
      <c r="AJ65" s="31">
        <v>200</v>
      </c>
      <c r="AK65" s="31">
        <v>1600</v>
      </c>
      <c r="BG65" s="31" t="s">
        <v>278</v>
      </c>
      <c r="BH65" s="31" t="s">
        <v>425</v>
      </c>
      <c r="BI65" s="31" t="s">
        <v>279</v>
      </c>
      <c r="BJ65" s="31">
        <v>2020</v>
      </c>
      <c r="BK65" s="31" t="s">
        <v>50</v>
      </c>
      <c r="BL65" s="31" t="s">
        <v>242</v>
      </c>
      <c r="BM65" s="31" t="s">
        <v>243</v>
      </c>
      <c r="BN65" s="33">
        <v>43956.06219769676</v>
      </c>
      <c r="BP65" s="31" t="s">
        <v>438</v>
      </c>
      <c r="BQ65" s="31" t="s">
        <v>318</v>
      </c>
      <c r="BR65" s="31" t="s">
        <v>244</v>
      </c>
      <c r="BS65" s="31">
        <v>4.0416202017369098E+18</v>
      </c>
      <c r="BT65" s="31" t="s">
        <v>245</v>
      </c>
      <c r="BU65" s="31" t="s">
        <v>283</v>
      </c>
      <c r="BV65" s="31">
        <v>2020</v>
      </c>
      <c r="BW65" s="31" t="s">
        <v>246</v>
      </c>
      <c r="BY65" s="31">
        <v>4.0504202017415301E+18</v>
      </c>
      <c r="BZ65" s="31" t="s">
        <v>439</v>
      </c>
      <c r="CA65" s="31" t="s">
        <v>248</v>
      </c>
    </row>
    <row r="66" spans="1:79" x14ac:dyDescent="0.2">
      <c r="A66" s="31" t="s">
        <v>404</v>
      </c>
      <c r="B66" s="31" t="s">
        <v>424</v>
      </c>
      <c r="C66" s="31">
        <v>2020</v>
      </c>
      <c r="D66" s="31" t="s">
        <v>420</v>
      </c>
      <c r="E66" s="31">
        <v>2.02004159219484E+17</v>
      </c>
      <c r="F66" s="31" t="s">
        <v>225</v>
      </c>
      <c r="G66" s="31">
        <v>3611129</v>
      </c>
      <c r="H66" s="31">
        <v>1400431</v>
      </c>
      <c r="J66" s="31" t="s">
        <v>227</v>
      </c>
      <c r="K66" s="31" t="s">
        <v>228</v>
      </c>
      <c r="L66" s="31" t="s">
        <v>316</v>
      </c>
      <c r="N66" s="31" t="s">
        <v>290</v>
      </c>
      <c r="O66" s="31" t="s">
        <v>39</v>
      </c>
      <c r="Q66" s="31" t="s">
        <v>28</v>
      </c>
      <c r="R66" s="31" t="s">
        <v>291</v>
      </c>
      <c r="T66" s="31" t="s">
        <v>292</v>
      </c>
      <c r="V66" s="31" t="s">
        <v>293</v>
      </c>
      <c r="X66" s="31" t="s">
        <v>294</v>
      </c>
      <c r="Y66" s="31" t="s">
        <v>295</v>
      </c>
      <c r="Z66" s="31">
        <v>303121941</v>
      </c>
      <c r="AA66" s="31" t="s">
        <v>328</v>
      </c>
      <c r="AB66" s="31" t="s">
        <v>297</v>
      </c>
      <c r="AC66" s="31" t="s">
        <v>316</v>
      </c>
      <c r="AD66" s="31" t="s">
        <v>237</v>
      </c>
      <c r="AE66" s="31" t="s">
        <v>238</v>
      </c>
      <c r="AI66" s="32">
        <v>43884</v>
      </c>
      <c r="AJ66" s="31">
        <v>200</v>
      </c>
      <c r="AK66" s="31">
        <v>1600</v>
      </c>
      <c r="BG66" s="31" t="s">
        <v>278</v>
      </c>
      <c r="BH66" s="31" t="s">
        <v>425</v>
      </c>
      <c r="BI66" s="31" t="s">
        <v>279</v>
      </c>
      <c r="BJ66" s="31">
        <v>2020</v>
      </c>
      <c r="BK66" s="31" t="s">
        <v>50</v>
      </c>
      <c r="BL66" s="31" t="s">
        <v>242</v>
      </c>
      <c r="BM66" s="31" t="s">
        <v>243</v>
      </c>
      <c r="BN66" s="33">
        <v>43956.06222255787</v>
      </c>
      <c r="BP66" s="31" t="s">
        <v>440</v>
      </c>
      <c r="BQ66" s="31" t="s">
        <v>318</v>
      </c>
      <c r="BR66" s="31" t="s">
        <v>244</v>
      </c>
      <c r="BS66" s="31">
        <v>4.0416202017369098E+18</v>
      </c>
      <c r="BT66" s="31" t="s">
        <v>245</v>
      </c>
      <c r="BU66" s="31" t="s">
        <v>283</v>
      </c>
      <c r="BV66" s="31">
        <v>2020</v>
      </c>
      <c r="BW66" s="31" t="s">
        <v>246</v>
      </c>
      <c r="BY66" s="31">
        <v>4.0504202017415301E+18</v>
      </c>
      <c r="BZ66" s="31" t="s">
        <v>441</v>
      </c>
      <c r="CA66" s="31" t="s">
        <v>248</v>
      </c>
    </row>
    <row r="67" spans="1:79" x14ac:dyDescent="0.2">
      <c r="A67" s="31" t="s">
        <v>316</v>
      </c>
      <c r="B67" s="31" t="s">
        <v>325</v>
      </c>
      <c r="C67" s="31">
        <v>2020</v>
      </c>
      <c r="D67" s="31" t="s">
        <v>408</v>
      </c>
      <c r="E67" s="31">
        <v>2.0200421922901501E+17</v>
      </c>
      <c r="F67" s="31" t="s">
        <v>225</v>
      </c>
      <c r="G67" s="31" t="s">
        <v>442</v>
      </c>
      <c r="H67" s="31">
        <v>1402724</v>
      </c>
      <c r="J67" s="31" t="s">
        <v>227</v>
      </c>
      <c r="K67" s="31" t="s">
        <v>228</v>
      </c>
      <c r="L67" s="31" t="s">
        <v>404</v>
      </c>
      <c r="N67" s="31" t="s">
        <v>290</v>
      </c>
      <c r="O67" s="31" t="s">
        <v>254</v>
      </c>
      <c r="Q67" s="31" t="s">
        <v>255</v>
      </c>
      <c r="R67" s="31" t="s">
        <v>291</v>
      </c>
      <c r="T67" s="31" t="s">
        <v>292</v>
      </c>
      <c r="V67" s="31" t="s">
        <v>327</v>
      </c>
      <c r="X67" s="31" t="s">
        <v>294</v>
      </c>
      <c r="Y67" s="31" t="s">
        <v>295</v>
      </c>
      <c r="Z67" s="31">
        <v>30312</v>
      </c>
      <c r="AA67" s="31" t="s">
        <v>328</v>
      </c>
      <c r="AB67" s="31" t="s">
        <v>297</v>
      </c>
      <c r="AC67" s="31" t="s">
        <v>404</v>
      </c>
      <c r="AD67" s="31" t="s">
        <v>329</v>
      </c>
      <c r="AE67" s="31" t="s">
        <v>330</v>
      </c>
      <c r="AF67" s="31" t="s">
        <v>331</v>
      </c>
      <c r="AI67" s="32">
        <v>43909</v>
      </c>
      <c r="AJ67" s="31">
        <v>100</v>
      </c>
      <c r="AK67" s="31">
        <v>1600</v>
      </c>
      <c r="AL67" s="31" t="s">
        <v>405</v>
      </c>
      <c r="BG67" s="31" t="s">
        <v>28</v>
      </c>
      <c r="BI67" s="31" t="s">
        <v>279</v>
      </c>
      <c r="BK67" s="31" t="s">
        <v>50</v>
      </c>
      <c r="BL67" s="31" t="s">
        <v>242</v>
      </c>
      <c r="BM67" s="31" t="s">
        <v>243</v>
      </c>
      <c r="BN67" s="33">
        <v>43966.287164525464</v>
      </c>
      <c r="BR67" s="31" t="s">
        <v>257</v>
      </c>
      <c r="BS67" s="31">
        <v>4.0420202017373501E+18</v>
      </c>
      <c r="BT67" s="31" t="s">
        <v>245</v>
      </c>
      <c r="BU67" s="31" t="s">
        <v>385</v>
      </c>
      <c r="BV67" s="31">
        <v>2020</v>
      </c>
      <c r="BW67" s="31" t="s">
        <v>246</v>
      </c>
      <c r="BY67" s="31">
        <v>4.0514202017468099E+18</v>
      </c>
      <c r="BZ67" s="31" t="s">
        <v>443</v>
      </c>
      <c r="CA67" s="31" t="s">
        <v>248</v>
      </c>
    </row>
    <row r="68" spans="1:79" x14ac:dyDescent="0.2">
      <c r="A68" s="31" t="s">
        <v>316</v>
      </c>
      <c r="B68" s="31" t="s">
        <v>325</v>
      </c>
      <c r="C68" s="31">
        <v>2020</v>
      </c>
      <c r="D68" s="31" t="s">
        <v>408</v>
      </c>
      <c r="E68" s="31">
        <v>2.0200421922901501E+17</v>
      </c>
      <c r="F68" s="31" t="s">
        <v>225</v>
      </c>
      <c r="G68" s="31" t="s">
        <v>444</v>
      </c>
      <c r="H68" s="31">
        <v>1402724</v>
      </c>
      <c r="J68" s="31" t="s">
        <v>227</v>
      </c>
      <c r="K68" s="31" t="s">
        <v>228</v>
      </c>
      <c r="L68" s="31" t="s">
        <v>266</v>
      </c>
      <c r="N68" s="31" t="s">
        <v>290</v>
      </c>
      <c r="O68" s="31" t="s">
        <v>254</v>
      </c>
      <c r="Q68" s="31" t="s">
        <v>255</v>
      </c>
      <c r="R68" s="31" t="s">
        <v>291</v>
      </c>
      <c r="T68" s="31" t="s">
        <v>292</v>
      </c>
      <c r="V68" s="31" t="s">
        <v>327</v>
      </c>
      <c r="X68" s="31" t="s">
        <v>294</v>
      </c>
      <c r="Y68" s="31" t="s">
        <v>295</v>
      </c>
      <c r="Z68" s="31">
        <v>30312</v>
      </c>
      <c r="AA68" s="31" t="s">
        <v>328</v>
      </c>
      <c r="AB68" s="31" t="s">
        <v>297</v>
      </c>
      <c r="AC68" s="31" t="s">
        <v>266</v>
      </c>
      <c r="AD68" s="31" t="s">
        <v>329</v>
      </c>
      <c r="AE68" s="31" t="s">
        <v>330</v>
      </c>
      <c r="AF68" s="31" t="s">
        <v>331</v>
      </c>
      <c r="AI68" s="32">
        <v>43892</v>
      </c>
      <c r="AJ68" s="31">
        <v>25</v>
      </c>
      <c r="AK68" s="31">
        <v>2809</v>
      </c>
      <c r="AL68" s="31" t="s">
        <v>445</v>
      </c>
      <c r="BG68" s="31" t="s">
        <v>28</v>
      </c>
      <c r="BI68" s="31" t="s">
        <v>279</v>
      </c>
      <c r="BK68" s="31" t="s">
        <v>50</v>
      </c>
      <c r="BL68" s="31" t="s">
        <v>242</v>
      </c>
      <c r="BM68" s="31" t="s">
        <v>243</v>
      </c>
      <c r="BN68" s="33">
        <v>43966.288996944444</v>
      </c>
      <c r="BR68" s="31" t="s">
        <v>257</v>
      </c>
      <c r="BS68" s="31">
        <v>4.0420202017373501E+18</v>
      </c>
      <c r="BT68" s="31" t="s">
        <v>245</v>
      </c>
      <c r="BU68" s="31" t="s">
        <v>446</v>
      </c>
      <c r="BV68" s="31">
        <v>2020</v>
      </c>
      <c r="BW68" s="31" t="s">
        <v>246</v>
      </c>
      <c r="BY68" s="31">
        <v>4.0514202017468099E+18</v>
      </c>
      <c r="BZ68" s="31" t="s">
        <v>447</v>
      </c>
      <c r="CA68" s="31" t="s">
        <v>248</v>
      </c>
    </row>
    <row r="69" spans="1:79" x14ac:dyDescent="0.2">
      <c r="A69" s="31" t="s">
        <v>316</v>
      </c>
      <c r="B69" s="31" t="s">
        <v>325</v>
      </c>
      <c r="C69" s="31">
        <v>2020</v>
      </c>
      <c r="D69" s="31" t="s">
        <v>408</v>
      </c>
      <c r="E69" s="31">
        <v>2.0200421922901501E+17</v>
      </c>
      <c r="F69" s="31" t="s">
        <v>225</v>
      </c>
      <c r="G69" s="31" t="s">
        <v>448</v>
      </c>
      <c r="H69" s="31">
        <v>1402724</v>
      </c>
      <c r="J69" s="31" t="s">
        <v>227</v>
      </c>
      <c r="K69" s="31" t="s">
        <v>228</v>
      </c>
      <c r="N69" s="31" t="s">
        <v>290</v>
      </c>
      <c r="O69" s="31" t="s">
        <v>254</v>
      </c>
      <c r="Q69" s="31" t="s">
        <v>255</v>
      </c>
      <c r="R69" s="31" t="s">
        <v>291</v>
      </c>
      <c r="T69" s="31" t="s">
        <v>292</v>
      </c>
      <c r="V69" s="31" t="s">
        <v>327</v>
      </c>
      <c r="X69" s="31" t="s">
        <v>294</v>
      </c>
      <c r="Y69" s="31" t="s">
        <v>295</v>
      </c>
      <c r="Z69" s="31">
        <v>30312</v>
      </c>
      <c r="AA69" s="31" t="s">
        <v>328</v>
      </c>
      <c r="AB69" s="31" t="s">
        <v>297</v>
      </c>
      <c r="AD69" s="31">
        <v>15</v>
      </c>
      <c r="AE69" s="31" t="s">
        <v>298</v>
      </c>
      <c r="AF69" s="31" t="s">
        <v>336</v>
      </c>
      <c r="AI69" s="32">
        <v>43892</v>
      </c>
      <c r="AJ69" s="31">
        <v>25</v>
      </c>
      <c r="AK69" s="31">
        <v>256.89999999999998</v>
      </c>
      <c r="BG69" s="31" t="s">
        <v>28</v>
      </c>
      <c r="BI69" s="31" t="s">
        <v>279</v>
      </c>
      <c r="BK69" s="31" t="s">
        <v>50</v>
      </c>
      <c r="BL69" s="31" t="s">
        <v>242</v>
      </c>
      <c r="BM69" s="31" t="s">
        <v>243</v>
      </c>
      <c r="BN69" s="33">
        <v>43966.288996944444</v>
      </c>
      <c r="BR69" s="31" t="s">
        <v>257</v>
      </c>
      <c r="BS69" s="31">
        <v>4.0420202017373501E+18</v>
      </c>
      <c r="BT69" s="31" t="s">
        <v>245</v>
      </c>
      <c r="BU69" s="31" t="s">
        <v>337</v>
      </c>
      <c r="BV69" s="31">
        <v>2020</v>
      </c>
      <c r="BW69" s="31" t="s">
        <v>246</v>
      </c>
      <c r="BY69" s="31">
        <v>4.0514202017468099E+18</v>
      </c>
      <c r="BZ69" s="31" t="s">
        <v>449</v>
      </c>
      <c r="CA69" s="31" t="s">
        <v>248</v>
      </c>
    </row>
    <row r="70" spans="1:79" x14ac:dyDescent="0.2">
      <c r="A70" s="31" t="s">
        <v>316</v>
      </c>
      <c r="B70" s="31" t="s">
        <v>325</v>
      </c>
      <c r="C70" s="31">
        <v>2020</v>
      </c>
      <c r="D70" s="31" t="s">
        <v>408</v>
      </c>
      <c r="E70" s="31">
        <v>2.0200421922901501E+17</v>
      </c>
      <c r="F70" s="31" t="s">
        <v>225</v>
      </c>
      <c r="G70" s="31" t="s">
        <v>450</v>
      </c>
      <c r="H70" s="31">
        <v>1402724</v>
      </c>
      <c r="J70" s="31" t="s">
        <v>227</v>
      </c>
      <c r="K70" s="31" t="s">
        <v>228</v>
      </c>
      <c r="L70" s="31" t="s">
        <v>266</v>
      </c>
      <c r="N70" s="31" t="s">
        <v>290</v>
      </c>
      <c r="O70" s="31" t="s">
        <v>254</v>
      </c>
      <c r="Q70" s="31" t="s">
        <v>255</v>
      </c>
      <c r="R70" s="31" t="s">
        <v>291</v>
      </c>
      <c r="T70" s="31" t="s">
        <v>292</v>
      </c>
      <c r="V70" s="31" t="s">
        <v>327</v>
      </c>
      <c r="X70" s="31" t="s">
        <v>294</v>
      </c>
      <c r="Y70" s="31" t="s">
        <v>295</v>
      </c>
      <c r="Z70" s="31">
        <v>30312</v>
      </c>
      <c r="AA70" s="31" t="s">
        <v>328</v>
      </c>
      <c r="AB70" s="31" t="s">
        <v>297</v>
      </c>
      <c r="AC70" s="31" t="s">
        <v>266</v>
      </c>
      <c r="AD70" s="31" t="s">
        <v>329</v>
      </c>
      <c r="AE70" s="31" t="s">
        <v>330</v>
      </c>
      <c r="AF70" s="31" t="s">
        <v>331</v>
      </c>
      <c r="AI70" s="32">
        <v>43896</v>
      </c>
      <c r="AJ70" s="31">
        <v>50</v>
      </c>
      <c r="AK70" s="31">
        <v>2809</v>
      </c>
      <c r="AL70" s="31" t="s">
        <v>445</v>
      </c>
      <c r="BG70" s="31" t="s">
        <v>28</v>
      </c>
      <c r="BI70" s="31" t="s">
        <v>279</v>
      </c>
      <c r="BK70" s="31" t="s">
        <v>50</v>
      </c>
      <c r="BL70" s="31" t="s">
        <v>242</v>
      </c>
      <c r="BM70" s="31" t="s">
        <v>243</v>
      </c>
      <c r="BN70" s="33">
        <v>43966.303435023146</v>
      </c>
      <c r="BR70" s="31" t="s">
        <v>257</v>
      </c>
      <c r="BS70" s="31">
        <v>4.0420202017373501E+18</v>
      </c>
      <c r="BT70" s="31" t="s">
        <v>245</v>
      </c>
      <c r="BU70" s="31" t="s">
        <v>446</v>
      </c>
      <c r="BV70" s="31">
        <v>2020</v>
      </c>
      <c r="BW70" s="31" t="s">
        <v>246</v>
      </c>
      <c r="BY70" s="31">
        <v>4.0514202017468099E+18</v>
      </c>
      <c r="BZ70" s="31" t="s">
        <v>451</v>
      </c>
      <c r="CA70" s="31" t="s">
        <v>248</v>
      </c>
    </row>
    <row r="71" spans="1:79" x14ac:dyDescent="0.2">
      <c r="A71" s="31" t="s">
        <v>316</v>
      </c>
      <c r="B71" s="31" t="s">
        <v>325</v>
      </c>
      <c r="C71" s="31">
        <v>2020</v>
      </c>
      <c r="D71" s="31" t="s">
        <v>408</v>
      </c>
      <c r="E71" s="31">
        <v>2.0200421922901501E+17</v>
      </c>
      <c r="F71" s="31" t="s">
        <v>225</v>
      </c>
      <c r="G71" s="31" t="s">
        <v>452</v>
      </c>
      <c r="H71" s="31">
        <v>1402724</v>
      </c>
      <c r="J71" s="31" t="s">
        <v>227</v>
      </c>
      <c r="K71" s="31" t="s">
        <v>228</v>
      </c>
      <c r="N71" s="31" t="s">
        <v>290</v>
      </c>
      <c r="O71" s="31" t="s">
        <v>254</v>
      </c>
      <c r="Q71" s="31" t="s">
        <v>255</v>
      </c>
      <c r="R71" s="31" t="s">
        <v>291</v>
      </c>
      <c r="T71" s="31" t="s">
        <v>292</v>
      </c>
      <c r="V71" s="31" t="s">
        <v>327</v>
      </c>
      <c r="X71" s="31" t="s">
        <v>294</v>
      </c>
      <c r="Y71" s="31" t="s">
        <v>295</v>
      </c>
      <c r="Z71" s="31">
        <v>30312</v>
      </c>
      <c r="AA71" s="31" t="s">
        <v>328</v>
      </c>
      <c r="AB71" s="31" t="s">
        <v>297</v>
      </c>
      <c r="AD71" s="31">
        <v>15</v>
      </c>
      <c r="AE71" s="31" t="s">
        <v>298</v>
      </c>
      <c r="AF71" s="31" t="s">
        <v>336</v>
      </c>
      <c r="AI71" s="32">
        <v>43915</v>
      </c>
      <c r="AJ71" s="31">
        <v>25</v>
      </c>
      <c r="AK71" s="31">
        <v>256.89999999999998</v>
      </c>
      <c r="BG71" s="31" t="s">
        <v>28</v>
      </c>
      <c r="BI71" s="31" t="s">
        <v>279</v>
      </c>
      <c r="BK71" s="31" t="s">
        <v>50</v>
      </c>
      <c r="BL71" s="31" t="s">
        <v>242</v>
      </c>
      <c r="BM71" s="31" t="s">
        <v>243</v>
      </c>
      <c r="BN71" s="33">
        <v>43966.303435023146</v>
      </c>
      <c r="BR71" s="31" t="s">
        <v>257</v>
      </c>
      <c r="BS71" s="31">
        <v>4.0420202017373501E+18</v>
      </c>
      <c r="BT71" s="31" t="s">
        <v>245</v>
      </c>
      <c r="BU71" s="31" t="s">
        <v>337</v>
      </c>
      <c r="BV71" s="31">
        <v>2020</v>
      </c>
      <c r="BW71" s="31" t="s">
        <v>246</v>
      </c>
      <c r="BY71" s="31">
        <v>4.0514202017468099E+18</v>
      </c>
      <c r="BZ71" s="31" t="s">
        <v>443</v>
      </c>
      <c r="CA71" s="31" t="s">
        <v>248</v>
      </c>
    </row>
    <row r="72" spans="1:79" x14ac:dyDescent="0.2">
      <c r="A72" s="31" t="s">
        <v>316</v>
      </c>
      <c r="B72" s="31" t="s">
        <v>325</v>
      </c>
      <c r="C72" s="31">
        <v>2020</v>
      </c>
      <c r="D72" s="31" t="s">
        <v>408</v>
      </c>
      <c r="E72" s="31">
        <v>2.0200421922901501E+17</v>
      </c>
      <c r="F72" s="31" t="s">
        <v>225</v>
      </c>
      <c r="G72" s="31" t="s">
        <v>453</v>
      </c>
      <c r="H72" s="31">
        <v>1402724</v>
      </c>
      <c r="J72" s="31" t="s">
        <v>227</v>
      </c>
      <c r="K72" s="31" t="s">
        <v>228</v>
      </c>
      <c r="N72" s="31" t="s">
        <v>290</v>
      </c>
      <c r="O72" s="31" t="s">
        <v>254</v>
      </c>
      <c r="Q72" s="31" t="s">
        <v>255</v>
      </c>
      <c r="R72" s="31" t="s">
        <v>291</v>
      </c>
      <c r="T72" s="31" t="s">
        <v>292</v>
      </c>
      <c r="V72" s="31" t="s">
        <v>327</v>
      </c>
      <c r="X72" s="31" t="s">
        <v>294</v>
      </c>
      <c r="Y72" s="31" t="s">
        <v>295</v>
      </c>
      <c r="Z72" s="31">
        <v>30312</v>
      </c>
      <c r="AA72" s="31" t="s">
        <v>328</v>
      </c>
      <c r="AB72" s="31" t="s">
        <v>297</v>
      </c>
      <c r="AD72" s="31">
        <v>15</v>
      </c>
      <c r="AE72" s="31" t="s">
        <v>298</v>
      </c>
      <c r="AF72" s="31" t="s">
        <v>336</v>
      </c>
      <c r="AI72" s="32">
        <v>43909</v>
      </c>
      <c r="AJ72" s="31">
        <v>10</v>
      </c>
      <c r="AK72" s="31">
        <v>256.89999999999998</v>
      </c>
      <c r="BG72" s="31" t="s">
        <v>28</v>
      </c>
      <c r="BI72" s="31" t="s">
        <v>279</v>
      </c>
      <c r="BK72" s="31" t="s">
        <v>50</v>
      </c>
      <c r="BL72" s="31" t="s">
        <v>242</v>
      </c>
      <c r="BM72" s="31" t="s">
        <v>243</v>
      </c>
      <c r="BN72" s="33">
        <v>43966.316453807871</v>
      </c>
      <c r="BR72" s="31" t="s">
        <v>257</v>
      </c>
      <c r="BS72" s="31">
        <v>4.0420202017373501E+18</v>
      </c>
      <c r="BT72" s="31" t="s">
        <v>245</v>
      </c>
      <c r="BU72" s="31" t="s">
        <v>337</v>
      </c>
      <c r="BV72" s="31">
        <v>2020</v>
      </c>
      <c r="BW72" s="31" t="s">
        <v>246</v>
      </c>
      <c r="BY72" s="31">
        <v>4.0514202017468099E+18</v>
      </c>
      <c r="BZ72" s="31" t="s">
        <v>443</v>
      </c>
      <c r="CA72" s="31" t="s">
        <v>248</v>
      </c>
    </row>
    <row r="73" spans="1:79" x14ac:dyDescent="0.2">
      <c r="A73" s="31" t="s">
        <v>316</v>
      </c>
      <c r="B73" s="31" t="s">
        <v>325</v>
      </c>
      <c r="C73" s="31">
        <v>2020</v>
      </c>
      <c r="D73" s="31" t="s">
        <v>408</v>
      </c>
      <c r="E73" s="31">
        <v>2.0200421922901501E+17</v>
      </c>
      <c r="F73" s="31" t="s">
        <v>225</v>
      </c>
      <c r="G73" s="31" t="s">
        <v>454</v>
      </c>
      <c r="H73" s="31">
        <v>1402724</v>
      </c>
      <c r="J73" s="31" t="s">
        <v>227</v>
      </c>
      <c r="K73" s="31" t="s">
        <v>228</v>
      </c>
      <c r="N73" s="31" t="s">
        <v>290</v>
      </c>
      <c r="O73" s="31" t="s">
        <v>254</v>
      </c>
      <c r="Q73" s="31" t="s">
        <v>255</v>
      </c>
      <c r="R73" s="31" t="s">
        <v>291</v>
      </c>
      <c r="T73" s="31" t="s">
        <v>292</v>
      </c>
      <c r="V73" s="31" t="s">
        <v>327</v>
      </c>
      <c r="X73" s="31" t="s">
        <v>294</v>
      </c>
      <c r="Y73" s="31" t="s">
        <v>295</v>
      </c>
      <c r="Z73" s="31">
        <v>30312</v>
      </c>
      <c r="AA73" s="31" t="s">
        <v>328</v>
      </c>
      <c r="AB73" s="31" t="s">
        <v>297</v>
      </c>
      <c r="AD73" s="31">
        <v>15</v>
      </c>
      <c r="AE73" s="31" t="s">
        <v>298</v>
      </c>
      <c r="AF73" s="31" t="s">
        <v>336</v>
      </c>
      <c r="AI73" s="32">
        <v>43920</v>
      </c>
      <c r="AJ73" s="31">
        <v>12.5</v>
      </c>
      <c r="AK73" s="31">
        <v>256.89999999999998</v>
      </c>
      <c r="BG73" s="31" t="s">
        <v>28</v>
      </c>
      <c r="BI73" s="31" t="s">
        <v>279</v>
      </c>
      <c r="BK73" s="31" t="s">
        <v>50</v>
      </c>
      <c r="BL73" s="31" t="s">
        <v>242</v>
      </c>
      <c r="BM73" s="31" t="s">
        <v>243</v>
      </c>
      <c r="BN73" s="33">
        <v>43966.316453807871</v>
      </c>
      <c r="BR73" s="31" t="s">
        <v>257</v>
      </c>
      <c r="BS73" s="31">
        <v>4.0420202017373501E+18</v>
      </c>
      <c r="BT73" s="31" t="s">
        <v>245</v>
      </c>
      <c r="BU73" s="31" t="s">
        <v>337</v>
      </c>
      <c r="BV73" s="31">
        <v>2020</v>
      </c>
      <c r="BW73" s="31" t="s">
        <v>246</v>
      </c>
      <c r="BY73" s="31">
        <v>4.0514202017468099E+18</v>
      </c>
      <c r="BZ73" s="31" t="s">
        <v>455</v>
      </c>
      <c r="CA73" s="31" t="s">
        <v>248</v>
      </c>
    </row>
    <row r="74" spans="1:79" x14ac:dyDescent="0.2">
      <c r="A74" s="31" t="s">
        <v>316</v>
      </c>
      <c r="B74" s="31" t="s">
        <v>325</v>
      </c>
      <c r="C74" s="31">
        <v>2020</v>
      </c>
      <c r="D74" s="31" t="s">
        <v>408</v>
      </c>
      <c r="E74" s="31">
        <v>2.0200421922901501E+17</v>
      </c>
      <c r="F74" s="31" t="s">
        <v>225</v>
      </c>
      <c r="G74" s="31" t="s">
        <v>456</v>
      </c>
      <c r="H74" s="31">
        <v>1402724</v>
      </c>
      <c r="J74" s="31" t="s">
        <v>227</v>
      </c>
      <c r="K74" s="31" t="s">
        <v>228</v>
      </c>
      <c r="L74" s="31" t="s">
        <v>320</v>
      </c>
      <c r="N74" s="31" t="s">
        <v>290</v>
      </c>
      <c r="O74" s="31" t="s">
        <v>254</v>
      </c>
      <c r="Q74" s="31" t="s">
        <v>255</v>
      </c>
      <c r="R74" s="31" t="s">
        <v>291</v>
      </c>
      <c r="T74" s="31" t="s">
        <v>292</v>
      </c>
      <c r="V74" s="31" t="s">
        <v>327</v>
      </c>
      <c r="X74" s="31" t="s">
        <v>294</v>
      </c>
      <c r="Y74" s="31" t="s">
        <v>295</v>
      </c>
      <c r="Z74" s="31">
        <v>30312</v>
      </c>
      <c r="AA74" s="31" t="s">
        <v>328</v>
      </c>
      <c r="AB74" s="31" t="s">
        <v>297</v>
      </c>
      <c r="AC74" s="31" t="s">
        <v>320</v>
      </c>
      <c r="AD74" s="31" t="s">
        <v>329</v>
      </c>
      <c r="AE74" s="31" t="s">
        <v>330</v>
      </c>
      <c r="AF74" s="31" t="s">
        <v>331</v>
      </c>
      <c r="AI74" s="32">
        <v>43920</v>
      </c>
      <c r="AJ74" s="31">
        <v>125</v>
      </c>
      <c r="AK74" s="31">
        <v>319</v>
      </c>
      <c r="BG74" s="31" t="s">
        <v>28</v>
      </c>
      <c r="BI74" s="31" t="s">
        <v>279</v>
      </c>
      <c r="BK74" s="31" t="s">
        <v>50</v>
      </c>
      <c r="BL74" s="31" t="s">
        <v>242</v>
      </c>
      <c r="BM74" s="31" t="s">
        <v>243</v>
      </c>
      <c r="BN74" s="33">
        <v>43966.319504884261</v>
      </c>
      <c r="BR74" s="31" t="s">
        <v>257</v>
      </c>
      <c r="BS74" s="31">
        <v>4.0420202017373501E+18</v>
      </c>
      <c r="BT74" s="31" t="s">
        <v>245</v>
      </c>
      <c r="BU74" s="31" t="s">
        <v>354</v>
      </c>
      <c r="BV74" s="31">
        <v>2020</v>
      </c>
      <c r="BW74" s="31" t="s">
        <v>246</v>
      </c>
      <c r="BY74" s="31">
        <v>4.0514202017468099E+18</v>
      </c>
      <c r="BZ74" s="31" t="s">
        <v>455</v>
      </c>
      <c r="CA74" s="31" t="s">
        <v>248</v>
      </c>
    </row>
    <row r="75" spans="1:79" x14ac:dyDescent="0.2">
      <c r="A75" s="31" t="s">
        <v>316</v>
      </c>
      <c r="B75" s="31" t="s">
        <v>325</v>
      </c>
      <c r="C75" s="31">
        <v>2020</v>
      </c>
      <c r="D75" s="31" t="s">
        <v>408</v>
      </c>
      <c r="E75" s="31">
        <v>2.0200421922901501E+17</v>
      </c>
      <c r="F75" s="31" t="s">
        <v>225</v>
      </c>
      <c r="G75" s="31" t="s">
        <v>457</v>
      </c>
      <c r="H75" s="31">
        <v>1402724</v>
      </c>
      <c r="J75" s="31" t="s">
        <v>227</v>
      </c>
      <c r="K75" s="31" t="s">
        <v>228</v>
      </c>
      <c r="N75" s="31" t="s">
        <v>290</v>
      </c>
      <c r="O75" s="31" t="s">
        <v>254</v>
      </c>
      <c r="Q75" s="31" t="s">
        <v>255</v>
      </c>
      <c r="R75" s="31" t="s">
        <v>291</v>
      </c>
      <c r="T75" s="31" t="s">
        <v>292</v>
      </c>
      <c r="V75" s="31" t="s">
        <v>327</v>
      </c>
      <c r="X75" s="31" t="s">
        <v>294</v>
      </c>
      <c r="Y75" s="31" t="s">
        <v>295</v>
      </c>
      <c r="Z75" s="31">
        <v>30312</v>
      </c>
      <c r="AA75" s="31" t="s">
        <v>328</v>
      </c>
      <c r="AB75" s="31" t="s">
        <v>297</v>
      </c>
      <c r="AD75" s="31">
        <v>15</v>
      </c>
      <c r="AE75" s="31" t="s">
        <v>298</v>
      </c>
      <c r="AF75" s="31" t="s">
        <v>336</v>
      </c>
      <c r="AI75" s="32">
        <v>43896</v>
      </c>
      <c r="AJ75" s="31">
        <v>5</v>
      </c>
      <c r="AK75" s="31">
        <v>256.89999999999998</v>
      </c>
      <c r="BG75" s="31" t="s">
        <v>28</v>
      </c>
      <c r="BI75" s="31" t="s">
        <v>279</v>
      </c>
      <c r="BK75" s="31" t="s">
        <v>50</v>
      </c>
      <c r="BL75" s="31" t="s">
        <v>242</v>
      </c>
      <c r="BM75" s="31" t="s">
        <v>243</v>
      </c>
      <c r="BN75" s="33">
        <v>43966.3330752662</v>
      </c>
      <c r="BR75" s="31" t="s">
        <v>257</v>
      </c>
      <c r="BS75" s="31">
        <v>4.0420202017373501E+18</v>
      </c>
      <c r="BT75" s="31" t="s">
        <v>245</v>
      </c>
      <c r="BU75" s="31" t="s">
        <v>337</v>
      </c>
      <c r="BV75" s="31">
        <v>2020</v>
      </c>
      <c r="BW75" s="31" t="s">
        <v>246</v>
      </c>
      <c r="BY75" s="31">
        <v>4.0514202017468099E+18</v>
      </c>
      <c r="BZ75" s="31" t="s">
        <v>451</v>
      </c>
      <c r="CA75" s="31" t="s">
        <v>248</v>
      </c>
    </row>
    <row r="76" spans="1:79" x14ac:dyDescent="0.2">
      <c r="A76" s="31" t="s">
        <v>316</v>
      </c>
      <c r="B76" s="31" t="s">
        <v>325</v>
      </c>
      <c r="C76" s="31">
        <v>2020</v>
      </c>
      <c r="D76" s="31" t="s">
        <v>408</v>
      </c>
      <c r="E76" s="31">
        <v>2.0200421922901501E+17</v>
      </c>
      <c r="F76" s="31" t="s">
        <v>225</v>
      </c>
      <c r="G76" s="31" t="s">
        <v>458</v>
      </c>
      <c r="H76" s="31">
        <v>1402724</v>
      </c>
      <c r="J76" s="31" t="s">
        <v>227</v>
      </c>
      <c r="K76" s="31" t="s">
        <v>228</v>
      </c>
      <c r="N76" s="31" t="s">
        <v>290</v>
      </c>
      <c r="O76" s="31" t="s">
        <v>254</v>
      </c>
      <c r="Q76" s="31" t="s">
        <v>255</v>
      </c>
      <c r="R76" s="31" t="s">
        <v>291</v>
      </c>
      <c r="T76" s="31" t="s">
        <v>292</v>
      </c>
      <c r="V76" s="31" t="s">
        <v>327</v>
      </c>
      <c r="X76" s="31" t="s">
        <v>294</v>
      </c>
      <c r="Y76" s="31" t="s">
        <v>295</v>
      </c>
      <c r="Z76" s="31">
        <v>30312</v>
      </c>
      <c r="AA76" s="31" t="s">
        <v>328</v>
      </c>
      <c r="AB76" s="31" t="s">
        <v>297</v>
      </c>
      <c r="AD76" s="31">
        <v>15</v>
      </c>
      <c r="AE76" s="31" t="s">
        <v>298</v>
      </c>
      <c r="AF76" s="31" t="s">
        <v>336</v>
      </c>
      <c r="AI76" s="32">
        <v>43895</v>
      </c>
      <c r="AJ76" s="31">
        <v>25</v>
      </c>
      <c r="AK76" s="31">
        <v>256.89999999999998</v>
      </c>
      <c r="BG76" s="31" t="s">
        <v>28</v>
      </c>
      <c r="BI76" s="31" t="s">
        <v>279</v>
      </c>
      <c r="BK76" s="31" t="s">
        <v>50</v>
      </c>
      <c r="BL76" s="31" t="s">
        <v>242</v>
      </c>
      <c r="BM76" s="31" t="s">
        <v>243</v>
      </c>
      <c r="BN76" s="33">
        <v>43966.348636539355</v>
      </c>
      <c r="BR76" s="31" t="s">
        <v>257</v>
      </c>
      <c r="BS76" s="31">
        <v>4.0420202017373501E+18</v>
      </c>
      <c r="BT76" s="31" t="s">
        <v>245</v>
      </c>
      <c r="BU76" s="31" t="s">
        <v>337</v>
      </c>
      <c r="BV76" s="31">
        <v>2020</v>
      </c>
      <c r="BW76" s="31" t="s">
        <v>246</v>
      </c>
      <c r="BY76" s="31">
        <v>4.0514202017468099E+18</v>
      </c>
      <c r="BZ76" s="31" t="s">
        <v>449</v>
      </c>
      <c r="CA76" s="31" t="s">
        <v>248</v>
      </c>
    </row>
    <row r="77" spans="1:79" x14ac:dyDescent="0.2">
      <c r="A77" s="31" t="s">
        <v>459</v>
      </c>
      <c r="B77" s="31" t="s">
        <v>460</v>
      </c>
      <c r="C77" s="31">
        <v>2020</v>
      </c>
      <c r="D77" s="31" t="s">
        <v>461</v>
      </c>
      <c r="E77" s="31">
        <v>2.0200520923288899E+17</v>
      </c>
      <c r="F77" s="31" t="s">
        <v>225</v>
      </c>
      <c r="G77" s="31" t="s">
        <v>462</v>
      </c>
      <c r="H77" s="31">
        <v>1407252</v>
      </c>
      <c r="J77" s="31" t="s">
        <v>227</v>
      </c>
      <c r="K77" s="31" t="s">
        <v>228</v>
      </c>
      <c r="L77" s="31" t="s">
        <v>316</v>
      </c>
      <c r="N77" s="31" t="s">
        <v>290</v>
      </c>
      <c r="O77" s="31" t="s">
        <v>0</v>
      </c>
      <c r="Q77" s="31" t="s">
        <v>255</v>
      </c>
      <c r="R77" s="31" t="s">
        <v>291</v>
      </c>
      <c r="T77" s="31" t="s">
        <v>292</v>
      </c>
      <c r="V77" s="31" t="s">
        <v>293</v>
      </c>
      <c r="X77" s="31" t="s">
        <v>294</v>
      </c>
      <c r="Y77" s="31" t="s">
        <v>295</v>
      </c>
      <c r="Z77" s="31">
        <v>303121941</v>
      </c>
      <c r="AA77" s="31" t="s">
        <v>296</v>
      </c>
      <c r="AB77" s="31" t="s">
        <v>297</v>
      </c>
      <c r="AC77" s="31" t="s">
        <v>316</v>
      </c>
      <c r="AD77" s="31" t="s">
        <v>237</v>
      </c>
      <c r="AE77" s="31" t="s">
        <v>238</v>
      </c>
      <c r="AI77" s="32">
        <v>43940</v>
      </c>
      <c r="AJ77" s="31">
        <v>200</v>
      </c>
      <c r="AK77" s="31">
        <v>400</v>
      </c>
      <c r="BG77" s="31" t="s">
        <v>28</v>
      </c>
      <c r="BI77" s="31" t="s">
        <v>279</v>
      </c>
      <c r="BK77" s="31" t="s">
        <v>50</v>
      </c>
      <c r="BL77" s="31" t="s">
        <v>242</v>
      </c>
      <c r="BM77" s="31" t="s">
        <v>243</v>
      </c>
      <c r="BN77" s="33">
        <v>43972.072624178239</v>
      </c>
      <c r="BP77" s="31" t="s">
        <v>463</v>
      </c>
      <c r="BQ77" s="31" t="s">
        <v>318</v>
      </c>
      <c r="BR77" s="31" t="s">
        <v>257</v>
      </c>
      <c r="BS77" s="31">
        <v>4.0520202017621299E+18</v>
      </c>
      <c r="BT77" s="31" t="s">
        <v>245</v>
      </c>
      <c r="BU77" s="31" t="s">
        <v>283</v>
      </c>
      <c r="BV77" s="31">
        <v>2020</v>
      </c>
      <c r="BW77" s="31" t="s">
        <v>246</v>
      </c>
      <c r="BY77" s="31">
        <v>4.0520202017622001E+18</v>
      </c>
      <c r="BZ77" s="31" t="s">
        <v>464</v>
      </c>
      <c r="CA77" s="31" t="s">
        <v>248</v>
      </c>
    </row>
    <row r="78" spans="1:79" x14ac:dyDescent="0.2">
      <c r="A78" s="31" t="s">
        <v>459</v>
      </c>
      <c r="B78" s="31" t="s">
        <v>460</v>
      </c>
      <c r="C78" s="31">
        <v>2020</v>
      </c>
      <c r="D78" s="31" t="s">
        <v>461</v>
      </c>
      <c r="E78" s="31">
        <v>2.0200520923288899E+17</v>
      </c>
      <c r="F78" s="31" t="s">
        <v>225</v>
      </c>
      <c r="G78" s="31" t="s">
        <v>465</v>
      </c>
      <c r="H78" s="31">
        <v>1407252</v>
      </c>
      <c r="J78" s="31" t="s">
        <v>227</v>
      </c>
      <c r="K78" s="31" t="s">
        <v>228</v>
      </c>
      <c r="L78" s="31" t="s">
        <v>316</v>
      </c>
      <c r="N78" s="31" t="s">
        <v>290</v>
      </c>
      <c r="O78" s="31" t="s">
        <v>0</v>
      </c>
      <c r="Q78" s="31" t="s">
        <v>255</v>
      </c>
      <c r="R78" s="31" t="s">
        <v>291</v>
      </c>
      <c r="T78" s="31" t="s">
        <v>292</v>
      </c>
      <c r="V78" s="31" t="s">
        <v>293</v>
      </c>
      <c r="X78" s="31" t="s">
        <v>294</v>
      </c>
      <c r="Y78" s="31" t="s">
        <v>295</v>
      </c>
      <c r="Z78" s="31">
        <v>303121941</v>
      </c>
      <c r="AA78" s="31" t="s">
        <v>296</v>
      </c>
      <c r="AB78" s="31" t="s">
        <v>297</v>
      </c>
      <c r="AC78" s="31" t="s">
        <v>316</v>
      </c>
      <c r="AD78" s="31" t="s">
        <v>237</v>
      </c>
      <c r="AE78" s="31" t="s">
        <v>238</v>
      </c>
      <c r="AI78" s="32">
        <v>43951</v>
      </c>
      <c r="AJ78" s="31">
        <v>200</v>
      </c>
      <c r="AK78" s="31">
        <v>400</v>
      </c>
      <c r="BG78" s="31" t="s">
        <v>28</v>
      </c>
      <c r="BI78" s="31" t="s">
        <v>279</v>
      </c>
      <c r="BK78" s="31" t="s">
        <v>50</v>
      </c>
      <c r="BL78" s="31" t="s">
        <v>242</v>
      </c>
      <c r="BM78" s="31" t="s">
        <v>243</v>
      </c>
      <c r="BN78" s="33">
        <v>43972.072624178239</v>
      </c>
      <c r="BP78" s="31" t="s">
        <v>466</v>
      </c>
      <c r="BQ78" s="31" t="s">
        <v>318</v>
      </c>
      <c r="BR78" s="31" t="s">
        <v>257</v>
      </c>
      <c r="BS78" s="31">
        <v>4.0520202017621299E+18</v>
      </c>
      <c r="BT78" s="31" t="s">
        <v>245</v>
      </c>
      <c r="BU78" s="31" t="s">
        <v>283</v>
      </c>
      <c r="BV78" s="31">
        <v>2020</v>
      </c>
      <c r="BW78" s="31" t="s">
        <v>246</v>
      </c>
      <c r="BY78" s="31">
        <v>4.0520202017622001E+18</v>
      </c>
      <c r="BZ78" s="31" t="s">
        <v>464</v>
      </c>
      <c r="CA78" s="31" t="s">
        <v>248</v>
      </c>
    </row>
    <row r="79" spans="1:79" x14ac:dyDescent="0.2">
      <c r="A79" s="31" t="s">
        <v>316</v>
      </c>
      <c r="B79" s="31" t="s">
        <v>325</v>
      </c>
      <c r="C79" s="31">
        <v>2020</v>
      </c>
      <c r="D79" s="31" t="s">
        <v>461</v>
      </c>
      <c r="E79" s="31">
        <v>2.0200520923652899E+17</v>
      </c>
      <c r="F79" s="31" t="s">
        <v>225</v>
      </c>
      <c r="G79" s="31" t="s">
        <v>467</v>
      </c>
      <c r="H79" s="31">
        <v>1407307</v>
      </c>
      <c r="J79" s="31" t="s">
        <v>227</v>
      </c>
      <c r="K79" s="31" t="s">
        <v>228</v>
      </c>
      <c r="L79" s="31" t="s">
        <v>314</v>
      </c>
      <c r="N79" s="31" t="s">
        <v>290</v>
      </c>
      <c r="O79" s="31" t="s">
        <v>254</v>
      </c>
      <c r="Q79" s="31" t="s">
        <v>255</v>
      </c>
      <c r="R79" s="31" t="s">
        <v>291</v>
      </c>
      <c r="T79" s="31" t="s">
        <v>292</v>
      </c>
      <c r="V79" s="31" t="s">
        <v>327</v>
      </c>
      <c r="X79" s="31" t="s">
        <v>294</v>
      </c>
      <c r="Y79" s="31" t="s">
        <v>295</v>
      </c>
      <c r="Z79" s="31">
        <v>30312</v>
      </c>
      <c r="AA79" s="31" t="s">
        <v>328</v>
      </c>
      <c r="AB79" s="31" t="s">
        <v>297</v>
      </c>
      <c r="AC79" s="31" t="s">
        <v>314</v>
      </c>
      <c r="AD79" s="31" t="s">
        <v>329</v>
      </c>
      <c r="AE79" s="31" t="s">
        <v>330</v>
      </c>
      <c r="AF79" s="31" t="s">
        <v>331</v>
      </c>
      <c r="AI79" s="32">
        <v>43932</v>
      </c>
      <c r="AJ79" s="31">
        <v>100</v>
      </c>
      <c r="AK79" s="31">
        <v>600</v>
      </c>
      <c r="BG79" s="31" t="s">
        <v>28</v>
      </c>
      <c r="BI79" s="31" t="s">
        <v>279</v>
      </c>
      <c r="BK79" s="31" t="s">
        <v>50</v>
      </c>
      <c r="BL79" s="31" t="s">
        <v>242</v>
      </c>
      <c r="BM79" s="31" t="s">
        <v>243</v>
      </c>
      <c r="BN79" s="33">
        <v>43979.286115601855</v>
      </c>
      <c r="BR79" s="31" t="s">
        <v>257</v>
      </c>
      <c r="BS79" s="31">
        <v>4.05212020176224E+18</v>
      </c>
      <c r="BT79" s="31" t="s">
        <v>245</v>
      </c>
      <c r="BU79" s="31" t="s">
        <v>357</v>
      </c>
      <c r="BV79" s="31">
        <v>2020</v>
      </c>
      <c r="BW79" s="31" t="s">
        <v>246</v>
      </c>
      <c r="BY79" s="31">
        <v>4.0527202017666202E+18</v>
      </c>
      <c r="BZ79" s="31" t="s">
        <v>468</v>
      </c>
      <c r="CA79" s="31" t="s">
        <v>248</v>
      </c>
    </row>
    <row r="80" spans="1:79" x14ac:dyDescent="0.2">
      <c r="A80" s="31" t="s">
        <v>316</v>
      </c>
      <c r="B80" s="31" t="s">
        <v>325</v>
      </c>
      <c r="C80" s="31">
        <v>2020</v>
      </c>
      <c r="D80" s="31" t="s">
        <v>461</v>
      </c>
      <c r="E80" s="31">
        <v>2.0200520923652899E+17</v>
      </c>
      <c r="F80" s="31" t="s">
        <v>225</v>
      </c>
      <c r="G80" s="31" t="s">
        <v>469</v>
      </c>
      <c r="H80" s="31">
        <v>1407307</v>
      </c>
      <c r="J80" s="31" t="s">
        <v>227</v>
      </c>
      <c r="K80" s="31" t="s">
        <v>228</v>
      </c>
      <c r="L80" s="31" t="s">
        <v>314</v>
      </c>
      <c r="N80" s="31" t="s">
        <v>290</v>
      </c>
      <c r="O80" s="31" t="s">
        <v>254</v>
      </c>
      <c r="Q80" s="31" t="s">
        <v>255</v>
      </c>
      <c r="R80" s="31" t="s">
        <v>291</v>
      </c>
      <c r="T80" s="31" t="s">
        <v>292</v>
      </c>
      <c r="V80" s="31" t="s">
        <v>327</v>
      </c>
      <c r="X80" s="31" t="s">
        <v>294</v>
      </c>
      <c r="Y80" s="31" t="s">
        <v>295</v>
      </c>
      <c r="Z80" s="31">
        <v>30312</v>
      </c>
      <c r="AA80" s="31" t="s">
        <v>328</v>
      </c>
      <c r="AB80" s="31" t="s">
        <v>297</v>
      </c>
      <c r="AC80" s="31" t="s">
        <v>314</v>
      </c>
      <c r="AD80" s="31" t="s">
        <v>329</v>
      </c>
      <c r="AE80" s="31" t="s">
        <v>330</v>
      </c>
      <c r="AF80" s="31" t="s">
        <v>331</v>
      </c>
      <c r="AI80" s="32">
        <v>43935</v>
      </c>
      <c r="AJ80" s="31">
        <v>100</v>
      </c>
      <c r="AK80" s="31">
        <v>600</v>
      </c>
      <c r="BG80" s="31" t="s">
        <v>28</v>
      </c>
      <c r="BI80" s="31" t="s">
        <v>279</v>
      </c>
      <c r="BK80" s="31" t="s">
        <v>50</v>
      </c>
      <c r="BL80" s="31" t="s">
        <v>242</v>
      </c>
      <c r="BM80" s="31" t="s">
        <v>243</v>
      </c>
      <c r="BN80" s="33">
        <v>43979.286115601855</v>
      </c>
      <c r="BR80" s="31" t="s">
        <v>257</v>
      </c>
      <c r="BS80" s="31">
        <v>4.05212020176224E+18</v>
      </c>
      <c r="BT80" s="31" t="s">
        <v>245</v>
      </c>
      <c r="BU80" s="31" t="s">
        <v>357</v>
      </c>
      <c r="BV80" s="31">
        <v>2020</v>
      </c>
      <c r="BW80" s="31" t="s">
        <v>246</v>
      </c>
      <c r="BY80" s="31">
        <v>4.0527202017666202E+18</v>
      </c>
      <c r="BZ80" s="31" t="s">
        <v>470</v>
      </c>
      <c r="CA80" s="31" t="s">
        <v>248</v>
      </c>
    </row>
    <row r="81" spans="1:79" x14ac:dyDescent="0.2">
      <c r="A81" s="31" t="s">
        <v>316</v>
      </c>
      <c r="B81" s="31" t="s">
        <v>325</v>
      </c>
      <c r="C81" s="31">
        <v>2020</v>
      </c>
      <c r="D81" s="31" t="s">
        <v>461</v>
      </c>
      <c r="E81" s="31">
        <v>2.0200520923652899E+17</v>
      </c>
      <c r="F81" s="31" t="s">
        <v>225</v>
      </c>
      <c r="G81" s="31" t="s">
        <v>471</v>
      </c>
      <c r="H81" s="31">
        <v>1407307</v>
      </c>
      <c r="J81" s="31" t="s">
        <v>227</v>
      </c>
      <c r="K81" s="31" t="s">
        <v>228</v>
      </c>
      <c r="L81" s="31" t="s">
        <v>314</v>
      </c>
      <c r="N81" s="31" t="s">
        <v>290</v>
      </c>
      <c r="O81" s="31" t="s">
        <v>254</v>
      </c>
      <c r="Q81" s="31" t="s">
        <v>255</v>
      </c>
      <c r="R81" s="31" t="s">
        <v>291</v>
      </c>
      <c r="T81" s="31" t="s">
        <v>292</v>
      </c>
      <c r="V81" s="31" t="s">
        <v>327</v>
      </c>
      <c r="X81" s="31" t="s">
        <v>294</v>
      </c>
      <c r="Y81" s="31" t="s">
        <v>295</v>
      </c>
      <c r="Z81" s="31">
        <v>30312</v>
      </c>
      <c r="AA81" s="31" t="s">
        <v>328</v>
      </c>
      <c r="AB81" s="31" t="s">
        <v>297</v>
      </c>
      <c r="AC81" s="31" t="s">
        <v>314</v>
      </c>
      <c r="AD81" s="31" t="s">
        <v>329</v>
      </c>
      <c r="AE81" s="31" t="s">
        <v>330</v>
      </c>
      <c r="AF81" s="31" t="s">
        <v>331</v>
      </c>
      <c r="AI81" s="32">
        <v>43935</v>
      </c>
      <c r="AJ81" s="31">
        <v>100</v>
      </c>
      <c r="AK81" s="31">
        <v>600</v>
      </c>
      <c r="BG81" s="31" t="s">
        <v>28</v>
      </c>
      <c r="BI81" s="31" t="s">
        <v>279</v>
      </c>
      <c r="BK81" s="31" t="s">
        <v>50</v>
      </c>
      <c r="BL81" s="31" t="s">
        <v>242</v>
      </c>
      <c r="BM81" s="31" t="s">
        <v>243</v>
      </c>
      <c r="BN81" s="33">
        <v>43979.286115601855</v>
      </c>
      <c r="BR81" s="31" t="s">
        <v>257</v>
      </c>
      <c r="BS81" s="31">
        <v>4.05212020176224E+18</v>
      </c>
      <c r="BT81" s="31" t="s">
        <v>245</v>
      </c>
      <c r="BU81" s="31" t="s">
        <v>357</v>
      </c>
      <c r="BV81" s="31">
        <v>2020</v>
      </c>
      <c r="BW81" s="31" t="s">
        <v>246</v>
      </c>
      <c r="BY81" s="31">
        <v>4.0527202017666202E+18</v>
      </c>
      <c r="BZ81" s="31" t="s">
        <v>472</v>
      </c>
      <c r="CA81" s="31" t="s">
        <v>248</v>
      </c>
    </row>
    <row r="82" spans="1:79" x14ac:dyDescent="0.2">
      <c r="A82" s="31" t="s">
        <v>316</v>
      </c>
      <c r="B82" s="31" t="s">
        <v>325</v>
      </c>
      <c r="C82" s="31">
        <v>2020</v>
      </c>
      <c r="D82" s="31" t="s">
        <v>461</v>
      </c>
      <c r="E82" s="31">
        <v>2.0200520923652899E+17</v>
      </c>
      <c r="F82" s="31" t="s">
        <v>225</v>
      </c>
      <c r="G82" s="31" t="s">
        <v>473</v>
      </c>
      <c r="H82" s="31">
        <v>1407307</v>
      </c>
      <c r="J82" s="31" t="s">
        <v>227</v>
      </c>
      <c r="K82" s="31" t="s">
        <v>228</v>
      </c>
      <c r="N82" s="31" t="s">
        <v>290</v>
      </c>
      <c r="O82" s="31" t="s">
        <v>254</v>
      </c>
      <c r="Q82" s="31" t="s">
        <v>255</v>
      </c>
      <c r="R82" s="31" t="s">
        <v>291</v>
      </c>
      <c r="T82" s="31" t="s">
        <v>292</v>
      </c>
      <c r="V82" s="31" t="s">
        <v>327</v>
      </c>
      <c r="X82" s="31" t="s">
        <v>294</v>
      </c>
      <c r="Y82" s="31" t="s">
        <v>295</v>
      </c>
      <c r="Z82" s="31">
        <v>30312</v>
      </c>
      <c r="AA82" s="31" t="s">
        <v>328</v>
      </c>
      <c r="AB82" s="31" t="s">
        <v>297</v>
      </c>
      <c r="AD82" s="31">
        <v>15</v>
      </c>
      <c r="AE82" s="31" t="s">
        <v>298</v>
      </c>
      <c r="AF82" s="31" t="s">
        <v>336</v>
      </c>
      <c r="AI82" s="32">
        <v>43940</v>
      </c>
      <c r="AJ82" s="31">
        <v>20</v>
      </c>
      <c r="AK82" s="31">
        <v>386.9</v>
      </c>
      <c r="BG82" s="31" t="s">
        <v>28</v>
      </c>
      <c r="BI82" s="31" t="s">
        <v>279</v>
      </c>
      <c r="BK82" s="31" t="s">
        <v>50</v>
      </c>
      <c r="BL82" s="31" t="s">
        <v>242</v>
      </c>
      <c r="BM82" s="31" t="s">
        <v>243</v>
      </c>
      <c r="BN82" s="33">
        <v>43979.286115636576</v>
      </c>
      <c r="BR82" s="31" t="s">
        <v>257</v>
      </c>
      <c r="BS82" s="31">
        <v>4.05212020176224E+18</v>
      </c>
      <c r="BT82" s="31" t="s">
        <v>245</v>
      </c>
      <c r="BU82" s="31" t="s">
        <v>337</v>
      </c>
      <c r="BV82" s="31">
        <v>2020</v>
      </c>
      <c r="BW82" s="31" t="s">
        <v>246</v>
      </c>
      <c r="BY82" s="31">
        <v>4.0527202017666202E+18</v>
      </c>
      <c r="BZ82" s="31" t="s">
        <v>474</v>
      </c>
      <c r="CA82" s="31" t="s">
        <v>248</v>
      </c>
    </row>
    <row r="83" spans="1:79" x14ac:dyDescent="0.2">
      <c r="A83" s="31" t="s">
        <v>316</v>
      </c>
      <c r="B83" s="31" t="s">
        <v>325</v>
      </c>
      <c r="C83" s="31">
        <v>2020</v>
      </c>
      <c r="D83" s="31" t="s">
        <v>461</v>
      </c>
      <c r="E83" s="31">
        <v>2.0200520923652899E+17</v>
      </c>
      <c r="F83" s="31" t="s">
        <v>225</v>
      </c>
      <c r="G83" s="31" t="s">
        <v>475</v>
      </c>
      <c r="H83" s="31">
        <v>1407307</v>
      </c>
      <c r="J83" s="31" t="s">
        <v>227</v>
      </c>
      <c r="K83" s="31" t="s">
        <v>228</v>
      </c>
      <c r="L83" s="31" t="s">
        <v>404</v>
      </c>
      <c r="N83" s="31" t="s">
        <v>290</v>
      </c>
      <c r="O83" s="31" t="s">
        <v>254</v>
      </c>
      <c r="Q83" s="31" t="s">
        <v>255</v>
      </c>
      <c r="R83" s="31" t="s">
        <v>291</v>
      </c>
      <c r="T83" s="31" t="s">
        <v>292</v>
      </c>
      <c r="V83" s="31" t="s">
        <v>327</v>
      </c>
      <c r="X83" s="31" t="s">
        <v>294</v>
      </c>
      <c r="Y83" s="31" t="s">
        <v>295</v>
      </c>
      <c r="Z83" s="31">
        <v>30312</v>
      </c>
      <c r="AA83" s="31" t="s">
        <v>328</v>
      </c>
      <c r="AB83" s="31" t="s">
        <v>297</v>
      </c>
      <c r="AC83" s="31" t="s">
        <v>404</v>
      </c>
      <c r="AD83" s="31" t="s">
        <v>329</v>
      </c>
      <c r="AE83" s="31" t="s">
        <v>330</v>
      </c>
      <c r="AF83" s="31" t="s">
        <v>331</v>
      </c>
      <c r="AI83" s="32">
        <v>43951</v>
      </c>
      <c r="AJ83" s="31">
        <v>100</v>
      </c>
      <c r="AK83" s="31">
        <v>1700</v>
      </c>
      <c r="AL83" s="31" t="s">
        <v>405</v>
      </c>
      <c r="BG83" s="31" t="s">
        <v>28</v>
      </c>
      <c r="BI83" s="31" t="s">
        <v>279</v>
      </c>
      <c r="BK83" s="31" t="s">
        <v>50</v>
      </c>
      <c r="BL83" s="31" t="s">
        <v>242</v>
      </c>
      <c r="BM83" s="31" t="s">
        <v>243</v>
      </c>
      <c r="BN83" s="33">
        <v>43979.286115636576</v>
      </c>
      <c r="BR83" s="31" t="s">
        <v>257</v>
      </c>
      <c r="BS83" s="31">
        <v>4.05212020176224E+18</v>
      </c>
      <c r="BT83" s="31" t="s">
        <v>245</v>
      </c>
      <c r="BU83" s="31" t="s">
        <v>385</v>
      </c>
      <c r="BV83" s="31">
        <v>2020</v>
      </c>
      <c r="BW83" s="31" t="s">
        <v>246</v>
      </c>
      <c r="BY83" s="31">
        <v>4.0527202017666202E+18</v>
      </c>
      <c r="BZ83" s="31" t="s">
        <v>476</v>
      </c>
      <c r="CA83" s="31" t="s">
        <v>248</v>
      </c>
    </row>
    <row r="84" spans="1:79" x14ac:dyDescent="0.2">
      <c r="A84" s="31" t="s">
        <v>316</v>
      </c>
      <c r="B84" s="31" t="s">
        <v>325</v>
      </c>
      <c r="C84" s="31">
        <v>2020</v>
      </c>
      <c r="D84" s="31" t="s">
        <v>461</v>
      </c>
      <c r="E84" s="31">
        <v>2.0200520923652899E+17</v>
      </c>
      <c r="F84" s="31" t="s">
        <v>225</v>
      </c>
      <c r="G84" s="31" t="s">
        <v>477</v>
      </c>
      <c r="H84" s="31">
        <v>1407307</v>
      </c>
      <c r="J84" s="31" t="s">
        <v>227</v>
      </c>
      <c r="K84" s="31" t="s">
        <v>228</v>
      </c>
      <c r="N84" s="31" t="s">
        <v>290</v>
      </c>
      <c r="O84" s="31" t="s">
        <v>254</v>
      </c>
      <c r="Q84" s="31" t="s">
        <v>255</v>
      </c>
      <c r="R84" s="31" t="s">
        <v>291</v>
      </c>
      <c r="T84" s="31" t="s">
        <v>292</v>
      </c>
      <c r="V84" s="31" t="s">
        <v>327</v>
      </c>
      <c r="X84" s="31" t="s">
        <v>294</v>
      </c>
      <c r="Y84" s="31" t="s">
        <v>295</v>
      </c>
      <c r="Z84" s="31">
        <v>30312</v>
      </c>
      <c r="AA84" s="31" t="s">
        <v>328</v>
      </c>
      <c r="AB84" s="31" t="s">
        <v>297</v>
      </c>
      <c r="AD84" s="31">
        <v>15</v>
      </c>
      <c r="AE84" s="31" t="s">
        <v>298</v>
      </c>
      <c r="AF84" s="31" t="s">
        <v>336</v>
      </c>
      <c r="AI84" s="32">
        <v>43932</v>
      </c>
      <c r="AJ84" s="31">
        <v>10</v>
      </c>
      <c r="AK84" s="31">
        <v>386.9</v>
      </c>
      <c r="BG84" s="31" t="s">
        <v>28</v>
      </c>
      <c r="BI84" s="31" t="s">
        <v>279</v>
      </c>
      <c r="BK84" s="31" t="s">
        <v>50</v>
      </c>
      <c r="BL84" s="31" t="s">
        <v>242</v>
      </c>
      <c r="BM84" s="31" t="s">
        <v>243</v>
      </c>
      <c r="BN84" s="33">
        <v>43979.290189444444</v>
      </c>
      <c r="BR84" s="31" t="s">
        <v>257</v>
      </c>
      <c r="BS84" s="31">
        <v>4.05212020176224E+18</v>
      </c>
      <c r="BT84" s="31" t="s">
        <v>245</v>
      </c>
      <c r="BU84" s="31" t="s">
        <v>337</v>
      </c>
      <c r="BV84" s="31">
        <v>2020</v>
      </c>
      <c r="BW84" s="31" t="s">
        <v>246</v>
      </c>
      <c r="BY84" s="31">
        <v>4.0527202017666202E+18</v>
      </c>
      <c r="BZ84" s="31" t="s">
        <v>468</v>
      </c>
      <c r="CA84" s="31" t="s">
        <v>248</v>
      </c>
    </row>
    <row r="85" spans="1:79" x14ac:dyDescent="0.2">
      <c r="A85" s="31" t="s">
        <v>316</v>
      </c>
      <c r="B85" s="31" t="s">
        <v>325</v>
      </c>
      <c r="C85" s="31">
        <v>2020</v>
      </c>
      <c r="D85" s="31" t="s">
        <v>461</v>
      </c>
      <c r="E85" s="31">
        <v>2.0200520923652899E+17</v>
      </c>
      <c r="F85" s="31" t="s">
        <v>225</v>
      </c>
      <c r="G85" s="31" t="s">
        <v>478</v>
      </c>
      <c r="H85" s="31">
        <v>1407307</v>
      </c>
      <c r="J85" s="31" t="s">
        <v>227</v>
      </c>
      <c r="K85" s="31" t="s">
        <v>228</v>
      </c>
      <c r="N85" s="31" t="s">
        <v>290</v>
      </c>
      <c r="O85" s="31" t="s">
        <v>254</v>
      </c>
      <c r="Q85" s="31" t="s">
        <v>255</v>
      </c>
      <c r="R85" s="31" t="s">
        <v>291</v>
      </c>
      <c r="T85" s="31" t="s">
        <v>292</v>
      </c>
      <c r="V85" s="31" t="s">
        <v>327</v>
      </c>
      <c r="X85" s="31" t="s">
        <v>294</v>
      </c>
      <c r="Y85" s="31" t="s">
        <v>295</v>
      </c>
      <c r="Z85" s="31">
        <v>30312</v>
      </c>
      <c r="AA85" s="31" t="s">
        <v>328</v>
      </c>
      <c r="AB85" s="31" t="s">
        <v>297</v>
      </c>
      <c r="AD85" s="31">
        <v>15</v>
      </c>
      <c r="AE85" s="31" t="s">
        <v>298</v>
      </c>
      <c r="AF85" s="31" t="s">
        <v>336</v>
      </c>
      <c r="AI85" s="32">
        <v>43935</v>
      </c>
      <c r="AJ85" s="31">
        <v>10</v>
      </c>
      <c r="AK85" s="31">
        <v>386.9</v>
      </c>
      <c r="BG85" s="31" t="s">
        <v>28</v>
      </c>
      <c r="BI85" s="31" t="s">
        <v>279</v>
      </c>
      <c r="BK85" s="31" t="s">
        <v>50</v>
      </c>
      <c r="BL85" s="31" t="s">
        <v>242</v>
      </c>
      <c r="BM85" s="31" t="s">
        <v>243</v>
      </c>
      <c r="BN85" s="33">
        <v>43979.290189467596</v>
      </c>
      <c r="BR85" s="31" t="s">
        <v>257</v>
      </c>
      <c r="BS85" s="31">
        <v>4.05212020176224E+18</v>
      </c>
      <c r="BT85" s="31" t="s">
        <v>245</v>
      </c>
      <c r="BU85" s="31" t="s">
        <v>337</v>
      </c>
      <c r="BV85" s="31">
        <v>2020</v>
      </c>
      <c r="BW85" s="31" t="s">
        <v>246</v>
      </c>
      <c r="BY85" s="31">
        <v>4.0527202017666202E+18</v>
      </c>
      <c r="BZ85" s="31" t="s">
        <v>470</v>
      </c>
      <c r="CA85" s="31" t="s">
        <v>248</v>
      </c>
    </row>
    <row r="86" spans="1:79" x14ac:dyDescent="0.2">
      <c r="A86" s="31" t="s">
        <v>316</v>
      </c>
      <c r="B86" s="31" t="s">
        <v>325</v>
      </c>
      <c r="C86" s="31">
        <v>2020</v>
      </c>
      <c r="D86" s="31" t="s">
        <v>461</v>
      </c>
      <c r="E86" s="31">
        <v>2.0200520923652899E+17</v>
      </c>
      <c r="F86" s="31" t="s">
        <v>225</v>
      </c>
      <c r="G86" s="31" t="s">
        <v>479</v>
      </c>
      <c r="H86" s="31">
        <v>1407307</v>
      </c>
      <c r="J86" s="31" t="s">
        <v>227</v>
      </c>
      <c r="K86" s="31" t="s">
        <v>228</v>
      </c>
      <c r="N86" s="31" t="s">
        <v>290</v>
      </c>
      <c r="O86" s="31" t="s">
        <v>254</v>
      </c>
      <c r="Q86" s="31" t="s">
        <v>255</v>
      </c>
      <c r="R86" s="31" t="s">
        <v>291</v>
      </c>
      <c r="T86" s="31" t="s">
        <v>292</v>
      </c>
      <c r="V86" s="31" t="s">
        <v>327</v>
      </c>
      <c r="X86" s="31" t="s">
        <v>294</v>
      </c>
      <c r="Y86" s="31" t="s">
        <v>295</v>
      </c>
      <c r="Z86" s="31">
        <v>30312</v>
      </c>
      <c r="AA86" s="31" t="s">
        <v>328</v>
      </c>
      <c r="AB86" s="31" t="s">
        <v>297</v>
      </c>
      <c r="AD86" s="31">
        <v>15</v>
      </c>
      <c r="AE86" s="31" t="s">
        <v>298</v>
      </c>
      <c r="AF86" s="31" t="s">
        <v>336</v>
      </c>
      <c r="AI86" s="32">
        <v>43935</v>
      </c>
      <c r="AJ86" s="31">
        <v>10</v>
      </c>
      <c r="AK86" s="31">
        <v>386.9</v>
      </c>
      <c r="BG86" s="31" t="s">
        <v>28</v>
      </c>
      <c r="BI86" s="31" t="s">
        <v>279</v>
      </c>
      <c r="BK86" s="31" t="s">
        <v>50</v>
      </c>
      <c r="BL86" s="31" t="s">
        <v>242</v>
      </c>
      <c r="BM86" s="31" t="s">
        <v>243</v>
      </c>
      <c r="BN86" s="33">
        <v>43979.301532164354</v>
      </c>
      <c r="BR86" s="31" t="s">
        <v>257</v>
      </c>
      <c r="BS86" s="31">
        <v>4.05212020176224E+18</v>
      </c>
      <c r="BT86" s="31" t="s">
        <v>245</v>
      </c>
      <c r="BU86" s="31" t="s">
        <v>337</v>
      </c>
      <c r="BV86" s="31">
        <v>2020</v>
      </c>
      <c r="BW86" s="31" t="s">
        <v>246</v>
      </c>
      <c r="BY86" s="31">
        <v>4.0527202017666202E+18</v>
      </c>
      <c r="BZ86" s="31" t="s">
        <v>470</v>
      </c>
      <c r="CA86" s="31" t="s">
        <v>248</v>
      </c>
    </row>
    <row r="87" spans="1:79" x14ac:dyDescent="0.2">
      <c r="A87" s="31" t="s">
        <v>316</v>
      </c>
      <c r="B87" s="31" t="s">
        <v>325</v>
      </c>
      <c r="C87" s="31">
        <v>2020</v>
      </c>
      <c r="D87" s="31" t="s">
        <v>461</v>
      </c>
      <c r="E87" s="31">
        <v>2.0200520923652899E+17</v>
      </c>
      <c r="F87" s="31" t="s">
        <v>225</v>
      </c>
      <c r="G87" s="31" t="s">
        <v>480</v>
      </c>
      <c r="H87" s="31">
        <v>1407307</v>
      </c>
      <c r="J87" s="31" t="s">
        <v>227</v>
      </c>
      <c r="K87" s="31" t="s">
        <v>228</v>
      </c>
      <c r="N87" s="31" t="s">
        <v>290</v>
      </c>
      <c r="O87" s="31" t="s">
        <v>254</v>
      </c>
      <c r="Q87" s="31" t="s">
        <v>255</v>
      </c>
      <c r="R87" s="31" t="s">
        <v>291</v>
      </c>
      <c r="T87" s="31" t="s">
        <v>292</v>
      </c>
      <c r="V87" s="31" t="s">
        <v>327</v>
      </c>
      <c r="X87" s="31" t="s">
        <v>294</v>
      </c>
      <c r="Y87" s="31" t="s">
        <v>295</v>
      </c>
      <c r="Z87" s="31">
        <v>30312</v>
      </c>
      <c r="AA87" s="31" t="s">
        <v>328</v>
      </c>
      <c r="AB87" s="31" t="s">
        <v>297</v>
      </c>
      <c r="AD87" s="31">
        <v>15</v>
      </c>
      <c r="AE87" s="31" t="s">
        <v>298</v>
      </c>
      <c r="AF87" s="31" t="s">
        <v>336</v>
      </c>
      <c r="AI87" s="32">
        <v>43951</v>
      </c>
      <c r="AJ87" s="31">
        <v>15</v>
      </c>
      <c r="AK87" s="31">
        <v>386.9</v>
      </c>
      <c r="BG87" s="31" t="s">
        <v>28</v>
      </c>
      <c r="BI87" s="31" t="s">
        <v>279</v>
      </c>
      <c r="BK87" s="31" t="s">
        <v>50</v>
      </c>
      <c r="BL87" s="31" t="s">
        <v>242</v>
      </c>
      <c r="BM87" s="31" t="s">
        <v>243</v>
      </c>
      <c r="BN87" s="33">
        <v>43979.301532164354</v>
      </c>
      <c r="BR87" s="31" t="s">
        <v>257</v>
      </c>
      <c r="BS87" s="31">
        <v>4.05212020176224E+18</v>
      </c>
      <c r="BT87" s="31" t="s">
        <v>245</v>
      </c>
      <c r="BU87" s="31" t="s">
        <v>337</v>
      </c>
      <c r="BV87" s="31">
        <v>2020</v>
      </c>
      <c r="BW87" s="31" t="s">
        <v>246</v>
      </c>
      <c r="BY87" s="31">
        <v>4.0527202017666202E+18</v>
      </c>
      <c r="BZ87" s="31" t="s">
        <v>481</v>
      </c>
      <c r="CA87" s="31" t="s">
        <v>248</v>
      </c>
    </row>
    <row r="88" spans="1:79" x14ac:dyDescent="0.2">
      <c r="A88" s="31" t="s">
        <v>316</v>
      </c>
      <c r="B88" s="31" t="s">
        <v>325</v>
      </c>
      <c r="C88" s="31">
        <v>2020</v>
      </c>
      <c r="D88" s="31" t="s">
        <v>461</v>
      </c>
      <c r="E88" s="31">
        <v>2.0200520923652899E+17</v>
      </c>
      <c r="F88" s="31" t="s">
        <v>225</v>
      </c>
      <c r="G88" s="31" t="s">
        <v>482</v>
      </c>
      <c r="H88" s="31">
        <v>1407307</v>
      </c>
      <c r="J88" s="31" t="s">
        <v>227</v>
      </c>
      <c r="K88" s="31" t="s">
        <v>228</v>
      </c>
      <c r="L88" s="31" t="s">
        <v>266</v>
      </c>
      <c r="N88" s="31" t="s">
        <v>290</v>
      </c>
      <c r="O88" s="31" t="s">
        <v>254</v>
      </c>
      <c r="Q88" s="31" t="s">
        <v>255</v>
      </c>
      <c r="R88" s="31" t="s">
        <v>291</v>
      </c>
      <c r="T88" s="31" t="s">
        <v>292</v>
      </c>
      <c r="V88" s="31" t="s">
        <v>327</v>
      </c>
      <c r="X88" s="31" t="s">
        <v>294</v>
      </c>
      <c r="Y88" s="31" t="s">
        <v>295</v>
      </c>
      <c r="Z88" s="31">
        <v>30312</v>
      </c>
      <c r="AA88" s="31" t="s">
        <v>328</v>
      </c>
      <c r="AB88" s="31" t="s">
        <v>297</v>
      </c>
      <c r="AC88" s="31" t="s">
        <v>266</v>
      </c>
      <c r="AD88" s="31" t="s">
        <v>329</v>
      </c>
      <c r="AE88" s="31" t="s">
        <v>330</v>
      </c>
      <c r="AF88" s="31" t="s">
        <v>331</v>
      </c>
      <c r="AI88" s="32">
        <v>43951</v>
      </c>
      <c r="AJ88" s="31">
        <v>150</v>
      </c>
      <c r="AK88" s="31">
        <v>5159</v>
      </c>
      <c r="AL88" s="31" t="s">
        <v>445</v>
      </c>
      <c r="BG88" s="31" t="s">
        <v>28</v>
      </c>
      <c r="BI88" s="31" t="s">
        <v>279</v>
      </c>
      <c r="BK88" s="31" t="s">
        <v>50</v>
      </c>
      <c r="BL88" s="31" t="s">
        <v>242</v>
      </c>
      <c r="BM88" s="31" t="s">
        <v>243</v>
      </c>
      <c r="BN88" s="33">
        <v>43979.303817708336</v>
      </c>
      <c r="BR88" s="31" t="s">
        <v>257</v>
      </c>
      <c r="BS88" s="31">
        <v>4.05212020176224E+18</v>
      </c>
      <c r="BT88" s="31" t="s">
        <v>245</v>
      </c>
      <c r="BU88" s="31" t="s">
        <v>446</v>
      </c>
      <c r="BV88" s="31">
        <v>2020</v>
      </c>
      <c r="BW88" s="31" t="s">
        <v>246</v>
      </c>
      <c r="BY88" s="31">
        <v>4.0527202017666202E+18</v>
      </c>
      <c r="BZ88" s="31" t="s">
        <v>483</v>
      </c>
      <c r="CA88" s="31" t="s">
        <v>248</v>
      </c>
    </row>
    <row r="89" spans="1:79" x14ac:dyDescent="0.2">
      <c r="A89" s="31" t="s">
        <v>316</v>
      </c>
      <c r="B89" s="31" t="s">
        <v>325</v>
      </c>
      <c r="C89" s="31">
        <v>2020</v>
      </c>
      <c r="D89" s="31" t="s">
        <v>461</v>
      </c>
      <c r="E89" s="31">
        <v>2.0200520923652899E+17</v>
      </c>
      <c r="F89" s="31" t="s">
        <v>225</v>
      </c>
      <c r="G89" s="31" t="s">
        <v>484</v>
      </c>
      <c r="H89" s="31">
        <v>1407307</v>
      </c>
      <c r="J89" s="31" t="s">
        <v>227</v>
      </c>
      <c r="K89" s="31" t="s">
        <v>228</v>
      </c>
      <c r="N89" s="31" t="s">
        <v>290</v>
      </c>
      <c r="O89" s="31" t="s">
        <v>254</v>
      </c>
      <c r="Q89" s="31" t="s">
        <v>255</v>
      </c>
      <c r="R89" s="31" t="s">
        <v>291</v>
      </c>
      <c r="T89" s="31" t="s">
        <v>292</v>
      </c>
      <c r="V89" s="31" t="s">
        <v>327</v>
      </c>
      <c r="X89" s="31" t="s">
        <v>294</v>
      </c>
      <c r="Y89" s="31" t="s">
        <v>295</v>
      </c>
      <c r="Z89" s="31">
        <v>30312</v>
      </c>
      <c r="AA89" s="31" t="s">
        <v>328</v>
      </c>
      <c r="AB89" s="31" t="s">
        <v>297</v>
      </c>
      <c r="AD89" s="31">
        <v>15</v>
      </c>
      <c r="AE89" s="31" t="s">
        <v>298</v>
      </c>
      <c r="AF89" s="31" t="s">
        <v>336</v>
      </c>
      <c r="AI89" s="32">
        <v>43947</v>
      </c>
      <c r="AJ89" s="31">
        <v>10</v>
      </c>
      <c r="AK89" s="31">
        <v>386.9</v>
      </c>
      <c r="BG89" s="31" t="s">
        <v>28</v>
      </c>
      <c r="BI89" s="31" t="s">
        <v>279</v>
      </c>
      <c r="BK89" s="31" t="s">
        <v>50</v>
      </c>
      <c r="BL89" s="31" t="s">
        <v>242</v>
      </c>
      <c r="BM89" s="31" t="s">
        <v>243</v>
      </c>
      <c r="BN89" s="33">
        <v>43979.319900567127</v>
      </c>
      <c r="BR89" s="31" t="s">
        <v>257</v>
      </c>
      <c r="BS89" s="31">
        <v>4.05212020176224E+18</v>
      </c>
      <c r="BT89" s="31" t="s">
        <v>245</v>
      </c>
      <c r="BU89" s="31" t="s">
        <v>337</v>
      </c>
      <c r="BV89" s="31">
        <v>2020</v>
      </c>
      <c r="BW89" s="31" t="s">
        <v>246</v>
      </c>
      <c r="BY89" s="31">
        <v>4.0527202017666202E+18</v>
      </c>
      <c r="BZ89" s="31" t="s">
        <v>474</v>
      </c>
      <c r="CA89" s="31" t="s">
        <v>248</v>
      </c>
    </row>
    <row r="90" spans="1:79" x14ac:dyDescent="0.2">
      <c r="A90" s="31" t="s">
        <v>316</v>
      </c>
      <c r="B90" s="31" t="s">
        <v>325</v>
      </c>
      <c r="C90" s="31">
        <v>2020</v>
      </c>
      <c r="D90" s="31" t="s">
        <v>461</v>
      </c>
      <c r="E90" s="31">
        <v>2.0200520923652899E+17</v>
      </c>
      <c r="F90" s="31" t="s">
        <v>225</v>
      </c>
      <c r="G90" s="31" t="s">
        <v>485</v>
      </c>
      <c r="H90" s="31">
        <v>1407307</v>
      </c>
      <c r="J90" s="31" t="s">
        <v>227</v>
      </c>
      <c r="K90" s="31" t="s">
        <v>228</v>
      </c>
      <c r="N90" s="31" t="s">
        <v>290</v>
      </c>
      <c r="O90" s="31" t="s">
        <v>254</v>
      </c>
      <c r="Q90" s="31" t="s">
        <v>255</v>
      </c>
      <c r="R90" s="31" t="s">
        <v>291</v>
      </c>
      <c r="T90" s="31" t="s">
        <v>292</v>
      </c>
      <c r="V90" s="31" t="s">
        <v>327</v>
      </c>
      <c r="X90" s="31" t="s">
        <v>294</v>
      </c>
      <c r="Y90" s="31" t="s">
        <v>295</v>
      </c>
      <c r="Z90" s="31">
        <v>30312</v>
      </c>
      <c r="AA90" s="31" t="s">
        <v>328</v>
      </c>
      <c r="AB90" s="31" t="s">
        <v>297</v>
      </c>
      <c r="AD90" s="31">
        <v>15</v>
      </c>
      <c r="AE90" s="31" t="s">
        <v>298</v>
      </c>
      <c r="AF90" s="31" t="s">
        <v>336</v>
      </c>
      <c r="AI90" s="32">
        <v>43938</v>
      </c>
      <c r="AJ90" s="31">
        <v>25</v>
      </c>
      <c r="AK90" s="31">
        <v>386.9</v>
      </c>
      <c r="BG90" s="31" t="s">
        <v>28</v>
      </c>
      <c r="BI90" s="31" t="s">
        <v>279</v>
      </c>
      <c r="BK90" s="31" t="s">
        <v>50</v>
      </c>
      <c r="BL90" s="31" t="s">
        <v>242</v>
      </c>
      <c r="BM90" s="31" t="s">
        <v>243</v>
      </c>
      <c r="BN90" s="33">
        <v>43979.329015497686</v>
      </c>
      <c r="BR90" s="31" t="s">
        <v>257</v>
      </c>
      <c r="BS90" s="31">
        <v>4.05212020176224E+18</v>
      </c>
      <c r="BT90" s="31" t="s">
        <v>245</v>
      </c>
      <c r="BU90" s="31" t="s">
        <v>337</v>
      </c>
      <c r="BV90" s="31">
        <v>2020</v>
      </c>
      <c r="BW90" s="31" t="s">
        <v>246</v>
      </c>
      <c r="BY90" s="31">
        <v>4.0527202017666202E+18</v>
      </c>
      <c r="BZ90" s="31" t="s">
        <v>472</v>
      </c>
      <c r="CA90" s="31" t="s">
        <v>248</v>
      </c>
    </row>
    <row r="91" spans="1:79" x14ac:dyDescent="0.2">
      <c r="A91" s="31" t="s">
        <v>316</v>
      </c>
      <c r="B91" s="31" t="s">
        <v>325</v>
      </c>
      <c r="C91" s="31">
        <v>2020</v>
      </c>
      <c r="D91" s="31" t="s">
        <v>461</v>
      </c>
      <c r="E91" s="31">
        <v>2.0200520923652899E+17</v>
      </c>
      <c r="F91" s="31" t="s">
        <v>225</v>
      </c>
      <c r="G91" s="31" t="s">
        <v>486</v>
      </c>
      <c r="H91" s="31">
        <v>1407307</v>
      </c>
      <c r="J91" s="31" t="s">
        <v>227</v>
      </c>
      <c r="K91" s="31" t="s">
        <v>228</v>
      </c>
      <c r="N91" s="31" t="s">
        <v>290</v>
      </c>
      <c r="O91" s="31" t="s">
        <v>254</v>
      </c>
      <c r="Q91" s="31" t="s">
        <v>255</v>
      </c>
      <c r="R91" s="31" t="s">
        <v>291</v>
      </c>
      <c r="T91" s="31" t="s">
        <v>292</v>
      </c>
      <c r="V91" s="31" t="s">
        <v>327</v>
      </c>
      <c r="X91" s="31" t="s">
        <v>294</v>
      </c>
      <c r="Y91" s="31" t="s">
        <v>295</v>
      </c>
      <c r="Z91" s="31">
        <v>30312</v>
      </c>
      <c r="AA91" s="31" t="s">
        <v>328</v>
      </c>
      <c r="AB91" s="31" t="s">
        <v>297</v>
      </c>
      <c r="AD91" s="31">
        <v>15</v>
      </c>
      <c r="AE91" s="31" t="s">
        <v>298</v>
      </c>
      <c r="AF91" s="31" t="s">
        <v>336</v>
      </c>
      <c r="AI91" s="32">
        <v>43951</v>
      </c>
      <c r="AJ91" s="31">
        <v>20</v>
      </c>
      <c r="AK91" s="31">
        <v>386.9</v>
      </c>
      <c r="BG91" s="31" t="s">
        <v>28</v>
      </c>
      <c r="BI91" s="31" t="s">
        <v>279</v>
      </c>
      <c r="BK91" s="31" t="s">
        <v>50</v>
      </c>
      <c r="BL91" s="31" t="s">
        <v>242</v>
      </c>
      <c r="BM91" s="31" t="s">
        <v>243</v>
      </c>
      <c r="BN91" s="33">
        <v>43979.329015497686</v>
      </c>
      <c r="BR91" s="31" t="s">
        <v>257</v>
      </c>
      <c r="BS91" s="31">
        <v>4.05212020176224E+18</v>
      </c>
      <c r="BT91" s="31" t="s">
        <v>245</v>
      </c>
      <c r="BU91" s="31" t="s">
        <v>337</v>
      </c>
      <c r="BV91" s="31">
        <v>2020</v>
      </c>
      <c r="BW91" s="31" t="s">
        <v>246</v>
      </c>
      <c r="BY91" s="31">
        <v>4.0527202017666202E+18</v>
      </c>
      <c r="BZ91" s="31" t="s">
        <v>481</v>
      </c>
      <c r="CA91" s="31" t="s">
        <v>248</v>
      </c>
    </row>
    <row r="92" spans="1:79" x14ac:dyDescent="0.2">
      <c r="A92" s="31" t="s">
        <v>316</v>
      </c>
      <c r="B92" s="31" t="s">
        <v>325</v>
      </c>
      <c r="C92" s="31">
        <v>2020</v>
      </c>
      <c r="D92" s="31" t="s">
        <v>461</v>
      </c>
      <c r="E92" s="31">
        <v>2.0200520923652899E+17</v>
      </c>
      <c r="F92" s="31" t="s">
        <v>225</v>
      </c>
      <c r="G92" s="31" t="s">
        <v>487</v>
      </c>
      <c r="H92" s="31">
        <v>1407307</v>
      </c>
      <c r="J92" s="31" t="s">
        <v>227</v>
      </c>
      <c r="K92" s="31" t="s">
        <v>228</v>
      </c>
      <c r="L92" s="31" t="s">
        <v>314</v>
      </c>
      <c r="N92" s="31" t="s">
        <v>290</v>
      </c>
      <c r="O92" s="31" t="s">
        <v>254</v>
      </c>
      <c r="Q92" s="31" t="s">
        <v>255</v>
      </c>
      <c r="R92" s="31" t="s">
        <v>291</v>
      </c>
      <c r="T92" s="31" t="s">
        <v>292</v>
      </c>
      <c r="V92" s="31" t="s">
        <v>327</v>
      </c>
      <c r="X92" s="31" t="s">
        <v>294</v>
      </c>
      <c r="Y92" s="31" t="s">
        <v>295</v>
      </c>
      <c r="Z92" s="31">
        <v>30312</v>
      </c>
      <c r="AA92" s="31" t="s">
        <v>328</v>
      </c>
      <c r="AB92" s="31" t="s">
        <v>297</v>
      </c>
      <c r="AC92" s="31" t="s">
        <v>314</v>
      </c>
      <c r="AD92" s="31" t="s">
        <v>329</v>
      </c>
      <c r="AE92" s="31" t="s">
        <v>330</v>
      </c>
      <c r="AF92" s="31" t="s">
        <v>331</v>
      </c>
      <c r="AI92" s="32">
        <v>43947</v>
      </c>
      <c r="AJ92" s="31">
        <v>100</v>
      </c>
      <c r="AK92" s="31">
        <v>600</v>
      </c>
      <c r="BG92" s="31" t="s">
        <v>28</v>
      </c>
      <c r="BI92" s="31" t="s">
        <v>279</v>
      </c>
      <c r="BK92" s="31" t="s">
        <v>50</v>
      </c>
      <c r="BL92" s="31" t="s">
        <v>242</v>
      </c>
      <c r="BM92" s="31" t="s">
        <v>243</v>
      </c>
      <c r="BN92" s="33">
        <v>43979.333341365738</v>
      </c>
      <c r="BR92" s="31" t="s">
        <v>257</v>
      </c>
      <c r="BS92" s="31">
        <v>4.05212020176224E+18</v>
      </c>
      <c r="BT92" s="31" t="s">
        <v>245</v>
      </c>
      <c r="BU92" s="31" t="s">
        <v>357</v>
      </c>
      <c r="BV92" s="31">
        <v>2020</v>
      </c>
      <c r="BW92" s="31" t="s">
        <v>246</v>
      </c>
      <c r="BY92" s="31">
        <v>4.0527202017666202E+18</v>
      </c>
      <c r="BZ92" s="31" t="s">
        <v>476</v>
      </c>
      <c r="CA92" s="31" t="s">
        <v>248</v>
      </c>
    </row>
    <row r="93" spans="1:79" x14ac:dyDescent="0.2">
      <c r="A93" s="31" t="s">
        <v>316</v>
      </c>
      <c r="B93" s="31" t="s">
        <v>325</v>
      </c>
      <c r="C93" s="31">
        <v>2020</v>
      </c>
      <c r="D93" s="31" t="s">
        <v>461</v>
      </c>
      <c r="E93" s="31">
        <v>2.0200520923652899E+17</v>
      </c>
      <c r="F93" s="31" t="s">
        <v>225</v>
      </c>
      <c r="G93" s="31" t="s">
        <v>488</v>
      </c>
      <c r="H93" s="31">
        <v>1407307</v>
      </c>
      <c r="J93" s="31" t="s">
        <v>227</v>
      </c>
      <c r="K93" s="31" t="s">
        <v>228</v>
      </c>
      <c r="N93" s="31" t="s">
        <v>290</v>
      </c>
      <c r="O93" s="31" t="s">
        <v>254</v>
      </c>
      <c r="Q93" s="31" t="s">
        <v>255</v>
      </c>
      <c r="R93" s="31" t="s">
        <v>291</v>
      </c>
      <c r="T93" s="31" t="s">
        <v>292</v>
      </c>
      <c r="V93" s="31" t="s">
        <v>327</v>
      </c>
      <c r="X93" s="31" t="s">
        <v>294</v>
      </c>
      <c r="Y93" s="31" t="s">
        <v>295</v>
      </c>
      <c r="Z93" s="31">
        <v>30312</v>
      </c>
      <c r="AA93" s="31" t="s">
        <v>328</v>
      </c>
      <c r="AB93" s="31" t="s">
        <v>297</v>
      </c>
      <c r="AD93" s="31">
        <v>15</v>
      </c>
      <c r="AE93" s="31" t="s">
        <v>298</v>
      </c>
      <c r="AF93" s="31" t="s">
        <v>336</v>
      </c>
      <c r="AI93" s="32">
        <v>43951</v>
      </c>
      <c r="AJ93" s="31">
        <v>10</v>
      </c>
      <c r="AK93" s="31">
        <v>386.9</v>
      </c>
      <c r="BG93" s="31" t="s">
        <v>28</v>
      </c>
      <c r="BI93" s="31" t="s">
        <v>279</v>
      </c>
      <c r="BK93" s="31" t="s">
        <v>50</v>
      </c>
      <c r="BL93" s="31" t="s">
        <v>242</v>
      </c>
      <c r="BM93" s="31" t="s">
        <v>243</v>
      </c>
      <c r="BN93" s="33">
        <v>43979.333341365738</v>
      </c>
      <c r="BR93" s="31" t="s">
        <v>257</v>
      </c>
      <c r="BS93" s="31">
        <v>4.05212020176224E+18</v>
      </c>
      <c r="BT93" s="31" t="s">
        <v>245</v>
      </c>
      <c r="BU93" s="31" t="s">
        <v>337</v>
      </c>
      <c r="BV93" s="31">
        <v>2020</v>
      </c>
      <c r="BW93" s="31" t="s">
        <v>246</v>
      </c>
      <c r="BY93" s="31">
        <v>4.0527202017666202E+18</v>
      </c>
      <c r="BZ93" s="31" t="s">
        <v>476</v>
      </c>
      <c r="CA93" s="31" t="s">
        <v>248</v>
      </c>
    </row>
    <row r="94" spans="1:79" x14ac:dyDescent="0.2">
      <c r="A94" s="31" t="s">
        <v>266</v>
      </c>
      <c r="B94" s="31" t="s">
        <v>267</v>
      </c>
      <c r="C94" s="31">
        <v>2020</v>
      </c>
      <c r="D94" s="31" t="s">
        <v>461</v>
      </c>
      <c r="E94" s="31">
        <v>2.0200520923938598E+17</v>
      </c>
      <c r="F94" s="31" t="s">
        <v>269</v>
      </c>
      <c r="G94" s="31">
        <v>4102359</v>
      </c>
      <c r="H94" s="31">
        <v>1407726</v>
      </c>
      <c r="J94" s="31" t="s">
        <v>227</v>
      </c>
      <c r="K94" s="31" t="s">
        <v>228</v>
      </c>
      <c r="L94" s="31" t="s">
        <v>316</v>
      </c>
      <c r="N94" s="31" t="s">
        <v>290</v>
      </c>
      <c r="O94" s="31" t="s">
        <v>28</v>
      </c>
      <c r="Q94" s="31" t="s">
        <v>28</v>
      </c>
      <c r="R94" s="31" t="s">
        <v>291</v>
      </c>
      <c r="T94" s="31" t="s">
        <v>292</v>
      </c>
      <c r="V94" s="31" t="s">
        <v>293</v>
      </c>
      <c r="X94" s="31" t="s">
        <v>294</v>
      </c>
      <c r="Y94" s="31" t="s">
        <v>295</v>
      </c>
      <c r="Z94" s="31">
        <v>303121941</v>
      </c>
      <c r="AA94" s="31" t="s">
        <v>296</v>
      </c>
      <c r="AB94" s="31" t="s">
        <v>297</v>
      </c>
      <c r="AC94" s="31" t="s">
        <v>316</v>
      </c>
      <c r="AD94" s="31" t="s">
        <v>237</v>
      </c>
      <c r="AE94" s="31" t="s">
        <v>238</v>
      </c>
      <c r="AI94" s="32">
        <v>43938</v>
      </c>
      <c r="AJ94" s="31">
        <v>250</v>
      </c>
      <c r="AK94" s="31">
        <v>3059</v>
      </c>
      <c r="BG94" s="31" t="s">
        <v>240</v>
      </c>
      <c r="BI94" s="31" t="s">
        <v>241</v>
      </c>
      <c r="BJ94" s="31">
        <v>2020</v>
      </c>
      <c r="BK94" s="31" t="s">
        <v>50</v>
      </c>
      <c r="BL94" s="31" t="s">
        <v>242</v>
      </c>
      <c r="BM94" s="31" t="s">
        <v>243</v>
      </c>
      <c r="BN94" s="33">
        <v>43981.114688564812</v>
      </c>
      <c r="BP94" s="31" t="s">
        <v>489</v>
      </c>
      <c r="BQ94" s="31" t="s">
        <v>281</v>
      </c>
      <c r="BR94" s="31" t="s">
        <v>282</v>
      </c>
      <c r="BS94" s="31">
        <v>4.05212020176224E+18</v>
      </c>
      <c r="BT94" s="31" t="s">
        <v>245</v>
      </c>
      <c r="BU94" s="31" t="s">
        <v>283</v>
      </c>
      <c r="BV94" s="31">
        <v>2020</v>
      </c>
      <c r="BW94" s="31" t="s">
        <v>246</v>
      </c>
      <c r="BY94" s="31">
        <v>4.0529202017734799E+18</v>
      </c>
      <c r="BZ94" s="31" t="s">
        <v>490</v>
      </c>
      <c r="CA94" s="31" t="s">
        <v>248</v>
      </c>
    </row>
    <row r="95" spans="1:79" x14ac:dyDescent="0.2">
      <c r="A95" s="31" t="s">
        <v>266</v>
      </c>
      <c r="B95" s="31" t="s">
        <v>267</v>
      </c>
      <c r="C95" s="31">
        <v>2020</v>
      </c>
      <c r="D95" s="31" t="s">
        <v>461</v>
      </c>
      <c r="E95" s="31">
        <v>2.0200520923938598E+17</v>
      </c>
      <c r="F95" s="31" t="s">
        <v>269</v>
      </c>
      <c r="G95" s="31">
        <v>4502811</v>
      </c>
      <c r="H95" s="31">
        <v>1407726</v>
      </c>
      <c r="J95" s="31" t="s">
        <v>227</v>
      </c>
      <c r="K95" s="31" t="s">
        <v>228</v>
      </c>
      <c r="L95" s="31" t="s">
        <v>316</v>
      </c>
      <c r="N95" s="31" t="s">
        <v>290</v>
      </c>
      <c r="O95" s="31" t="s">
        <v>28</v>
      </c>
      <c r="Q95" s="31" t="s">
        <v>28</v>
      </c>
      <c r="R95" s="31" t="s">
        <v>291</v>
      </c>
      <c r="T95" s="31" t="s">
        <v>292</v>
      </c>
      <c r="V95" s="31" t="s">
        <v>293</v>
      </c>
      <c r="X95" s="31" t="s">
        <v>294</v>
      </c>
      <c r="Y95" s="31" t="s">
        <v>295</v>
      </c>
      <c r="Z95" s="31">
        <v>303121941</v>
      </c>
      <c r="AA95" s="31" t="s">
        <v>296</v>
      </c>
      <c r="AB95" s="31" t="s">
        <v>297</v>
      </c>
      <c r="AC95" s="31" t="s">
        <v>316</v>
      </c>
      <c r="AD95" s="31" t="s">
        <v>237</v>
      </c>
      <c r="AE95" s="31" t="s">
        <v>238</v>
      </c>
      <c r="AI95" s="32">
        <v>43951</v>
      </c>
      <c r="AJ95" s="31">
        <v>150</v>
      </c>
      <c r="AK95" s="31">
        <v>5159</v>
      </c>
      <c r="BG95" s="31" t="s">
        <v>240</v>
      </c>
      <c r="BI95" s="31" t="s">
        <v>241</v>
      </c>
      <c r="BJ95" s="31">
        <v>2020</v>
      </c>
      <c r="BK95" s="31" t="s">
        <v>50</v>
      </c>
      <c r="BL95" s="31" t="s">
        <v>242</v>
      </c>
      <c r="BM95" s="31" t="s">
        <v>243</v>
      </c>
      <c r="BN95" s="33">
        <v>43981.114688564812</v>
      </c>
      <c r="BP95" s="31" t="s">
        <v>491</v>
      </c>
      <c r="BQ95" s="31" t="s">
        <v>281</v>
      </c>
      <c r="BR95" s="31" t="s">
        <v>282</v>
      </c>
      <c r="BS95" s="31">
        <v>4.05212020176224E+18</v>
      </c>
      <c r="BT95" s="31" t="s">
        <v>245</v>
      </c>
      <c r="BU95" s="31" t="s">
        <v>283</v>
      </c>
      <c r="BV95" s="31">
        <v>2020</v>
      </c>
      <c r="BW95" s="31" t="s">
        <v>246</v>
      </c>
      <c r="BY95" s="31">
        <v>4.0529202017734799E+18</v>
      </c>
      <c r="BZ95" s="31" t="s">
        <v>490</v>
      </c>
      <c r="CA95" s="31" t="s">
        <v>248</v>
      </c>
    </row>
    <row r="96" spans="1:79" x14ac:dyDescent="0.2">
      <c r="A96" s="31" t="s">
        <v>266</v>
      </c>
      <c r="B96" s="31" t="s">
        <v>267</v>
      </c>
      <c r="C96" s="31">
        <v>2020</v>
      </c>
      <c r="D96" s="31" t="s">
        <v>461</v>
      </c>
      <c r="E96" s="31">
        <v>2.0200520923938598E+17</v>
      </c>
      <c r="F96" s="31" t="s">
        <v>269</v>
      </c>
      <c r="G96" s="31">
        <v>4503011</v>
      </c>
      <c r="H96" s="31">
        <v>1407726</v>
      </c>
      <c r="J96" s="31" t="s">
        <v>227</v>
      </c>
      <c r="K96" s="31" t="s">
        <v>228</v>
      </c>
      <c r="L96" s="31" t="s">
        <v>316</v>
      </c>
      <c r="N96" s="31" t="s">
        <v>290</v>
      </c>
      <c r="O96" s="31" t="s">
        <v>28</v>
      </c>
      <c r="Q96" s="31" t="s">
        <v>28</v>
      </c>
      <c r="R96" s="31" t="s">
        <v>291</v>
      </c>
      <c r="T96" s="31" t="s">
        <v>292</v>
      </c>
      <c r="V96" s="31" t="s">
        <v>293</v>
      </c>
      <c r="X96" s="31" t="s">
        <v>294</v>
      </c>
      <c r="Y96" s="31" t="s">
        <v>295</v>
      </c>
      <c r="Z96" s="31">
        <v>303121941</v>
      </c>
      <c r="AA96" s="31" t="s">
        <v>296</v>
      </c>
      <c r="AB96" s="31" t="s">
        <v>297</v>
      </c>
      <c r="AC96" s="31" t="s">
        <v>316</v>
      </c>
      <c r="AD96" s="31" t="s">
        <v>237</v>
      </c>
      <c r="AE96" s="31" t="s">
        <v>238</v>
      </c>
      <c r="AI96" s="32">
        <v>43951</v>
      </c>
      <c r="AJ96" s="31">
        <v>1950</v>
      </c>
      <c r="AK96" s="31">
        <v>5159</v>
      </c>
      <c r="BG96" s="31" t="s">
        <v>240</v>
      </c>
      <c r="BI96" s="31" t="s">
        <v>241</v>
      </c>
      <c r="BJ96" s="31">
        <v>2020</v>
      </c>
      <c r="BK96" s="31" t="s">
        <v>50</v>
      </c>
      <c r="BL96" s="31" t="s">
        <v>242</v>
      </c>
      <c r="BM96" s="31" t="s">
        <v>243</v>
      </c>
      <c r="BN96" s="33">
        <v>43981.114688576388</v>
      </c>
      <c r="BP96" s="31" t="s">
        <v>492</v>
      </c>
      <c r="BQ96" s="31" t="s">
        <v>281</v>
      </c>
      <c r="BR96" s="31" t="s">
        <v>282</v>
      </c>
      <c r="BS96" s="31">
        <v>4.05212020176224E+18</v>
      </c>
      <c r="BT96" s="31" t="s">
        <v>245</v>
      </c>
      <c r="BU96" s="31" t="s">
        <v>283</v>
      </c>
      <c r="BV96" s="31">
        <v>2020</v>
      </c>
      <c r="BW96" s="31" t="s">
        <v>246</v>
      </c>
      <c r="BY96" s="31">
        <v>4.0529202017734799E+18</v>
      </c>
      <c r="BZ96" s="31" t="s">
        <v>493</v>
      </c>
      <c r="CA96" s="31" t="s">
        <v>248</v>
      </c>
    </row>
    <row r="97" spans="1:79" x14ac:dyDescent="0.2">
      <c r="A97" s="31" t="s">
        <v>418</v>
      </c>
      <c r="B97" s="31" t="s">
        <v>419</v>
      </c>
      <c r="C97" s="31">
        <v>2020</v>
      </c>
      <c r="D97" s="31" t="s">
        <v>494</v>
      </c>
      <c r="E97" s="31">
        <v>2.0200528923951101E+17</v>
      </c>
      <c r="F97" s="31" t="s">
        <v>225</v>
      </c>
      <c r="G97" s="31" t="s">
        <v>495</v>
      </c>
      <c r="H97" s="31">
        <v>1408931</v>
      </c>
      <c r="J97" s="31" t="s">
        <v>227</v>
      </c>
      <c r="K97" s="31" t="s">
        <v>228</v>
      </c>
      <c r="L97" s="31" t="s">
        <v>316</v>
      </c>
      <c r="N97" s="31" t="s">
        <v>290</v>
      </c>
      <c r="O97" s="31" t="s">
        <v>75</v>
      </c>
      <c r="Q97" s="31" t="s">
        <v>28</v>
      </c>
      <c r="R97" s="31" t="s">
        <v>291</v>
      </c>
      <c r="T97" s="31" t="s">
        <v>292</v>
      </c>
      <c r="V97" s="31" t="s">
        <v>293</v>
      </c>
      <c r="X97" s="31" t="s">
        <v>294</v>
      </c>
      <c r="Y97" s="31" t="s">
        <v>295</v>
      </c>
      <c r="Z97" s="31">
        <v>303121941</v>
      </c>
      <c r="AA97" s="31" t="s">
        <v>296</v>
      </c>
      <c r="AB97" s="31" t="s">
        <v>297</v>
      </c>
      <c r="AC97" s="31" t="s">
        <v>316</v>
      </c>
      <c r="AD97" s="31" t="s">
        <v>237</v>
      </c>
      <c r="AE97" s="31" t="s">
        <v>238</v>
      </c>
      <c r="AI97" s="32">
        <v>43968</v>
      </c>
      <c r="AJ97" s="31">
        <v>100</v>
      </c>
      <c r="AK97" s="31">
        <v>550</v>
      </c>
      <c r="BG97" s="31" t="s">
        <v>278</v>
      </c>
      <c r="BI97" s="31" t="s">
        <v>279</v>
      </c>
      <c r="BJ97" s="31">
        <v>2020</v>
      </c>
      <c r="BK97" s="31" t="s">
        <v>50</v>
      </c>
      <c r="BL97" s="31" t="s">
        <v>242</v>
      </c>
      <c r="BM97" s="31" t="s">
        <v>243</v>
      </c>
      <c r="BN97" s="33">
        <v>43981.116672384262</v>
      </c>
      <c r="BP97" s="31" t="s">
        <v>496</v>
      </c>
      <c r="BQ97" s="31" t="s">
        <v>318</v>
      </c>
      <c r="BR97" s="31" t="s">
        <v>244</v>
      </c>
      <c r="BS97" s="31">
        <v>4.05282020177282E+18</v>
      </c>
      <c r="BT97" s="31" t="s">
        <v>245</v>
      </c>
      <c r="BU97" s="31" t="s">
        <v>283</v>
      </c>
      <c r="BV97" s="31">
        <v>2020</v>
      </c>
      <c r="BW97" s="31" t="s">
        <v>246</v>
      </c>
      <c r="BY97" s="31">
        <v>4.0529202017737498E+18</v>
      </c>
      <c r="BZ97" s="31" t="s">
        <v>497</v>
      </c>
      <c r="CA97" s="31" t="s">
        <v>248</v>
      </c>
    </row>
    <row r="98" spans="1:79" x14ac:dyDescent="0.2">
      <c r="A98" s="31" t="s">
        <v>266</v>
      </c>
      <c r="B98" s="31" t="s">
        <v>267</v>
      </c>
      <c r="C98" s="31">
        <v>2020</v>
      </c>
      <c r="D98" s="31" t="s">
        <v>498</v>
      </c>
      <c r="E98" s="31">
        <v>2.0200620924374701E+17</v>
      </c>
      <c r="F98" s="31" t="s">
        <v>269</v>
      </c>
      <c r="G98" s="31">
        <v>4979515</v>
      </c>
      <c r="H98" s="31">
        <v>1414186</v>
      </c>
      <c r="J98" s="31" t="s">
        <v>227</v>
      </c>
      <c r="K98" s="31" t="s">
        <v>228</v>
      </c>
      <c r="L98" s="31" t="s">
        <v>316</v>
      </c>
      <c r="N98" s="31" t="s">
        <v>290</v>
      </c>
      <c r="O98" s="31" t="s">
        <v>28</v>
      </c>
      <c r="Q98" s="31" t="s">
        <v>28</v>
      </c>
      <c r="R98" s="31" t="s">
        <v>291</v>
      </c>
      <c r="T98" s="31" t="s">
        <v>292</v>
      </c>
      <c r="V98" s="31" t="s">
        <v>293</v>
      </c>
      <c r="X98" s="31" t="s">
        <v>294</v>
      </c>
      <c r="Y98" s="31" t="s">
        <v>295</v>
      </c>
      <c r="Z98" s="31">
        <v>303121941</v>
      </c>
      <c r="AA98" s="31" t="s">
        <v>296</v>
      </c>
      <c r="AB98" s="31" t="s">
        <v>297</v>
      </c>
      <c r="AC98" s="31" t="s">
        <v>316</v>
      </c>
      <c r="AD98" s="31" t="s">
        <v>237</v>
      </c>
      <c r="AE98" s="31" t="s">
        <v>238</v>
      </c>
      <c r="AI98" s="32">
        <v>43968</v>
      </c>
      <c r="AJ98" s="31">
        <v>150</v>
      </c>
      <c r="AK98" s="31">
        <v>5334</v>
      </c>
      <c r="BG98" s="31" t="s">
        <v>240</v>
      </c>
      <c r="BI98" s="31" t="s">
        <v>241</v>
      </c>
      <c r="BJ98" s="31">
        <v>2020</v>
      </c>
      <c r="BK98" s="31" t="s">
        <v>50</v>
      </c>
      <c r="BL98" s="31" t="s">
        <v>242</v>
      </c>
      <c r="BM98" s="31" t="s">
        <v>243</v>
      </c>
      <c r="BN98" s="33">
        <v>44008.114248773149</v>
      </c>
      <c r="BP98" s="31" t="s">
        <v>499</v>
      </c>
      <c r="BQ98" s="31" t="s">
        <v>281</v>
      </c>
      <c r="BR98" s="31" t="s">
        <v>282</v>
      </c>
      <c r="BS98" s="31">
        <v>4.0620202017761101E+18</v>
      </c>
      <c r="BT98" s="31" t="s">
        <v>245</v>
      </c>
      <c r="BU98" s="31" t="s">
        <v>283</v>
      </c>
      <c r="BV98" s="31">
        <v>2020</v>
      </c>
      <c r="BW98" s="31" t="s">
        <v>246</v>
      </c>
      <c r="BY98" s="31">
        <v>4.0625202017775201E+18</v>
      </c>
      <c r="BZ98" s="31" t="s">
        <v>500</v>
      </c>
      <c r="CA98" s="31" t="s">
        <v>248</v>
      </c>
    </row>
    <row r="99" spans="1:79" x14ac:dyDescent="0.2">
      <c r="A99" s="31" t="s">
        <v>266</v>
      </c>
      <c r="B99" s="31" t="s">
        <v>267</v>
      </c>
      <c r="C99" s="31">
        <v>2020</v>
      </c>
      <c r="D99" s="31" t="s">
        <v>498</v>
      </c>
      <c r="E99" s="31">
        <v>2.0200620924374701E+17</v>
      </c>
      <c r="F99" s="31" t="s">
        <v>269</v>
      </c>
      <c r="G99" s="31">
        <v>5340769</v>
      </c>
      <c r="H99" s="31">
        <v>1414186</v>
      </c>
      <c r="J99" s="31" t="s">
        <v>227</v>
      </c>
      <c r="K99" s="31" t="s">
        <v>228</v>
      </c>
      <c r="N99" s="31" t="s">
        <v>290</v>
      </c>
      <c r="O99" s="31" t="s">
        <v>28</v>
      </c>
      <c r="Q99" s="31" t="s">
        <v>28</v>
      </c>
      <c r="R99" s="31" t="s">
        <v>291</v>
      </c>
      <c r="T99" s="31" t="s">
        <v>292</v>
      </c>
      <c r="V99" s="31" t="s">
        <v>293</v>
      </c>
      <c r="X99" s="31" t="s">
        <v>294</v>
      </c>
      <c r="Y99" s="31" t="s">
        <v>295</v>
      </c>
      <c r="Z99" s="31">
        <v>303121941</v>
      </c>
      <c r="AA99" s="31" t="s">
        <v>296</v>
      </c>
      <c r="AB99" s="31" t="s">
        <v>297</v>
      </c>
      <c r="AG99" s="31" t="s">
        <v>415</v>
      </c>
      <c r="AI99" s="32">
        <v>43977</v>
      </c>
      <c r="AJ99" s="31">
        <v>-266</v>
      </c>
      <c r="AK99" s="31">
        <v>5634</v>
      </c>
      <c r="BG99" s="31" t="s">
        <v>278</v>
      </c>
      <c r="BI99" s="31" t="s">
        <v>279</v>
      </c>
      <c r="BJ99" s="31">
        <v>2020</v>
      </c>
      <c r="BK99" s="31" t="s">
        <v>50</v>
      </c>
      <c r="BL99" s="31" t="s">
        <v>242</v>
      </c>
      <c r="BM99" s="31" t="s">
        <v>243</v>
      </c>
      <c r="BN99" s="33">
        <v>44008.114248773149</v>
      </c>
      <c r="BR99" s="31" t="s">
        <v>282</v>
      </c>
      <c r="BS99" s="31">
        <v>4.0620202017761101E+18</v>
      </c>
      <c r="BT99" s="31" t="s">
        <v>245</v>
      </c>
      <c r="BV99" s="31">
        <v>2020</v>
      </c>
      <c r="BW99" s="31" t="s">
        <v>246</v>
      </c>
      <c r="BY99" s="31">
        <v>4.0625202017775201E+18</v>
      </c>
      <c r="BZ99" s="31" t="s">
        <v>501</v>
      </c>
      <c r="CA99" s="31" t="s">
        <v>248</v>
      </c>
    </row>
    <row r="100" spans="1:79" x14ac:dyDescent="0.2">
      <c r="A100" s="31" t="s">
        <v>266</v>
      </c>
      <c r="B100" s="31" t="s">
        <v>267</v>
      </c>
      <c r="C100" s="31">
        <v>2020</v>
      </c>
      <c r="D100" s="31" t="s">
        <v>498</v>
      </c>
      <c r="E100" s="31">
        <v>2.0200620924374701E+17</v>
      </c>
      <c r="F100" s="31" t="s">
        <v>269</v>
      </c>
      <c r="G100" s="31">
        <v>4568516</v>
      </c>
      <c r="H100" s="31">
        <v>1414186</v>
      </c>
      <c r="J100" s="31" t="s">
        <v>227</v>
      </c>
      <c r="K100" s="31" t="s">
        <v>228</v>
      </c>
      <c r="L100" s="31" t="s">
        <v>316</v>
      </c>
      <c r="N100" s="31" t="s">
        <v>290</v>
      </c>
      <c r="O100" s="31" t="s">
        <v>28</v>
      </c>
      <c r="Q100" s="31" t="s">
        <v>28</v>
      </c>
      <c r="R100" s="31" t="s">
        <v>291</v>
      </c>
      <c r="T100" s="31" t="s">
        <v>292</v>
      </c>
      <c r="V100" s="31" t="s">
        <v>293</v>
      </c>
      <c r="X100" s="31" t="s">
        <v>294</v>
      </c>
      <c r="Y100" s="31" t="s">
        <v>295</v>
      </c>
      <c r="Z100" s="31">
        <v>303121941</v>
      </c>
      <c r="AA100" s="31" t="s">
        <v>296</v>
      </c>
      <c r="AB100" s="31" t="s">
        <v>297</v>
      </c>
      <c r="AC100" s="31" t="s">
        <v>316</v>
      </c>
      <c r="AD100" s="31" t="s">
        <v>237</v>
      </c>
      <c r="AE100" s="31" t="s">
        <v>238</v>
      </c>
      <c r="AI100" s="32">
        <v>43954</v>
      </c>
      <c r="AJ100" s="31">
        <v>25</v>
      </c>
      <c r="AK100" s="31">
        <v>5184</v>
      </c>
      <c r="BG100" s="31" t="s">
        <v>240</v>
      </c>
      <c r="BI100" s="31" t="s">
        <v>241</v>
      </c>
      <c r="BJ100" s="31">
        <v>2020</v>
      </c>
      <c r="BK100" s="31" t="s">
        <v>50</v>
      </c>
      <c r="BL100" s="31" t="s">
        <v>242</v>
      </c>
      <c r="BM100" s="31" t="s">
        <v>243</v>
      </c>
      <c r="BN100" s="33">
        <v>44008.114624629627</v>
      </c>
      <c r="BP100" s="31" t="s">
        <v>502</v>
      </c>
      <c r="BQ100" s="31" t="s">
        <v>281</v>
      </c>
      <c r="BR100" s="31" t="s">
        <v>282</v>
      </c>
      <c r="BS100" s="31">
        <v>4.0620202017761101E+18</v>
      </c>
      <c r="BT100" s="31" t="s">
        <v>245</v>
      </c>
      <c r="BU100" s="31" t="s">
        <v>283</v>
      </c>
      <c r="BV100" s="31">
        <v>2020</v>
      </c>
      <c r="BW100" s="31" t="s">
        <v>246</v>
      </c>
      <c r="BY100" s="31">
        <v>4.0625202017775201E+18</v>
      </c>
      <c r="BZ100" s="31" t="s">
        <v>503</v>
      </c>
      <c r="CA100" s="31" t="s">
        <v>248</v>
      </c>
    </row>
    <row r="101" spans="1:79" x14ac:dyDescent="0.2">
      <c r="A101" s="31" t="s">
        <v>266</v>
      </c>
      <c r="B101" s="31" t="s">
        <v>267</v>
      </c>
      <c r="C101" s="31">
        <v>2020</v>
      </c>
      <c r="D101" s="31" t="s">
        <v>498</v>
      </c>
      <c r="E101" s="31">
        <v>2.0200620924374701E+17</v>
      </c>
      <c r="F101" s="31" t="s">
        <v>269</v>
      </c>
      <c r="G101" s="31">
        <v>5264739</v>
      </c>
      <c r="H101" s="31">
        <v>1414186</v>
      </c>
      <c r="J101" s="31" t="s">
        <v>227</v>
      </c>
      <c r="K101" s="31" t="s">
        <v>228</v>
      </c>
      <c r="L101" s="31" t="s">
        <v>316</v>
      </c>
      <c r="N101" s="31" t="s">
        <v>290</v>
      </c>
      <c r="O101" s="31" t="s">
        <v>28</v>
      </c>
      <c r="Q101" s="31" t="s">
        <v>28</v>
      </c>
      <c r="R101" s="31" t="s">
        <v>291</v>
      </c>
      <c r="T101" s="31" t="s">
        <v>292</v>
      </c>
      <c r="V101" s="31" t="s">
        <v>293</v>
      </c>
      <c r="X101" s="31" t="s">
        <v>294</v>
      </c>
      <c r="Y101" s="31" t="s">
        <v>295</v>
      </c>
      <c r="Z101" s="31">
        <v>303121941</v>
      </c>
      <c r="AA101" s="31" t="s">
        <v>296</v>
      </c>
      <c r="AB101" s="31" t="s">
        <v>297</v>
      </c>
      <c r="AC101" s="31" t="s">
        <v>316</v>
      </c>
      <c r="AD101" s="31" t="s">
        <v>237</v>
      </c>
      <c r="AE101" s="31" t="s">
        <v>238</v>
      </c>
      <c r="AI101" s="32">
        <v>43977</v>
      </c>
      <c r="AJ101" s="31">
        <v>300</v>
      </c>
      <c r="AK101" s="31">
        <v>5634</v>
      </c>
      <c r="BG101" s="31" t="s">
        <v>278</v>
      </c>
      <c r="BI101" s="31" t="s">
        <v>279</v>
      </c>
      <c r="BJ101" s="31">
        <v>2020</v>
      </c>
      <c r="BK101" s="31" t="s">
        <v>50</v>
      </c>
      <c r="BL101" s="31" t="s">
        <v>242</v>
      </c>
      <c r="BM101" s="31" t="s">
        <v>243</v>
      </c>
      <c r="BN101" s="33">
        <v>44008.114624629627</v>
      </c>
      <c r="BP101" s="31" t="s">
        <v>504</v>
      </c>
      <c r="BQ101" s="31" t="s">
        <v>281</v>
      </c>
      <c r="BR101" s="31" t="s">
        <v>282</v>
      </c>
      <c r="BS101" s="31">
        <v>4.0620202017761101E+18</v>
      </c>
      <c r="BT101" s="31" t="s">
        <v>245</v>
      </c>
      <c r="BU101" s="31" t="s">
        <v>283</v>
      </c>
      <c r="BV101" s="31">
        <v>2020</v>
      </c>
      <c r="BW101" s="31" t="s">
        <v>246</v>
      </c>
      <c r="BY101" s="31">
        <v>4.0625202017775201E+18</v>
      </c>
      <c r="BZ101" s="31" t="s">
        <v>501</v>
      </c>
      <c r="CA101" s="31" t="s">
        <v>248</v>
      </c>
    </row>
    <row r="102" spans="1:79" x14ac:dyDescent="0.2">
      <c r="A102" s="31" t="s">
        <v>314</v>
      </c>
      <c r="B102" s="31" t="s">
        <v>315</v>
      </c>
      <c r="C102" s="31">
        <v>2020</v>
      </c>
      <c r="D102" s="31" t="s">
        <v>505</v>
      </c>
      <c r="E102" s="31">
        <v>2.0201023933648301E+17</v>
      </c>
      <c r="F102" s="31" t="s">
        <v>225</v>
      </c>
      <c r="G102" s="31">
        <v>14848206</v>
      </c>
      <c r="H102" s="31">
        <v>1464425</v>
      </c>
      <c r="J102" s="31" t="s">
        <v>227</v>
      </c>
      <c r="K102" s="31" t="s">
        <v>228</v>
      </c>
      <c r="N102" s="31" t="s">
        <v>290</v>
      </c>
      <c r="O102" s="31" t="s">
        <v>26</v>
      </c>
      <c r="Q102" s="31" t="s">
        <v>255</v>
      </c>
      <c r="R102" s="31" t="s">
        <v>291</v>
      </c>
      <c r="T102" s="31" t="s">
        <v>292</v>
      </c>
      <c r="V102" s="31" t="s">
        <v>293</v>
      </c>
      <c r="X102" s="31" t="s">
        <v>294</v>
      </c>
      <c r="Y102" s="31" t="s">
        <v>295</v>
      </c>
      <c r="Z102" s="31">
        <v>303121941</v>
      </c>
      <c r="AA102" s="31" t="s">
        <v>296</v>
      </c>
      <c r="AB102" s="31" t="s">
        <v>297</v>
      </c>
      <c r="AD102" s="31" t="s">
        <v>237</v>
      </c>
      <c r="AE102" s="31" t="s">
        <v>238</v>
      </c>
      <c r="AI102" s="32">
        <v>44024</v>
      </c>
      <c r="AJ102" s="31">
        <v>100</v>
      </c>
      <c r="AK102" s="31">
        <v>1000</v>
      </c>
      <c r="BG102" s="31" t="s">
        <v>28</v>
      </c>
      <c r="BI102" s="31" t="s">
        <v>279</v>
      </c>
      <c r="BK102" s="31" t="s">
        <v>50</v>
      </c>
      <c r="BL102" s="31" t="s">
        <v>242</v>
      </c>
      <c r="BM102" s="31" t="s">
        <v>243</v>
      </c>
      <c r="BN102" s="33">
        <v>44130.150831574072</v>
      </c>
      <c r="BP102" s="31" t="s">
        <v>506</v>
      </c>
      <c r="BQ102" s="31" t="s">
        <v>318</v>
      </c>
      <c r="BR102" s="31" t="s">
        <v>257</v>
      </c>
      <c r="BS102" s="31">
        <v>4.10242020188542E+18</v>
      </c>
      <c r="BT102" s="31" t="s">
        <v>245</v>
      </c>
      <c r="BU102" s="31" t="s">
        <v>283</v>
      </c>
      <c r="BV102" s="31">
        <v>2020</v>
      </c>
      <c r="BW102" s="31" t="s">
        <v>246</v>
      </c>
      <c r="BY102" s="31">
        <v>4.1026202018866299E+18</v>
      </c>
      <c r="BZ102" s="31" t="s">
        <v>507</v>
      </c>
      <c r="CA102" s="31" t="s">
        <v>248</v>
      </c>
    </row>
    <row r="103" spans="1:79" x14ac:dyDescent="0.2">
      <c r="A103" s="31" t="s">
        <v>314</v>
      </c>
      <c r="B103" s="31" t="s">
        <v>315</v>
      </c>
      <c r="C103" s="31">
        <v>2020</v>
      </c>
      <c r="D103" s="31" t="s">
        <v>505</v>
      </c>
      <c r="E103" s="31">
        <v>2.0201023933648301E+17</v>
      </c>
      <c r="F103" s="31" t="s">
        <v>225</v>
      </c>
      <c r="G103" s="31">
        <v>14856044</v>
      </c>
      <c r="H103" s="31">
        <v>1464425</v>
      </c>
      <c r="J103" s="31" t="s">
        <v>227</v>
      </c>
      <c r="K103" s="31" t="s">
        <v>228</v>
      </c>
      <c r="N103" s="31" t="s">
        <v>290</v>
      </c>
      <c r="O103" s="31" t="s">
        <v>26</v>
      </c>
      <c r="Q103" s="31" t="s">
        <v>255</v>
      </c>
      <c r="R103" s="31" t="s">
        <v>291</v>
      </c>
      <c r="T103" s="31" t="s">
        <v>292</v>
      </c>
      <c r="V103" s="31" t="s">
        <v>293</v>
      </c>
      <c r="X103" s="31" t="s">
        <v>294</v>
      </c>
      <c r="Y103" s="31" t="s">
        <v>295</v>
      </c>
      <c r="Z103" s="31">
        <v>303121941</v>
      </c>
      <c r="AA103" s="31" t="s">
        <v>296</v>
      </c>
      <c r="AB103" s="31" t="s">
        <v>297</v>
      </c>
      <c r="AD103" s="31" t="s">
        <v>237</v>
      </c>
      <c r="AE103" s="31" t="s">
        <v>238</v>
      </c>
      <c r="AI103" s="32">
        <v>44038</v>
      </c>
      <c r="AJ103" s="31">
        <v>200</v>
      </c>
      <c r="AK103" s="31">
        <v>1400</v>
      </c>
      <c r="BG103" s="31" t="s">
        <v>28</v>
      </c>
      <c r="BI103" s="31" t="s">
        <v>279</v>
      </c>
      <c r="BK103" s="31" t="s">
        <v>50</v>
      </c>
      <c r="BL103" s="31" t="s">
        <v>242</v>
      </c>
      <c r="BM103" s="31" t="s">
        <v>243</v>
      </c>
      <c r="BN103" s="33">
        <v>44130.150831574072</v>
      </c>
      <c r="BP103" s="31" t="s">
        <v>508</v>
      </c>
      <c r="BQ103" s="31" t="s">
        <v>318</v>
      </c>
      <c r="BR103" s="31" t="s">
        <v>257</v>
      </c>
      <c r="BS103" s="31">
        <v>4.10242020188542E+18</v>
      </c>
      <c r="BT103" s="31" t="s">
        <v>245</v>
      </c>
      <c r="BU103" s="31" t="s">
        <v>283</v>
      </c>
      <c r="BV103" s="31">
        <v>2020</v>
      </c>
      <c r="BW103" s="31" t="s">
        <v>246</v>
      </c>
      <c r="BY103" s="31">
        <v>4.1026202018866299E+18</v>
      </c>
      <c r="BZ103" s="31" t="s">
        <v>507</v>
      </c>
      <c r="CA103" s="31" t="s">
        <v>248</v>
      </c>
    </row>
    <row r="104" spans="1:79" x14ac:dyDescent="0.2">
      <c r="A104" s="31" t="s">
        <v>314</v>
      </c>
      <c r="B104" s="31" t="s">
        <v>315</v>
      </c>
      <c r="C104" s="31">
        <v>2020</v>
      </c>
      <c r="D104" s="31" t="s">
        <v>505</v>
      </c>
      <c r="E104" s="31">
        <v>2.0201023933648301E+17</v>
      </c>
      <c r="F104" s="31" t="s">
        <v>225</v>
      </c>
      <c r="G104" s="31">
        <v>14923341</v>
      </c>
      <c r="H104" s="31">
        <v>1464425</v>
      </c>
      <c r="J104" s="31" t="s">
        <v>227</v>
      </c>
      <c r="K104" s="31" t="s">
        <v>228</v>
      </c>
      <c r="N104" s="31" t="s">
        <v>290</v>
      </c>
      <c r="O104" s="31" t="s">
        <v>26</v>
      </c>
      <c r="Q104" s="31" t="s">
        <v>255</v>
      </c>
      <c r="R104" s="31" t="s">
        <v>291</v>
      </c>
      <c r="T104" s="31" t="s">
        <v>292</v>
      </c>
      <c r="V104" s="31" t="s">
        <v>293</v>
      </c>
      <c r="X104" s="31" t="s">
        <v>294</v>
      </c>
      <c r="Y104" s="31" t="s">
        <v>295</v>
      </c>
      <c r="Z104" s="31">
        <v>303121941</v>
      </c>
      <c r="AA104" s="31" t="s">
        <v>296</v>
      </c>
      <c r="AB104" s="31" t="s">
        <v>297</v>
      </c>
      <c r="AD104" s="31" t="s">
        <v>237</v>
      </c>
      <c r="AE104" s="31" t="s">
        <v>238</v>
      </c>
      <c r="AI104" s="32">
        <v>44030</v>
      </c>
      <c r="AJ104" s="31">
        <v>200</v>
      </c>
      <c r="AK104" s="31">
        <v>1200</v>
      </c>
      <c r="BG104" s="31" t="s">
        <v>28</v>
      </c>
      <c r="BI104" s="31" t="s">
        <v>279</v>
      </c>
      <c r="BK104" s="31" t="s">
        <v>50</v>
      </c>
      <c r="BL104" s="31" t="s">
        <v>242</v>
      </c>
      <c r="BM104" s="31" t="s">
        <v>243</v>
      </c>
      <c r="BN104" s="33">
        <v>44130.150831585648</v>
      </c>
      <c r="BP104" s="31" t="s">
        <v>509</v>
      </c>
      <c r="BQ104" s="31" t="s">
        <v>318</v>
      </c>
      <c r="BR104" s="31" t="s">
        <v>257</v>
      </c>
      <c r="BS104" s="31">
        <v>4.10242020188542E+18</v>
      </c>
      <c r="BT104" s="31" t="s">
        <v>245</v>
      </c>
      <c r="BU104" s="31" t="s">
        <v>283</v>
      </c>
      <c r="BV104" s="31">
        <v>2020</v>
      </c>
      <c r="BW104" s="31" t="s">
        <v>246</v>
      </c>
      <c r="BY104" s="31">
        <v>4.1026202018866299E+18</v>
      </c>
      <c r="BZ104" s="31" t="s">
        <v>510</v>
      </c>
      <c r="CA104" s="31" t="s">
        <v>248</v>
      </c>
    </row>
    <row r="105" spans="1:79" x14ac:dyDescent="0.2">
      <c r="A105" s="31" t="s">
        <v>316</v>
      </c>
      <c r="B105" s="31" t="s">
        <v>325</v>
      </c>
      <c r="C105" s="31">
        <v>2020</v>
      </c>
      <c r="D105" s="31" t="s">
        <v>498</v>
      </c>
      <c r="E105" s="31">
        <v>2.0200620924082E+17</v>
      </c>
      <c r="F105" s="31" t="s">
        <v>225</v>
      </c>
      <c r="G105" s="31" t="s">
        <v>511</v>
      </c>
      <c r="H105" s="31">
        <v>1413483</v>
      </c>
      <c r="J105" s="31" t="s">
        <v>227</v>
      </c>
      <c r="K105" s="31" t="s">
        <v>228</v>
      </c>
      <c r="N105" s="31" t="s">
        <v>290</v>
      </c>
      <c r="O105" s="31" t="s">
        <v>254</v>
      </c>
      <c r="Q105" s="31" t="s">
        <v>255</v>
      </c>
      <c r="R105" s="31" t="s">
        <v>291</v>
      </c>
      <c r="T105" s="31" t="s">
        <v>292</v>
      </c>
      <c r="V105" s="31" t="s">
        <v>327</v>
      </c>
      <c r="X105" s="31" t="s">
        <v>294</v>
      </c>
      <c r="Y105" s="31" t="s">
        <v>295</v>
      </c>
      <c r="Z105" s="31">
        <v>30312</v>
      </c>
      <c r="AA105" s="31" t="s">
        <v>328</v>
      </c>
      <c r="AB105" s="31" t="s">
        <v>297</v>
      </c>
      <c r="AF105" s="31" t="s">
        <v>331</v>
      </c>
      <c r="AI105" s="32">
        <v>43968</v>
      </c>
      <c r="AJ105" s="31">
        <v>100</v>
      </c>
      <c r="AK105" s="31">
        <v>200</v>
      </c>
      <c r="BK105" s="31" t="s">
        <v>50</v>
      </c>
      <c r="BL105" s="31" t="s">
        <v>242</v>
      </c>
      <c r="BM105" s="31" t="s">
        <v>243</v>
      </c>
      <c r="BN105" s="33">
        <v>44022.280221319445</v>
      </c>
      <c r="BR105" s="31" t="s">
        <v>257</v>
      </c>
      <c r="BS105" s="31">
        <v>4.0621202017761597E+18</v>
      </c>
      <c r="BT105" s="31" t="s">
        <v>245</v>
      </c>
      <c r="BU105" s="31" t="s">
        <v>381</v>
      </c>
      <c r="BV105" s="31">
        <v>2020</v>
      </c>
      <c r="BW105" s="31" t="s">
        <v>246</v>
      </c>
      <c r="BY105" s="31">
        <v>4.07092020178338E+18</v>
      </c>
      <c r="BZ105" s="31" t="s">
        <v>512</v>
      </c>
      <c r="CA105" s="31" t="s">
        <v>248</v>
      </c>
    </row>
    <row r="106" spans="1:79" x14ac:dyDescent="0.2">
      <c r="A106" s="31" t="s">
        <v>316</v>
      </c>
      <c r="B106" s="31" t="s">
        <v>325</v>
      </c>
      <c r="C106" s="31">
        <v>2020</v>
      </c>
      <c r="D106" s="31" t="s">
        <v>498</v>
      </c>
      <c r="E106" s="31">
        <v>2.0200620924082E+17</v>
      </c>
      <c r="F106" s="31" t="s">
        <v>225</v>
      </c>
      <c r="G106" s="31" t="s">
        <v>513</v>
      </c>
      <c r="H106" s="31">
        <v>1413483</v>
      </c>
      <c r="J106" s="31" t="s">
        <v>227</v>
      </c>
      <c r="K106" s="31" t="s">
        <v>228</v>
      </c>
      <c r="L106" s="31" t="s">
        <v>404</v>
      </c>
      <c r="N106" s="31" t="s">
        <v>290</v>
      </c>
      <c r="O106" s="31" t="s">
        <v>254</v>
      </c>
      <c r="Q106" s="31" t="s">
        <v>255</v>
      </c>
      <c r="R106" s="31" t="s">
        <v>291</v>
      </c>
      <c r="T106" s="31" t="s">
        <v>292</v>
      </c>
      <c r="V106" s="31" t="s">
        <v>327</v>
      </c>
      <c r="X106" s="31" t="s">
        <v>294</v>
      </c>
      <c r="Y106" s="31" t="s">
        <v>295</v>
      </c>
      <c r="Z106" s="31">
        <v>30312</v>
      </c>
      <c r="AA106" s="31" t="s">
        <v>328</v>
      </c>
      <c r="AB106" s="31" t="s">
        <v>297</v>
      </c>
      <c r="AC106" s="31" t="s">
        <v>404</v>
      </c>
      <c r="AD106" s="31" t="s">
        <v>329</v>
      </c>
      <c r="AE106" s="31" t="s">
        <v>330</v>
      </c>
      <c r="AF106" s="31" t="s">
        <v>331</v>
      </c>
      <c r="AI106" s="32">
        <v>43956</v>
      </c>
      <c r="AJ106" s="31">
        <v>5</v>
      </c>
      <c r="AK106" s="31">
        <v>2605</v>
      </c>
      <c r="AL106" s="31" t="s">
        <v>405</v>
      </c>
      <c r="BG106" s="31" t="s">
        <v>28</v>
      </c>
      <c r="BI106" s="31" t="s">
        <v>279</v>
      </c>
      <c r="BK106" s="31" t="s">
        <v>50</v>
      </c>
      <c r="BL106" s="31" t="s">
        <v>242</v>
      </c>
      <c r="BM106" s="31" t="s">
        <v>243</v>
      </c>
      <c r="BN106" s="33">
        <v>44022.280221319445</v>
      </c>
      <c r="BR106" s="31" t="s">
        <v>257</v>
      </c>
      <c r="BS106" s="31">
        <v>4.0621202017761597E+18</v>
      </c>
      <c r="BT106" s="31" t="s">
        <v>245</v>
      </c>
      <c r="BU106" s="31" t="s">
        <v>385</v>
      </c>
      <c r="BV106" s="31">
        <v>2020</v>
      </c>
      <c r="BW106" s="31" t="s">
        <v>246</v>
      </c>
      <c r="BY106" s="31">
        <v>4.07092020178338E+18</v>
      </c>
      <c r="BZ106" s="31" t="s">
        <v>514</v>
      </c>
      <c r="CA106" s="31" t="s">
        <v>248</v>
      </c>
    </row>
    <row r="107" spans="1:79" x14ac:dyDescent="0.2">
      <c r="A107" s="31" t="s">
        <v>316</v>
      </c>
      <c r="B107" s="31" t="s">
        <v>325</v>
      </c>
      <c r="C107" s="31">
        <v>2020</v>
      </c>
      <c r="D107" s="31" t="s">
        <v>498</v>
      </c>
      <c r="E107" s="31">
        <v>2.0200620924082E+17</v>
      </c>
      <c r="F107" s="31" t="s">
        <v>225</v>
      </c>
      <c r="G107" s="31" t="s">
        <v>515</v>
      </c>
      <c r="H107" s="31">
        <v>1413483</v>
      </c>
      <c r="J107" s="31" t="s">
        <v>227</v>
      </c>
      <c r="K107" s="31" t="s">
        <v>228</v>
      </c>
      <c r="L107" s="31" t="s">
        <v>320</v>
      </c>
      <c r="N107" s="31" t="s">
        <v>290</v>
      </c>
      <c r="O107" s="31" t="s">
        <v>254</v>
      </c>
      <c r="Q107" s="31" t="s">
        <v>255</v>
      </c>
      <c r="R107" s="31" t="s">
        <v>291</v>
      </c>
      <c r="T107" s="31" t="s">
        <v>292</v>
      </c>
      <c r="V107" s="31" t="s">
        <v>327</v>
      </c>
      <c r="X107" s="31" t="s">
        <v>294</v>
      </c>
      <c r="Y107" s="31" t="s">
        <v>295</v>
      </c>
      <c r="Z107" s="31">
        <v>30312</v>
      </c>
      <c r="AA107" s="31" t="s">
        <v>328</v>
      </c>
      <c r="AB107" s="31" t="s">
        <v>297</v>
      </c>
      <c r="AC107" s="31" t="s">
        <v>320</v>
      </c>
      <c r="AD107" s="31" t="s">
        <v>329</v>
      </c>
      <c r="AE107" s="31" t="s">
        <v>330</v>
      </c>
      <c r="AF107" s="31" t="s">
        <v>331</v>
      </c>
      <c r="AI107" s="32">
        <v>43981</v>
      </c>
      <c r="AJ107" s="31">
        <v>125</v>
      </c>
      <c r="AK107" s="31">
        <v>444</v>
      </c>
      <c r="BG107" s="31" t="s">
        <v>28</v>
      </c>
      <c r="BI107" s="31" t="s">
        <v>279</v>
      </c>
      <c r="BK107" s="31" t="s">
        <v>50</v>
      </c>
      <c r="BL107" s="31" t="s">
        <v>242</v>
      </c>
      <c r="BM107" s="31" t="s">
        <v>243</v>
      </c>
      <c r="BN107" s="33">
        <v>44022.280221319445</v>
      </c>
      <c r="BR107" s="31" t="s">
        <v>257</v>
      </c>
      <c r="BS107" s="31">
        <v>4.0621202017761597E+18</v>
      </c>
      <c r="BT107" s="31" t="s">
        <v>245</v>
      </c>
      <c r="BU107" s="31" t="s">
        <v>354</v>
      </c>
      <c r="BV107" s="31">
        <v>2020</v>
      </c>
      <c r="BW107" s="31" t="s">
        <v>246</v>
      </c>
      <c r="BY107" s="31">
        <v>4.07092020178338E+18</v>
      </c>
      <c r="BZ107" s="31" t="s">
        <v>516</v>
      </c>
      <c r="CA107" s="31" t="s">
        <v>248</v>
      </c>
    </row>
    <row r="108" spans="1:79" x14ac:dyDescent="0.2">
      <c r="A108" s="31" t="s">
        <v>316</v>
      </c>
      <c r="B108" s="31" t="s">
        <v>325</v>
      </c>
      <c r="C108" s="31">
        <v>2020</v>
      </c>
      <c r="D108" s="31" t="s">
        <v>498</v>
      </c>
      <c r="E108" s="31">
        <v>2.0200620924082E+17</v>
      </c>
      <c r="F108" s="31" t="s">
        <v>225</v>
      </c>
      <c r="G108" s="31" t="s">
        <v>517</v>
      </c>
      <c r="H108" s="31">
        <v>1413483</v>
      </c>
      <c r="J108" s="31" t="s">
        <v>227</v>
      </c>
      <c r="K108" s="31" t="s">
        <v>228</v>
      </c>
      <c r="L108" s="31" t="s">
        <v>404</v>
      </c>
      <c r="N108" s="31" t="s">
        <v>290</v>
      </c>
      <c r="O108" s="31" t="s">
        <v>254</v>
      </c>
      <c r="Q108" s="31" t="s">
        <v>255</v>
      </c>
      <c r="R108" s="31" t="s">
        <v>291</v>
      </c>
      <c r="T108" s="31" t="s">
        <v>292</v>
      </c>
      <c r="V108" s="31" t="s">
        <v>327</v>
      </c>
      <c r="X108" s="31" t="s">
        <v>294</v>
      </c>
      <c r="Y108" s="31" t="s">
        <v>295</v>
      </c>
      <c r="Z108" s="31">
        <v>30312</v>
      </c>
      <c r="AA108" s="31" t="s">
        <v>328</v>
      </c>
      <c r="AB108" s="31" t="s">
        <v>297</v>
      </c>
      <c r="AC108" s="31" t="s">
        <v>404</v>
      </c>
      <c r="AD108" s="31" t="s">
        <v>329</v>
      </c>
      <c r="AE108" s="31" t="s">
        <v>330</v>
      </c>
      <c r="AF108" s="31" t="s">
        <v>331</v>
      </c>
      <c r="AI108" s="32">
        <v>43956</v>
      </c>
      <c r="AJ108" s="31">
        <v>150</v>
      </c>
      <c r="AK108" s="31">
        <v>2605</v>
      </c>
      <c r="AL108" s="31" t="s">
        <v>405</v>
      </c>
      <c r="BG108" s="31" t="s">
        <v>28</v>
      </c>
      <c r="BI108" s="31" t="s">
        <v>279</v>
      </c>
      <c r="BK108" s="31" t="s">
        <v>50</v>
      </c>
      <c r="BL108" s="31" t="s">
        <v>242</v>
      </c>
      <c r="BM108" s="31" t="s">
        <v>243</v>
      </c>
      <c r="BN108" s="33">
        <v>44022.280464606483</v>
      </c>
      <c r="BR108" s="31" t="s">
        <v>257</v>
      </c>
      <c r="BS108" s="31">
        <v>4.0621202017761597E+18</v>
      </c>
      <c r="BT108" s="31" t="s">
        <v>245</v>
      </c>
      <c r="BU108" s="31" t="s">
        <v>385</v>
      </c>
      <c r="BV108" s="31">
        <v>2020</v>
      </c>
      <c r="BW108" s="31" t="s">
        <v>246</v>
      </c>
      <c r="BY108" s="31">
        <v>4.07092020178338E+18</v>
      </c>
      <c r="BZ108" s="31" t="s">
        <v>514</v>
      </c>
      <c r="CA108" s="31" t="s">
        <v>248</v>
      </c>
    </row>
    <row r="109" spans="1:79" x14ac:dyDescent="0.2">
      <c r="A109" s="31" t="s">
        <v>316</v>
      </c>
      <c r="B109" s="31" t="s">
        <v>325</v>
      </c>
      <c r="C109" s="31">
        <v>2020</v>
      </c>
      <c r="D109" s="31" t="s">
        <v>498</v>
      </c>
      <c r="E109" s="31">
        <v>2.0200620924082E+17</v>
      </c>
      <c r="F109" s="31" t="s">
        <v>225</v>
      </c>
      <c r="G109" s="31" t="s">
        <v>518</v>
      </c>
      <c r="H109" s="31">
        <v>1413483</v>
      </c>
      <c r="J109" s="31" t="s">
        <v>227</v>
      </c>
      <c r="K109" s="31" t="s">
        <v>228</v>
      </c>
      <c r="N109" s="31" t="s">
        <v>290</v>
      </c>
      <c r="O109" s="31" t="s">
        <v>254</v>
      </c>
      <c r="Q109" s="31" t="s">
        <v>255</v>
      </c>
      <c r="R109" s="31" t="s">
        <v>291</v>
      </c>
      <c r="T109" s="31" t="s">
        <v>292</v>
      </c>
      <c r="V109" s="31" t="s">
        <v>327</v>
      </c>
      <c r="X109" s="31" t="s">
        <v>294</v>
      </c>
      <c r="Y109" s="31" t="s">
        <v>295</v>
      </c>
      <c r="Z109" s="31">
        <v>30312</v>
      </c>
      <c r="AA109" s="31" t="s">
        <v>328</v>
      </c>
      <c r="AB109" s="31" t="s">
        <v>297</v>
      </c>
      <c r="AD109" s="31">
        <v>15</v>
      </c>
      <c r="AE109" s="31" t="s">
        <v>298</v>
      </c>
      <c r="AF109" s="31" t="s">
        <v>336</v>
      </c>
      <c r="AI109" s="32">
        <v>43977</v>
      </c>
      <c r="AJ109" s="31">
        <v>30</v>
      </c>
      <c r="AK109" s="31">
        <v>541.9</v>
      </c>
      <c r="BG109" s="31" t="s">
        <v>28</v>
      </c>
      <c r="BI109" s="31" t="s">
        <v>279</v>
      </c>
      <c r="BK109" s="31" t="s">
        <v>50</v>
      </c>
      <c r="BL109" s="31" t="s">
        <v>242</v>
      </c>
      <c r="BM109" s="31" t="s">
        <v>243</v>
      </c>
      <c r="BN109" s="33">
        <v>44022.280464606483</v>
      </c>
      <c r="BR109" s="31" t="s">
        <v>257</v>
      </c>
      <c r="BS109" s="31">
        <v>4.0621202017761597E+18</v>
      </c>
      <c r="BT109" s="31" t="s">
        <v>245</v>
      </c>
      <c r="BU109" s="31" t="s">
        <v>337</v>
      </c>
      <c r="BV109" s="31">
        <v>2020</v>
      </c>
      <c r="BW109" s="31" t="s">
        <v>246</v>
      </c>
      <c r="BY109" s="31">
        <v>4.07092020178338E+18</v>
      </c>
      <c r="BZ109" s="31" t="s">
        <v>519</v>
      </c>
      <c r="CA109" s="31" t="s">
        <v>248</v>
      </c>
    </row>
    <row r="110" spans="1:79" x14ac:dyDescent="0.2">
      <c r="A110" s="31" t="s">
        <v>314</v>
      </c>
      <c r="B110" s="31" t="s">
        <v>315</v>
      </c>
      <c r="C110" s="31">
        <v>2020</v>
      </c>
      <c r="D110" s="31" t="s">
        <v>461</v>
      </c>
      <c r="E110" s="31">
        <v>2.0200708924438E+17</v>
      </c>
      <c r="F110" s="31" t="s">
        <v>225</v>
      </c>
      <c r="G110" s="31">
        <v>14044547</v>
      </c>
      <c r="H110" s="31">
        <v>1417917</v>
      </c>
      <c r="J110" s="31" t="s">
        <v>227</v>
      </c>
      <c r="K110" s="31" t="s">
        <v>228</v>
      </c>
      <c r="N110" s="31" t="s">
        <v>290</v>
      </c>
      <c r="O110" s="31" t="s">
        <v>26</v>
      </c>
      <c r="Q110" s="31" t="s">
        <v>255</v>
      </c>
      <c r="R110" s="31" t="s">
        <v>291</v>
      </c>
      <c r="T110" s="31" t="s">
        <v>292</v>
      </c>
      <c r="V110" s="31" t="s">
        <v>293</v>
      </c>
      <c r="X110" s="31" t="s">
        <v>294</v>
      </c>
      <c r="Y110" s="31" t="s">
        <v>295</v>
      </c>
      <c r="Z110" s="31">
        <v>303121941</v>
      </c>
      <c r="AA110" s="31" t="s">
        <v>296</v>
      </c>
      <c r="AB110" s="31" t="s">
        <v>297</v>
      </c>
      <c r="AD110" s="31" t="s">
        <v>237</v>
      </c>
      <c r="AE110" s="31" t="s">
        <v>238</v>
      </c>
      <c r="AI110" s="32">
        <v>43935</v>
      </c>
      <c r="AJ110" s="31">
        <v>100</v>
      </c>
      <c r="AK110" s="31">
        <v>500</v>
      </c>
      <c r="BG110" s="31" t="s">
        <v>28</v>
      </c>
      <c r="BI110" s="31" t="s">
        <v>279</v>
      </c>
      <c r="BK110" s="31" t="s">
        <v>50</v>
      </c>
      <c r="BL110" s="31" t="s">
        <v>242</v>
      </c>
      <c r="BM110" s="31" t="s">
        <v>243</v>
      </c>
      <c r="BN110" s="33">
        <v>44022.29438457176</v>
      </c>
      <c r="BP110" s="31" t="s">
        <v>520</v>
      </c>
      <c r="BQ110" s="31" t="s">
        <v>318</v>
      </c>
      <c r="BR110" s="31" t="s">
        <v>257</v>
      </c>
      <c r="BS110" s="31">
        <v>4.07082020177986E+18</v>
      </c>
      <c r="BT110" s="31" t="s">
        <v>245</v>
      </c>
      <c r="BU110" s="31" t="s">
        <v>283</v>
      </c>
      <c r="BV110" s="31">
        <v>2020</v>
      </c>
      <c r="BW110" s="31" t="s">
        <v>246</v>
      </c>
      <c r="BY110" s="31">
        <v>4.0709202017799997E+18</v>
      </c>
      <c r="BZ110" s="31" t="s">
        <v>521</v>
      </c>
      <c r="CA110" s="31" t="s">
        <v>248</v>
      </c>
    </row>
    <row r="111" spans="1:79" x14ac:dyDescent="0.2">
      <c r="A111" s="31" t="s">
        <v>316</v>
      </c>
      <c r="B111" s="31" t="s">
        <v>325</v>
      </c>
      <c r="C111" s="31">
        <v>2020</v>
      </c>
      <c r="D111" s="31" t="s">
        <v>498</v>
      </c>
      <c r="E111" s="31">
        <v>2.0200620924082E+17</v>
      </c>
      <c r="F111" s="31" t="s">
        <v>225</v>
      </c>
      <c r="G111" s="31" t="s">
        <v>522</v>
      </c>
      <c r="H111" s="31">
        <v>1413483</v>
      </c>
      <c r="J111" s="31" t="s">
        <v>227</v>
      </c>
      <c r="K111" s="31" t="s">
        <v>228</v>
      </c>
      <c r="L111" s="31" t="s">
        <v>266</v>
      </c>
      <c r="N111" s="31" t="s">
        <v>290</v>
      </c>
      <c r="O111" s="31" t="s">
        <v>254</v>
      </c>
      <c r="Q111" s="31" t="s">
        <v>255</v>
      </c>
      <c r="R111" s="31" t="s">
        <v>291</v>
      </c>
      <c r="T111" s="31" t="s">
        <v>292</v>
      </c>
      <c r="V111" s="31" t="s">
        <v>327</v>
      </c>
      <c r="X111" s="31" t="s">
        <v>294</v>
      </c>
      <c r="Y111" s="31" t="s">
        <v>295</v>
      </c>
      <c r="Z111" s="31">
        <v>30312</v>
      </c>
      <c r="AA111" s="31" t="s">
        <v>328</v>
      </c>
      <c r="AB111" s="31" t="s">
        <v>297</v>
      </c>
      <c r="AC111" s="31" t="s">
        <v>266</v>
      </c>
      <c r="AD111" s="31" t="s">
        <v>329</v>
      </c>
      <c r="AE111" s="31" t="s">
        <v>330</v>
      </c>
      <c r="AF111" s="31" t="s">
        <v>331</v>
      </c>
      <c r="AI111" s="32">
        <v>43968</v>
      </c>
      <c r="AJ111" s="31">
        <v>150</v>
      </c>
      <c r="AK111" s="31">
        <v>5634</v>
      </c>
      <c r="AL111" s="31" t="s">
        <v>445</v>
      </c>
      <c r="BG111" s="31" t="s">
        <v>28</v>
      </c>
      <c r="BI111" s="31" t="s">
        <v>279</v>
      </c>
      <c r="BK111" s="31" t="s">
        <v>50</v>
      </c>
      <c r="BL111" s="31" t="s">
        <v>242</v>
      </c>
      <c r="BM111" s="31" t="s">
        <v>243</v>
      </c>
      <c r="BN111" s="33">
        <v>44022.295842997686</v>
      </c>
      <c r="BR111" s="31" t="s">
        <v>257</v>
      </c>
      <c r="BS111" s="31">
        <v>4.0621202017761597E+18</v>
      </c>
      <c r="BT111" s="31" t="s">
        <v>245</v>
      </c>
      <c r="BU111" s="31" t="s">
        <v>446</v>
      </c>
      <c r="BV111" s="31">
        <v>2020</v>
      </c>
      <c r="BW111" s="31" t="s">
        <v>246</v>
      </c>
      <c r="BY111" s="31">
        <v>4.07092020178338E+18</v>
      </c>
      <c r="BZ111" s="31" t="s">
        <v>523</v>
      </c>
      <c r="CA111" s="31" t="s">
        <v>248</v>
      </c>
    </row>
    <row r="112" spans="1:79" x14ac:dyDescent="0.2">
      <c r="A112" s="31" t="s">
        <v>316</v>
      </c>
      <c r="B112" s="31" t="s">
        <v>325</v>
      </c>
      <c r="C112" s="31">
        <v>2020</v>
      </c>
      <c r="D112" s="31" t="s">
        <v>498</v>
      </c>
      <c r="E112" s="31">
        <v>2.0200620924082E+17</v>
      </c>
      <c r="F112" s="31" t="s">
        <v>225</v>
      </c>
      <c r="G112" s="31" t="s">
        <v>524</v>
      </c>
      <c r="H112" s="31">
        <v>1413483</v>
      </c>
      <c r="J112" s="31" t="s">
        <v>227</v>
      </c>
      <c r="K112" s="31" t="s">
        <v>228</v>
      </c>
      <c r="N112" s="31" t="s">
        <v>290</v>
      </c>
      <c r="O112" s="31" t="s">
        <v>254</v>
      </c>
      <c r="Q112" s="31" t="s">
        <v>255</v>
      </c>
      <c r="R112" s="31" t="s">
        <v>291</v>
      </c>
      <c r="T112" s="31" t="s">
        <v>292</v>
      </c>
      <c r="V112" s="31" t="s">
        <v>327</v>
      </c>
      <c r="X112" s="31" t="s">
        <v>294</v>
      </c>
      <c r="Y112" s="31" t="s">
        <v>295</v>
      </c>
      <c r="Z112" s="31">
        <v>30312</v>
      </c>
      <c r="AA112" s="31" t="s">
        <v>328</v>
      </c>
      <c r="AB112" s="31" t="s">
        <v>297</v>
      </c>
      <c r="AD112" s="31">
        <v>15</v>
      </c>
      <c r="AE112" s="31" t="s">
        <v>298</v>
      </c>
      <c r="AF112" s="31" t="s">
        <v>336</v>
      </c>
      <c r="AI112" s="32">
        <v>43968</v>
      </c>
      <c r="AJ112" s="31">
        <v>15</v>
      </c>
      <c r="AK112" s="31">
        <v>541.9</v>
      </c>
      <c r="BG112" s="31" t="s">
        <v>28</v>
      </c>
      <c r="BI112" s="31" t="s">
        <v>279</v>
      </c>
      <c r="BK112" s="31" t="s">
        <v>50</v>
      </c>
      <c r="BL112" s="31" t="s">
        <v>242</v>
      </c>
      <c r="BM112" s="31" t="s">
        <v>243</v>
      </c>
      <c r="BN112" s="33">
        <v>44022.295842997686</v>
      </c>
      <c r="BR112" s="31" t="s">
        <v>257</v>
      </c>
      <c r="BS112" s="31">
        <v>4.0621202017761597E+18</v>
      </c>
      <c r="BT112" s="31" t="s">
        <v>245</v>
      </c>
      <c r="BU112" s="31" t="s">
        <v>337</v>
      </c>
      <c r="BV112" s="31">
        <v>2020</v>
      </c>
      <c r="BW112" s="31" t="s">
        <v>246</v>
      </c>
      <c r="BY112" s="31">
        <v>4.07092020178338E+18</v>
      </c>
      <c r="BZ112" s="31" t="s">
        <v>512</v>
      </c>
      <c r="CA112" s="31" t="s">
        <v>248</v>
      </c>
    </row>
    <row r="113" spans="1:79" x14ac:dyDescent="0.2">
      <c r="A113" s="31" t="s">
        <v>316</v>
      </c>
      <c r="B113" s="31" t="s">
        <v>325</v>
      </c>
      <c r="C113" s="31">
        <v>2020</v>
      </c>
      <c r="D113" s="31" t="s">
        <v>498</v>
      </c>
      <c r="E113" s="31">
        <v>2.0200620924082E+17</v>
      </c>
      <c r="F113" s="31" t="s">
        <v>225</v>
      </c>
      <c r="G113" s="31" t="s">
        <v>525</v>
      </c>
      <c r="H113" s="31">
        <v>1413483</v>
      </c>
      <c r="J113" s="31" t="s">
        <v>227</v>
      </c>
      <c r="K113" s="31" t="s">
        <v>228</v>
      </c>
      <c r="N113" s="31" t="s">
        <v>290</v>
      </c>
      <c r="O113" s="31" t="s">
        <v>254</v>
      </c>
      <c r="Q113" s="31" t="s">
        <v>255</v>
      </c>
      <c r="R113" s="31" t="s">
        <v>291</v>
      </c>
      <c r="T113" s="31" t="s">
        <v>292</v>
      </c>
      <c r="V113" s="31" t="s">
        <v>327</v>
      </c>
      <c r="X113" s="31" t="s">
        <v>294</v>
      </c>
      <c r="Y113" s="31" t="s">
        <v>295</v>
      </c>
      <c r="Z113" s="31">
        <v>30312</v>
      </c>
      <c r="AA113" s="31" t="s">
        <v>328</v>
      </c>
      <c r="AB113" s="31" t="s">
        <v>297</v>
      </c>
      <c r="AD113" s="31">
        <v>15</v>
      </c>
      <c r="AE113" s="31" t="s">
        <v>298</v>
      </c>
      <c r="AF113" s="31" t="s">
        <v>336</v>
      </c>
      <c r="AI113" s="32">
        <v>43968</v>
      </c>
      <c r="AJ113" s="31">
        <v>10</v>
      </c>
      <c r="AK113" s="31">
        <v>541.9</v>
      </c>
      <c r="BG113" s="31" t="s">
        <v>28</v>
      </c>
      <c r="BI113" s="31" t="s">
        <v>279</v>
      </c>
      <c r="BK113" s="31" t="s">
        <v>50</v>
      </c>
      <c r="BL113" s="31" t="s">
        <v>242</v>
      </c>
      <c r="BM113" s="31" t="s">
        <v>243</v>
      </c>
      <c r="BN113" s="33">
        <v>44022.295842997686</v>
      </c>
      <c r="BR113" s="31" t="s">
        <v>257</v>
      </c>
      <c r="BS113" s="31">
        <v>4.0621202017761597E+18</v>
      </c>
      <c r="BT113" s="31" t="s">
        <v>245</v>
      </c>
      <c r="BU113" s="31" t="s">
        <v>337</v>
      </c>
      <c r="BV113" s="31">
        <v>2020</v>
      </c>
      <c r="BW113" s="31" t="s">
        <v>246</v>
      </c>
      <c r="BY113" s="31">
        <v>4.07092020178338E+18</v>
      </c>
      <c r="BZ113" s="31" t="s">
        <v>519</v>
      </c>
      <c r="CA113" s="31" t="s">
        <v>248</v>
      </c>
    </row>
    <row r="114" spans="1:79" x14ac:dyDescent="0.2">
      <c r="A114" s="31" t="s">
        <v>316</v>
      </c>
      <c r="B114" s="31" t="s">
        <v>325</v>
      </c>
      <c r="C114" s="31">
        <v>2020</v>
      </c>
      <c r="D114" s="31" t="s">
        <v>498</v>
      </c>
      <c r="E114" s="31">
        <v>2.0200620924082E+17</v>
      </c>
      <c r="F114" s="31" t="s">
        <v>225</v>
      </c>
      <c r="G114" s="31" t="s">
        <v>526</v>
      </c>
      <c r="H114" s="31">
        <v>1413483</v>
      </c>
      <c r="J114" s="31" t="s">
        <v>227</v>
      </c>
      <c r="K114" s="31" t="s">
        <v>228</v>
      </c>
      <c r="N114" s="31" t="s">
        <v>290</v>
      </c>
      <c r="O114" s="31" t="s">
        <v>254</v>
      </c>
      <c r="Q114" s="31" t="s">
        <v>255</v>
      </c>
      <c r="R114" s="31" t="s">
        <v>291</v>
      </c>
      <c r="T114" s="31" t="s">
        <v>292</v>
      </c>
      <c r="V114" s="31" t="s">
        <v>327</v>
      </c>
      <c r="X114" s="31" t="s">
        <v>294</v>
      </c>
      <c r="Y114" s="31" t="s">
        <v>295</v>
      </c>
      <c r="Z114" s="31">
        <v>30312</v>
      </c>
      <c r="AA114" s="31" t="s">
        <v>328</v>
      </c>
      <c r="AB114" s="31" t="s">
        <v>297</v>
      </c>
      <c r="AD114" s="31">
        <v>15</v>
      </c>
      <c r="AE114" s="31" t="s">
        <v>298</v>
      </c>
      <c r="AF114" s="31" t="s">
        <v>336</v>
      </c>
      <c r="AI114" s="32">
        <v>43954</v>
      </c>
      <c r="AJ114" s="31">
        <v>2.5</v>
      </c>
      <c r="AK114" s="31">
        <v>541.9</v>
      </c>
      <c r="BG114" s="31" t="s">
        <v>28</v>
      </c>
      <c r="BI114" s="31" t="s">
        <v>279</v>
      </c>
      <c r="BK114" s="31" t="s">
        <v>50</v>
      </c>
      <c r="BL114" s="31" t="s">
        <v>242</v>
      </c>
      <c r="BM114" s="31" t="s">
        <v>243</v>
      </c>
      <c r="BN114" s="33">
        <v>44022.297228645832</v>
      </c>
      <c r="BR114" s="31" t="s">
        <v>257</v>
      </c>
      <c r="BS114" s="31">
        <v>4.0621202017761597E+18</v>
      </c>
      <c r="BT114" s="31" t="s">
        <v>245</v>
      </c>
      <c r="BU114" s="31" t="s">
        <v>337</v>
      </c>
      <c r="BV114" s="31">
        <v>2020</v>
      </c>
      <c r="BW114" s="31" t="s">
        <v>246</v>
      </c>
      <c r="BY114" s="31">
        <v>4.07092020178338E+18</v>
      </c>
      <c r="BZ114" s="31" t="s">
        <v>527</v>
      </c>
      <c r="CA114" s="31" t="s">
        <v>248</v>
      </c>
    </row>
    <row r="115" spans="1:79" x14ac:dyDescent="0.2">
      <c r="A115" s="31" t="s">
        <v>316</v>
      </c>
      <c r="B115" s="31" t="s">
        <v>325</v>
      </c>
      <c r="C115" s="31">
        <v>2020</v>
      </c>
      <c r="D115" s="31" t="s">
        <v>498</v>
      </c>
      <c r="E115" s="31">
        <v>2.0200620924082E+17</v>
      </c>
      <c r="F115" s="31" t="s">
        <v>225</v>
      </c>
      <c r="G115" s="31" t="s">
        <v>528</v>
      </c>
      <c r="H115" s="31">
        <v>1413483</v>
      </c>
      <c r="J115" s="31" t="s">
        <v>227</v>
      </c>
      <c r="K115" s="31" t="s">
        <v>228</v>
      </c>
      <c r="N115" s="31" t="s">
        <v>290</v>
      </c>
      <c r="O115" s="31" t="s">
        <v>254</v>
      </c>
      <c r="Q115" s="31" t="s">
        <v>255</v>
      </c>
      <c r="R115" s="31" t="s">
        <v>291</v>
      </c>
      <c r="T115" s="31" t="s">
        <v>292</v>
      </c>
      <c r="V115" s="31" t="s">
        <v>327</v>
      </c>
      <c r="X115" s="31" t="s">
        <v>294</v>
      </c>
      <c r="Y115" s="31" t="s">
        <v>295</v>
      </c>
      <c r="Z115" s="31">
        <v>30312</v>
      </c>
      <c r="AA115" s="31" t="s">
        <v>328</v>
      </c>
      <c r="AB115" s="31" t="s">
        <v>297</v>
      </c>
      <c r="AD115" s="31">
        <v>15</v>
      </c>
      <c r="AE115" s="31" t="s">
        <v>298</v>
      </c>
      <c r="AF115" s="31" t="s">
        <v>336</v>
      </c>
      <c r="AI115" s="32">
        <v>43977</v>
      </c>
      <c r="AJ115" s="31">
        <v>25</v>
      </c>
      <c r="AK115" s="31">
        <v>541.9</v>
      </c>
      <c r="BG115" s="31" t="s">
        <v>28</v>
      </c>
      <c r="BI115" s="31" t="s">
        <v>279</v>
      </c>
      <c r="BK115" s="31" t="s">
        <v>50</v>
      </c>
      <c r="BL115" s="31" t="s">
        <v>242</v>
      </c>
      <c r="BM115" s="31" t="s">
        <v>243</v>
      </c>
      <c r="BN115" s="33">
        <v>44022.297228645832</v>
      </c>
      <c r="BR115" s="31" t="s">
        <v>257</v>
      </c>
      <c r="BS115" s="31">
        <v>4.0621202017761597E+18</v>
      </c>
      <c r="BT115" s="31" t="s">
        <v>245</v>
      </c>
      <c r="BU115" s="31" t="s">
        <v>337</v>
      </c>
      <c r="BV115" s="31">
        <v>2020</v>
      </c>
      <c r="BW115" s="31" t="s">
        <v>246</v>
      </c>
      <c r="BY115" s="31">
        <v>4.07092020178338E+18</v>
      </c>
      <c r="BZ115" s="31" t="s">
        <v>529</v>
      </c>
      <c r="CA115" s="31" t="s">
        <v>248</v>
      </c>
    </row>
    <row r="116" spans="1:79" x14ac:dyDescent="0.2">
      <c r="A116" s="31" t="s">
        <v>316</v>
      </c>
      <c r="B116" s="31" t="s">
        <v>325</v>
      </c>
      <c r="C116" s="31">
        <v>2020</v>
      </c>
      <c r="D116" s="31" t="s">
        <v>498</v>
      </c>
      <c r="E116" s="31">
        <v>2.0200620924082E+17</v>
      </c>
      <c r="F116" s="31" t="s">
        <v>225</v>
      </c>
      <c r="G116" s="31" t="s">
        <v>530</v>
      </c>
      <c r="H116" s="31">
        <v>1413483</v>
      </c>
      <c r="J116" s="31" t="s">
        <v>227</v>
      </c>
      <c r="K116" s="31" t="s">
        <v>228</v>
      </c>
      <c r="L116" s="31" t="s">
        <v>266</v>
      </c>
      <c r="N116" s="31" t="s">
        <v>290</v>
      </c>
      <c r="O116" s="31" t="s">
        <v>254</v>
      </c>
      <c r="Q116" s="31" t="s">
        <v>255</v>
      </c>
      <c r="R116" s="31" t="s">
        <v>291</v>
      </c>
      <c r="T116" s="31" t="s">
        <v>292</v>
      </c>
      <c r="V116" s="31" t="s">
        <v>327</v>
      </c>
      <c r="X116" s="31" t="s">
        <v>294</v>
      </c>
      <c r="Y116" s="31" t="s">
        <v>295</v>
      </c>
      <c r="Z116" s="31">
        <v>30312</v>
      </c>
      <c r="AA116" s="31" t="s">
        <v>328</v>
      </c>
      <c r="AB116" s="31" t="s">
        <v>297</v>
      </c>
      <c r="AC116" s="31" t="s">
        <v>266</v>
      </c>
      <c r="AD116" s="31" t="s">
        <v>329</v>
      </c>
      <c r="AE116" s="31" t="s">
        <v>330</v>
      </c>
      <c r="AF116" s="31" t="s">
        <v>331</v>
      </c>
      <c r="AI116" s="32">
        <v>43954</v>
      </c>
      <c r="AJ116" s="31">
        <v>25</v>
      </c>
      <c r="AK116" s="31">
        <v>5634</v>
      </c>
      <c r="AL116" s="31" t="s">
        <v>445</v>
      </c>
      <c r="BG116" s="31" t="s">
        <v>28</v>
      </c>
      <c r="BI116" s="31" t="s">
        <v>279</v>
      </c>
      <c r="BK116" s="31" t="s">
        <v>50</v>
      </c>
      <c r="BL116" s="31" t="s">
        <v>242</v>
      </c>
      <c r="BM116" s="31" t="s">
        <v>243</v>
      </c>
      <c r="BN116" s="33">
        <v>44022.311808240738</v>
      </c>
      <c r="BR116" s="31" t="s">
        <v>257</v>
      </c>
      <c r="BS116" s="31">
        <v>4.0621202017761597E+18</v>
      </c>
      <c r="BT116" s="31" t="s">
        <v>245</v>
      </c>
      <c r="BU116" s="31" t="s">
        <v>446</v>
      </c>
      <c r="BV116" s="31">
        <v>2020</v>
      </c>
      <c r="BW116" s="31" t="s">
        <v>246</v>
      </c>
      <c r="BY116" s="31">
        <v>4.07092020178338E+18</v>
      </c>
      <c r="BZ116" s="31" t="s">
        <v>527</v>
      </c>
      <c r="CA116" s="31" t="s">
        <v>248</v>
      </c>
    </row>
    <row r="117" spans="1:79" x14ac:dyDescent="0.2">
      <c r="A117" s="31" t="s">
        <v>316</v>
      </c>
      <c r="B117" s="31" t="s">
        <v>325</v>
      </c>
      <c r="C117" s="31">
        <v>2020</v>
      </c>
      <c r="D117" s="31" t="s">
        <v>498</v>
      </c>
      <c r="E117" s="31">
        <v>2.0200620924082E+17</v>
      </c>
      <c r="F117" s="31" t="s">
        <v>225</v>
      </c>
      <c r="G117" s="31" t="s">
        <v>531</v>
      </c>
      <c r="H117" s="31">
        <v>1413483</v>
      </c>
      <c r="J117" s="31" t="s">
        <v>227</v>
      </c>
      <c r="K117" s="31" t="s">
        <v>228</v>
      </c>
      <c r="N117" s="31" t="s">
        <v>290</v>
      </c>
      <c r="O117" s="31" t="s">
        <v>254</v>
      </c>
      <c r="Q117" s="31" t="s">
        <v>255</v>
      </c>
      <c r="R117" s="31" t="s">
        <v>291</v>
      </c>
      <c r="T117" s="31" t="s">
        <v>292</v>
      </c>
      <c r="V117" s="31" t="s">
        <v>327</v>
      </c>
      <c r="X117" s="31" t="s">
        <v>294</v>
      </c>
      <c r="Y117" s="31" t="s">
        <v>295</v>
      </c>
      <c r="Z117" s="31">
        <v>30312</v>
      </c>
      <c r="AA117" s="31" t="s">
        <v>328</v>
      </c>
      <c r="AB117" s="31" t="s">
        <v>297</v>
      </c>
      <c r="AD117" s="31">
        <v>15</v>
      </c>
      <c r="AE117" s="31" t="s">
        <v>298</v>
      </c>
      <c r="AF117" s="31" t="s">
        <v>336</v>
      </c>
      <c r="AI117" s="32">
        <v>43956</v>
      </c>
      <c r="AJ117" s="31">
        <v>25</v>
      </c>
      <c r="AK117" s="31">
        <v>541.9</v>
      </c>
      <c r="BG117" s="31" t="s">
        <v>28</v>
      </c>
      <c r="BI117" s="31" t="s">
        <v>279</v>
      </c>
      <c r="BK117" s="31" t="s">
        <v>50</v>
      </c>
      <c r="BL117" s="31" t="s">
        <v>242</v>
      </c>
      <c r="BM117" s="31" t="s">
        <v>243</v>
      </c>
      <c r="BN117" s="33">
        <v>44022.311808240738</v>
      </c>
      <c r="BR117" s="31" t="s">
        <v>257</v>
      </c>
      <c r="BS117" s="31">
        <v>4.0621202017761597E+18</v>
      </c>
      <c r="BT117" s="31" t="s">
        <v>245</v>
      </c>
      <c r="BU117" s="31" t="s">
        <v>337</v>
      </c>
      <c r="BV117" s="31">
        <v>2020</v>
      </c>
      <c r="BW117" s="31" t="s">
        <v>246</v>
      </c>
      <c r="BY117" s="31">
        <v>4.07092020178338E+18</v>
      </c>
      <c r="BZ117" s="31" t="s">
        <v>527</v>
      </c>
      <c r="CA117" s="31" t="s">
        <v>248</v>
      </c>
    </row>
    <row r="118" spans="1:79" x14ac:dyDescent="0.2">
      <c r="A118" s="31" t="s">
        <v>316</v>
      </c>
      <c r="B118" s="31" t="s">
        <v>325</v>
      </c>
      <c r="C118" s="31">
        <v>2020</v>
      </c>
      <c r="D118" s="31" t="s">
        <v>498</v>
      </c>
      <c r="E118" s="31">
        <v>2.0200620924082E+17</v>
      </c>
      <c r="F118" s="31" t="s">
        <v>225</v>
      </c>
      <c r="G118" s="31" t="s">
        <v>532</v>
      </c>
      <c r="H118" s="31">
        <v>1413483</v>
      </c>
      <c r="J118" s="31" t="s">
        <v>227</v>
      </c>
      <c r="K118" s="31" t="s">
        <v>228</v>
      </c>
      <c r="N118" s="31" t="s">
        <v>290</v>
      </c>
      <c r="O118" s="31" t="s">
        <v>254</v>
      </c>
      <c r="Q118" s="31" t="s">
        <v>255</v>
      </c>
      <c r="R118" s="31" t="s">
        <v>291</v>
      </c>
      <c r="T118" s="31" t="s">
        <v>292</v>
      </c>
      <c r="V118" s="31" t="s">
        <v>327</v>
      </c>
      <c r="X118" s="31" t="s">
        <v>294</v>
      </c>
      <c r="Y118" s="31" t="s">
        <v>295</v>
      </c>
      <c r="Z118" s="31">
        <v>30312</v>
      </c>
      <c r="AA118" s="31" t="s">
        <v>328</v>
      </c>
      <c r="AB118" s="31" t="s">
        <v>297</v>
      </c>
      <c r="AD118" s="31">
        <v>15</v>
      </c>
      <c r="AE118" s="31" t="s">
        <v>298</v>
      </c>
      <c r="AF118" s="31" t="s">
        <v>336</v>
      </c>
      <c r="AI118" s="32">
        <v>43981</v>
      </c>
      <c r="AJ118" s="31">
        <v>12.5</v>
      </c>
      <c r="AK118" s="31">
        <v>541.9</v>
      </c>
      <c r="BG118" s="31" t="s">
        <v>28</v>
      </c>
      <c r="BI118" s="31" t="s">
        <v>279</v>
      </c>
      <c r="BK118" s="31" t="s">
        <v>50</v>
      </c>
      <c r="BL118" s="31" t="s">
        <v>242</v>
      </c>
      <c r="BM118" s="31" t="s">
        <v>243</v>
      </c>
      <c r="BN118" s="33">
        <v>44022.311808240738</v>
      </c>
      <c r="BR118" s="31" t="s">
        <v>257</v>
      </c>
      <c r="BS118" s="31">
        <v>4.0621202017761597E+18</v>
      </c>
      <c r="BT118" s="31" t="s">
        <v>245</v>
      </c>
      <c r="BU118" s="31" t="s">
        <v>337</v>
      </c>
      <c r="BV118" s="31">
        <v>2020</v>
      </c>
      <c r="BW118" s="31" t="s">
        <v>246</v>
      </c>
      <c r="BY118" s="31">
        <v>4.07092020178338E+18</v>
      </c>
      <c r="BZ118" s="31" t="s">
        <v>516</v>
      </c>
      <c r="CA118" s="31" t="s">
        <v>248</v>
      </c>
    </row>
    <row r="119" spans="1:79" x14ac:dyDescent="0.2">
      <c r="A119" s="31" t="s">
        <v>314</v>
      </c>
      <c r="B119" s="31" t="s">
        <v>315</v>
      </c>
      <c r="C119" s="31">
        <v>2020</v>
      </c>
      <c r="D119" s="31" t="s">
        <v>461</v>
      </c>
      <c r="E119" s="31">
        <v>2.0200708924438E+17</v>
      </c>
      <c r="F119" s="31" t="s">
        <v>225</v>
      </c>
      <c r="G119" s="31">
        <v>14044965</v>
      </c>
      <c r="H119" s="31">
        <v>1417917</v>
      </c>
      <c r="J119" s="31" t="s">
        <v>227</v>
      </c>
      <c r="K119" s="31" t="s">
        <v>228</v>
      </c>
      <c r="N119" s="31" t="s">
        <v>290</v>
      </c>
      <c r="O119" s="31" t="s">
        <v>26</v>
      </c>
      <c r="Q119" s="31" t="s">
        <v>255</v>
      </c>
      <c r="R119" s="31" t="s">
        <v>291</v>
      </c>
      <c r="T119" s="31" t="s">
        <v>292</v>
      </c>
      <c r="V119" s="31" t="s">
        <v>293</v>
      </c>
      <c r="X119" s="31" t="s">
        <v>294</v>
      </c>
      <c r="Y119" s="31" t="s">
        <v>295</v>
      </c>
      <c r="Z119" s="31">
        <v>303121941</v>
      </c>
      <c r="AA119" s="31" t="s">
        <v>296</v>
      </c>
      <c r="AB119" s="31" t="s">
        <v>297</v>
      </c>
      <c r="AD119" s="31" t="s">
        <v>237</v>
      </c>
      <c r="AE119" s="31" t="s">
        <v>238</v>
      </c>
      <c r="AI119" s="32">
        <v>43935</v>
      </c>
      <c r="AJ119" s="31">
        <v>100</v>
      </c>
      <c r="AK119" s="31">
        <v>500</v>
      </c>
      <c r="BG119" s="31" t="s">
        <v>28</v>
      </c>
      <c r="BI119" s="31" t="s">
        <v>279</v>
      </c>
      <c r="BK119" s="31" t="s">
        <v>50</v>
      </c>
      <c r="BL119" s="31" t="s">
        <v>242</v>
      </c>
      <c r="BM119" s="31" t="s">
        <v>243</v>
      </c>
      <c r="BN119" s="33">
        <v>44022.323692418984</v>
      </c>
      <c r="BP119" s="31" t="s">
        <v>533</v>
      </c>
      <c r="BQ119" s="31" t="s">
        <v>318</v>
      </c>
      <c r="BR119" s="31" t="s">
        <v>257</v>
      </c>
      <c r="BS119" s="31">
        <v>4.07082020177986E+18</v>
      </c>
      <c r="BT119" s="31" t="s">
        <v>245</v>
      </c>
      <c r="BU119" s="31" t="s">
        <v>283</v>
      </c>
      <c r="BV119" s="31">
        <v>2020</v>
      </c>
      <c r="BW119" s="31" t="s">
        <v>246</v>
      </c>
      <c r="BY119" s="31">
        <v>4.0709202017799997E+18</v>
      </c>
      <c r="BZ119" s="31" t="s">
        <v>534</v>
      </c>
      <c r="CA119" s="31" t="s">
        <v>248</v>
      </c>
    </row>
    <row r="120" spans="1:79" x14ac:dyDescent="0.2">
      <c r="A120" s="31" t="s">
        <v>316</v>
      </c>
      <c r="B120" s="31" t="s">
        <v>325</v>
      </c>
      <c r="C120" s="31">
        <v>2020</v>
      </c>
      <c r="D120" s="31" t="s">
        <v>498</v>
      </c>
      <c r="E120" s="31">
        <v>2.0200620924082E+17</v>
      </c>
      <c r="F120" s="31" t="s">
        <v>225</v>
      </c>
      <c r="G120" s="31" t="s">
        <v>535</v>
      </c>
      <c r="H120" s="31">
        <v>1413483</v>
      </c>
      <c r="J120" s="31" t="s">
        <v>227</v>
      </c>
      <c r="K120" s="31" t="s">
        <v>228</v>
      </c>
      <c r="L120" s="31" t="s">
        <v>314</v>
      </c>
      <c r="N120" s="31" t="s">
        <v>290</v>
      </c>
      <c r="O120" s="31" t="s">
        <v>254</v>
      </c>
      <c r="Q120" s="31" t="s">
        <v>255</v>
      </c>
      <c r="R120" s="31" t="s">
        <v>291</v>
      </c>
      <c r="T120" s="31" t="s">
        <v>292</v>
      </c>
      <c r="V120" s="31" t="s">
        <v>327</v>
      </c>
      <c r="X120" s="31" t="s">
        <v>294</v>
      </c>
      <c r="Y120" s="31" t="s">
        <v>295</v>
      </c>
      <c r="Z120" s="31">
        <v>30312</v>
      </c>
      <c r="AA120" s="31" t="s">
        <v>328</v>
      </c>
      <c r="AB120" s="31" t="s">
        <v>297</v>
      </c>
      <c r="AC120" s="31" t="s">
        <v>314</v>
      </c>
      <c r="AD120" s="31" t="s">
        <v>329</v>
      </c>
      <c r="AE120" s="31" t="s">
        <v>330</v>
      </c>
      <c r="AF120" s="31" t="s">
        <v>331</v>
      </c>
      <c r="AI120" s="32">
        <v>43966</v>
      </c>
      <c r="AJ120" s="31">
        <v>100</v>
      </c>
      <c r="AK120" s="31">
        <v>700</v>
      </c>
      <c r="BG120" s="31" t="s">
        <v>28</v>
      </c>
      <c r="BI120" s="31" t="s">
        <v>279</v>
      </c>
      <c r="BK120" s="31" t="s">
        <v>50</v>
      </c>
      <c r="BL120" s="31" t="s">
        <v>242</v>
      </c>
      <c r="BM120" s="31" t="s">
        <v>243</v>
      </c>
      <c r="BN120" s="33">
        <v>44022.326513784719</v>
      </c>
      <c r="BR120" s="31" t="s">
        <v>257</v>
      </c>
      <c r="BS120" s="31">
        <v>4.0621202017761597E+18</v>
      </c>
      <c r="BT120" s="31" t="s">
        <v>245</v>
      </c>
      <c r="BU120" s="31" t="s">
        <v>357</v>
      </c>
      <c r="BV120" s="31">
        <v>2020</v>
      </c>
      <c r="BW120" s="31" t="s">
        <v>246</v>
      </c>
      <c r="BY120" s="31">
        <v>4.07092020178338E+18</v>
      </c>
      <c r="BZ120" s="31" t="s">
        <v>523</v>
      </c>
      <c r="CA120" s="31" t="s">
        <v>248</v>
      </c>
    </row>
    <row r="121" spans="1:79" x14ac:dyDescent="0.2">
      <c r="A121" s="31" t="s">
        <v>316</v>
      </c>
      <c r="B121" s="31" t="s">
        <v>325</v>
      </c>
      <c r="C121" s="31">
        <v>2020</v>
      </c>
      <c r="D121" s="31" t="s">
        <v>498</v>
      </c>
      <c r="E121" s="31">
        <v>2.0200620924082E+17</v>
      </c>
      <c r="F121" s="31" t="s">
        <v>225</v>
      </c>
      <c r="G121" s="31" t="s">
        <v>536</v>
      </c>
      <c r="H121" s="31">
        <v>1413483</v>
      </c>
      <c r="J121" s="31" t="s">
        <v>227</v>
      </c>
      <c r="K121" s="31" t="s">
        <v>228</v>
      </c>
      <c r="N121" s="31" t="s">
        <v>290</v>
      </c>
      <c r="O121" s="31" t="s">
        <v>254</v>
      </c>
      <c r="Q121" s="31" t="s">
        <v>255</v>
      </c>
      <c r="R121" s="31" t="s">
        <v>291</v>
      </c>
      <c r="T121" s="31" t="s">
        <v>292</v>
      </c>
      <c r="V121" s="31" t="s">
        <v>327</v>
      </c>
      <c r="X121" s="31" t="s">
        <v>294</v>
      </c>
      <c r="Y121" s="31" t="s">
        <v>295</v>
      </c>
      <c r="Z121" s="31">
        <v>30312</v>
      </c>
      <c r="AA121" s="31" t="s">
        <v>328</v>
      </c>
      <c r="AB121" s="31" t="s">
        <v>297</v>
      </c>
      <c r="AD121" s="31">
        <v>15</v>
      </c>
      <c r="AE121" s="31" t="s">
        <v>298</v>
      </c>
      <c r="AF121" s="31" t="s">
        <v>336</v>
      </c>
      <c r="AI121" s="32">
        <v>43968</v>
      </c>
      <c r="AJ121" s="31">
        <v>25</v>
      </c>
      <c r="AK121" s="31">
        <v>541.9</v>
      </c>
      <c r="BG121" s="31" t="s">
        <v>28</v>
      </c>
      <c r="BI121" s="31" t="s">
        <v>279</v>
      </c>
      <c r="BK121" s="31" t="s">
        <v>50</v>
      </c>
      <c r="BL121" s="31" t="s">
        <v>242</v>
      </c>
      <c r="BM121" s="31" t="s">
        <v>243</v>
      </c>
      <c r="BN121" s="33">
        <v>44022.326513784719</v>
      </c>
      <c r="BR121" s="31" t="s">
        <v>257</v>
      </c>
      <c r="BS121" s="31">
        <v>4.0621202017761597E+18</v>
      </c>
      <c r="BT121" s="31" t="s">
        <v>245</v>
      </c>
      <c r="BU121" s="31" t="s">
        <v>337</v>
      </c>
      <c r="BV121" s="31">
        <v>2020</v>
      </c>
      <c r="BW121" s="31" t="s">
        <v>246</v>
      </c>
      <c r="BY121" s="31">
        <v>4.07092020178338E+18</v>
      </c>
      <c r="BZ121" s="31" t="s">
        <v>512</v>
      </c>
      <c r="CA121" s="31" t="s">
        <v>248</v>
      </c>
    </row>
    <row r="122" spans="1:79" x14ac:dyDescent="0.2">
      <c r="A122" s="31" t="s">
        <v>316</v>
      </c>
      <c r="B122" s="31" t="s">
        <v>325</v>
      </c>
      <c r="C122" s="31">
        <v>2020</v>
      </c>
      <c r="D122" s="31" t="s">
        <v>498</v>
      </c>
      <c r="E122" s="31">
        <v>2.0200620924082E+17</v>
      </c>
      <c r="F122" s="31" t="s">
        <v>225</v>
      </c>
      <c r="G122" s="31" t="s">
        <v>537</v>
      </c>
      <c r="H122" s="31">
        <v>1413483</v>
      </c>
      <c r="J122" s="31" t="s">
        <v>227</v>
      </c>
      <c r="K122" s="31" t="s">
        <v>228</v>
      </c>
      <c r="N122" s="31" t="s">
        <v>290</v>
      </c>
      <c r="O122" s="31" t="s">
        <v>254</v>
      </c>
      <c r="Q122" s="31" t="s">
        <v>255</v>
      </c>
      <c r="R122" s="31" t="s">
        <v>291</v>
      </c>
      <c r="T122" s="31" t="s">
        <v>292</v>
      </c>
      <c r="V122" s="31" t="s">
        <v>327</v>
      </c>
      <c r="X122" s="31" t="s">
        <v>294</v>
      </c>
      <c r="Y122" s="31" t="s">
        <v>295</v>
      </c>
      <c r="Z122" s="31">
        <v>30312</v>
      </c>
      <c r="AA122" s="31" t="s">
        <v>328</v>
      </c>
      <c r="AB122" s="31" t="s">
        <v>297</v>
      </c>
      <c r="AD122" s="31">
        <v>15</v>
      </c>
      <c r="AE122" s="31" t="s">
        <v>298</v>
      </c>
      <c r="AF122" s="31" t="s">
        <v>336</v>
      </c>
      <c r="AI122" s="32">
        <v>43966</v>
      </c>
      <c r="AJ122" s="31">
        <v>10</v>
      </c>
      <c r="AK122" s="31">
        <v>541.9</v>
      </c>
      <c r="BG122" s="31" t="s">
        <v>28</v>
      </c>
      <c r="BI122" s="31" t="s">
        <v>279</v>
      </c>
      <c r="BK122" s="31" t="s">
        <v>50</v>
      </c>
      <c r="BL122" s="31" t="s">
        <v>242</v>
      </c>
      <c r="BM122" s="31" t="s">
        <v>243</v>
      </c>
      <c r="BN122" s="33">
        <v>44022.32822758102</v>
      </c>
      <c r="BR122" s="31" t="s">
        <v>257</v>
      </c>
      <c r="BS122" s="31">
        <v>4.0621202017761597E+18</v>
      </c>
      <c r="BT122" s="31" t="s">
        <v>245</v>
      </c>
      <c r="BU122" s="31" t="s">
        <v>337</v>
      </c>
      <c r="BV122" s="31">
        <v>2020</v>
      </c>
      <c r="BW122" s="31" t="s">
        <v>246</v>
      </c>
      <c r="BY122" s="31">
        <v>4.07092020178338E+18</v>
      </c>
      <c r="BZ122" s="31" t="s">
        <v>523</v>
      </c>
      <c r="CA122" s="31" t="s">
        <v>248</v>
      </c>
    </row>
    <row r="123" spans="1:79" x14ac:dyDescent="0.2">
      <c r="A123" s="31" t="s">
        <v>314</v>
      </c>
      <c r="B123" s="31" t="s">
        <v>315</v>
      </c>
      <c r="C123" s="31">
        <v>2020</v>
      </c>
      <c r="D123" s="31" t="s">
        <v>461</v>
      </c>
      <c r="E123" s="31">
        <v>2.0200708924438E+17</v>
      </c>
      <c r="F123" s="31" t="s">
        <v>225</v>
      </c>
      <c r="G123" s="31">
        <v>14052090</v>
      </c>
      <c r="H123" s="31">
        <v>1417917</v>
      </c>
      <c r="J123" s="31" t="s">
        <v>227</v>
      </c>
      <c r="K123" s="31" t="s">
        <v>228</v>
      </c>
      <c r="N123" s="31" t="s">
        <v>290</v>
      </c>
      <c r="O123" s="31" t="s">
        <v>26</v>
      </c>
      <c r="Q123" s="31" t="s">
        <v>255</v>
      </c>
      <c r="R123" s="31" t="s">
        <v>291</v>
      </c>
      <c r="T123" s="31" t="s">
        <v>292</v>
      </c>
      <c r="V123" s="31" t="s">
        <v>293</v>
      </c>
      <c r="X123" s="31" t="s">
        <v>294</v>
      </c>
      <c r="Y123" s="31" t="s">
        <v>295</v>
      </c>
      <c r="Z123" s="31">
        <v>303121941</v>
      </c>
      <c r="AA123" s="31" t="s">
        <v>296</v>
      </c>
      <c r="AB123" s="31" t="s">
        <v>297</v>
      </c>
      <c r="AD123" s="31" t="s">
        <v>237</v>
      </c>
      <c r="AE123" s="31" t="s">
        <v>238</v>
      </c>
      <c r="AI123" s="32">
        <v>43932</v>
      </c>
      <c r="AJ123" s="31">
        <v>100</v>
      </c>
      <c r="AK123" s="31">
        <v>300</v>
      </c>
      <c r="BG123" s="31" t="s">
        <v>28</v>
      </c>
      <c r="BI123" s="31" t="s">
        <v>279</v>
      </c>
      <c r="BK123" s="31" t="s">
        <v>50</v>
      </c>
      <c r="BL123" s="31" t="s">
        <v>242</v>
      </c>
      <c r="BM123" s="31" t="s">
        <v>243</v>
      </c>
      <c r="BN123" s="33">
        <v>44022.3391171412</v>
      </c>
      <c r="BP123" s="31" t="s">
        <v>538</v>
      </c>
      <c r="BQ123" s="31" t="s">
        <v>318</v>
      </c>
      <c r="BR123" s="31" t="s">
        <v>257</v>
      </c>
      <c r="BS123" s="31">
        <v>4.07082020177986E+18</v>
      </c>
      <c r="BT123" s="31" t="s">
        <v>245</v>
      </c>
      <c r="BU123" s="31" t="s">
        <v>283</v>
      </c>
      <c r="BV123" s="31">
        <v>2020</v>
      </c>
      <c r="BW123" s="31" t="s">
        <v>246</v>
      </c>
      <c r="BY123" s="31">
        <v>4.0709202017799997E+18</v>
      </c>
      <c r="BZ123" s="31" t="s">
        <v>534</v>
      </c>
      <c r="CA123" s="31" t="s">
        <v>248</v>
      </c>
    </row>
    <row r="124" spans="1:79" x14ac:dyDescent="0.2">
      <c r="A124" s="31" t="s">
        <v>314</v>
      </c>
      <c r="B124" s="31" t="s">
        <v>315</v>
      </c>
      <c r="C124" s="31">
        <v>2020</v>
      </c>
      <c r="D124" s="31" t="s">
        <v>461</v>
      </c>
      <c r="E124" s="31">
        <v>2.0200708924438E+17</v>
      </c>
      <c r="F124" s="31" t="s">
        <v>225</v>
      </c>
      <c r="G124" s="31">
        <v>14123952</v>
      </c>
      <c r="H124" s="31">
        <v>1417917</v>
      </c>
      <c r="J124" s="31" t="s">
        <v>227</v>
      </c>
      <c r="K124" s="31" t="s">
        <v>228</v>
      </c>
      <c r="N124" s="31" t="s">
        <v>290</v>
      </c>
      <c r="O124" s="31" t="s">
        <v>26</v>
      </c>
      <c r="Q124" s="31" t="s">
        <v>255</v>
      </c>
      <c r="R124" s="31" t="s">
        <v>291</v>
      </c>
      <c r="T124" s="31" t="s">
        <v>292</v>
      </c>
      <c r="V124" s="31" t="s">
        <v>293</v>
      </c>
      <c r="X124" s="31" t="s">
        <v>294</v>
      </c>
      <c r="Y124" s="31" t="s">
        <v>295</v>
      </c>
      <c r="Z124" s="31">
        <v>303121941</v>
      </c>
      <c r="AA124" s="31" t="s">
        <v>296</v>
      </c>
      <c r="AB124" s="31" t="s">
        <v>297</v>
      </c>
      <c r="AD124" s="31" t="s">
        <v>237</v>
      </c>
      <c r="AE124" s="31" t="s">
        <v>238</v>
      </c>
      <c r="AI124" s="32">
        <v>43947</v>
      </c>
      <c r="AJ124" s="31">
        <v>100</v>
      </c>
      <c r="AK124" s="31">
        <v>600</v>
      </c>
      <c r="BG124" s="31" t="s">
        <v>28</v>
      </c>
      <c r="BI124" s="31" t="s">
        <v>279</v>
      </c>
      <c r="BK124" s="31" t="s">
        <v>50</v>
      </c>
      <c r="BL124" s="31" t="s">
        <v>242</v>
      </c>
      <c r="BM124" s="31" t="s">
        <v>243</v>
      </c>
      <c r="BN124" s="33">
        <v>44022.3391171412</v>
      </c>
      <c r="BP124" s="31" t="s">
        <v>539</v>
      </c>
      <c r="BQ124" s="31" t="s">
        <v>318</v>
      </c>
      <c r="BR124" s="31" t="s">
        <v>257</v>
      </c>
      <c r="BS124" s="31">
        <v>4.07082020177986E+18</v>
      </c>
      <c r="BT124" s="31" t="s">
        <v>245</v>
      </c>
      <c r="BU124" s="31" t="s">
        <v>283</v>
      </c>
      <c r="BV124" s="31">
        <v>2020</v>
      </c>
      <c r="BW124" s="31" t="s">
        <v>246</v>
      </c>
      <c r="BY124" s="31">
        <v>4.0709202017799997E+18</v>
      </c>
      <c r="BZ124" s="31" t="s">
        <v>540</v>
      </c>
      <c r="CA124" s="31" t="s">
        <v>248</v>
      </c>
    </row>
    <row r="125" spans="1:79" x14ac:dyDescent="0.2">
      <c r="A125" s="31" t="s">
        <v>314</v>
      </c>
      <c r="B125" s="31" t="s">
        <v>315</v>
      </c>
      <c r="C125" s="31">
        <v>2020</v>
      </c>
      <c r="D125" s="31" t="s">
        <v>498</v>
      </c>
      <c r="E125" s="31">
        <v>2.0200714924453699E+17</v>
      </c>
      <c r="F125" s="31" t="s">
        <v>225</v>
      </c>
      <c r="G125" s="31">
        <v>14320885</v>
      </c>
      <c r="H125" s="31">
        <v>1420650</v>
      </c>
      <c r="J125" s="31" t="s">
        <v>227</v>
      </c>
      <c r="K125" s="31" t="s">
        <v>228</v>
      </c>
      <c r="N125" s="31" t="s">
        <v>290</v>
      </c>
      <c r="O125" s="31" t="s">
        <v>26</v>
      </c>
      <c r="Q125" s="31" t="s">
        <v>255</v>
      </c>
      <c r="R125" s="31" t="s">
        <v>291</v>
      </c>
      <c r="T125" s="31" t="s">
        <v>292</v>
      </c>
      <c r="V125" s="31" t="s">
        <v>293</v>
      </c>
      <c r="X125" s="31" t="s">
        <v>294</v>
      </c>
      <c r="Y125" s="31" t="s">
        <v>295</v>
      </c>
      <c r="Z125" s="31">
        <v>303121941</v>
      </c>
      <c r="AA125" s="31" t="s">
        <v>296</v>
      </c>
      <c r="AB125" s="31" t="s">
        <v>297</v>
      </c>
      <c r="AD125" s="31" t="s">
        <v>237</v>
      </c>
      <c r="AE125" s="31" t="s">
        <v>238</v>
      </c>
      <c r="AI125" s="32">
        <v>43966</v>
      </c>
      <c r="AJ125" s="31">
        <v>100</v>
      </c>
      <c r="AK125" s="31">
        <v>700</v>
      </c>
      <c r="BG125" s="31" t="s">
        <v>28</v>
      </c>
      <c r="BI125" s="31" t="s">
        <v>279</v>
      </c>
      <c r="BK125" s="31" t="s">
        <v>50</v>
      </c>
      <c r="BL125" s="31" t="s">
        <v>242</v>
      </c>
      <c r="BM125" s="31" t="s">
        <v>243</v>
      </c>
      <c r="BN125" s="33">
        <v>44028.104269050928</v>
      </c>
      <c r="BP125" s="31" t="s">
        <v>541</v>
      </c>
      <c r="BQ125" s="31" t="s">
        <v>318</v>
      </c>
      <c r="BR125" s="31" t="s">
        <v>257</v>
      </c>
      <c r="BS125" s="31">
        <v>4.07142020179053E+18</v>
      </c>
      <c r="BT125" s="31" t="s">
        <v>245</v>
      </c>
      <c r="BU125" s="31" t="s">
        <v>283</v>
      </c>
      <c r="BV125" s="31">
        <v>2020</v>
      </c>
      <c r="BW125" s="31" t="s">
        <v>246</v>
      </c>
      <c r="BY125" s="31">
        <v>4.07152020179074E+18</v>
      </c>
      <c r="BZ125" s="31" t="s">
        <v>542</v>
      </c>
      <c r="CA125" s="31" t="s">
        <v>248</v>
      </c>
    </row>
    <row r="126" spans="1:79" x14ac:dyDescent="0.2">
      <c r="A126" s="31" t="s">
        <v>543</v>
      </c>
      <c r="B126" s="31" t="s">
        <v>544</v>
      </c>
      <c r="C126" s="31">
        <v>2020</v>
      </c>
      <c r="D126" s="31" t="s">
        <v>288</v>
      </c>
      <c r="E126" s="31">
        <v>2.0201214938734E+17</v>
      </c>
      <c r="F126" s="31">
        <v>12</v>
      </c>
      <c r="G126" s="31">
        <v>36779634</v>
      </c>
      <c r="H126" s="31">
        <v>1482850</v>
      </c>
      <c r="J126" s="31" t="s">
        <v>227</v>
      </c>
      <c r="K126" s="31" t="s">
        <v>228</v>
      </c>
      <c r="N126" s="31" t="s">
        <v>290</v>
      </c>
      <c r="O126" s="31" t="s">
        <v>26</v>
      </c>
      <c r="Q126" s="31" t="s">
        <v>255</v>
      </c>
      <c r="R126" s="31" t="s">
        <v>291</v>
      </c>
      <c r="T126" s="31" t="s">
        <v>292</v>
      </c>
      <c r="V126" s="31" t="s">
        <v>293</v>
      </c>
      <c r="X126" s="31" t="s">
        <v>294</v>
      </c>
      <c r="Y126" s="31" t="s">
        <v>295</v>
      </c>
      <c r="Z126" s="31">
        <v>303121941</v>
      </c>
      <c r="AA126" s="31" t="s">
        <v>296</v>
      </c>
      <c r="AB126" s="31" t="s">
        <v>297</v>
      </c>
      <c r="AD126" s="31" t="s">
        <v>545</v>
      </c>
      <c r="AE126" s="31" t="s">
        <v>546</v>
      </c>
      <c r="AG126" s="31" t="s">
        <v>415</v>
      </c>
      <c r="AI126" s="32">
        <v>44033</v>
      </c>
      <c r="AJ126" s="31">
        <v>250</v>
      </c>
      <c r="AK126" s="31">
        <v>250</v>
      </c>
      <c r="BG126" s="31" t="s">
        <v>240</v>
      </c>
      <c r="BI126" s="31" t="s">
        <v>241</v>
      </c>
      <c r="BJ126" s="31">
        <v>2020</v>
      </c>
      <c r="BK126" s="31" t="s">
        <v>50</v>
      </c>
      <c r="BL126" s="31" t="s">
        <v>242</v>
      </c>
      <c r="BM126" s="31" t="s">
        <v>243</v>
      </c>
      <c r="BN126" s="33">
        <v>44183.15354428241</v>
      </c>
      <c r="BP126" s="31">
        <v>36524305</v>
      </c>
      <c r="BQ126" s="31" t="s">
        <v>547</v>
      </c>
      <c r="BR126" s="31" t="s">
        <v>257</v>
      </c>
      <c r="BS126" s="31">
        <v>4.1216202019742802E+18</v>
      </c>
      <c r="BT126" s="31" t="s">
        <v>245</v>
      </c>
      <c r="BU126" s="31" t="s">
        <v>548</v>
      </c>
      <c r="BV126" s="31">
        <v>2020</v>
      </c>
      <c r="BW126" s="31" t="s">
        <v>246</v>
      </c>
      <c r="BY126" s="31">
        <v>4.1218202019770301E+18</v>
      </c>
      <c r="BZ126" s="31" t="s">
        <v>549</v>
      </c>
      <c r="CA126" s="31" t="s">
        <v>550</v>
      </c>
    </row>
    <row r="127" spans="1:79" x14ac:dyDescent="0.2">
      <c r="A127" s="31" t="s">
        <v>341</v>
      </c>
      <c r="B127" s="31" t="s">
        <v>551</v>
      </c>
      <c r="C127" s="31">
        <v>2020</v>
      </c>
      <c r="D127" s="31" t="s">
        <v>303</v>
      </c>
      <c r="E127" s="31">
        <v>2.0201022932684198E+17</v>
      </c>
      <c r="F127" s="31" t="s">
        <v>225</v>
      </c>
      <c r="G127" s="31" t="s">
        <v>552</v>
      </c>
      <c r="H127" s="31">
        <v>1460877</v>
      </c>
      <c r="J127" s="31" t="s">
        <v>227</v>
      </c>
      <c r="K127" s="31" t="s">
        <v>228</v>
      </c>
      <c r="L127" s="31" t="s">
        <v>316</v>
      </c>
      <c r="N127" s="31" t="s">
        <v>290</v>
      </c>
      <c r="O127" s="31" t="s">
        <v>254</v>
      </c>
      <c r="Q127" s="31" t="s">
        <v>255</v>
      </c>
      <c r="R127" s="31" t="s">
        <v>291</v>
      </c>
      <c r="T127" s="31" t="s">
        <v>292</v>
      </c>
      <c r="V127" s="31" t="s">
        <v>293</v>
      </c>
      <c r="X127" s="31" t="s">
        <v>294</v>
      </c>
      <c r="Y127" s="31" t="s">
        <v>295</v>
      </c>
      <c r="Z127" s="31">
        <v>303121941</v>
      </c>
      <c r="AA127" s="31" t="s">
        <v>296</v>
      </c>
      <c r="AB127" s="31" t="s">
        <v>297</v>
      </c>
      <c r="AC127" s="31" t="s">
        <v>316</v>
      </c>
      <c r="AD127" s="31" t="s">
        <v>237</v>
      </c>
      <c r="AE127" s="31" t="s">
        <v>238</v>
      </c>
      <c r="AI127" s="32">
        <v>44118</v>
      </c>
      <c r="AJ127" s="31">
        <v>100</v>
      </c>
      <c r="AK127" s="31">
        <v>1700</v>
      </c>
      <c r="BG127" s="31" t="s">
        <v>28</v>
      </c>
      <c r="BI127" s="31" t="s">
        <v>279</v>
      </c>
      <c r="BK127" s="31" t="s">
        <v>50</v>
      </c>
      <c r="BL127" s="31" t="s">
        <v>242</v>
      </c>
      <c r="BM127" s="31" t="s">
        <v>243</v>
      </c>
      <c r="BN127" s="33">
        <v>44183.155415717592</v>
      </c>
      <c r="BP127" s="31" t="s">
        <v>553</v>
      </c>
      <c r="BQ127" s="31" t="s">
        <v>318</v>
      </c>
      <c r="BR127" s="31" t="s">
        <v>257</v>
      </c>
      <c r="BS127" s="31">
        <v>4.1023202018827602E+18</v>
      </c>
      <c r="BT127" s="31" t="s">
        <v>245</v>
      </c>
      <c r="BU127" s="31" t="s">
        <v>283</v>
      </c>
      <c r="BV127" s="31">
        <v>2020</v>
      </c>
      <c r="BW127" s="31" t="s">
        <v>246</v>
      </c>
      <c r="BY127" s="31">
        <v>4.1218202019779799E+18</v>
      </c>
      <c r="BZ127" s="31" t="s">
        <v>554</v>
      </c>
      <c r="CA127" s="31" t="s">
        <v>248</v>
      </c>
    </row>
    <row r="128" spans="1:79" x14ac:dyDescent="0.2">
      <c r="A128" s="31" t="s">
        <v>341</v>
      </c>
      <c r="B128" s="31" t="s">
        <v>551</v>
      </c>
      <c r="C128" s="31">
        <v>2020</v>
      </c>
      <c r="D128" s="31" t="s">
        <v>303</v>
      </c>
      <c r="E128" s="31">
        <v>2.02010229326844E+17</v>
      </c>
      <c r="F128" s="31" t="s">
        <v>225</v>
      </c>
      <c r="G128" s="31" t="s">
        <v>555</v>
      </c>
      <c r="H128" s="31">
        <v>1460877</v>
      </c>
      <c r="J128" s="31" t="s">
        <v>227</v>
      </c>
      <c r="K128" s="31" t="s">
        <v>228</v>
      </c>
      <c r="L128" s="31" t="s">
        <v>316</v>
      </c>
      <c r="N128" s="31" t="s">
        <v>290</v>
      </c>
      <c r="O128" s="31" t="s">
        <v>254</v>
      </c>
      <c r="Q128" s="31" t="s">
        <v>255</v>
      </c>
      <c r="R128" s="31" t="s">
        <v>291</v>
      </c>
      <c r="T128" s="31" t="s">
        <v>292</v>
      </c>
      <c r="V128" s="31" t="s">
        <v>293</v>
      </c>
      <c r="X128" s="31" t="s">
        <v>294</v>
      </c>
      <c r="Y128" s="31" t="s">
        <v>295</v>
      </c>
      <c r="Z128" s="31">
        <v>303121941</v>
      </c>
      <c r="AA128" s="31" t="s">
        <v>296</v>
      </c>
      <c r="AB128" s="31" t="s">
        <v>297</v>
      </c>
      <c r="AC128" s="31" t="s">
        <v>316</v>
      </c>
      <c r="AD128" s="31" t="s">
        <v>237</v>
      </c>
      <c r="AE128" s="31" t="s">
        <v>238</v>
      </c>
      <c r="AI128" s="32">
        <v>44111</v>
      </c>
      <c r="AJ128" s="31">
        <v>100</v>
      </c>
      <c r="AK128" s="31">
        <v>1600</v>
      </c>
      <c r="BG128" s="31" t="s">
        <v>28</v>
      </c>
      <c r="BI128" s="31" t="s">
        <v>279</v>
      </c>
      <c r="BK128" s="31" t="s">
        <v>50</v>
      </c>
      <c r="BL128" s="31" t="s">
        <v>242</v>
      </c>
      <c r="BM128" s="31" t="s">
        <v>243</v>
      </c>
      <c r="BN128" s="33">
        <v>44183.159511863429</v>
      </c>
      <c r="BP128" s="31" t="s">
        <v>556</v>
      </c>
      <c r="BQ128" s="31" t="s">
        <v>318</v>
      </c>
      <c r="BR128" s="31" t="s">
        <v>257</v>
      </c>
      <c r="BS128" s="31">
        <v>4.1023202018827602E+18</v>
      </c>
      <c r="BT128" s="31" t="s">
        <v>245</v>
      </c>
      <c r="BU128" s="31" t="s">
        <v>283</v>
      </c>
      <c r="BV128" s="31">
        <v>2020</v>
      </c>
      <c r="BW128" s="31" t="s">
        <v>246</v>
      </c>
      <c r="BY128" s="31">
        <v>4.1218202019779799E+18</v>
      </c>
      <c r="BZ128" s="31" t="s">
        <v>557</v>
      </c>
      <c r="CA128" s="31" t="s">
        <v>248</v>
      </c>
    </row>
    <row r="129" spans="1:79" x14ac:dyDescent="0.2">
      <c r="A129" s="31" t="s">
        <v>418</v>
      </c>
      <c r="B129" s="31" t="s">
        <v>419</v>
      </c>
      <c r="C129" s="31">
        <v>2020</v>
      </c>
      <c r="D129" s="31" t="s">
        <v>558</v>
      </c>
      <c r="E129" s="31">
        <v>2.0200715924504499E+17</v>
      </c>
      <c r="F129" s="31" t="s">
        <v>225</v>
      </c>
      <c r="G129" s="31" t="s">
        <v>559</v>
      </c>
      <c r="H129" s="31">
        <v>1423704</v>
      </c>
      <c r="J129" s="31" t="s">
        <v>227</v>
      </c>
      <c r="K129" s="31" t="s">
        <v>228</v>
      </c>
      <c r="L129" s="31" t="s">
        <v>316</v>
      </c>
      <c r="N129" s="31" t="s">
        <v>290</v>
      </c>
      <c r="O129" s="31" t="s">
        <v>75</v>
      </c>
      <c r="Q129" s="31" t="s">
        <v>28</v>
      </c>
      <c r="R129" s="31" t="s">
        <v>291</v>
      </c>
      <c r="T129" s="31" t="s">
        <v>292</v>
      </c>
      <c r="V129" s="31" t="s">
        <v>293</v>
      </c>
      <c r="X129" s="31" t="s">
        <v>294</v>
      </c>
      <c r="Y129" s="31" t="s">
        <v>295</v>
      </c>
      <c r="Z129" s="31">
        <v>303121941</v>
      </c>
      <c r="AA129" s="31" t="s">
        <v>296</v>
      </c>
      <c r="AB129" s="31" t="s">
        <v>297</v>
      </c>
      <c r="AC129" s="31" t="s">
        <v>316</v>
      </c>
      <c r="AD129" s="31" t="s">
        <v>237</v>
      </c>
      <c r="AE129" s="31" t="s">
        <v>238</v>
      </c>
      <c r="AI129" s="32">
        <v>43998</v>
      </c>
      <c r="AJ129" s="31">
        <v>100</v>
      </c>
      <c r="AK129" s="31">
        <v>650</v>
      </c>
      <c r="BG129" s="31" t="s">
        <v>240</v>
      </c>
      <c r="BI129" s="31" t="s">
        <v>241</v>
      </c>
      <c r="BJ129" s="31">
        <v>2020</v>
      </c>
      <c r="BK129" s="31" t="s">
        <v>50</v>
      </c>
      <c r="BL129" s="31" t="s">
        <v>242</v>
      </c>
      <c r="BM129" s="31" t="s">
        <v>243</v>
      </c>
      <c r="BN129" s="33">
        <v>44036.098249016206</v>
      </c>
      <c r="BP129" s="31" t="s">
        <v>560</v>
      </c>
      <c r="BQ129" s="31" t="s">
        <v>318</v>
      </c>
      <c r="BR129" s="31" t="s">
        <v>244</v>
      </c>
      <c r="BS129" s="31">
        <v>4.0715202017906002E+18</v>
      </c>
      <c r="BT129" s="31" t="s">
        <v>245</v>
      </c>
      <c r="BU129" s="31" t="s">
        <v>283</v>
      </c>
      <c r="BV129" s="31">
        <v>2020</v>
      </c>
      <c r="BW129" s="31" t="s">
        <v>246</v>
      </c>
      <c r="BY129" s="31">
        <v>4.0723202017942702E+18</v>
      </c>
      <c r="BZ129" s="31" t="s">
        <v>561</v>
      </c>
      <c r="CA129" s="31" t="s">
        <v>248</v>
      </c>
    </row>
    <row r="130" spans="1:79" x14ac:dyDescent="0.2">
      <c r="A130" s="31" t="s">
        <v>341</v>
      </c>
      <c r="B130" s="31" t="s">
        <v>551</v>
      </c>
      <c r="C130" s="31">
        <v>2020</v>
      </c>
      <c r="D130" s="31" t="s">
        <v>303</v>
      </c>
      <c r="E130" s="31">
        <v>2.0201022932685501E+17</v>
      </c>
      <c r="F130" s="31" t="s">
        <v>225</v>
      </c>
      <c r="G130" s="31" t="s">
        <v>562</v>
      </c>
      <c r="H130" s="31">
        <v>1460877</v>
      </c>
      <c r="J130" s="31" t="s">
        <v>227</v>
      </c>
      <c r="K130" s="31" t="s">
        <v>228</v>
      </c>
      <c r="L130" s="31" t="s">
        <v>316</v>
      </c>
      <c r="N130" s="31" t="s">
        <v>290</v>
      </c>
      <c r="O130" s="31" t="s">
        <v>254</v>
      </c>
      <c r="Q130" s="31" t="s">
        <v>255</v>
      </c>
      <c r="R130" s="31" t="s">
        <v>291</v>
      </c>
      <c r="T130" s="31" t="s">
        <v>292</v>
      </c>
      <c r="V130" s="31" t="s">
        <v>293</v>
      </c>
      <c r="X130" s="31" t="s">
        <v>294</v>
      </c>
      <c r="Y130" s="31" t="s">
        <v>295</v>
      </c>
      <c r="Z130" s="31">
        <v>303121941</v>
      </c>
      <c r="AA130" s="31" t="s">
        <v>296</v>
      </c>
      <c r="AB130" s="31" t="s">
        <v>297</v>
      </c>
      <c r="AC130" s="31" t="s">
        <v>316</v>
      </c>
      <c r="AD130" s="31" t="s">
        <v>237</v>
      </c>
      <c r="AE130" s="31" t="s">
        <v>238</v>
      </c>
      <c r="AI130" s="32">
        <v>44111</v>
      </c>
      <c r="AJ130" s="31">
        <v>100</v>
      </c>
      <c r="AK130" s="31">
        <v>1600</v>
      </c>
      <c r="BG130" s="31" t="s">
        <v>28</v>
      </c>
      <c r="BI130" s="31" t="s">
        <v>279</v>
      </c>
      <c r="BK130" s="31" t="s">
        <v>50</v>
      </c>
      <c r="BL130" s="31" t="s">
        <v>242</v>
      </c>
      <c r="BM130" s="31" t="s">
        <v>243</v>
      </c>
      <c r="BN130" s="33">
        <v>44183.159682175923</v>
      </c>
      <c r="BP130" s="31" t="s">
        <v>563</v>
      </c>
      <c r="BQ130" s="31" t="s">
        <v>318</v>
      </c>
      <c r="BR130" s="31" t="s">
        <v>257</v>
      </c>
      <c r="BS130" s="31">
        <v>4.1023202018827602E+18</v>
      </c>
      <c r="BT130" s="31" t="s">
        <v>245</v>
      </c>
      <c r="BU130" s="31" t="s">
        <v>283</v>
      </c>
      <c r="BV130" s="31">
        <v>2020</v>
      </c>
      <c r="BW130" s="31" t="s">
        <v>246</v>
      </c>
      <c r="BY130" s="31">
        <v>4.1218202019780101E+18</v>
      </c>
      <c r="BZ130" s="31" t="s">
        <v>564</v>
      </c>
      <c r="CA130" s="31" t="s">
        <v>248</v>
      </c>
    </row>
    <row r="131" spans="1:79" x14ac:dyDescent="0.2">
      <c r="A131" s="31" t="s">
        <v>316</v>
      </c>
      <c r="B131" s="31" t="s">
        <v>325</v>
      </c>
      <c r="C131" s="31">
        <v>2020</v>
      </c>
      <c r="D131" s="31" t="s">
        <v>310</v>
      </c>
      <c r="E131" s="31">
        <v>2.0201214937663398E+17</v>
      </c>
      <c r="F131" s="31" t="s">
        <v>225</v>
      </c>
      <c r="G131" s="31" t="s">
        <v>565</v>
      </c>
      <c r="H131" s="31">
        <v>1482832</v>
      </c>
      <c r="J131" s="31" t="s">
        <v>227</v>
      </c>
      <c r="K131" s="31" t="s">
        <v>228</v>
      </c>
      <c r="N131" s="31" t="s">
        <v>290</v>
      </c>
      <c r="O131" s="31" t="s">
        <v>254</v>
      </c>
      <c r="Q131" s="31" t="s">
        <v>255</v>
      </c>
      <c r="R131" s="31" t="s">
        <v>291</v>
      </c>
      <c r="T131" s="31" t="s">
        <v>292</v>
      </c>
      <c r="V131" s="31" t="s">
        <v>327</v>
      </c>
      <c r="X131" s="31" t="s">
        <v>294</v>
      </c>
      <c r="Y131" s="31" t="s">
        <v>295</v>
      </c>
      <c r="Z131" s="31">
        <v>30312</v>
      </c>
      <c r="AA131" s="31" t="s">
        <v>328</v>
      </c>
      <c r="AB131" s="31" t="s">
        <v>297</v>
      </c>
      <c r="AD131" s="31">
        <v>15</v>
      </c>
      <c r="AE131" s="31" t="s">
        <v>298</v>
      </c>
      <c r="AF131" s="31" t="s">
        <v>336</v>
      </c>
      <c r="AI131" s="32">
        <v>44104</v>
      </c>
      <c r="AJ131" s="31">
        <v>10</v>
      </c>
      <c r="AK131" s="31">
        <v>1172.9000000000001</v>
      </c>
      <c r="BF131" s="31" t="s">
        <v>332</v>
      </c>
      <c r="BK131" s="31" t="s">
        <v>50</v>
      </c>
      <c r="BL131" s="31" t="s">
        <v>242</v>
      </c>
      <c r="BM131" s="31" t="s">
        <v>243</v>
      </c>
      <c r="BN131" s="33">
        <v>44218.653259305553</v>
      </c>
      <c r="BR131" s="31" t="s">
        <v>257</v>
      </c>
      <c r="BS131" s="31">
        <v>4.1216202019742802E+18</v>
      </c>
      <c r="BT131" s="31" t="s">
        <v>245</v>
      </c>
      <c r="BU131" s="31" t="s">
        <v>337</v>
      </c>
      <c r="BV131" s="31">
        <v>2020</v>
      </c>
      <c r="BW131" s="31" t="s">
        <v>246</v>
      </c>
      <c r="BY131" s="31">
        <v>4.0121202121347599E+18</v>
      </c>
      <c r="BZ131" s="31" t="s">
        <v>566</v>
      </c>
      <c r="CA131" s="31" t="s">
        <v>248</v>
      </c>
    </row>
    <row r="132" spans="1:79" x14ac:dyDescent="0.2">
      <c r="A132" s="31" t="s">
        <v>316</v>
      </c>
      <c r="B132" s="31" t="s">
        <v>325</v>
      </c>
      <c r="C132" s="31">
        <v>2020</v>
      </c>
      <c r="D132" s="31" t="s">
        <v>310</v>
      </c>
      <c r="E132" s="31">
        <v>2.0201214937663398E+17</v>
      </c>
      <c r="F132" s="31" t="s">
        <v>225</v>
      </c>
      <c r="G132" s="31" t="s">
        <v>567</v>
      </c>
      <c r="H132" s="31">
        <v>1482832</v>
      </c>
      <c r="J132" s="31" t="s">
        <v>227</v>
      </c>
      <c r="K132" s="31" t="s">
        <v>228</v>
      </c>
      <c r="L132" s="31" t="s">
        <v>404</v>
      </c>
      <c r="N132" s="31" t="s">
        <v>290</v>
      </c>
      <c r="O132" s="31" t="s">
        <v>254</v>
      </c>
      <c r="Q132" s="31" t="s">
        <v>255</v>
      </c>
      <c r="R132" s="31" t="s">
        <v>291</v>
      </c>
      <c r="T132" s="31" t="s">
        <v>292</v>
      </c>
      <c r="V132" s="31" t="s">
        <v>327</v>
      </c>
      <c r="X132" s="31" t="s">
        <v>294</v>
      </c>
      <c r="Y132" s="31" t="s">
        <v>295</v>
      </c>
      <c r="Z132" s="31">
        <v>30312</v>
      </c>
      <c r="AA132" s="31" t="s">
        <v>328</v>
      </c>
      <c r="AB132" s="31" t="s">
        <v>297</v>
      </c>
      <c r="AC132" s="31" t="s">
        <v>404</v>
      </c>
      <c r="AD132" s="31" t="s">
        <v>329</v>
      </c>
      <c r="AE132" s="31" t="s">
        <v>330</v>
      </c>
      <c r="AF132" s="31" t="s">
        <v>331</v>
      </c>
      <c r="AI132" s="32">
        <v>44104</v>
      </c>
      <c r="AJ132" s="31">
        <v>50</v>
      </c>
      <c r="AK132" s="31">
        <v>2675</v>
      </c>
      <c r="AL132" s="31" t="s">
        <v>405</v>
      </c>
      <c r="BF132" s="31" t="s">
        <v>332</v>
      </c>
      <c r="BK132" s="31" t="s">
        <v>50</v>
      </c>
      <c r="BL132" s="31" t="s">
        <v>242</v>
      </c>
      <c r="BM132" s="31" t="s">
        <v>243</v>
      </c>
      <c r="BN132" s="33">
        <v>44218.653826226851</v>
      </c>
      <c r="BR132" s="31" t="s">
        <v>257</v>
      </c>
      <c r="BS132" s="31">
        <v>4.1216202019742802E+18</v>
      </c>
      <c r="BT132" s="31" t="s">
        <v>245</v>
      </c>
      <c r="BU132" s="31" t="s">
        <v>385</v>
      </c>
      <c r="BV132" s="31">
        <v>2020</v>
      </c>
      <c r="BW132" s="31" t="s">
        <v>246</v>
      </c>
      <c r="BY132" s="31">
        <v>4.0121202121347702E+18</v>
      </c>
      <c r="BZ132" s="31" t="s">
        <v>566</v>
      </c>
      <c r="CA132" s="31" t="s">
        <v>248</v>
      </c>
    </row>
    <row r="133" spans="1:79" x14ac:dyDescent="0.2">
      <c r="A133" s="31" t="s">
        <v>316</v>
      </c>
      <c r="B133" s="31" t="s">
        <v>325</v>
      </c>
      <c r="C133" s="31">
        <v>2020</v>
      </c>
      <c r="D133" s="31" t="s">
        <v>310</v>
      </c>
      <c r="E133" s="31">
        <v>2.0201214937663398E+17</v>
      </c>
      <c r="F133" s="31" t="s">
        <v>225</v>
      </c>
      <c r="G133" s="31" t="s">
        <v>568</v>
      </c>
      <c r="H133" s="31">
        <v>1482832</v>
      </c>
      <c r="J133" s="31" t="s">
        <v>227</v>
      </c>
      <c r="K133" s="31" t="s">
        <v>228</v>
      </c>
      <c r="L133" s="31" t="s">
        <v>286</v>
      </c>
      <c r="N133" s="31" t="s">
        <v>290</v>
      </c>
      <c r="O133" s="31" t="s">
        <v>254</v>
      </c>
      <c r="Q133" s="31" t="s">
        <v>255</v>
      </c>
      <c r="R133" s="31" t="s">
        <v>291</v>
      </c>
      <c r="T133" s="31" t="s">
        <v>292</v>
      </c>
      <c r="V133" s="31" t="s">
        <v>327</v>
      </c>
      <c r="X133" s="31" t="s">
        <v>294</v>
      </c>
      <c r="Y133" s="31" t="s">
        <v>295</v>
      </c>
      <c r="Z133" s="31">
        <v>30312</v>
      </c>
      <c r="AA133" s="31" t="s">
        <v>328</v>
      </c>
      <c r="AB133" s="31" t="s">
        <v>297</v>
      </c>
      <c r="AC133" s="31" t="s">
        <v>286</v>
      </c>
      <c r="AD133" s="31" t="s">
        <v>329</v>
      </c>
      <c r="AE133" s="31" t="s">
        <v>330</v>
      </c>
      <c r="AF133" s="31" t="s">
        <v>331</v>
      </c>
      <c r="AI133" s="32">
        <v>44104</v>
      </c>
      <c r="AJ133" s="31">
        <v>50</v>
      </c>
      <c r="AK133" s="31">
        <v>700</v>
      </c>
      <c r="BF133" s="31" t="s">
        <v>332</v>
      </c>
      <c r="BK133" s="31" t="s">
        <v>50</v>
      </c>
      <c r="BL133" s="31" t="s">
        <v>242</v>
      </c>
      <c r="BM133" s="31" t="s">
        <v>243</v>
      </c>
      <c r="BN133" s="33">
        <v>44218.653826226851</v>
      </c>
      <c r="BR133" s="31" t="s">
        <v>257</v>
      </c>
      <c r="BS133" s="31">
        <v>4.1216202019742802E+18</v>
      </c>
      <c r="BT133" s="31" t="s">
        <v>245</v>
      </c>
      <c r="BU133" s="31" t="s">
        <v>333</v>
      </c>
      <c r="BV133" s="31">
        <v>2020</v>
      </c>
      <c r="BW133" s="31" t="s">
        <v>246</v>
      </c>
      <c r="BY133" s="31">
        <v>4.0121202121347702E+18</v>
      </c>
      <c r="BZ133" s="31" t="s">
        <v>569</v>
      </c>
      <c r="CA133" s="31" t="s">
        <v>248</v>
      </c>
    </row>
    <row r="134" spans="1:79" x14ac:dyDescent="0.2">
      <c r="A134" s="31" t="s">
        <v>316</v>
      </c>
      <c r="B134" s="31" t="s">
        <v>325</v>
      </c>
      <c r="C134" s="31">
        <v>2020</v>
      </c>
      <c r="D134" s="31" t="s">
        <v>310</v>
      </c>
      <c r="E134" s="31">
        <v>2.0201214937663398E+17</v>
      </c>
      <c r="F134" s="31" t="s">
        <v>225</v>
      </c>
      <c r="G134" s="31" t="s">
        <v>570</v>
      </c>
      <c r="H134" s="31">
        <v>1482832</v>
      </c>
      <c r="J134" s="31" t="s">
        <v>227</v>
      </c>
      <c r="K134" s="31" t="s">
        <v>228</v>
      </c>
      <c r="L134" s="31" t="s">
        <v>314</v>
      </c>
      <c r="N134" s="31" t="s">
        <v>290</v>
      </c>
      <c r="O134" s="31" t="s">
        <v>254</v>
      </c>
      <c r="Q134" s="31" t="s">
        <v>255</v>
      </c>
      <c r="R134" s="31" t="s">
        <v>291</v>
      </c>
      <c r="T134" s="31" t="s">
        <v>292</v>
      </c>
      <c r="V134" s="31" t="s">
        <v>327</v>
      </c>
      <c r="X134" s="31" t="s">
        <v>294</v>
      </c>
      <c r="Y134" s="31" t="s">
        <v>295</v>
      </c>
      <c r="Z134" s="31">
        <v>30312</v>
      </c>
      <c r="AA134" s="31" t="s">
        <v>328</v>
      </c>
      <c r="AB134" s="31" t="s">
        <v>297</v>
      </c>
      <c r="AC134" s="31" t="s">
        <v>314</v>
      </c>
      <c r="AD134" s="31" t="s">
        <v>329</v>
      </c>
      <c r="AE134" s="31" t="s">
        <v>330</v>
      </c>
      <c r="AF134" s="31" t="s">
        <v>331</v>
      </c>
      <c r="AI134" s="32">
        <v>44095</v>
      </c>
      <c r="AJ134" s="31">
        <v>100</v>
      </c>
      <c r="AK134" s="31">
        <v>2210</v>
      </c>
      <c r="BF134" s="31" t="s">
        <v>332</v>
      </c>
      <c r="BK134" s="31" t="s">
        <v>50</v>
      </c>
      <c r="BL134" s="31" t="s">
        <v>242</v>
      </c>
      <c r="BM134" s="31" t="s">
        <v>243</v>
      </c>
      <c r="BN134" s="33">
        <v>44218.678113483795</v>
      </c>
      <c r="BR134" s="31" t="s">
        <v>257</v>
      </c>
      <c r="BS134" s="31">
        <v>4.1216202019742802E+18</v>
      </c>
      <c r="BT134" s="31" t="s">
        <v>245</v>
      </c>
      <c r="BU134" s="31" t="s">
        <v>357</v>
      </c>
      <c r="BV134" s="31">
        <v>2020</v>
      </c>
      <c r="BW134" s="31" t="s">
        <v>246</v>
      </c>
      <c r="BY134" s="31">
        <v>4.01212021212019E+18</v>
      </c>
      <c r="BZ134" s="31" t="s">
        <v>334</v>
      </c>
      <c r="CA134" s="31" t="s">
        <v>248</v>
      </c>
    </row>
    <row r="135" spans="1:79" x14ac:dyDescent="0.2">
      <c r="A135" s="31" t="s">
        <v>316</v>
      </c>
      <c r="B135" s="31" t="s">
        <v>325</v>
      </c>
      <c r="C135" s="31">
        <v>2020</v>
      </c>
      <c r="D135" s="31" t="s">
        <v>310</v>
      </c>
      <c r="E135" s="31">
        <v>2.0201214937663398E+17</v>
      </c>
      <c r="F135" s="31" t="s">
        <v>225</v>
      </c>
      <c r="G135" s="31" t="s">
        <v>571</v>
      </c>
      <c r="H135" s="31">
        <v>1482832</v>
      </c>
      <c r="J135" s="31" t="s">
        <v>227</v>
      </c>
      <c r="K135" s="31" t="s">
        <v>228</v>
      </c>
      <c r="N135" s="31" t="s">
        <v>290</v>
      </c>
      <c r="O135" s="31" t="s">
        <v>254</v>
      </c>
      <c r="Q135" s="31" t="s">
        <v>255</v>
      </c>
      <c r="R135" s="31" t="s">
        <v>291</v>
      </c>
      <c r="T135" s="31" t="s">
        <v>292</v>
      </c>
      <c r="V135" s="31" t="s">
        <v>327</v>
      </c>
      <c r="X135" s="31" t="s">
        <v>294</v>
      </c>
      <c r="Y135" s="31" t="s">
        <v>295</v>
      </c>
      <c r="Z135" s="31">
        <v>30312</v>
      </c>
      <c r="AA135" s="31" t="s">
        <v>328</v>
      </c>
      <c r="AB135" s="31" t="s">
        <v>297</v>
      </c>
      <c r="AD135" s="31">
        <v>15</v>
      </c>
      <c r="AE135" s="31" t="s">
        <v>298</v>
      </c>
      <c r="AF135" s="31" t="s">
        <v>336</v>
      </c>
      <c r="AI135" s="32">
        <v>44095</v>
      </c>
      <c r="AJ135" s="31">
        <v>10</v>
      </c>
      <c r="AK135" s="31">
        <v>1172.9000000000001</v>
      </c>
      <c r="BF135" s="31" t="s">
        <v>332</v>
      </c>
      <c r="BK135" s="31" t="s">
        <v>50</v>
      </c>
      <c r="BL135" s="31" t="s">
        <v>242</v>
      </c>
      <c r="BM135" s="31" t="s">
        <v>243</v>
      </c>
      <c r="BN135" s="33">
        <v>44218.680024988425</v>
      </c>
      <c r="BR135" s="31" t="s">
        <v>257</v>
      </c>
      <c r="BS135" s="31">
        <v>4.1216202019742802E+18</v>
      </c>
      <c r="BT135" s="31" t="s">
        <v>245</v>
      </c>
      <c r="BU135" s="31" t="s">
        <v>337</v>
      </c>
      <c r="BV135" s="31">
        <v>2020</v>
      </c>
      <c r="BW135" s="31" t="s">
        <v>246</v>
      </c>
      <c r="BY135" s="31">
        <v>4.01212021212015E+18</v>
      </c>
      <c r="BZ135" s="31" t="s">
        <v>334</v>
      </c>
      <c r="CA135" s="31" t="s">
        <v>248</v>
      </c>
    </row>
    <row r="136" spans="1:79" x14ac:dyDescent="0.2">
      <c r="A136" s="31" t="s">
        <v>314</v>
      </c>
      <c r="B136" s="31" t="s">
        <v>315</v>
      </c>
      <c r="C136" s="31">
        <v>2020</v>
      </c>
      <c r="D136" s="31" t="s">
        <v>572</v>
      </c>
      <c r="E136" s="31">
        <v>2.0200720925048602E+17</v>
      </c>
      <c r="F136" s="31" t="s">
        <v>225</v>
      </c>
      <c r="G136" s="31">
        <v>14538879</v>
      </c>
      <c r="H136" s="31">
        <v>1427061</v>
      </c>
      <c r="J136" s="31" t="s">
        <v>227</v>
      </c>
      <c r="K136" s="31" t="s">
        <v>228</v>
      </c>
      <c r="L136" s="31" t="s">
        <v>316</v>
      </c>
      <c r="N136" s="31" t="s">
        <v>290</v>
      </c>
      <c r="O136" s="31" t="s">
        <v>26</v>
      </c>
      <c r="Q136" s="31" t="s">
        <v>255</v>
      </c>
      <c r="R136" s="31" t="s">
        <v>291</v>
      </c>
      <c r="T136" s="31" t="s">
        <v>292</v>
      </c>
      <c r="V136" s="31" t="s">
        <v>293</v>
      </c>
      <c r="X136" s="31" t="s">
        <v>294</v>
      </c>
      <c r="Y136" s="31" t="s">
        <v>295</v>
      </c>
      <c r="Z136" s="31">
        <v>303121941</v>
      </c>
      <c r="AA136" s="31" t="s">
        <v>296</v>
      </c>
      <c r="AB136" s="31" t="s">
        <v>297</v>
      </c>
      <c r="AC136" s="31" t="s">
        <v>316</v>
      </c>
      <c r="AD136" s="31" t="s">
        <v>237</v>
      </c>
      <c r="AE136" s="31" t="s">
        <v>238</v>
      </c>
      <c r="AI136" s="32">
        <v>43986</v>
      </c>
      <c r="AJ136" s="31">
        <v>100</v>
      </c>
      <c r="AK136" s="31">
        <v>800</v>
      </c>
      <c r="BG136" s="31" t="s">
        <v>28</v>
      </c>
      <c r="BI136" s="31" t="s">
        <v>279</v>
      </c>
      <c r="BK136" s="31" t="s">
        <v>50</v>
      </c>
      <c r="BL136" s="31" t="s">
        <v>242</v>
      </c>
      <c r="BM136" s="31" t="s">
        <v>243</v>
      </c>
      <c r="BN136" s="33">
        <v>44042.167905995368</v>
      </c>
      <c r="BP136" s="31" t="s">
        <v>573</v>
      </c>
      <c r="BQ136" s="31" t="s">
        <v>318</v>
      </c>
      <c r="BR136" s="31" t="s">
        <v>257</v>
      </c>
      <c r="BS136" s="31">
        <v>4.0720202017911798E+18</v>
      </c>
      <c r="BT136" s="31" t="s">
        <v>245</v>
      </c>
      <c r="BU136" s="31" t="s">
        <v>283</v>
      </c>
      <c r="BV136" s="31">
        <v>2020</v>
      </c>
      <c r="BW136" s="31" t="s">
        <v>246</v>
      </c>
      <c r="BY136" s="31">
        <v>4.0730202018089498E+18</v>
      </c>
      <c r="BZ136" s="31" t="s">
        <v>574</v>
      </c>
      <c r="CA136" s="31" t="s">
        <v>248</v>
      </c>
    </row>
    <row r="137" spans="1:79" x14ac:dyDescent="0.2">
      <c r="A137" s="31" t="s">
        <v>314</v>
      </c>
      <c r="B137" s="31" t="s">
        <v>315</v>
      </c>
      <c r="C137" s="31">
        <v>2020</v>
      </c>
      <c r="D137" s="31" t="s">
        <v>572</v>
      </c>
      <c r="E137" s="31">
        <v>2.0200720925048602E+17</v>
      </c>
      <c r="F137" s="31" t="s">
        <v>225</v>
      </c>
      <c r="G137" s="31">
        <v>14571291</v>
      </c>
      <c r="H137" s="31">
        <v>1427061</v>
      </c>
      <c r="J137" s="31" t="s">
        <v>227</v>
      </c>
      <c r="K137" s="31" t="s">
        <v>228</v>
      </c>
      <c r="L137" s="31" t="s">
        <v>316</v>
      </c>
      <c r="N137" s="31" t="s">
        <v>290</v>
      </c>
      <c r="O137" s="31" t="s">
        <v>26</v>
      </c>
      <c r="Q137" s="31" t="s">
        <v>255</v>
      </c>
      <c r="R137" s="31" t="s">
        <v>291</v>
      </c>
      <c r="T137" s="31" t="s">
        <v>292</v>
      </c>
      <c r="V137" s="31" t="s">
        <v>293</v>
      </c>
      <c r="X137" s="31" t="s">
        <v>294</v>
      </c>
      <c r="Y137" s="31" t="s">
        <v>295</v>
      </c>
      <c r="Z137" s="31">
        <v>303121941</v>
      </c>
      <c r="AA137" s="31" t="s">
        <v>296</v>
      </c>
      <c r="AB137" s="31" t="s">
        <v>297</v>
      </c>
      <c r="AC137" s="31" t="s">
        <v>316</v>
      </c>
      <c r="AD137" s="31" t="s">
        <v>237</v>
      </c>
      <c r="AE137" s="31" t="s">
        <v>238</v>
      </c>
      <c r="AI137" s="32">
        <v>44006</v>
      </c>
      <c r="AJ137" s="31">
        <v>100</v>
      </c>
      <c r="AK137" s="31">
        <v>900</v>
      </c>
      <c r="BG137" s="31" t="s">
        <v>28</v>
      </c>
      <c r="BI137" s="31" t="s">
        <v>279</v>
      </c>
      <c r="BK137" s="31" t="s">
        <v>50</v>
      </c>
      <c r="BL137" s="31" t="s">
        <v>242</v>
      </c>
      <c r="BM137" s="31" t="s">
        <v>243</v>
      </c>
      <c r="BN137" s="33">
        <v>44042.168564953703</v>
      </c>
      <c r="BP137" s="31" t="s">
        <v>575</v>
      </c>
      <c r="BQ137" s="31" t="s">
        <v>318</v>
      </c>
      <c r="BR137" s="31" t="s">
        <v>257</v>
      </c>
      <c r="BS137" s="31">
        <v>4.0720202017911798E+18</v>
      </c>
      <c r="BT137" s="31" t="s">
        <v>245</v>
      </c>
      <c r="BU137" s="31" t="s">
        <v>283</v>
      </c>
      <c r="BV137" s="31">
        <v>2020</v>
      </c>
      <c r="BW137" s="31" t="s">
        <v>246</v>
      </c>
      <c r="BY137" s="31">
        <v>4.0730202018089498E+18</v>
      </c>
      <c r="BZ137" s="31" t="s">
        <v>574</v>
      </c>
      <c r="CA137" s="31" t="s">
        <v>248</v>
      </c>
    </row>
    <row r="138" spans="1:79" x14ac:dyDescent="0.2">
      <c r="A138" s="31" t="s">
        <v>459</v>
      </c>
      <c r="B138" s="31" t="s">
        <v>460</v>
      </c>
      <c r="C138" s="31">
        <v>2020</v>
      </c>
      <c r="D138" s="31" t="s">
        <v>572</v>
      </c>
      <c r="E138" s="31">
        <v>2.0200720925523101E+17</v>
      </c>
      <c r="F138" s="31" t="s">
        <v>225</v>
      </c>
      <c r="G138" s="31" t="s">
        <v>576</v>
      </c>
      <c r="H138" s="31">
        <v>1427099</v>
      </c>
      <c r="J138" s="31" t="s">
        <v>227</v>
      </c>
      <c r="K138" s="31" t="s">
        <v>228</v>
      </c>
      <c r="L138" s="31" t="s">
        <v>316</v>
      </c>
      <c r="N138" s="31" t="s">
        <v>290</v>
      </c>
      <c r="O138" s="31" t="s">
        <v>0</v>
      </c>
      <c r="Q138" s="31" t="s">
        <v>255</v>
      </c>
      <c r="R138" s="31" t="s">
        <v>291</v>
      </c>
      <c r="T138" s="31" t="s">
        <v>292</v>
      </c>
      <c r="V138" s="31" t="s">
        <v>293</v>
      </c>
      <c r="X138" s="31" t="s">
        <v>294</v>
      </c>
      <c r="Y138" s="31" t="s">
        <v>295</v>
      </c>
      <c r="Z138" s="31">
        <v>303121941</v>
      </c>
      <c r="AA138" s="31" t="s">
        <v>296</v>
      </c>
      <c r="AB138" s="31" t="s">
        <v>297</v>
      </c>
      <c r="AC138" s="31" t="s">
        <v>316</v>
      </c>
      <c r="AD138" s="31" t="s">
        <v>237</v>
      </c>
      <c r="AE138" s="31" t="s">
        <v>238</v>
      </c>
      <c r="AI138" s="32">
        <v>43987</v>
      </c>
      <c r="AJ138" s="31">
        <v>200</v>
      </c>
      <c r="AK138" s="31">
        <v>600</v>
      </c>
      <c r="BG138" s="31" t="s">
        <v>28</v>
      </c>
      <c r="BI138" s="31" t="s">
        <v>279</v>
      </c>
      <c r="BK138" s="31" t="s">
        <v>50</v>
      </c>
      <c r="BL138" s="31" t="s">
        <v>242</v>
      </c>
      <c r="BM138" s="31" t="s">
        <v>243</v>
      </c>
      <c r="BN138" s="33">
        <v>44045.153370567132</v>
      </c>
      <c r="BP138" s="31" t="s">
        <v>577</v>
      </c>
      <c r="BQ138" s="31" t="s">
        <v>318</v>
      </c>
      <c r="BR138" s="31" t="s">
        <v>257</v>
      </c>
      <c r="BS138" s="31">
        <v>4.0720202017911798E+18</v>
      </c>
      <c r="BT138" s="31" t="s">
        <v>245</v>
      </c>
      <c r="BU138" s="31" t="s">
        <v>283</v>
      </c>
      <c r="BV138" s="31">
        <v>2020</v>
      </c>
      <c r="BW138" s="31" t="s">
        <v>246</v>
      </c>
      <c r="BY138" s="31">
        <v>4.0802202018103798E+18</v>
      </c>
      <c r="BZ138" s="31" t="s">
        <v>578</v>
      </c>
      <c r="CA138" s="31" t="s">
        <v>248</v>
      </c>
    </row>
    <row r="139" spans="1:79" x14ac:dyDescent="0.2">
      <c r="A139" s="31" t="s">
        <v>316</v>
      </c>
      <c r="B139" s="31" t="s">
        <v>325</v>
      </c>
      <c r="C139" s="31">
        <v>2020</v>
      </c>
      <c r="D139" s="31" t="s">
        <v>572</v>
      </c>
      <c r="E139" s="31">
        <v>2.0200720925606701E+17</v>
      </c>
      <c r="F139" s="31" t="s">
        <v>225</v>
      </c>
      <c r="G139" s="31" t="s">
        <v>579</v>
      </c>
      <c r="H139" s="31">
        <v>1427110</v>
      </c>
      <c r="J139" s="31" t="s">
        <v>227</v>
      </c>
      <c r="K139" s="31" t="s">
        <v>228</v>
      </c>
      <c r="L139" s="31" t="s">
        <v>418</v>
      </c>
      <c r="N139" s="31" t="s">
        <v>290</v>
      </c>
      <c r="O139" s="31" t="s">
        <v>254</v>
      </c>
      <c r="Q139" s="31" t="s">
        <v>255</v>
      </c>
      <c r="R139" s="31" t="s">
        <v>291</v>
      </c>
      <c r="T139" s="31" t="s">
        <v>292</v>
      </c>
      <c r="V139" s="31" t="s">
        <v>327</v>
      </c>
      <c r="X139" s="31" t="s">
        <v>294</v>
      </c>
      <c r="Y139" s="31" t="s">
        <v>295</v>
      </c>
      <c r="Z139" s="31">
        <v>30312</v>
      </c>
      <c r="AA139" s="31" t="s">
        <v>328</v>
      </c>
      <c r="AB139" s="31" t="s">
        <v>297</v>
      </c>
      <c r="AC139" s="31" t="s">
        <v>418</v>
      </c>
      <c r="AD139" s="31" t="s">
        <v>329</v>
      </c>
      <c r="AE139" s="31" t="s">
        <v>330</v>
      </c>
      <c r="AF139" s="31" t="s">
        <v>331</v>
      </c>
      <c r="AI139" s="32">
        <v>43998</v>
      </c>
      <c r="AJ139" s="31">
        <v>100</v>
      </c>
      <c r="AK139" s="31">
        <v>300</v>
      </c>
      <c r="AL139" s="31" t="s">
        <v>580</v>
      </c>
      <c r="BG139" s="31" t="s">
        <v>28</v>
      </c>
      <c r="BI139" s="31" t="s">
        <v>279</v>
      </c>
      <c r="BK139" s="31" t="s">
        <v>50</v>
      </c>
      <c r="BL139" s="31" t="s">
        <v>242</v>
      </c>
      <c r="BM139" s="31" t="s">
        <v>243</v>
      </c>
      <c r="BN139" s="33">
        <v>44054.261835567129</v>
      </c>
      <c r="BR139" s="31" t="s">
        <v>257</v>
      </c>
      <c r="BS139" s="31">
        <v>4.0721202017922499E+18</v>
      </c>
      <c r="BT139" s="31" t="s">
        <v>245</v>
      </c>
      <c r="BU139" s="31" t="s">
        <v>381</v>
      </c>
      <c r="BV139" s="31">
        <v>2020</v>
      </c>
      <c r="BW139" s="31" t="s">
        <v>246</v>
      </c>
      <c r="BY139" s="31">
        <v>4.0810202018169098E+18</v>
      </c>
      <c r="BZ139" s="31" t="s">
        <v>581</v>
      </c>
      <c r="CA139" s="31" t="s">
        <v>248</v>
      </c>
    </row>
    <row r="140" spans="1:79" x14ac:dyDescent="0.2">
      <c r="A140" s="31" t="s">
        <v>316</v>
      </c>
      <c r="B140" s="31" t="s">
        <v>325</v>
      </c>
      <c r="C140" s="31">
        <v>2020</v>
      </c>
      <c r="D140" s="31" t="s">
        <v>572</v>
      </c>
      <c r="E140" s="31">
        <v>2.0200720925606701E+17</v>
      </c>
      <c r="F140" s="31" t="s">
        <v>225</v>
      </c>
      <c r="G140" s="31" t="s">
        <v>582</v>
      </c>
      <c r="H140" s="31">
        <v>1427110</v>
      </c>
      <c r="J140" s="31" t="s">
        <v>227</v>
      </c>
      <c r="K140" s="31" t="s">
        <v>228</v>
      </c>
      <c r="L140" s="31" t="s">
        <v>404</v>
      </c>
      <c r="N140" s="31" t="s">
        <v>290</v>
      </c>
      <c r="O140" s="31" t="s">
        <v>254</v>
      </c>
      <c r="Q140" s="31" t="s">
        <v>255</v>
      </c>
      <c r="R140" s="31" t="s">
        <v>291</v>
      </c>
      <c r="T140" s="31" t="s">
        <v>292</v>
      </c>
      <c r="V140" s="31" t="s">
        <v>327</v>
      </c>
      <c r="X140" s="31" t="s">
        <v>294</v>
      </c>
      <c r="Y140" s="31" t="s">
        <v>295</v>
      </c>
      <c r="Z140" s="31">
        <v>30312</v>
      </c>
      <c r="AA140" s="31" t="s">
        <v>328</v>
      </c>
      <c r="AB140" s="31" t="s">
        <v>297</v>
      </c>
      <c r="AC140" s="31" t="s">
        <v>404</v>
      </c>
      <c r="AD140" s="31" t="s">
        <v>329</v>
      </c>
      <c r="AE140" s="31" t="s">
        <v>330</v>
      </c>
      <c r="AF140" s="31" t="s">
        <v>331</v>
      </c>
      <c r="AI140" s="32">
        <v>43987</v>
      </c>
      <c r="AJ140" s="31">
        <v>5</v>
      </c>
      <c r="AK140" s="31">
        <v>2610</v>
      </c>
      <c r="AL140" s="31" t="s">
        <v>405</v>
      </c>
      <c r="BG140" s="31" t="s">
        <v>28</v>
      </c>
      <c r="BI140" s="31" t="s">
        <v>279</v>
      </c>
      <c r="BK140" s="31" t="s">
        <v>50</v>
      </c>
      <c r="BL140" s="31" t="s">
        <v>242</v>
      </c>
      <c r="BM140" s="31" t="s">
        <v>243</v>
      </c>
      <c r="BN140" s="33">
        <v>44054.279953854166</v>
      </c>
      <c r="BR140" s="31" t="s">
        <v>257</v>
      </c>
      <c r="BS140" s="31">
        <v>4.0721202017922499E+18</v>
      </c>
      <c r="BT140" s="31" t="s">
        <v>245</v>
      </c>
      <c r="BU140" s="31" t="s">
        <v>385</v>
      </c>
      <c r="BV140" s="31">
        <v>2020</v>
      </c>
      <c r="BW140" s="31" t="s">
        <v>246</v>
      </c>
      <c r="BY140" s="31">
        <v>4.0810202018169098E+18</v>
      </c>
      <c r="BZ140" s="31" t="s">
        <v>583</v>
      </c>
      <c r="CA140" s="31" t="s">
        <v>248</v>
      </c>
    </row>
    <row r="141" spans="1:79" x14ac:dyDescent="0.2">
      <c r="A141" s="31" t="s">
        <v>316</v>
      </c>
      <c r="B141" s="31" t="s">
        <v>325</v>
      </c>
      <c r="C141" s="31">
        <v>2020</v>
      </c>
      <c r="D141" s="31" t="s">
        <v>572</v>
      </c>
      <c r="E141" s="31">
        <v>2.0200720925606701E+17</v>
      </c>
      <c r="F141" s="31" t="s">
        <v>225</v>
      </c>
      <c r="G141" s="31" t="s">
        <v>584</v>
      </c>
      <c r="H141" s="31">
        <v>1427110</v>
      </c>
      <c r="J141" s="31" t="s">
        <v>227</v>
      </c>
      <c r="K141" s="31" t="s">
        <v>228</v>
      </c>
      <c r="L141" s="31" t="s">
        <v>320</v>
      </c>
      <c r="N141" s="31" t="s">
        <v>290</v>
      </c>
      <c r="O141" s="31" t="s">
        <v>254</v>
      </c>
      <c r="Q141" s="31" t="s">
        <v>255</v>
      </c>
      <c r="R141" s="31" t="s">
        <v>291</v>
      </c>
      <c r="T141" s="31" t="s">
        <v>292</v>
      </c>
      <c r="V141" s="31" t="s">
        <v>327</v>
      </c>
      <c r="X141" s="31" t="s">
        <v>294</v>
      </c>
      <c r="Y141" s="31" t="s">
        <v>295</v>
      </c>
      <c r="Z141" s="31">
        <v>30312</v>
      </c>
      <c r="AA141" s="31" t="s">
        <v>328</v>
      </c>
      <c r="AB141" s="31" t="s">
        <v>297</v>
      </c>
      <c r="AC141" s="31" t="s">
        <v>320</v>
      </c>
      <c r="AD141" s="31" t="s">
        <v>329</v>
      </c>
      <c r="AE141" s="31" t="s">
        <v>330</v>
      </c>
      <c r="AF141" s="31" t="s">
        <v>331</v>
      </c>
      <c r="AI141" s="32">
        <v>44012</v>
      </c>
      <c r="AJ141" s="31">
        <v>125</v>
      </c>
      <c r="AK141" s="31">
        <v>819</v>
      </c>
      <c r="BG141" s="31" t="s">
        <v>28</v>
      </c>
      <c r="BI141" s="31" t="s">
        <v>279</v>
      </c>
      <c r="BK141" s="31" t="s">
        <v>50</v>
      </c>
      <c r="BL141" s="31" t="s">
        <v>242</v>
      </c>
      <c r="BM141" s="31" t="s">
        <v>243</v>
      </c>
      <c r="BN141" s="33">
        <v>44054.296184039355</v>
      </c>
      <c r="BR141" s="31" t="s">
        <v>257</v>
      </c>
      <c r="BS141" s="31">
        <v>4.0721202017922499E+18</v>
      </c>
      <c r="BT141" s="31" t="s">
        <v>245</v>
      </c>
      <c r="BU141" s="31" t="s">
        <v>354</v>
      </c>
      <c r="BV141" s="31">
        <v>2020</v>
      </c>
      <c r="BW141" s="31" t="s">
        <v>246</v>
      </c>
      <c r="BY141" s="31">
        <v>4.0810202018169098E+18</v>
      </c>
      <c r="BZ141" s="31" t="s">
        <v>585</v>
      </c>
      <c r="CA141" s="31" t="s">
        <v>248</v>
      </c>
    </row>
    <row r="142" spans="1:79" x14ac:dyDescent="0.2">
      <c r="A142" s="31" t="s">
        <v>316</v>
      </c>
      <c r="B142" s="31" t="s">
        <v>325</v>
      </c>
      <c r="C142" s="31">
        <v>2020</v>
      </c>
      <c r="D142" s="31" t="s">
        <v>572</v>
      </c>
      <c r="E142" s="31">
        <v>2.0200720925606701E+17</v>
      </c>
      <c r="F142" s="31" t="s">
        <v>225</v>
      </c>
      <c r="G142" s="31" t="s">
        <v>586</v>
      </c>
      <c r="H142" s="31">
        <v>1427110</v>
      </c>
      <c r="J142" s="31" t="s">
        <v>227</v>
      </c>
      <c r="K142" s="31" t="s">
        <v>228</v>
      </c>
      <c r="L142" s="31" t="s">
        <v>314</v>
      </c>
      <c r="N142" s="31" t="s">
        <v>290</v>
      </c>
      <c r="O142" s="31" t="s">
        <v>254</v>
      </c>
      <c r="Q142" s="31" t="s">
        <v>255</v>
      </c>
      <c r="R142" s="31" t="s">
        <v>291</v>
      </c>
      <c r="T142" s="31" t="s">
        <v>292</v>
      </c>
      <c r="V142" s="31" t="s">
        <v>327</v>
      </c>
      <c r="X142" s="31" t="s">
        <v>294</v>
      </c>
      <c r="Y142" s="31" t="s">
        <v>295</v>
      </c>
      <c r="Z142" s="31">
        <v>30312</v>
      </c>
      <c r="AA142" s="31" t="s">
        <v>328</v>
      </c>
      <c r="AB142" s="31" t="s">
        <v>297</v>
      </c>
      <c r="AC142" s="31" t="s">
        <v>314</v>
      </c>
      <c r="AD142" s="31" t="s">
        <v>329</v>
      </c>
      <c r="AE142" s="31" t="s">
        <v>330</v>
      </c>
      <c r="AF142" s="31" t="s">
        <v>331</v>
      </c>
      <c r="AI142" s="32">
        <v>44006</v>
      </c>
      <c r="AJ142" s="31">
        <v>100</v>
      </c>
      <c r="AK142" s="31">
        <v>900</v>
      </c>
      <c r="BG142" s="31" t="s">
        <v>28</v>
      </c>
      <c r="BI142" s="31" t="s">
        <v>279</v>
      </c>
      <c r="BK142" s="31" t="s">
        <v>50</v>
      </c>
      <c r="BL142" s="31" t="s">
        <v>242</v>
      </c>
      <c r="BM142" s="31" t="s">
        <v>243</v>
      </c>
      <c r="BN142" s="33">
        <v>44054.325019074073</v>
      </c>
      <c r="BR142" s="31" t="s">
        <v>257</v>
      </c>
      <c r="BS142" s="31">
        <v>4.0721202017922499E+18</v>
      </c>
      <c r="BT142" s="31" t="s">
        <v>245</v>
      </c>
      <c r="BU142" s="31" t="s">
        <v>357</v>
      </c>
      <c r="BV142" s="31">
        <v>2020</v>
      </c>
      <c r="BW142" s="31" t="s">
        <v>246</v>
      </c>
      <c r="BY142" s="31">
        <v>4.0810202018169098E+18</v>
      </c>
      <c r="BZ142" s="31" t="s">
        <v>587</v>
      </c>
      <c r="CA142" s="31" t="s">
        <v>248</v>
      </c>
    </row>
    <row r="143" spans="1:79" x14ac:dyDescent="0.2">
      <c r="A143" s="31" t="s">
        <v>316</v>
      </c>
      <c r="B143" s="31" t="s">
        <v>325</v>
      </c>
      <c r="C143" s="31">
        <v>2020</v>
      </c>
      <c r="D143" s="31" t="s">
        <v>572</v>
      </c>
      <c r="E143" s="31">
        <v>2.0200720925606701E+17</v>
      </c>
      <c r="F143" s="31" t="s">
        <v>225</v>
      </c>
      <c r="G143" s="31" t="s">
        <v>588</v>
      </c>
      <c r="H143" s="31">
        <v>1427110</v>
      </c>
      <c r="J143" s="31" t="s">
        <v>227</v>
      </c>
      <c r="K143" s="31" t="s">
        <v>228</v>
      </c>
      <c r="N143" s="31" t="s">
        <v>290</v>
      </c>
      <c r="O143" s="31" t="s">
        <v>254</v>
      </c>
      <c r="Q143" s="31" t="s">
        <v>255</v>
      </c>
      <c r="R143" s="31" t="s">
        <v>291</v>
      </c>
      <c r="T143" s="31" t="s">
        <v>292</v>
      </c>
      <c r="V143" s="31" t="s">
        <v>327</v>
      </c>
      <c r="X143" s="31" t="s">
        <v>294</v>
      </c>
      <c r="Y143" s="31" t="s">
        <v>295</v>
      </c>
      <c r="Z143" s="31">
        <v>30312</v>
      </c>
      <c r="AA143" s="31" t="s">
        <v>328</v>
      </c>
      <c r="AB143" s="31" t="s">
        <v>297</v>
      </c>
      <c r="AD143" s="31">
        <v>15</v>
      </c>
      <c r="AE143" s="31" t="s">
        <v>298</v>
      </c>
      <c r="AF143" s="31" t="s">
        <v>336</v>
      </c>
      <c r="AI143" s="32">
        <v>44012</v>
      </c>
      <c r="AJ143" s="31">
        <v>12.5</v>
      </c>
      <c r="AK143" s="31">
        <v>629.4</v>
      </c>
      <c r="BG143" s="31" t="s">
        <v>28</v>
      </c>
      <c r="BI143" s="31" t="s">
        <v>279</v>
      </c>
      <c r="BK143" s="31" t="s">
        <v>50</v>
      </c>
      <c r="BL143" s="31" t="s">
        <v>242</v>
      </c>
      <c r="BM143" s="31" t="s">
        <v>243</v>
      </c>
      <c r="BN143" s="33">
        <v>44054.325019074073</v>
      </c>
      <c r="BR143" s="31" t="s">
        <v>257</v>
      </c>
      <c r="BS143" s="31">
        <v>4.0721202017922499E+18</v>
      </c>
      <c r="BT143" s="31" t="s">
        <v>245</v>
      </c>
      <c r="BU143" s="31" t="s">
        <v>337</v>
      </c>
      <c r="BV143" s="31">
        <v>2020</v>
      </c>
      <c r="BW143" s="31" t="s">
        <v>246</v>
      </c>
      <c r="BY143" s="31">
        <v>4.0810202018169098E+18</v>
      </c>
      <c r="BZ143" s="31" t="s">
        <v>585</v>
      </c>
      <c r="CA143" s="31" t="s">
        <v>248</v>
      </c>
    </row>
    <row r="144" spans="1:79" x14ac:dyDescent="0.2">
      <c r="A144" s="31" t="s">
        <v>316</v>
      </c>
      <c r="B144" s="31" t="s">
        <v>325</v>
      </c>
      <c r="C144" s="31">
        <v>2020</v>
      </c>
      <c r="D144" s="31" t="s">
        <v>572</v>
      </c>
      <c r="E144" s="31">
        <v>2.0200720925606701E+17</v>
      </c>
      <c r="F144" s="31" t="s">
        <v>225</v>
      </c>
      <c r="G144" s="31" t="s">
        <v>589</v>
      </c>
      <c r="H144" s="31">
        <v>1427110</v>
      </c>
      <c r="J144" s="31" t="s">
        <v>227</v>
      </c>
      <c r="K144" s="31" t="s">
        <v>228</v>
      </c>
      <c r="L144" s="31" t="s">
        <v>314</v>
      </c>
      <c r="N144" s="31" t="s">
        <v>290</v>
      </c>
      <c r="O144" s="31" t="s">
        <v>254</v>
      </c>
      <c r="Q144" s="31" t="s">
        <v>255</v>
      </c>
      <c r="R144" s="31" t="s">
        <v>291</v>
      </c>
      <c r="T144" s="31" t="s">
        <v>292</v>
      </c>
      <c r="V144" s="31" t="s">
        <v>327</v>
      </c>
      <c r="X144" s="31" t="s">
        <v>294</v>
      </c>
      <c r="Y144" s="31" t="s">
        <v>295</v>
      </c>
      <c r="Z144" s="31">
        <v>30312</v>
      </c>
      <c r="AA144" s="31" t="s">
        <v>328</v>
      </c>
      <c r="AB144" s="31" t="s">
        <v>297</v>
      </c>
      <c r="AC144" s="31" t="s">
        <v>314</v>
      </c>
      <c r="AD144" s="31" t="s">
        <v>329</v>
      </c>
      <c r="AE144" s="31" t="s">
        <v>330</v>
      </c>
      <c r="AF144" s="31" t="s">
        <v>331</v>
      </c>
      <c r="AI144" s="32">
        <v>43986</v>
      </c>
      <c r="AJ144" s="31">
        <v>100</v>
      </c>
      <c r="AK144" s="31">
        <v>900</v>
      </c>
      <c r="BG144" s="31" t="s">
        <v>28</v>
      </c>
      <c r="BI144" s="31" t="s">
        <v>279</v>
      </c>
      <c r="BK144" s="31" t="s">
        <v>50</v>
      </c>
      <c r="BL144" s="31" t="s">
        <v>242</v>
      </c>
      <c r="BM144" s="31" t="s">
        <v>243</v>
      </c>
      <c r="BN144" s="33">
        <v>44054.328694768519</v>
      </c>
      <c r="BR144" s="31" t="s">
        <v>257</v>
      </c>
      <c r="BS144" s="31">
        <v>4.0721202017922499E+18</v>
      </c>
      <c r="BT144" s="31" t="s">
        <v>245</v>
      </c>
      <c r="BU144" s="31" t="s">
        <v>357</v>
      </c>
      <c r="BV144" s="31">
        <v>2020</v>
      </c>
      <c r="BW144" s="31" t="s">
        <v>246</v>
      </c>
      <c r="BY144" s="31">
        <v>4.0810202018169098E+18</v>
      </c>
      <c r="BZ144" s="31" t="s">
        <v>590</v>
      </c>
      <c r="CA144" s="31" t="s">
        <v>248</v>
      </c>
    </row>
    <row r="145" spans="1:79" x14ac:dyDescent="0.2">
      <c r="A145" s="31" t="s">
        <v>316</v>
      </c>
      <c r="B145" s="31" t="s">
        <v>325</v>
      </c>
      <c r="C145" s="31">
        <v>2020</v>
      </c>
      <c r="D145" s="31" t="s">
        <v>572</v>
      </c>
      <c r="E145" s="31">
        <v>2.0200720925606701E+17</v>
      </c>
      <c r="F145" s="31" t="s">
        <v>225</v>
      </c>
      <c r="G145" s="31" t="s">
        <v>591</v>
      </c>
      <c r="H145" s="31">
        <v>1427110</v>
      </c>
      <c r="J145" s="31" t="s">
        <v>227</v>
      </c>
      <c r="K145" s="31" t="s">
        <v>228</v>
      </c>
      <c r="N145" s="31" t="s">
        <v>290</v>
      </c>
      <c r="O145" s="31" t="s">
        <v>254</v>
      </c>
      <c r="Q145" s="31" t="s">
        <v>255</v>
      </c>
      <c r="R145" s="31" t="s">
        <v>291</v>
      </c>
      <c r="T145" s="31" t="s">
        <v>292</v>
      </c>
      <c r="V145" s="31" t="s">
        <v>327</v>
      </c>
      <c r="X145" s="31" t="s">
        <v>294</v>
      </c>
      <c r="Y145" s="31" t="s">
        <v>295</v>
      </c>
      <c r="Z145" s="31">
        <v>30312</v>
      </c>
      <c r="AA145" s="31" t="s">
        <v>328</v>
      </c>
      <c r="AB145" s="31" t="s">
        <v>297</v>
      </c>
      <c r="AD145" s="31">
        <v>15</v>
      </c>
      <c r="AE145" s="31" t="s">
        <v>298</v>
      </c>
      <c r="AF145" s="31" t="s">
        <v>336</v>
      </c>
      <c r="AI145" s="32">
        <v>43987</v>
      </c>
      <c r="AJ145" s="31">
        <v>20</v>
      </c>
      <c r="AK145" s="31">
        <v>629.4</v>
      </c>
      <c r="BG145" s="31" t="s">
        <v>28</v>
      </c>
      <c r="BI145" s="31" t="s">
        <v>279</v>
      </c>
      <c r="BK145" s="31" t="s">
        <v>50</v>
      </c>
      <c r="BL145" s="31" t="s">
        <v>242</v>
      </c>
      <c r="BM145" s="31" t="s">
        <v>243</v>
      </c>
      <c r="BN145" s="33">
        <v>44054.328694768519</v>
      </c>
      <c r="BR145" s="31" t="s">
        <v>257</v>
      </c>
      <c r="BS145" s="31">
        <v>4.0721202017922499E+18</v>
      </c>
      <c r="BT145" s="31" t="s">
        <v>245</v>
      </c>
      <c r="BU145" s="31" t="s">
        <v>337</v>
      </c>
      <c r="BV145" s="31">
        <v>2020</v>
      </c>
      <c r="BW145" s="31" t="s">
        <v>246</v>
      </c>
      <c r="BY145" s="31">
        <v>4.0810202018169098E+18</v>
      </c>
      <c r="BZ145" s="31" t="s">
        <v>583</v>
      </c>
      <c r="CA145" s="31" t="s">
        <v>248</v>
      </c>
    </row>
    <row r="146" spans="1:79" x14ac:dyDescent="0.2">
      <c r="A146" s="31" t="s">
        <v>316</v>
      </c>
      <c r="B146" s="31" t="s">
        <v>325</v>
      </c>
      <c r="C146" s="31">
        <v>2020</v>
      </c>
      <c r="D146" s="31" t="s">
        <v>572</v>
      </c>
      <c r="E146" s="31">
        <v>2.0200720925606701E+17</v>
      </c>
      <c r="F146" s="31" t="s">
        <v>225</v>
      </c>
      <c r="G146" s="31" t="s">
        <v>592</v>
      </c>
      <c r="H146" s="31">
        <v>1427110</v>
      </c>
      <c r="J146" s="31" t="s">
        <v>227</v>
      </c>
      <c r="K146" s="31" t="s">
        <v>228</v>
      </c>
      <c r="N146" s="31" t="s">
        <v>290</v>
      </c>
      <c r="O146" s="31" t="s">
        <v>254</v>
      </c>
      <c r="Q146" s="31" t="s">
        <v>255</v>
      </c>
      <c r="R146" s="31" t="s">
        <v>291</v>
      </c>
      <c r="T146" s="31" t="s">
        <v>292</v>
      </c>
      <c r="V146" s="31" t="s">
        <v>327</v>
      </c>
      <c r="X146" s="31" t="s">
        <v>294</v>
      </c>
      <c r="Y146" s="31" t="s">
        <v>295</v>
      </c>
      <c r="Z146" s="31">
        <v>30312</v>
      </c>
      <c r="AA146" s="31" t="s">
        <v>328</v>
      </c>
      <c r="AB146" s="31" t="s">
        <v>297</v>
      </c>
      <c r="AD146" s="31">
        <v>15</v>
      </c>
      <c r="AE146" s="31" t="s">
        <v>298</v>
      </c>
      <c r="AF146" s="31" t="s">
        <v>336</v>
      </c>
      <c r="AI146" s="32">
        <v>43998</v>
      </c>
      <c r="AJ146" s="31">
        <v>10</v>
      </c>
      <c r="AK146" s="31">
        <v>629.4</v>
      </c>
      <c r="BG146" s="31" t="s">
        <v>28</v>
      </c>
      <c r="BI146" s="31" t="s">
        <v>279</v>
      </c>
      <c r="BK146" s="31" t="s">
        <v>50</v>
      </c>
      <c r="BL146" s="31" t="s">
        <v>242</v>
      </c>
      <c r="BM146" s="31" t="s">
        <v>243</v>
      </c>
      <c r="BN146" s="33">
        <v>44054.342372754632</v>
      </c>
      <c r="BR146" s="31" t="s">
        <v>257</v>
      </c>
      <c r="BS146" s="31">
        <v>4.0721202017922499E+18</v>
      </c>
      <c r="BT146" s="31" t="s">
        <v>245</v>
      </c>
      <c r="BU146" s="31" t="s">
        <v>337</v>
      </c>
      <c r="BV146" s="31">
        <v>2020</v>
      </c>
      <c r="BW146" s="31" t="s">
        <v>246</v>
      </c>
      <c r="BY146" s="31">
        <v>4.0810202018169098E+18</v>
      </c>
      <c r="BZ146" s="31" t="s">
        <v>581</v>
      </c>
      <c r="CA146" s="31" t="s">
        <v>248</v>
      </c>
    </row>
    <row r="147" spans="1:79" x14ac:dyDescent="0.2">
      <c r="A147" s="31" t="s">
        <v>316</v>
      </c>
      <c r="B147" s="31" t="s">
        <v>325</v>
      </c>
      <c r="C147" s="31">
        <v>2020</v>
      </c>
      <c r="D147" s="31" t="s">
        <v>572</v>
      </c>
      <c r="E147" s="31">
        <v>2.0200720925606701E+17</v>
      </c>
      <c r="F147" s="31" t="s">
        <v>225</v>
      </c>
      <c r="G147" s="31" t="s">
        <v>593</v>
      </c>
      <c r="H147" s="31">
        <v>1427110</v>
      </c>
      <c r="J147" s="31" t="s">
        <v>227</v>
      </c>
      <c r="K147" s="31" t="s">
        <v>228</v>
      </c>
      <c r="N147" s="31" t="s">
        <v>290</v>
      </c>
      <c r="O147" s="31" t="s">
        <v>254</v>
      </c>
      <c r="Q147" s="31" t="s">
        <v>255</v>
      </c>
      <c r="R147" s="31" t="s">
        <v>291</v>
      </c>
      <c r="T147" s="31" t="s">
        <v>292</v>
      </c>
      <c r="V147" s="31" t="s">
        <v>327</v>
      </c>
      <c r="X147" s="31" t="s">
        <v>294</v>
      </c>
      <c r="Y147" s="31" t="s">
        <v>295</v>
      </c>
      <c r="Z147" s="31">
        <v>30312</v>
      </c>
      <c r="AA147" s="31" t="s">
        <v>328</v>
      </c>
      <c r="AB147" s="31" t="s">
        <v>297</v>
      </c>
      <c r="AD147" s="31">
        <v>15</v>
      </c>
      <c r="AE147" s="31" t="s">
        <v>298</v>
      </c>
      <c r="AF147" s="31" t="s">
        <v>336</v>
      </c>
      <c r="AI147" s="32">
        <v>44006</v>
      </c>
      <c r="AJ147" s="31">
        <v>10</v>
      </c>
      <c r="AK147" s="31">
        <v>629.4</v>
      </c>
      <c r="BG147" s="31" t="s">
        <v>28</v>
      </c>
      <c r="BI147" s="31" t="s">
        <v>279</v>
      </c>
      <c r="BK147" s="31" t="s">
        <v>50</v>
      </c>
      <c r="BL147" s="31" t="s">
        <v>242</v>
      </c>
      <c r="BM147" s="31" t="s">
        <v>243</v>
      </c>
      <c r="BN147" s="33">
        <v>44054.342372754632</v>
      </c>
      <c r="BR147" s="31" t="s">
        <v>257</v>
      </c>
      <c r="BS147" s="31">
        <v>4.0721202017922499E+18</v>
      </c>
      <c r="BT147" s="31" t="s">
        <v>245</v>
      </c>
      <c r="BU147" s="31" t="s">
        <v>337</v>
      </c>
      <c r="BV147" s="31">
        <v>2020</v>
      </c>
      <c r="BW147" s="31" t="s">
        <v>246</v>
      </c>
      <c r="BY147" s="31">
        <v>4.0810202018169098E+18</v>
      </c>
      <c r="BZ147" s="31" t="s">
        <v>587</v>
      </c>
      <c r="CA147" s="31" t="s">
        <v>248</v>
      </c>
    </row>
    <row r="148" spans="1:79" x14ac:dyDescent="0.2">
      <c r="A148" s="31" t="s">
        <v>316</v>
      </c>
      <c r="B148" s="31" t="s">
        <v>325</v>
      </c>
      <c r="C148" s="31">
        <v>2020</v>
      </c>
      <c r="D148" s="31" t="s">
        <v>572</v>
      </c>
      <c r="E148" s="31">
        <v>2.0200720925606701E+17</v>
      </c>
      <c r="F148" s="31" t="s">
        <v>225</v>
      </c>
      <c r="G148" s="31" t="s">
        <v>594</v>
      </c>
      <c r="H148" s="31">
        <v>1427110</v>
      </c>
      <c r="J148" s="31" t="s">
        <v>227</v>
      </c>
      <c r="K148" s="31" t="s">
        <v>228</v>
      </c>
      <c r="N148" s="31" t="s">
        <v>290</v>
      </c>
      <c r="O148" s="31" t="s">
        <v>254</v>
      </c>
      <c r="Q148" s="31" t="s">
        <v>255</v>
      </c>
      <c r="R148" s="31" t="s">
        <v>291</v>
      </c>
      <c r="T148" s="31" t="s">
        <v>292</v>
      </c>
      <c r="V148" s="31" t="s">
        <v>327</v>
      </c>
      <c r="X148" s="31" t="s">
        <v>294</v>
      </c>
      <c r="Y148" s="31" t="s">
        <v>295</v>
      </c>
      <c r="Z148" s="31">
        <v>30312</v>
      </c>
      <c r="AA148" s="31" t="s">
        <v>328</v>
      </c>
      <c r="AB148" s="31" t="s">
        <v>297</v>
      </c>
      <c r="AD148" s="31">
        <v>15</v>
      </c>
      <c r="AE148" s="31" t="s">
        <v>298</v>
      </c>
      <c r="AF148" s="31" t="s">
        <v>336</v>
      </c>
      <c r="AI148" s="32">
        <v>44009</v>
      </c>
      <c r="AJ148" s="31">
        <v>25</v>
      </c>
      <c r="AK148" s="31">
        <v>629.4</v>
      </c>
      <c r="BG148" s="31" t="s">
        <v>28</v>
      </c>
      <c r="BI148" s="31" t="s">
        <v>279</v>
      </c>
      <c r="BK148" s="31" t="s">
        <v>50</v>
      </c>
      <c r="BL148" s="31" t="s">
        <v>242</v>
      </c>
      <c r="BM148" s="31" t="s">
        <v>243</v>
      </c>
      <c r="BN148" s="33">
        <v>44054.342372754632</v>
      </c>
      <c r="BR148" s="31" t="s">
        <v>257</v>
      </c>
      <c r="BS148" s="31">
        <v>4.0721202017922499E+18</v>
      </c>
      <c r="BT148" s="31" t="s">
        <v>245</v>
      </c>
      <c r="BU148" s="31" t="s">
        <v>337</v>
      </c>
      <c r="BV148" s="31">
        <v>2020</v>
      </c>
      <c r="BW148" s="31" t="s">
        <v>246</v>
      </c>
      <c r="BY148" s="31">
        <v>4.0810202018169098E+18</v>
      </c>
      <c r="BZ148" s="31" t="s">
        <v>587</v>
      </c>
      <c r="CA148" s="31" t="s">
        <v>248</v>
      </c>
    </row>
    <row r="149" spans="1:79" x14ac:dyDescent="0.2">
      <c r="A149" s="31" t="s">
        <v>316</v>
      </c>
      <c r="B149" s="31" t="s">
        <v>325</v>
      </c>
      <c r="C149" s="31">
        <v>2020</v>
      </c>
      <c r="D149" s="31" t="s">
        <v>572</v>
      </c>
      <c r="E149" s="31">
        <v>2.0200720925606701E+17</v>
      </c>
      <c r="F149" s="31" t="s">
        <v>225</v>
      </c>
      <c r="G149" s="31" t="s">
        <v>595</v>
      </c>
      <c r="H149" s="31">
        <v>1427110</v>
      </c>
      <c r="J149" s="31" t="s">
        <v>227</v>
      </c>
      <c r="K149" s="31" t="s">
        <v>228</v>
      </c>
      <c r="N149" s="31" t="s">
        <v>290</v>
      </c>
      <c r="O149" s="31" t="s">
        <v>254</v>
      </c>
      <c r="Q149" s="31" t="s">
        <v>255</v>
      </c>
      <c r="R149" s="31" t="s">
        <v>291</v>
      </c>
      <c r="T149" s="31" t="s">
        <v>292</v>
      </c>
      <c r="V149" s="31" t="s">
        <v>327</v>
      </c>
      <c r="X149" s="31" t="s">
        <v>294</v>
      </c>
      <c r="Y149" s="31" t="s">
        <v>295</v>
      </c>
      <c r="Z149" s="31">
        <v>30312</v>
      </c>
      <c r="AA149" s="31" t="s">
        <v>328</v>
      </c>
      <c r="AB149" s="31" t="s">
        <v>297</v>
      </c>
      <c r="AD149" s="31">
        <v>15</v>
      </c>
      <c r="AE149" s="31" t="s">
        <v>298</v>
      </c>
      <c r="AF149" s="31" t="s">
        <v>336</v>
      </c>
      <c r="AI149" s="32">
        <v>43986</v>
      </c>
      <c r="AJ149" s="31">
        <v>10</v>
      </c>
      <c r="AK149" s="31">
        <v>629.4</v>
      </c>
      <c r="BG149" s="31" t="s">
        <v>28</v>
      </c>
      <c r="BI149" s="31" t="s">
        <v>279</v>
      </c>
      <c r="BK149" s="31" t="s">
        <v>50</v>
      </c>
      <c r="BL149" s="31" t="s">
        <v>242</v>
      </c>
      <c r="BM149" s="31" t="s">
        <v>243</v>
      </c>
      <c r="BN149" s="33">
        <v>44054.358340081017</v>
      </c>
      <c r="BR149" s="31" t="s">
        <v>257</v>
      </c>
      <c r="BS149" s="31">
        <v>4.0721202017922499E+18</v>
      </c>
      <c r="BT149" s="31" t="s">
        <v>245</v>
      </c>
      <c r="BU149" s="31" t="s">
        <v>337</v>
      </c>
      <c r="BV149" s="31">
        <v>2020</v>
      </c>
      <c r="BW149" s="31" t="s">
        <v>246</v>
      </c>
      <c r="BY149" s="31">
        <v>4.0810202018169098E+18</v>
      </c>
      <c r="BZ149" s="31" t="s">
        <v>590</v>
      </c>
      <c r="CA149" s="31" t="s">
        <v>248</v>
      </c>
    </row>
    <row r="150" spans="1:79" x14ac:dyDescent="0.2">
      <c r="A150" s="31" t="s">
        <v>316</v>
      </c>
      <c r="B150" s="31" t="s">
        <v>325</v>
      </c>
      <c r="C150" s="31">
        <v>2020</v>
      </c>
      <c r="D150" s="31" t="s">
        <v>505</v>
      </c>
      <c r="E150" s="31">
        <v>2.02008209262476E+17</v>
      </c>
      <c r="F150" s="31" t="s">
        <v>225</v>
      </c>
      <c r="G150" s="31" t="s">
        <v>596</v>
      </c>
      <c r="H150" s="31">
        <v>1434463</v>
      </c>
      <c r="J150" s="31" t="s">
        <v>227</v>
      </c>
      <c r="K150" s="31" t="s">
        <v>228</v>
      </c>
      <c r="N150" s="31" t="s">
        <v>290</v>
      </c>
      <c r="O150" s="31" t="s">
        <v>254</v>
      </c>
      <c r="Q150" s="31" t="s">
        <v>255</v>
      </c>
      <c r="R150" s="31" t="s">
        <v>291</v>
      </c>
      <c r="T150" s="31" t="s">
        <v>292</v>
      </c>
      <c r="V150" s="31" t="s">
        <v>327</v>
      </c>
      <c r="X150" s="31" t="s">
        <v>294</v>
      </c>
      <c r="Y150" s="31" t="s">
        <v>295</v>
      </c>
      <c r="Z150" s="31">
        <v>30312</v>
      </c>
      <c r="AA150" s="31" t="s">
        <v>328</v>
      </c>
      <c r="AB150" s="31" t="s">
        <v>297</v>
      </c>
      <c r="AD150" s="31">
        <v>15</v>
      </c>
      <c r="AE150" s="31" t="s">
        <v>298</v>
      </c>
      <c r="AF150" s="31" t="s">
        <v>336</v>
      </c>
      <c r="AI150" s="32">
        <v>44024</v>
      </c>
      <c r="AJ150" s="31">
        <v>10</v>
      </c>
      <c r="AK150" s="31">
        <v>719.4</v>
      </c>
      <c r="BG150" s="31" t="s">
        <v>28</v>
      </c>
      <c r="BI150" s="31" t="s">
        <v>279</v>
      </c>
      <c r="BK150" s="31" t="s">
        <v>50</v>
      </c>
      <c r="BL150" s="31" t="s">
        <v>242</v>
      </c>
      <c r="BM150" s="31" t="s">
        <v>243</v>
      </c>
      <c r="BN150" s="33">
        <v>44090.310762847221</v>
      </c>
      <c r="BR150" s="31" t="s">
        <v>257</v>
      </c>
      <c r="BS150" s="31">
        <v>4.0822202018295301E+18</v>
      </c>
      <c r="BT150" s="31" t="s">
        <v>245</v>
      </c>
      <c r="BU150" s="31" t="s">
        <v>337</v>
      </c>
      <c r="BV150" s="31">
        <v>2020</v>
      </c>
      <c r="BW150" s="31" t="s">
        <v>246</v>
      </c>
      <c r="BY150" s="31">
        <v>4.0915202018394102E+18</v>
      </c>
      <c r="BZ150" s="31" t="s">
        <v>597</v>
      </c>
      <c r="CA150" s="31" t="s">
        <v>248</v>
      </c>
    </row>
    <row r="151" spans="1:79" x14ac:dyDescent="0.2">
      <c r="A151" s="31" t="s">
        <v>316</v>
      </c>
      <c r="B151" s="31" t="s">
        <v>325</v>
      </c>
      <c r="C151" s="31">
        <v>2020</v>
      </c>
      <c r="D151" s="31" t="s">
        <v>505</v>
      </c>
      <c r="E151" s="31">
        <v>2.02008209262476E+17</v>
      </c>
      <c r="F151" s="31" t="s">
        <v>225</v>
      </c>
      <c r="G151" s="31" t="s">
        <v>598</v>
      </c>
      <c r="H151" s="31">
        <v>1434463</v>
      </c>
      <c r="J151" s="31" t="s">
        <v>227</v>
      </c>
      <c r="K151" s="31" t="s">
        <v>228</v>
      </c>
      <c r="L151" s="31" t="s">
        <v>314</v>
      </c>
      <c r="N151" s="31" t="s">
        <v>290</v>
      </c>
      <c r="O151" s="31" t="s">
        <v>254</v>
      </c>
      <c r="Q151" s="31" t="s">
        <v>255</v>
      </c>
      <c r="R151" s="31" t="s">
        <v>291</v>
      </c>
      <c r="T151" s="31" t="s">
        <v>292</v>
      </c>
      <c r="V151" s="31" t="s">
        <v>327</v>
      </c>
      <c r="X151" s="31" t="s">
        <v>294</v>
      </c>
      <c r="Y151" s="31" t="s">
        <v>295</v>
      </c>
      <c r="Z151" s="31">
        <v>30312</v>
      </c>
      <c r="AA151" s="31" t="s">
        <v>328</v>
      </c>
      <c r="AB151" s="31" t="s">
        <v>297</v>
      </c>
      <c r="AC151" s="31" t="s">
        <v>314</v>
      </c>
      <c r="AD151" s="31" t="s">
        <v>329</v>
      </c>
      <c r="AE151" s="31" t="s">
        <v>330</v>
      </c>
      <c r="AF151" s="31" t="s">
        <v>331</v>
      </c>
      <c r="AI151" s="32">
        <v>44024</v>
      </c>
      <c r="AJ151" s="31">
        <v>100</v>
      </c>
      <c r="AK151" s="31">
        <v>1400</v>
      </c>
      <c r="BG151" s="31" t="s">
        <v>28</v>
      </c>
      <c r="BI151" s="31" t="s">
        <v>279</v>
      </c>
      <c r="BK151" s="31" t="s">
        <v>50</v>
      </c>
      <c r="BL151" s="31" t="s">
        <v>242</v>
      </c>
      <c r="BM151" s="31" t="s">
        <v>243</v>
      </c>
      <c r="BN151" s="33">
        <v>44090.312736053238</v>
      </c>
      <c r="BR151" s="31" t="s">
        <v>257</v>
      </c>
      <c r="BS151" s="31">
        <v>4.0822202018295301E+18</v>
      </c>
      <c r="BT151" s="31" t="s">
        <v>245</v>
      </c>
      <c r="BU151" s="31" t="s">
        <v>357</v>
      </c>
      <c r="BV151" s="31">
        <v>2020</v>
      </c>
      <c r="BW151" s="31" t="s">
        <v>246</v>
      </c>
      <c r="BY151" s="31">
        <v>4.0915202018394102E+18</v>
      </c>
      <c r="BZ151" s="31" t="s">
        <v>597</v>
      </c>
      <c r="CA151" s="31" t="s">
        <v>248</v>
      </c>
    </row>
    <row r="152" spans="1:79" x14ac:dyDescent="0.2">
      <c r="A152" s="31" t="s">
        <v>316</v>
      </c>
      <c r="B152" s="31" t="s">
        <v>325</v>
      </c>
      <c r="C152" s="31">
        <v>2020</v>
      </c>
      <c r="D152" s="31" t="s">
        <v>505</v>
      </c>
      <c r="E152" s="31">
        <v>2.02008209262476E+17</v>
      </c>
      <c r="F152" s="31" t="s">
        <v>225</v>
      </c>
      <c r="G152" s="31" t="s">
        <v>599</v>
      </c>
      <c r="H152" s="31">
        <v>1434463</v>
      </c>
      <c r="J152" s="31" t="s">
        <v>227</v>
      </c>
      <c r="K152" s="31" t="s">
        <v>228</v>
      </c>
      <c r="L152" s="31" t="s">
        <v>320</v>
      </c>
      <c r="N152" s="31" t="s">
        <v>290</v>
      </c>
      <c r="O152" s="31" t="s">
        <v>254</v>
      </c>
      <c r="Q152" s="31" t="s">
        <v>255</v>
      </c>
      <c r="R152" s="31" t="s">
        <v>291</v>
      </c>
      <c r="T152" s="31" t="s">
        <v>292</v>
      </c>
      <c r="V152" s="31" t="s">
        <v>327</v>
      </c>
      <c r="X152" s="31" t="s">
        <v>294</v>
      </c>
      <c r="Y152" s="31" t="s">
        <v>295</v>
      </c>
      <c r="Z152" s="31">
        <v>30312</v>
      </c>
      <c r="AA152" s="31" t="s">
        <v>328</v>
      </c>
      <c r="AB152" s="31" t="s">
        <v>297</v>
      </c>
      <c r="AC152" s="31" t="s">
        <v>320</v>
      </c>
      <c r="AD152" s="31" t="s">
        <v>329</v>
      </c>
      <c r="AE152" s="31" t="s">
        <v>330</v>
      </c>
      <c r="AF152" s="31" t="s">
        <v>331</v>
      </c>
      <c r="AI152" s="32">
        <v>44025</v>
      </c>
      <c r="AJ152" s="31">
        <v>100</v>
      </c>
      <c r="AK152" s="31">
        <v>1019</v>
      </c>
      <c r="BG152" s="31" t="s">
        <v>28</v>
      </c>
      <c r="BI152" s="31" t="s">
        <v>279</v>
      </c>
      <c r="BK152" s="31" t="s">
        <v>50</v>
      </c>
      <c r="BL152" s="31" t="s">
        <v>242</v>
      </c>
      <c r="BM152" s="31" t="s">
        <v>243</v>
      </c>
      <c r="BN152" s="33">
        <v>44090.312736053238</v>
      </c>
      <c r="BR152" s="31" t="s">
        <v>257</v>
      </c>
      <c r="BS152" s="31">
        <v>4.0822202018295301E+18</v>
      </c>
      <c r="BT152" s="31" t="s">
        <v>245</v>
      </c>
      <c r="BU152" s="31" t="s">
        <v>354</v>
      </c>
      <c r="BV152" s="31">
        <v>2020</v>
      </c>
      <c r="BW152" s="31" t="s">
        <v>246</v>
      </c>
      <c r="BY152" s="31">
        <v>4.0915202018394102E+18</v>
      </c>
      <c r="BZ152" s="31" t="s">
        <v>600</v>
      </c>
      <c r="CA152" s="31" t="s">
        <v>248</v>
      </c>
    </row>
    <row r="153" spans="1:79" x14ac:dyDescent="0.2">
      <c r="A153" s="31" t="s">
        <v>316</v>
      </c>
      <c r="B153" s="31" t="s">
        <v>325</v>
      </c>
      <c r="C153" s="31">
        <v>2020</v>
      </c>
      <c r="D153" s="31" t="s">
        <v>505</v>
      </c>
      <c r="E153" s="31">
        <v>2.02008209262476E+17</v>
      </c>
      <c r="F153" s="31" t="s">
        <v>225</v>
      </c>
      <c r="G153" s="31" t="s">
        <v>601</v>
      </c>
      <c r="H153" s="31">
        <v>1434463</v>
      </c>
      <c r="J153" s="31" t="s">
        <v>227</v>
      </c>
      <c r="K153" s="31" t="s">
        <v>228</v>
      </c>
      <c r="N153" s="31" t="s">
        <v>290</v>
      </c>
      <c r="O153" s="31" t="s">
        <v>254</v>
      </c>
      <c r="Q153" s="31" t="s">
        <v>255</v>
      </c>
      <c r="R153" s="31" t="s">
        <v>291</v>
      </c>
      <c r="T153" s="31" t="s">
        <v>292</v>
      </c>
      <c r="V153" s="31" t="s">
        <v>327</v>
      </c>
      <c r="X153" s="31" t="s">
        <v>294</v>
      </c>
      <c r="Y153" s="31" t="s">
        <v>295</v>
      </c>
      <c r="Z153" s="31">
        <v>30312</v>
      </c>
      <c r="AA153" s="31" t="s">
        <v>328</v>
      </c>
      <c r="AB153" s="31" t="s">
        <v>297</v>
      </c>
      <c r="AD153" s="31">
        <v>15</v>
      </c>
      <c r="AE153" s="31" t="s">
        <v>298</v>
      </c>
      <c r="AF153" s="31" t="s">
        <v>336</v>
      </c>
      <c r="AI153" s="32">
        <v>44025</v>
      </c>
      <c r="AJ153" s="31">
        <v>10</v>
      </c>
      <c r="AK153" s="31">
        <v>719.4</v>
      </c>
      <c r="BG153" s="31" t="s">
        <v>28</v>
      </c>
      <c r="BI153" s="31" t="s">
        <v>279</v>
      </c>
      <c r="BK153" s="31" t="s">
        <v>50</v>
      </c>
      <c r="BL153" s="31" t="s">
        <v>242</v>
      </c>
      <c r="BM153" s="31" t="s">
        <v>243</v>
      </c>
      <c r="BN153" s="33">
        <v>44090.312736053238</v>
      </c>
      <c r="BR153" s="31" t="s">
        <v>257</v>
      </c>
      <c r="BS153" s="31">
        <v>4.0822202018295301E+18</v>
      </c>
      <c r="BT153" s="31" t="s">
        <v>245</v>
      </c>
      <c r="BU153" s="31" t="s">
        <v>337</v>
      </c>
      <c r="BV153" s="31">
        <v>2020</v>
      </c>
      <c r="BW153" s="31" t="s">
        <v>246</v>
      </c>
      <c r="BY153" s="31">
        <v>4.0915202018394102E+18</v>
      </c>
      <c r="BZ153" s="31" t="s">
        <v>600</v>
      </c>
      <c r="CA153" s="31" t="s">
        <v>248</v>
      </c>
    </row>
    <row r="154" spans="1:79" x14ac:dyDescent="0.2">
      <c r="A154" s="31" t="s">
        <v>316</v>
      </c>
      <c r="B154" s="31" t="s">
        <v>325</v>
      </c>
      <c r="C154" s="31">
        <v>2020</v>
      </c>
      <c r="D154" s="31" t="s">
        <v>505</v>
      </c>
      <c r="E154" s="31">
        <v>2.02008209262476E+17</v>
      </c>
      <c r="F154" s="31" t="s">
        <v>225</v>
      </c>
      <c r="G154" s="31" t="s">
        <v>602</v>
      </c>
      <c r="H154" s="31">
        <v>1434463</v>
      </c>
      <c r="J154" s="31" t="s">
        <v>227</v>
      </c>
      <c r="K154" s="31" t="s">
        <v>228</v>
      </c>
      <c r="N154" s="31" t="s">
        <v>290</v>
      </c>
      <c r="O154" s="31" t="s">
        <v>254</v>
      </c>
      <c r="Q154" s="31" t="s">
        <v>255</v>
      </c>
      <c r="R154" s="31" t="s">
        <v>291</v>
      </c>
      <c r="T154" s="31" t="s">
        <v>292</v>
      </c>
      <c r="V154" s="31" t="s">
        <v>327</v>
      </c>
      <c r="X154" s="31" t="s">
        <v>294</v>
      </c>
      <c r="Y154" s="31" t="s">
        <v>295</v>
      </c>
      <c r="Z154" s="31">
        <v>30312</v>
      </c>
      <c r="AA154" s="31" t="s">
        <v>328</v>
      </c>
      <c r="AB154" s="31" t="s">
        <v>297</v>
      </c>
      <c r="AD154" s="31">
        <v>15</v>
      </c>
      <c r="AE154" s="31" t="s">
        <v>298</v>
      </c>
      <c r="AF154" s="31" t="s">
        <v>336</v>
      </c>
      <c r="AI154" s="32">
        <v>44030</v>
      </c>
      <c r="AJ154" s="31">
        <v>20</v>
      </c>
      <c r="AK154" s="31">
        <v>719.4</v>
      </c>
      <c r="BG154" s="31" t="s">
        <v>28</v>
      </c>
      <c r="BI154" s="31" t="s">
        <v>279</v>
      </c>
      <c r="BK154" s="31" t="s">
        <v>50</v>
      </c>
      <c r="BL154" s="31" t="s">
        <v>242</v>
      </c>
      <c r="BM154" s="31" t="s">
        <v>243</v>
      </c>
      <c r="BN154" s="33">
        <v>44090.312736053238</v>
      </c>
      <c r="BR154" s="31" t="s">
        <v>257</v>
      </c>
      <c r="BS154" s="31">
        <v>4.0822202018295301E+18</v>
      </c>
      <c r="BT154" s="31" t="s">
        <v>245</v>
      </c>
      <c r="BU154" s="31" t="s">
        <v>337</v>
      </c>
      <c r="BV154" s="31">
        <v>2020</v>
      </c>
      <c r="BW154" s="31" t="s">
        <v>246</v>
      </c>
      <c r="BY154" s="31">
        <v>4.0915202018394102E+18</v>
      </c>
      <c r="BZ154" s="31" t="s">
        <v>600</v>
      </c>
      <c r="CA154" s="31" t="s">
        <v>248</v>
      </c>
    </row>
    <row r="155" spans="1:79" x14ac:dyDescent="0.2">
      <c r="A155" s="31" t="s">
        <v>316</v>
      </c>
      <c r="B155" s="31" t="s">
        <v>325</v>
      </c>
      <c r="C155" s="31">
        <v>2020</v>
      </c>
      <c r="D155" s="31" t="s">
        <v>505</v>
      </c>
      <c r="E155" s="31">
        <v>2.02008209262476E+17</v>
      </c>
      <c r="F155" s="31" t="s">
        <v>225</v>
      </c>
      <c r="G155" s="31" t="s">
        <v>603</v>
      </c>
      <c r="H155" s="31">
        <v>1434463</v>
      </c>
      <c r="J155" s="31" t="s">
        <v>227</v>
      </c>
      <c r="K155" s="31" t="s">
        <v>228</v>
      </c>
      <c r="N155" s="31" t="s">
        <v>290</v>
      </c>
      <c r="O155" s="31" t="s">
        <v>254</v>
      </c>
      <c r="Q155" s="31" t="s">
        <v>255</v>
      </c>
      <c r="R155" s="31" t="s">
        <v>291</v>
      </c>
      <c r="T155" s="31" t="s">
        <v>292</v>
      </c>
      <c r="V155" s="31" t="s">
        <v>327</v>
      </c>
      <c r="X155" s="31" t="s">
        <v>294</v>
      </c>
      <c r="Y155" s="31" t="s">
        <v>295</v>
      </c>
      <c r="Z155" s="31">
        <v>30312</v>
      </c>
      <c r="AA155" s="31" t="s">
        <v>328</v>
      </c>
      <c r="AB155" s="31" t="s">
        <v>297</v>
      </c>
      <c r="AF155" s="31" t="s">
        <v>331</v>
      </c>
      <c r="AI155" s="32">
        <v>44035</v>
      </c>
      <c r="AJ155" s="31">
        <v>100</v>
      </c>
      <c r="AK155" s="31">
        <v>200</v>
      </c>
      <c r="BK155" s="31" t="s">
        <v>50</v>
      </c>
      <c r="BL155" s="31" t="s">
        <v>242</v>
      </c>
      <c r="BM155" s="31" t="s">
        <v>243</v>
      </c>
      <c r="BN155" s="33">
        <v>44090.312736053238</v>
      </c>
      <c r="BR155" s="31" t="s">
        <v>257</v>
      </c>
      <c r="BS155" s="31">
        <v>4.0822202018295301E+18</v>
      </c>
      <c r="BT155" s="31" t="s">
        <v>245</v>
      </c>
      <c r="BU155" s="31" t="s">
        <v>333</v>
      </c>
      <c r="BV155" s="31">
        <v>2020</v>
      </c>
      <c r="BW155" s="31" t="s">
        <v>246</v>
      </c>
      <c r="BY155" s="31">
        <v>4.0915202018394102E+18</v>
      </c>
      <c r="BZ155" s="31" t="s">
        <v>604</v>
      </c>
      <c r="CA155" s="31" t="s">
        <v>248</v>
      </c>
    </row>
    <row r="156" spans="1:79" x14ac:dyDescent="0.2">
      <c r="A156" s="31" t="s">
        <v>316</v>
      </c>
      <c r="B156" s="31" t="s">
        <v>325</v>
      </c>
      <c r="C156" s="31">
        <v>2020</v>
      </c>
      <c r="D156" s="31" t="s">
        <v>505</v>
      </c>
      <c r="E156" s="31">
        <v>2.02008209262476E+17</v>
      </c>
      <c r="F156" s="31" t="s">
        <v>225</v>
      </c>
      <c r="G156" s="31" t="s">
        <v>605</v>
      </c>
      <c r="H156" s="31">
        <v>1434463</v>
      </c>
      <c r="J156" s="31" t="s">
        <v>227</v>
      </c>
      <c r="K156" s="31" t="s">
        <v>228</v>
      </c>
      <c r="N156" s="31" t="s">
        <v>290</v>
      </c>
      <c r="O156" s="31" t="s">
        <v>254</v>
      </c>
      <c r="Q156" s="31" t="s">
        <v>255</v>
      </c>
      <c r="R156" s="31" t="s">
        <v>291</v>
      </c>
      <c r="T156" s="31" t="s">
        <v>292</v>
      </c>
      <c r="V156" s="31" t="s">
        <v>327</v>
      </c>
      <c r="X156" s="31" t="s">
        <v>294</v>
      </c>
      <c r="Y156" s="31" t="s">
        <v>295</v>
      </c>
      <c r="Z156" s="31">
        <v>30312</v>
      </c>
      <c r="AA156" s="31" t="s">
        <v>328</v>
      </c>
      <c r="AB156" s="31" t="s">
        <v>297</v>
      </c>
      <c r="AD156" s="31">
        <v>15</v>
      </c>
      <c r="AE156" s="31" t="s">
        <v>298</v>
      </c>
      <c r="AF156" s="31" t="s">
        <v>336</v>
      </c>
      <c r="AI156" s="32">
        <v>44035</v>
      </c>
      <c r="AJ156" s="31">
        <v>10</v>
      </c>
      <c r="AK156" s="31">
        <v>719.4</v>
      </c>
      <c r="BG156" s="31" t="s">
        <v>28</v>
      </c>
      <c r="BI156" s="31" t="s">
        <v>279</v>
      </c>
      <c r="BK156" s="31" t="s">
        <v>50</v>
      </c>
      <c r="BL156" s="31" t="s">
        <v>242</v>
      </c>
      <c r="BM156" s="31" t="s">
        <v>243</v>
      </c>
      <c r="BN156" s="33">
        <v>44090.312736064814</v>
      </c>
      <c r="BR156" s="31" t="s">
        <v>257</v>
      </c>
      <c r="BS156" s="31">
        <v>4.0822202018295301E+18</v>
      </c>
      <c r="BT156" s="31" t="s">
        <v>245</v>
      </c>
      <c r="BU156" s="31" t="s">
        <v>337</v>
      </c>
      <c r="BV156" s="31">
        <v>2020</v>
      </c>
      <c r="BW156" s="31" t="s">
        <v>246</v>
      </c>
      <c r="BY156" s="31">
        <v>4.0915202018394102E+18</v>
      </c>
      <c r="BZ156" s="31" t="s">
        <v>604</v>
      </c>
      <c r="CA156" s="31" t="s">
        <v>248</v>
      </c>
    </row>
    <row r="157" spans="1:79" x14ac:dyDescent="0.2">
      <c r="A157" s="31" t="s">
        <v>316</v>
      </c>
      <c r="B157" s="31" t="s">
        <v>325</v>
      </c>
      <c r="C157" s="31">
        <v>2020</v>
      </c>
      <c r="D157" s="31" t="s">
        <v>505</v>
      </c>
      <c r="E157" s="31">
        <v>2.02008209262476E+17</v>
      </c>
      <c r="F157" s="31" t="s">
        <v>225</v>
      </c>
      <c r="G157" s="31" t="s">
        <v>606</v>
      </c>
      <c r="H157" s="31">
        <v>1434463</v>
      </c>
      <c r="J157" s="31" t="s">
        <v>227</v>
      </c>
      <c r="K157" s="31" t="s">
        <v>228</v>
      </c>
      <c r="N157" s="31" t="s">
        <v>290</v>
      </c>
      <c r="O157" s="31" t="s">
        <v>254</v>
      </c>
      <c r="Q157" s="31" t="s">
        <v>255</v>
      </c>
      <c r="R157" s="31" t="s">
        <v>291</v>
      </c>
      <c r="T157" s="31" t="s">
        <v>292</v>
      </c>
      <c r="V157" s="31" t="s">
        <v>327</v>
      </c>
      <c r="X157" s="31" t="s">
        <v>294</v>
      </c>
      <c r="Y157" s="31" t="s">
        <v>295</v>
      </c>
      <c r="Z157" s="31">
        <v>30312</v>
      </c>
      <c r="AA157" s="31" t="s">
        <v>328</v>
      </c>
      <c r="AB157" s="31" t="s">
        <v>297</v>
      </c>
      <c r="AD157" s="31">
        <v>15</v>
      </c>
      <c r="AE157" s="31" t="s">
        <v>298</v>
      </c>
      <c r="AF157" s="31" t="s">
        <v>336</v>
      </c>
      <c r="AI157" s="32">
        <v>44038</v>
      </c>
      <c r="AJ157" s="31">
        <v>20</v>
      </c>
      <c r="AK157" s="31">
        <v>719.4</v>
      </c>
      <c r="BG157" s="31" t="s">
        <v>28</v>
      </c>
      <c r="BI157" s="31" t="s">
        <v>279</v>
      </c>
      <c r="BK157" s="31" t="s">
        <v>50</v>
      </c>
      <c r="BL157" s="31" t="s">
        <v>242</v>
      </c>
      <c r="BM157" s="31" t="s">
        <v>243</v>
      </c>
      <c r="BN157" s="33">
        <v>44090.312736064814</v>
      </c>
      <c r="BR157" s="31" t="s">
        <v>257</v>
      </c>
      <c r="BS157" s="31">
        <v>4.0822202018295301E+18</v>
      </c>
      <c r="BT157" s="31" t="s">
        <v>245</v>
      </c>
      <c r="BU157" s="31" t="s">
        <v>337</v>
      </c>
      <c r="BV157" s="31">
        <v>2020</v>
      </c>
      <c r="BW157" s="31" t="s">
        <v>246</v>
      </c>
      <c r="BY157" s="31">
        <v>4.0915202018394102E+18</v>
      </c>
      <c r="BZ157" s="31" t="s">
        <v>607</v>
      </c>
      <c r="CA157" s="31" t="s">
        <v>248</v>
      </c>
    </row>
    <row r="158" spans="1:79" x14ac:dyDescent="0.2">
      <c r="A158" s="31" t="s">
        <v>316</v>
      </c>
      <c r="B158" s="31" t="s">
        <v>325</v>
      </c>
      <c r="C158" s="31">
        <v>2020</v>
      </c>
      <c r="D158" s="31" t="s">
        <v>505</v>
      </c>
      <c r="E158" s="31">
        <v>2.02008209262476E+17</v>
      </c>
      <c r="F158" s="31" t="s">
        <v>225</v>
      </c>
      <c r="G158" s="31" t="s">
        <v>608</v>
      </c>
      <c r="H158" s="31">
        <v>1434463</v>
      </c>
      <c r="J158" s="31" t="s">
        <v>227</v>
      </c>
      <c r="K158" s="31" t="s">
        <v>228</v>
      </c>
      <c r="N158" s="31" t="s">
        <v>290</v>
      </c>
      <c r="O158" s="31" t="s">
        <v>254</v>
      </c>
      <c r="Q158" s="31" t="s">
        <v>255</v>
      </c>
      <c r="R158" s="31" t="s">
        <v>291</v>
      </c>
      <c r="T158" s="31" t="s">
        <v>292</v>
      </c>
      <c r="V158" s="31" t="s">
        <v>327</v>
      </c>
      <c r="X158" s="31" t="s">
        <v>294</v>
      </c>
      <c r="Y158" s="31" t="s">
        <v>295</v>
      </c>
      <c r="Z158" s="31">
        <v>30312</v>
      </c>
      <c r="AA158" s="31" t="s">
        <v>328</v>
      </c>
      <c r="AB158" s="31" t="s">
        <v>297</v>
      </c>
      <c r="AF158" s="31" t="s">
        <v>331</v>
      </c>
      <c r="AI158" s="32">
        <v>44041</v>
      </c>
      <c r="AJ158" s="31">
        <v>100</v>
      </c>
      <c r="AK158" s="31">
        <v>200</v>
      </c>
      <c r="BK158" s="31" t="s">
        <v>50</v>
      </c>
      <c r="BL158" s="31" t="s">
        <v>242</v>
      </c>
      <c r="BM158" s="31" t="s">
        <v>243</v>
      </c>
      <c r="BN158" s="33">
        <v>44090.312736064814</v>
      </c>
      <c r="BR158" s="31" t="s">
        <v>257</v>
      </c>
      <c r="BS158" s="31">
        <v>4.0822202018295301E+18</v>
      </c>
      <c r="BT158" s="31" t="s">
        <v>245</v>
      </c>
      <c r="BU158" s="31" t="s">
        <v>333</v>
      </c>
      <c r="BV158" s="31">
        <v>2020</v>
      </c>
      <c r="BW158" s="31" t="s">
        <v>246</v>
      </c>
      <c r="BY158" s="31">
        <v>4.0915202018394102E+18</v>
      </c>
      <c r="BZ158" s="31" t="s">
        <v>607</v>
      </c>
      <c r="CA158" s="31" t="s">
        <v>248</v>
      </c>
    </row>
    <row r="159" spans="1:79" x14ac:dyDescent="0.2">
      <c r="A159" s="31" t="s">
        <v>316</v>
      </c>
      <c r="B159" s="31" t="s">
        <v>325</v>
      </c>
      <c r="C159" s="31">
        <v>2020</v>
      </c>
      <c r="D159" s="31" t="s">
        <v>505</v>
      </c>
      <c r="E159" s="31">
        <v>2.02008209262476E+17</v>
      </c>
      <c r="F159" s="31" t="s">
        <v>225</v>
      </c>
      <c r="G159" s="31" t="s">
        <v>609</v>
      </c>
      <c r="H159" s="31">
        <v>1434463</v>
      </c>
      <c r="J159" s="31" t="s">
        <v>227</v>
      </c>
      <c r="K159" s="31" t="s">
        <v>228</v>
      </c>
      <c r="N159" s="31" t="s">
        <v>290</v>
      </c>
      <c r="O159" s="31" t="s">
        <v>254</v>
      </c>
      <c r="Q159" s="31" t="s">
        <v>255</v>
      </c>
      <c r="R159" s="31" t="s">
        <v>291</v>
      </c>
      <c r="T159" s="31" t="s">
        <v>292</v>
      </c>
      <c r="V159" s="31" t="s">
        <v>327</v>
      </c>
      <c r="X159" s="31" t="s">
        <v>294</v>
      </c>
      <c r="Y159" s="31" t="s">
        <v>295</v>
      </c>
      <c r="Z159" s="31">
        <v>30312</v>
      </c>
      <c r="AA159" s="31" t="s">
        <v>328</v>
      </c>
      <c r="AB159" s="31" t="s">
        <v>297</v>
      </c>
      <c r="AD159" s="31">
        <v>15</v>
      </c>
      <c r="AE159" s="31" t="s">
        <v>298</v>
      </c>
      <c r="AF159" s="31" t="s">
        <v>336</v>
      </c>
      <c r="AI159" s="32">
        <v>44041</v>
      </c>
      <c r="AJ159" s="31">
        <v>10</v>
      </c>
      <c r="AK159" s="31">
        <v>719.4</v>
      </c>
      <c r="BG159" s="31" t="s">
        <v>28</v>
      </c>
      <c r="BI159" s="31" t="s">
        <v>279</v>
      </c>
      <c r="BK159" s="31" t="s">
        <v>50</v>
      </c>
      <c r="BL159" s="31" t="s">
        <v>242</v>
      </c>
      <c r="BM159" s="31" t="s">
        <v>243</v>
      </c>
      <c r="BN159" s="33">
        <v>44090.31273607639</v>
      </c>
      <c r="BR159" s="31" t="s">
        <v>257</v>
      </c>
      <c r="BS159" s="31">
        <v>4.0822202018295301E+18</v>
      </c>
      <c r="BT159" s="31" t="s">
        <v>245</v>
      </c>
      <c r="BU159" s="31" t="s">
        <v>337</v>
      </c>
      <c r="BV159" s="31">
        <v>2020</v>
      </c>
      <c r="BW159" s="31" t="s">
        <v>246</v>
      </c>
      <c r="BY159" s="31">
        <v>4.0915202018394102E+18</v>
      </c>
      <c r="BZ159" s="31" t="s">
        <v>610</v>
      </c>
      <c r="CA159" s="31" t="s">
        <v>248</v>
      </c>
    </row>
    <row r="160" spans="1:79" x14ac:dyDescent="0.2">
      <c r="A160" s="31" t="s">
        <v>316</v>
      </c>
      <c r="B160" s="31" t="s">
        <v>325</v>
      </c>
      <c r="C160" s="31">
        <v>2020</v>
      </c>
      <c r="D160" s="31" t="s">
        <v>505</v>
      </c>
      <c r="E160" s="31">
        <v>2.02008209262476E+17</v>
      </c>
      <c r="F160" s="31" t="s">
        <v>225</v>
      </c>
      <c r="G160" s="31" t="s">
        <v>611</v>
      </c>
      <c r="H160" s="31">
        <v>1434463</v>
      </c>
      <c r="J160" s="31" t="s">
        <v>227</v>
      </c>
      <c r="K160" s="31" t="s">
        <v>228</v>
      </c>
      <c r="L160" s="31" t="s">
        <v>320</v>
      </c>
      <c r="N160" s="31" t="s">
        <v>290</v>
      </c>
      <c r="O160" s="31" t="s">
        <v>254</v>
      </c>
      <c r="Q160" s="31" t="s">
        <v>255</v>
      </c>
      <c r="R160" s="31" t="s">
        <v>291</v>
      </c>
      <c r="T160" s="31" t="s">
        <v>292</v>
      </c>
      <c r="V160" s="31" t="s">
        <v>327</v>
      </c>
      <c r="X160" s="31" t="s">
        <v>294</v>
      </c>
      <c r="Y160" s="31" t="s">
        <v>295</v>
      </c>
      <c r="Z160" s="31">
        <v>30312</v>
      </c>
      <c r="AA160" s="31" t="s">
        <v>328</v>
      </c>
      <c r="AB160" s="31" t="s">
        <v>297</v>
      </c>
      <c r="AC160" s="31" t="s">
        <v>320</v>
      </c>
      <c r="AD160" s="31" t="s">
        <v>329</v>
      </c>
      <c r="AE160" s="31" t="s">
        <v>330</v>
      </c>
      <c r="AF160" s="31" t="s">
        <v>331</v>
      </c>
      <c r="AI160" s="32">
        <v>44042</v>
      </c>
      <c r="AJ160" s="31">
        <v>100</v>
      </c>
      <c r="AK160" s="31">
        <v>1019</v>
      </c>
      <c r="BG160" s="31" t="s">
        <v>28</v>
      </c>
      <c r="BI160" s="31" t="s">
        <v>279</v>
      </c>
      <c r="BK160" s="31" t="s">
        <v>50</v>
      </c>
      <c r="BL160" s="31" t="s">
        <v>242</v>
      </c>
      <c r="BM160" s="31" t="s">
        <v>243</v>
      </c>
      <c r="BN160" s="33">
        <v>44090.31273607639</v>
      </c>
      <c r="BR160" s="31" t="s">
        <v>257</v>
      </c>
      <c r="BS160" s="31">
        <v>4.0822202018295301E+18</v>
      </c>
      <c r="BT160" s="31" t="s">
        <v>245</v>
      </c>
      <c r="BU160" s="31" t="s">
        <v>354</v>
      </c>
      <c r="BV160" s="31">
        <v>2020</v>
      </c>
      <c r="BW160" s="31" t="s">
        <v>246</v>
      </c>
      <c r="BY160" s="31">
        <v>4.0915202018394102E+18</v>
      </c>
      <c r="BZ160" s="31" t="s">
        <v>610</v>
      </c>
      <c r="CA160" s="31" t="s">
        <v>248</v>
      </c>
    </row>
    <row r="161" spans="1:79" x14ac:dyDescent="0.2">
      <c r="A161" s="31" t="s">
        <v>316</v>
      </c>
      <c r="B161" s="31" t="s">
        <v>325</v>
      </c>
      <c r="C161" s="31">
        <v>2020</v>
      </c>
      <c r="D161" s="31" t="s">
        <v>505</v>
      </c>
      <c r="E161" s="31">
        <v>2.02008209262476E+17</v>
      </c>
      <c r="F161" s="31" t="s">
        <v>225</v>
      </c>
      <c r="G161" s="31" t="s">
        <v>612</v>
      </c>
      <c r="H161" s="31">
        <v>1434463</v>
      </c>
      <c r="J161" s="31" t="s">
        <v>227</v>
      </c>
      <c r="K161" s="31" t="s">
        <v>228</v>
      </c>
      <c r="N161" s="31" t="s">
        <v>290</v>
      </c>
      <c r="O161" s="31" t="s">
        <v>254</v>
      </c>
      <c r="Q161" s="31" t="s">
        <v>255</v>
      </c>
      <c r="R161" s="31" t="s">
        <v>291</v>
      </c>
      <c r="T161" s="31" t="s">
        <v>292</v>
      </c>
      <c r="V161" s="31" t="s">
        <v>327</v>
      </c>
      <c r="X161" s="31" t="s">
        <v>294</v>
      </c>
      <c r="Y161" s="31" t="s">
        <v>295</v>
      </c>
      <c r="Z161" s="31">
        <v>30312</v>
      </c>
      <c r="AA161" s="31" t="s">
        <v>328</v>
      </c>
      <c r="AB161" s="31" t="s">
        <v>297</v>
      </c>
      <c r="AD161" s="31">
        <v>15</v>
      </c>
      <c r="AE161" s="31" t="s">
        <v>298</v>
      </c>
      <c r="AF161" s="31" t="s">
        <v>336</v>
      </c>
      <c r="AI161" s="32">
        <v>44042</v>
      </c>
      <c r="AJ161" s="31">
        <v>10</v>
      </c>
      <c r="AK161" s="31">
        <v>719.4</v>
      </c>
      <c r="BG161" s="31" t="s">
        <v>28</v>
      </c>
      <c r="BI161" s="31" t="s">
        <v>279</v>
      </c>
      <c r="BK161" s="31" t="s">
        <v>50</v>
      </c>
      <c r="BL161" s="31" t="s">
        <v>242</v>
      </c>
      <c r="BM161" s="31" t="s">
        <v>243</v>
      </c>
      <c r="BN161" s="33">
        <v>44090.31273607639</v>
      </c>
      <c r="BR161" s="31" t="s">
        <v>257</v>
      </c>
      <c r="BS161" s="31">
        <v>4.0822202018295301E+18</v>
      </c>
      <c r="BT161" s="31" t="s">
        <v>245</v>
      </c>
      <c r="BU161" s="31" t="s">
        <v>337</v>
      </c>
      <c r="BV161" s="31">
        <v>2020</v>
      </c>
      <c r="BW161" s="31" t="s">
        <v>246</v>
      </c>
      <c r="BY161" s="31">
        <v>4.0915202018394102E+18</v>
      </c>
      <c r="BZ161" s="31" t="s">
        <v>610</v>
      </c>
      <c r="CA161" s="31" t="s">
        <v>248</v>
      </c>
    </row>
    <row r="162" spans="1:79" x14ac:dyDescent="0.2">
      <c r="A162" s="31" t="s">
        <v>316</v>
      </c>
      <c r="B162" s="31" t="s">
        <v>325</v>
      </c>
      <c r="C162" s="31">
        <v>2020</v>
      </c>
      <c r="D162" s="31" t="s">
        <v>505</v>
      </c>
      <c r="E162" s="31">
        <v>2.02008209262476E+17</v>
      </c>
      <c r="F162" s="31" t="s">
        <v>225</v>
      </c>
      <c r="G162" s="31" t="s">
        <v>613</v>
      </c>
      <c r="H162" s="31">
        <v>1434463</v>
      </c>
      <c r="J162" s="31" t="s">
        <v>227</v>
      </c>
      <c r="K162" s="31" t="s">
        <v>228</v>
      </c>
      <c r="L162" s="31" t="s">
        <v>404</v>
      </c>
      <c r="N162" s="31" t="s">
        <v>290</v>
      </c>
      <c r="O162" s="31" t="s">
        <v>254</v>
      </c>
      <c r="Q162" s="31" t="s">
        <v>255</v>
      </c>
      <c r="R162" s="31" t="s">
        <v>291</v>
      </c>
      <c r="T162" s="31" t="s">
        <v>292</v>
      </c>
      <c r="V162" s="31" t="s">
        <v>327</v>
      </c>
      <c r="X162" s="31" t="s">
        <v>294</v>
      </c>
      <c r="Y162" s="31" t="s">
        <v>295</v>
      </c>
      <c r="Z162" s="31">
        <v>30312</v>
      </c>
      <c r="AA162" s="31" t="s">
        <v>328</v>
      </c>
      <c r="AB162" s="31" t="s">
        <v>297</v>
      </c>
      <c r="AC162" s="31" t="s">
        <v>404</v>
      </c>
      <c r="AD162" s="31" t="s">
        <v>329</v>
      </c>
      <c r="AE162" s="31" t="s">
        <v>330</v>
      </c>
      <c r="AF162" s="31" t="s">
        <v>331</v>
      </c>
      <c r="AI162" s="32">
        <v>44017</v>
      </c>
      <c r="AJ162" s="31">
        <v>5</v>
      </c>
      <c r="AK162" s="31">
        <v>2615</v>
      </c>
      <c r="AL162" s="31" t="s">
        <v>405</v>
      </c>
      <c r="BG162" s="31" t="s">
        <v>28</v>
      </c>
      <c r="BI162" s="31" t="s">
        <v>279</v>
      </c>
      <c r="BK162" s="31" t="s">
        <v>50</v>
      </c>
      <c r="BL162" s="31" t="s">
        <v>242</v>
      </c>
      <c r="BM162" s="31" t="s">
        <v>243</v>
      </c>
      <c r="BN162" s="33">
        <v>44090.343704837964</v>
      </c>
      <c r="BR162" s="31" t="s">
        <v>257</v>
      </c>
      <c r="BS162" s="31">
        <v>4.0822202018295301E+18</v>
      </c>
      <c r="BT162" s="31" t="s">
        <v>245</v>
      </c>
      <c r="BU162" s="31" t="s">
        <v>385</v>
      </c>
      <c r="BV162" s="31">
        <v>2020</v>
      </c>
      <c r="BW162" s="31" t="s">
        <v>246</v>
      </c>
      <c r="BY162" s="31">
        <v>4.0915202018394102E+18</v>
      </c>
      <c r="BZ162" s="31" t="s">
        <v>597</v>
      </c>
      <c r="CA162" s="31" t="s">
        <v>248</v>
      </c>
    </row>
    <row r="163" spans="1:79" x14ac:dyDescent="0.2">
      <c r="A163" s="31" t="s">
        <v>614</v>
      </c>
      <c r="B163" s="31" t="s">
        <v>615</v>
      </c>
      <c r="C163" s="31">
        <v>2020</v>
      </c>
      <c r="D163" s="31" t="s">
        <v>224</v>
      </c>
      <c r="E163" s="31">
        <v>2.02012299394444E+17</v>
      </c>
      <c r="F163" s="31" t="s">
        <v>225</v>
      </c>
      <c r="G163" s="31" t="s">
        <v>616</v>
      </c>
      <c r="H163" s="31">
        <v>1484572</v>
      </c>
      <c r="J163" s="31" t="s">
        <v>227</v>
      </c>
      <c r="K163" s="31" t="s">
        <v>228</v>
      </c>
      <c r="N163" s="31" t="s">
        <v>290</v>
      </c>
      <c r="O163" s="31" t="s">
        <v>254</v>
      </c>
      <c r="Q163" s="31" t="s">
        <v>255</v>
      </c>
      <c r="R163" s="31" t="s">
        <v>291</v>
      </c>
      <c r="T163" s="31" t="s">
        <v>292</v>
      </c>
      <c r="V163" s="31" t="s">
        <v>293</v>
      </c>
      <c r="X163" s="31" t="s">
        <v>294</v>
      </c>
      <c r="Y163" s="31" t="s">
        <v>295</v>
      </c>
      <c r="Z163" s="31">
        <v>303121941</v>
      </c>
      <c r="AA163" s="31" t="s">
        <v>296</v>
      </c>
      <c r="AB163" s="31" t="s">
        <v>297</v>
      </c>
      <c r="AD163" s="31" t="s">
        <v>237</v>
      </c>
      <c r="AE163" s="31" t="s">
        <v>238</v>
      </c>
      <c r="AI163" s="32">
        <v>44150</v>
      </c>
      <c r="AJ163" s="31">
        <v>50</v>
      </c>
      <c r="AK163" s="31">
        <v>220</v>
      </c>
      <c r="BG163" s="31" t="s">
        <v>28</v>
      </c>
      <c r="BI163" s="31" t="s">
        <v>279</v>
      </c>
      <c r="BK163" s="31" t="s">
        <v>50</v>
      </c>
      <c r="BL163" s="31" t="s">
        <v>242</v>
      </c>
      <c r="BM163" s="31" t="s">
        <v>243</v>
      </c>
      <c r="BN163" s="33">
        <v>44206.151844143518</v>
      </c>
      <c r="BP163" s="31" t="s">
        <v>617</v>
      </c>
      <c r="BQ163" s="31" t="s">
        <v>318</v>
      </c>
      <c r="BR163" s="31" t="s">
        <v>257</v>
      </c>
      <c r="BS163" s="31">
        <v>4.1230202019866798E+18</v>
      </c>
      <c r="BT163" s="31" t="s">
        <v>245</v>
      </c>
      <c r="BU163" s="31" t="s">
        <v>283</v>
      </c>
      <c r="BV163" s="31">
        <v>2020</v>
      </c>
      <c r="BW163" s="31" t="s">
        <v>246</v>
      </c>
      <c r="BY163" s="31">
        <v>4.01102021206784E+18</v>
      </c>
      <c r="BZ163" s="31" t="s">
        <v>618</v>
      </c>
      <c r="CA163" s="31" t="s">
        <v>248</v>
      </c>
    </row>
    <row r="164" spans="1:79" x14ac:dyDescent="0.2">
      <c r="A164" s="31" t="s">
        <v>459</v>
      </c>
      <c r="B164" s="31" t="s">
        <v>460</v>
      </c>
      <c r="C164" s="31">
        <v>2020</v>
      </c>
      <c r="D164" s="31" t="s">
        <v>288</v>
      </c>
      <c r="E164" s="31">
        <v>2.0200918926736099E+17</v>
      </c>
      <c r="F164" s="31" t="s">
        <v>225</v>
      </c>
      <c r="G164" s="31" t="s">
        <v>619</v>
      </c>
      <c r="H164" s="31">
        <v>1439530</v>
      </c>
      <c r="J164" s="31" t="s">
        <v>227</v>
      </c>
      <c r="K164" s="31" t="s">
        <v>228</v>
      </c>
      <c r="L164" s="31" t="s">
        <v>316</v>
      </c>
      <c r="N164" s="31" t="s">
        <v>290</v>
      </c>
      <c r="O164" s="31" t="s">
        <v>0</v>
      </c>
      <c r="Q164" s="31" t="s">
        <v>255</v>
      </c>
      <c r="R164" s="31" t="s">
        <v>291</v>
      </c>
      <c r="T164" s="31" t="s">
        <v>292</v>
      </c>
      <c r="V164" s="31" t="s">
        <v>293</v>
      </c>
      <c r="X164" s="31" t="s">
        <v>294</v>
      </c>
      <c r="Y164" s="31" t="s">
        <v>295</v>
      </c>
      <c r="Z164" s="31">
        <v>303121941</v>
      </c>
      <c r="AA164" s="31" t="s">
        <v>296</v>
      </c>
      <c r="AB164" s="31" t="s">
        <v>297</v>
      </c>
      <c r="AC164" s="31" t="s">
        <v>316</v>
      </c>
      <c r="AD164" s="31" t="s">
        <v>237</v>
      </c>
      <c r="AE164" s="31" t="s">
        <v>238</v>
      </c>
      <c r="AI164" s="32">
        <v>44060</v>
      </c>
      <c r="AJ164" s="31">
        <v>200</v>
      </c>
      <c r="AK164" s="31">
        <v>800</v>
      </c>
      <c r="BG164" s="31" t="s">
        <v>28</v>
      </c>
      <c r="BI164" s="31" t="s">
        <v>279</v>
      </c>
      <c r="BK164" s="31" t="s">
        <v>50</v>
      </c>
      <c r="BL164" s="31" t="s">
        <v>242</v>
      </c>
      <c r="BM164" s="31" t="s">
        <v>243</v>
      </c>
      <c r="BN164" s="33">
        <v>44100.156918159722</v>
      </c>
      <c r="BP164" s="31" t="s">
        <v>620</v>
      </c>
      <c r="BQ164" s="31" t="s">
        <v>318</v>
      </c>
      <c r="BR164" s="31" t="s">
        <v>257</v>
      </c>
      <c r="BS164" s="31">
        <v>4.0919202018490399E+18</v>
      </c>
      <c r="BT164" s="31" t="s">
        <v>245</v>
      </c>
      <c r="BU164" s="31" t="s">
        <v>283</v>
      </c>
      <c r="BV164" s="31">
        <v>2020</v>
      </c>
      <c r="BW164" s="31" t="s">
        <v>246</v>
      </c>
      <c r="BY164" s="31">
        <v>4.0926202018516598E+18</v>
      </c>
      <c r="BZ164" s="31" t="s">
        <v>621</v>
      </c>
      <c r="CA164" s="31" t="s">
        <v>248</v>
      </c>
    </row>
    <row r="165" spans="1:79" x14ac:dyDescent="0.2">
      <c r="A165" s="31" t="s">
        <v>622</v>
      </c>
      <c r="B165" s="31" t="s">
        <v>623</v>
      </c>
      <c r="C165" s="31">
        <v>2020</v>
      </c>
      <c r="D165" s="31" t="s">
        <v>624</v>
      </c>
      <c r="E165" s="31">
        <v>2.0201015929510598E+17</v>
      </c>
      <c r="F165" s="31" t="s">
        <v>225</v>
      </c>
      <c r="G165" s="31" t="s">
        <v>625</v>
      </c>
      <c r="H165" s="31">
        <v>1451841</v>
      </c>
      <c r="J165" s="31" t="s">
        <v>227</v>
      </c>
      <c r="K165" s="31" t="s">
        <v>228</v>
      </c>
      <c r="L165" s="31" t="s">
        <v>316</v>
      </c>
      <c r="N165" s="31" t="s">
        <v>290</v>
      </c>
      <c r="O165" s="31" t="s">
        <v>39</v>
      </c>
      <c r="Q165" s="31" t="s">
        <v>28</v>
      </c>
      <c r="R165" s="31" t="s">
        <v>291</v>
      </c>
      <c r="T165" s="31" t="s">
        <v>292</v>
      </c>
      <c r="V165" s="31" t="s">
        <v>293</v>
      </c>
      <c r="X165" s="31" t="s">
        <v>294</v>
      </c>
      <c r="Y165" s="31" t="s">
        <v>295</v>
      </c>
      <c r="Z165" s="31">
        <v>303121941</v>
      </c>
      <c r="AA165" s="31" t="s">
        <v>626</v>
      </c>
      <c r="AB165" s="31" t="s">
        <v>627</v>
      </c>
      <c r="AC165" s="31" t="s">
        <v>316</v>
      </c>
      <c r="AD165" s="31" t="s">
        <v>237</v>
      </c>
      <c r="AE165" s="31" t="s">
        <v>238</v>
      </c>
      <c r="AI165" s="32">
        <v>44088</v>
      </c>
      <c r="AJ165" s="31">
        <v>500</v>
      </c>
      <c r="AK165" s="31">
        <v>500</v>
      </c>
      <c r="BG165" s="31" t="s">
        <v>240</v>
      </c>
      <c r="BI165" s="31" t="s">
        <v>241</v>
      </c>
      <c r="BJ165" s="31">
        <v>2020</v>
      </c>
      <c r="BK165" s="31" t="s">
        <v>50</v>
      </c>
      <c r="BL165" s="31" t="s">
        <v>242</v>
      </c>
      <c r="BM165" s="31" t="s">
        <v>243</v>
      </c>
      <c r="BN165" s="33">
        <v>44173.155808391202</v>
      </c>
      <c r="BP165" s="31" t="s">
        <v>628</v>
      </c>
      <c r="BQ165" s="31" t="s">
        <v>318</v>
      </c>
      <c r="BR165" s="31" t="s">
        <v>244</v>
      </c>
      <c r="BS165" s="31">
        <v>4.1016202018576502E+18</v>
      </c>
      <c r="BT165" s="31" t="s">
        <v>245</v>
      </c>
      <c r="BU165" s="31" t="s">
        <v>283</v>
      </c>
      <c r="BV165" s="31">
        <v>2020</v>
      </c>
      <c r="BW165" s="31" t="s">
        <v>246</v>
      </c>
      <c r="BY165" s="31">
        <v>4.1208202019669499E+18</v>
      </c>
      <c r="BZ165" s="31" t="s">
        <v>629</v>
      </c>
      <c r="CA165" s="31" t="s">
        <v>248</v>
      </c>
    </row>
    <row r="166" spans="1:79" x14ac:dyDescent="0.2">
      <c r="A166" s="31" t="s">
        <v>341</v>
      </c>
      <c r="B166" s="31" t="s">
        <v>551</v>
      </c>
      <c r="C166" s="31">
        <v>2020</v>
      </c>
      <c r="D166" s="31" t="s">
        <v>224</v>
      </c>
      <c r="E166" s="31">
        <v>2.0201203933840701E+17</v>
      </c>
      <c r="F166" s="31" t="s">
        <v>225</v>
      </c>
      <c r="G166" s="31" t="s">
        <v>630</v>
      </c>
      <c r="H166" s="31">
        <v>1479266</v>
      </c>
      <c r="J166" s="31" t="s">
        <v>227</v>
      </c>
      <c r="K166" s="31" t="s">
        <v>228</v>
      </c>
      <c r="L166" s="31" t="s">
        <v>316</v>
      </c>
      <c r="N166" s="31" t="s">
        <v>290</v>
      </c>
      <c r="O166" s="31" t="s">
        <v>254</v>
      </c>
      <c r="Q166" s="31" t="s">
        <v>255</v>
      </c>
      <c r="R166" s="31" t="s">
        <v>291</v>
      </c>
      <c r="T166" s="31" t="s">
        <v>292</v>
      </c>
      <c r="V166" s="31" t="s">
        <v>293</v>
      </c>
      <c r="X166" s="31" t="s">
        <v>294</v>
      </c>
      <c r="Y166" s="31" t="s">
        <v>295</v>
      </c>
      <c r="Z166" s="31">
        <v>303121941</v>
      </c>
      <c r="AA166" s="31" t="s">
        <v>296</v>
      </c>
      <c r="AB166" s="31" t="s">
        <v>297</v>
      </c>
      <c r="AC166" s="31" t="s">
        <v>316</v>
      </c>
      <c r="AD166" s="31" t="s">
        <v>237</v>
      </c>
      <c r="AE166" s="31" t="s">
        <v>238</v>
      </c>
      <c r="AI166" s="32">
        <v>44119</v>
      </c>
      <c r="AJ166" s="31">
        <v>100</v>
      </c>
      <c r="AK166" s="31">
        <v>1800</v>
      </c>
      <c r="BG166" s="31" t="s">
        <v>28</v>
      </c>
      <c r="BI166" s="31" t="s">
        <v>279</v>
      </c>
      <c r="BK166" s="31" t="s">
        <v>50</v>
      </c>
      <c r="BL166" s="31" t="s">
        <v>242</v>
      </c>
      <c r="BM166" s="31" t="s">
        <v>243</v>
      </c>
      <c r="BN166" s="33">
        <v>44196.153010810187</v>
      </c>
      <c r="BP166" s="31" t="s">
        <v>631</v>
      </c>
      <c r="BQ166" s="31" t="s">
        <v>318</v>
      </c>
      <c r="BR166" s="31" t="s">
        <v>257</v>
      </c>
      <c r="BS166" s="31">
        <v>4.1204202019634299E+18</v>
      </c>
      <c r="BT166" s="31" t="s">
        <v>245</v>
      </c>
      <c r="BU166" s="31" t="s">
        <v>283</v>
      </c>
      <c r="BV166" s="31">
        <v>2020</v>
      </c>
      <c r="BW166" s="31" t="s">
        <v>246</v>
      </c>
      <c r="BY166" s="31">
        <v>4.12312020198769E+18</v>
      </c>
      <c r="BZ166" s="31" t="s">
        <v>632</v>
      </c>
      <c r="CA166" s="31" t="s">
        <v>248</v>
      </c>
    </row>
    <row r="167" spans="1:79" x14ac:dyDescent="0.2">
      <c r="A167" s="31" t="s">
        <v>404</v>
      </c>
      <c r="B167" s="31" t="s">
        <v>424</v>
      </c>
      <c r="C167" s="31">
        <v>2020</v>
      </c>
      <c r="D167" s="31" t="s">
        <v>558</v>
      </c>
      <c r="E167" s="31">
        <v>2.0201014928591501E+17</v>
      </c>
      <c r="F167" s="31" t="s">
        <v>225</v>
      </c>
      <c r="G167" s="31">
        <v>4707722</v>
      </c>
      <c r="H167" s="31">
        <v>1448747</v>
      </c>
      <c r="J167" s="31" t="s">
        <v>227</v>
      </c>
      <c r="K167" s="31" t="s">
        <v>228</v>
      </c>
      <c r="L167" s="31" t="s">
        <v>316</v>
      </c>
      <c r="N167" s="31" t="s">
        <v>290</v>
      </c>
      <c r="O167" s="31" t="s">
        <v>39</v>
      </c>
      <c r="Q167" s="31" t="s">
        <v>28</v>
      </c>
      <c r="R167" s="31" t="s">
        <v>291</v>
      </c>
      <c r="T167" s="31" t="s">
        <v>292</v>
      </c>
      <c r="V167" s="31" t="s">
        <v>293</v>
      </c>
      <c r="X167" s="31" t="s">
        <v>294</v>
      </c>
      <c r="Y167" s="31" t="s">
        <v>295</v>
      </c>
      <c r="Z167" s="31">
        <v>303121941</v>
      </c>
      <c r="AA167" s="31" t="s">
        <v>328</v>
      </c>
      <c r="AB167" s="31" t="s">
        <v>297</v>
      </c>
      <c r="AC167" s="31" t="s">
        <v>316</v>
      </c>
      <c r="AD167" s="31" t="s">
        <v>237</v>
      </c>
      <c r="AE167" s="31" t="s">
        <v>238</v>
      </c>
      <c r="AI167" s="32">
        <v>43977</v>
      </c>
      <c r="AJ167" s="31">
        <v>250</v>
      </c>
      <c r="AK167" s="31">
        <v>2610</v>
      </c>
      <c r="BG167" s="31" t="s">
        <v>278</v>
      </c>
      <c r="BH167" s="31" t="s">
        <v>425</v>
      </c>
      <c r="BI167" s="31" t="s">
        <v>279</v>
      </c>
      <c r="BJ167" s="31">
        <v>2020</v>
      </c>
      <c r="BK167" s="31" t="s">
        <v>0</v>
      </c>
      <c r="BL167" s="31" t="s">
        <v>633</v>
      </c>
      <c r="BM167" s="31" t="s">
        <v>243</v>
      </c>
      <c r="BN167" s="33">
        <v>44126.152891319442</v>
      </c>
      <c r="BP167" s="31" t="s">
        <v>634</v>
      </c>
      <c r="BQ167" s="31" t="s">
        <v>318</v>
      </c>
      <c r="BR167" s="31" t="s">
        <v>244</v>
      </c>
      <c r="BS167" s="31">
        <v>4.1016202018576502E+18</v>
      </c>
      <c r="BT167" s="31" t="s">
        <v>245</v>
      </c>
      <c r="BU167" s="31" t="s">
        <v>283</v>
      </c>
      <c r="BV167" s="31">
        <v>2020</v>
      </c>
      <c r="BW167" s="31" t="s">
        <v>246</v>
      </c>
      <c r="BY167" s="31">
        <v>4.1022202018826798E+18</v>
      </c>
      <c r="BZ167" s="31" t="s">
        <v>635</v>
      </c>
      <c r="CA167" s="31" t="s">
        <v>248</v>
      </c>
    </row>
    <row r="168" spans="1:79" x14ac:dyDescent="0.2">
      <c r="A168" s="31" t="s">
        <v>404</v>
      </c>
      <c r="B168" s="31" t="s">
        <v>424</v>
      </c>
      <c r="C168" s="31">
        <v>2020</v>
      </c>
      <c r="D168" s="31" t="s">
        <v>558</v>
      </c>
      <c r="E168" s="31">
        <v>2.0201014928591501E+17</v>
      </c>
      <c r="F168" s="31" t="s">
        <v>225</v>
      </c>
      <c r="G168" s="31">
        <v>4552792</v>
      </c>
      <c r="H168" s="31">
        <v>1448747</v>
      </c>
      <c r="J168" s="31" t="s">
        <v>227</v>
      </c>
      <c r="K168" s="31" t="s">
        <v>228</v>
      </c>
      <c r="L168" s="31" t="s">
        <v>316</v>
      </c>
      <c r="N168" s="31" t="s">
        <v>290</v>
      </c>
      <c r="O168" s="31" t="s">
        <v>39</v>
      </c>
      <c r="Q168" s="31" t="s">
        <v>28</v>
      </c>
      <c r="R168" s="31" t="s">
        <v>291</v>
      </c>
      <c r="T168" s="31" t="s">
        <v>292</v>
      </c>
      <c r="V168" s="31" t="s">
        <v>293</v>
      </c>
      <c r="X168" s="31" t="s">
        <v>294</v>
      </c>
      <c r="Y168" s="31" t="s">
        <v>295</v>
      </c>
      <c r="Z168" s="31">
        <v>303121941</v>
      </c>
      <c r="AA168" s="31" t="s">
        <v>328</v>
      </c>
      <c r="AB168" s="31" t="s">
        <v>297</v>
      </c>
      <c r="AC168" s="31" t="s">
        <v>316</v>
      </c>
      <c r="AD168" s="31" t="s">
        <v>237</v>
      </c>
      <c r="AE168" s="31" t="s">
        <v>238</v>
      </c>
      <c r="AI168" s="32">
        <v>43956</v>
      </c>
      <c r="AJ168" s="31">
        <v>150</v>
      </c>
      <c r="AK168" s="31">
        <v>2610</v>
      </c>
      <c r="BG168" s="31" t="s">
        <v>278</v>
      </c>
      <c r="BH168" s="31" t="s">
        <v>425</v>
      </c>
      <c r="BI168" s="31" t="s">
        <v>279</v>
      </c>
      <c r="BJ168" s="31">
        <v>2020</v>
      </c>
      <c r="BK168" s="31" t="s">
        <v>0</v>
      </c>
      <c r="BL168" s="31" t="s">
        <v>633</v>
      </c>
      <c r="BM168" s="31" t="s">
        <v>243</v>
      </c>
      <c r="BN168" s="33">
        <v>44126.153037418982</v>
      </c>
      <c r="BP168" s="31" t="s">
        <v>636</v>
      </c>
      <c r="BQ168" s="31" t="s">
        <v>318</v>
      </c>
      <c r="BR168" s="31" t="s">
        <v>244</v>
      </c>
      <c r="BS168" s="31">
        <v>4.1016202018576502E+18</v>
      </c>
      <c r="BT168" s="31" t="s">
        <v>245</v>
      </c>
      <c r="BU168" s="31" t="s">
        <v>283</v>
      </c>
      <c r="BV168" s="31">
        <v>2020</v>
      </c>
      <c r="BW168" s="31" t="s">
        <v>246</v>
      </c>
      <c r="BY168" s="31">
        <v>4.1022202018826798E+18</v>
      </c>
      <c r="BZ168" s="31" t="s">
        <v>637</v>
      </c>
      <c r="CA168" s="31" t="s">
        <v>248</v>
      </c>
    </row>
    <row r="169" spans="1:79" x14ac:dyDescent="0.2">
      <c r="A169" s="31" t="s">
        <v>404</v>
      </c>
      <c r="B169" s="31" t="s">
        <v>424</v>
      </c>
      <c r="C169" s="31">
        <v>2020</v>
      </c>
      <c r="D169" s="31" t="s">
        <v>558</v>
      </c>
      <c r="E169" s="31">
        <v>2.02010149285916E+17</v>
      </c>
      <c r="F169" s="31" t="s">
        <v>225</v>
      </c>
      <c r="G169" s="31">
        <v>4552765</v>
      </c>
      <c r="H169" s="31">
        <v>1448747</v>
      </c>
      <c r="J169" s="31" t="s">
        <v>227</v>
      </c>
      <c r="K169" s="31" t="s">
        <v>228</v>
      </c>
      <c r="L169" s="31" t="s">
        <v>316</v>
      </c>
      <c r="N169" s="31" t="s">
        <v>290</v>
      </c>
      <c r="O169" s="31" t="s">
        <v>39</v>
      </c>
      <c r="Q169" s="31" t="s">
        <v>28</v>
      </c>
      <c r="R169" s="31" t="s">
        <v>291</v>
      </c>
      <c r="T169" s="31" t="s">
        <v>292</v>
      </c>
      <c r="V169" s="31" t="s">
        <v>293</v>
      </c>
      <c r="X169" s="31" t="s">
        <v>294</v>
      </c>
      <c r="Y169" s="31" t="s">
        <v>295</v>
      </c>
      <c r="Z169" s="31">
        <v>303121941</v>
      </c>
      <c r="AA169" s="31" t="s">
        <v>328</v>
      </c>
      <c r="AB169" s="31" t="s">
        <v>297</v>
      </c>
      <c r="AC169" s="31" t="s">
        <v>316</v>
      </c>
      <c r="AD169" s="31" t="s">
        <v>237</v>
      </c>
      <c r="AE169" s="31" t="s">
        <v>238</v>
      </c>
      <c r="AI169" s="32">
        <v>43956</v>
      </c>
      <c r="AJ169" s="31">
        <v>250</v>
      </c>
      <c r="AK169" s="31">
        <v>2610</v>
      </c>
      <c r="BG169" s="31" t="s">
        <v>278</v>
      </c>
      <c r="BH169" s="31" t="s">
        <v>425</v>
      </c>
      <c r="BI169" s="31" t="s">
        <v>279</v>
      </c>
      <c r="BJ169" s="31">
        <v>2020</v>
      </c>
      <c r="BK169" s="31" t="s">
        <v>0</v>
      </c>
      <c r="BL169" s="31" t="s">
        <v>633</v>
      </c>
      <c r="BM169" s="31" t="s">
        <v>243</v>
      </c>
      <c r="BN169" s="33">
        <v>44126.153189432873</v>
      </c>
      <c r="BP169" s="31" t="s">
        <v>638</v>
      </c>
      <c r="BQ169" s="31" t="s">
        <v>318</v>
      </c>
      <c r="BR169" s="31" t="s">
        <v>244</v>
      </c>
      <c r="BS169" s="31">
        <v>4.1016202018576502E+18</v>
      </c>
      <c r="BT169" s="31" t="s">
        <v>245</v>
      </c>
      <c r="BU169" s="31" t="s">
        <v>283</v>
      </c>
      <c r="BV169" s="31">
        <v>2020</v>
      </c>
      <c r="BW169" s="31" t="s">
        <v>246</v>
      </c>
      <c r="BY169" s="31">
        <v>4.1022202018826798E+18</v>
      </c>
      <c r="BZ169" s="31" t="s">
        <v>639</v>
      </c>
      <c r="CA169" s="31" t="s">
        <v>248</v>
      </c>
    </row>
    <row r="170" spans="1:79" x14ac:dyDescent="0.2">
      <c r="A170" s="31" t="s">
        <v>404</v>
      </c>
      <c r="B170" s="31" t="s">
        <v>424</v>
      </c>
      <c r="C170" s="31">
        <v>2020</v>
      </c>
      <c r="D170" s="31" t="s">
        <v>558</v>
      </c>
      <c r="E170" s="31">
        <v>2.02010149285916E+17</v>
      </c>
      <c r="F170" s="31" t="s">
        <v>225</v>
      </c>
      <c r="G170" s="31">
        <v>4555565</v>
      </c>
      <c r="H170" s="31">
        <v>1448747</v>
      </c>
      <c r="J170" s="31" t="s">
        <v>227</v>
      </c>
      <c r="K170" s="31" t="s">
        <v>228</v>
      </c>
      <c r="L170" s="31" t="s">
        <v>316</v>
      </c>
      <c r="N170" s="31" t="s">
        <v>290</v>
      </c>
      <c r="O170" s="31" t="s">
        <v>39</v>
      </c>
      <c r="Q170" s="31" t="s">
        <v>28</v>
      </c>
      <c r="R170" s="31" t="s">
        <v>291</v>
      </c>
      <c r="T170" s="31" t="s">
        <v>292</v>
      </c>
      <c r="V170" s="31" t="s">
        <v>293</v>
      </c>
      <c r="X170" s="31" t="s">
        <v>294</v>
      </c>
      <c r="Y170" s="31" t="s">
        <v>295</v>
      </c>
      <c r="Z170" s="31">
        <v>303121941</v>
      </c>
      <c r="AA170" s="31" t="s">
        <v>328</v>
      </c>
      <c r="AB170" s="31" t="s">
        <v>297</v>
      </c>
      <c r="AC170" s="31" t="s">
        <v>316</v>
      </c>
      <c r="AD170" s="31" t="s">
        <v>237</v>
      </c>
      <c r="AE170" s="31" t="s">
        <v>238</v>
      </c>
      <c r="AI170" s="32">
        <v>43956</v>
      </c>
      <c r="AJ170" s="31">
        <v>5</v>
      </c>
      <c r="AK170" s="31">
        <v>2610</v>
      </c>
      <c r="BG170" s="31" t="s">
        <v>278</v>
      </c>
      <c r="BH170" s="31" t="s">
        <v>425</v>
      </c>
      <c r="BI170" s="31" t="s">
        <v>279</v>
      </c>
      <c r="BJ170" s="31">
        <v>2020</v>
      </c>
      <c r="BK170" s="31" t="s">
        <v>0</v>
      </c>
      <c r="BL170" s="31" t="s">
        <v>633</v>
      </c>
      <c r="BM170" s="31" t="s">
        <v>243</v>
      </c>
      <c r="BN170" s="33">
        <v>44126.153189432873</v>
      </c>
      <c r="BP170" s="31" t="s">
        <v>640</v>
      </c>
      <c r="BQ170" s="31" t="s">
        <v>318</v>
      </c>
      <c r="BR170" s="31" t="s">
        <v>244</v>
      </c>
      <c r="BS170" s="31">
        <v>4.1016202018576502E+18</v>
      </c>
      <c r="BT170" s="31" t="s">
        <v>245</v>
      </c>
      <c r="BU170" s="31" t="s">
        <v>283</v>
      </c>
      <c r="BV170" s="31">
        <v>2020</v>
      </c>
      <c r="BW170" s="31" t="s">
        <v>246</v>
      </c>
      <c r="BY170" s="31">
        <v>4.1022202018826798E+18</v>
      </c>
      <c r="BZ170" s="31" t="s">
        <v>641</v>
      </c>
      <c r="CA170" s="31" t="s">
        <v>248</v>
      </c>
    </row>
    <row r="171" spans="1:79" x14ac:dyDescent="0.2">
      <c r="A171" s="31" t="s">
        <v>404</v>
      </c>
      <c r="B171" s="31" t="s">
        <v>424</v>
      </c>
      <c r="C171" s="31">
        <v>2020</v>
      </c>
      <c r="D171" s="31" t="s">
        <v>558</v>
      </c>
      <c r="E171" s="31">
        <v>2.02010149285916E+17</v>
      </c>
      <c r="F171" s="31" t="s">
        <v>225</v>
      </c>
      <c r="G171" s="31">
        <v>4839736</v>
      </c>
      <c r="H171" s="31">
        <v>1448747</v>
      </c>
      <c r="J171" s="31" t="s">
        <v>227</v>
      </c>
      <c r="K171" s="31" t="s">
        <v>228</v>
      </c>
      <c r="N171" s="31" t="s">
        <v>290</v>
      </c>
      <c r="O171" s="31" t="s">
        <v>39</v>
      </c>
      <c r="Q171" s="31" t="s">
        <v>28</v>
      </c>
      <c r="R171" s="31" t="s">
        <v>291</v>
      </c>
      <c r="T171" s="31" t="s">
        <v>292</v>
      </c>
      <c r="V171" s="31" t="s">
        <v>293</v>
      </c>
      <c r="X171" s="31" t="s">
        <v>294</v>
      </c>
      <c r="Y171" s="31" t="s">
        <v>295</v>
      </c>
      <c r="Z171" s="31">
        <v>303121941</v>
      </c>
      <c r="AA171" s="31" t="s">
        <v>328</v>
      </c>
      <c r="AB171" s="31" t="s">
        <v>297</v>
      </c>
      <c r="AD171" s="31">
        <v>15</v>
      </c>
      <c r="AE171" s="31" t="s">
        <v>298</v>
      </c>
      <c r="AI171" s="32">
        <v>43987</v>
      </c>
      <c r="AJ171" s="31">
        <v>5</v>
      </c>
      <c r="AK171" s="31">
        <v>2610</v>
      </c>
      <c r="BG171" s="31" t="s">
        <v>278</v>
      </c>
      <c r="BH171" s="31" t="s">
        <v>425</v>
      </c>
      <c r="BI171" s="31" t="s">
        <v>279</v>
      </c>
      <c r="BJ171" s="31">
        <v>2020</v>
      </c>
      <c r="BK171" s="31" t="s">
        <v>0</v>
      </c>
      <c r="BL171" s="31" t="s">
        <v>633</v>
      </c>
      <c r="BM171" s="31" t="s">
        <v>243</v>
      </c>
      <c r="BN171" s="33">
        <v>44126.153381481483</v>
      </c>
      <c r="BP171" s="31" t="s">
        <v>642</v>
      </c>
      <c r="BQ171" s="31" t="s">
        <v>318</v>
      </c>
      <c r="BR171" s="31" t="s">
        <v>244</v>
      </c>
      <c r="BS171" s="31">
        <v>4.1016202018576502E+18</v>
      </c>
      <c r="BT171" s="31" t="s">
        <v>245</v>
      </c>
      <c r="BU171" s="31" t="s">
        <v>283</v>
      </c>
      <c r="BV171" s="31">
        <v>2020</v>
      </c>
      <c r="BW171" s="31" t="s">
        <v>246</v>
      </c>
      <c r="BY171" s="31">
        <v>4.1022202018826798E+18</v>
      </c>
      <c r="BZ171" s="31" t="s">
        <v>643</v>
      </c>
      <c r="CA171" s="31" t="s">
        <v>248</v>
      </c>
    </row>
    <row r="172" spans="1:79" x14ac:dyDescent="0.2">
      <c r="A172" s="31" t="s">
        <v>404</v>
      </c>
      <c r="B172" s="31" t="s">
        <v>424</v>
      </c>
      <c r="C172" s="31">
        <v>2020</v>
      </c>
      <c r="D172" s="31" t="s">
        <v>558</v>
      </c>
      <c r="E172" s="31">
        <v>2.0201014928591699E+17</v>
      </c>
      <c r="F172" s="31" t="s">
        <v>225</v>
      </c>
      <c r="G172" s="31">
        <v>4483228</v>
      </c>
      <c r="H172" s="31">
        <v>1448747</v>
      </c>
      <c r="J172" s="31" t="s">
        <v>227</v>
      </c>
      <c r="K172" s="31" t="s">
        <v>228</v>
      </c>
      <c r="L172" s="31" t="s">
        <v>316</v>
      </c>
      <c r="N172" s="31" t="s">
        <v>290</v>
      </c>
      <c r="O172" s="31" t="s">
        <v>39</v>
      </c>
      <c r="Q172" s="31" t="s">
        <v>28</v>
      </c>
      <c r="R172" s="31" t="s">
        <v>291</v>
      </c>
      <c r="T172" s="31" t="s">
        <v>292</v>
      </c>
      <c r="V172" s="31" t="s">
        <v>293</v>
      </c>
      <c r="X172" s="31" t="s">
        <v>294</v>
      </c>
      <c r="Y172" s="31" t="s">
        <v>295</v>
      </c>
      <c r="Z172" s="31">
        <v>303121941</v>
      </c>
      <c r="AA172" s="31" t="s">
        <v>328</v>
      </c>
      <c r="AB172" s="31" t="s">
        <v>297</v>
      </c>
      <c r="AC172" s="31" t="s">
        <v>316</v>
      </c>
      <c r="AD172" s="31" t="s">
        <v>237</v>
      </c>
      <c r="AE172" s="31" t="s">
        <v>238</v>
      </c>
      <c r="AI172" s="32">
        <v>43951</v>
      </c>
      <c r="AJ172" s="31">
        <v>100</v>
      </c>
      <c r="AK172" s="31">
        <v>2610</v>
      </c>
      <c r="BG172" s="31" t="s">
        <v>278</v>
      </c>
      <c r="BH172" s="31" t="s">
        <v>425</v>
      </c>
      <c r="BI172" s="31" t="s">
        <v>279</v>
      </c>
      <c r="BJ172" s="31">
        <v>2020</v>
      </c>
      <c r="BK172" s="31" t="s">
        <v>0</v>
      </c>
      <c r="BL172" s="31" t="s">
        <v>633</v>
      </c>
      <c r="BM172" s="31" t="s">
        <v>243</v>
      </c>
      <c r="BN172" s="33">
        <v>44126.153556192126</v>
      </c>
      <c r="BP172" s="31" t="s">
        <v>644</v>
      </c>
      <c r="BQ172" s="31" t="s">
        <v>318</v>
      </c>
      <c r="BR172" s="31" t="s">
        <v>244</v>
      </c>
      <c r="BS172" s="31">
        <v>4.1016202018576502E+18</v>
      </c>
      <c r="BT172" s="31" t="s">
        <v>245</v>
      </c>
      <c r="BU172" s="31" t="s">
        <v>283</v>
      </c>
      <c r="BV172" s="31">
        <v>2020</v>
      </c>
      <c r="BW172" s="31" t="s">
        <v>246</v>
      </c>
      <c r="BY172" s="31">
        <v>4.1022202018826798E+18</v>
      </c>
      <c r="BZ172" s="31" t="s">
        <v>645</v>
      </c>
      <c r="CA172" s="31" t="s">
        <v>248</v>
      </c>
    </row>
    <row r="173" spans="1:79" x14ac:dyDescent="0.2">
      <c r="A173" s="31" t="s">
        <v>404</v>
      </c>
      <c r="B173" s="31" t="s">
        <v>424</v>
      </c>
      <c r="C173" s="31">
        <v>2020</v>
      </c>
      <c r="D173" s="31" t="s">
        <v>558</v>
      </c>
      <c r="E173" s="31">
        <v>2.0201014928591699E+17</v>
      </c>
      <c r="F173" s="31" t="s">
        <v>225</v>
      </c>
      <c r="G173" s="31">
        <v>4616629</v>
      </c>
      <c r="H173" s="31">
        <v>1448747</v>
      </c>
      <c r="J173" s="31" t="s">
        <v>227</v>
      </c>
      <c r="K173" s="31" t="s">
        <v>228</v>
      </c>
      <c r="N173" s="31" t="s">
        <v>290</v>
      </c>
      <c r="O173" s="31" t="s">
        <v>39</v>
      </c>
      <c r="Q173" s="31" t="s">
        <v>28</v>
      </c>
      <c r="R173" s="31" t="s">
        <v>291</v>
      </c>
      <c r="T173" s="31" t="s">
        <v>292</v>
      </c>
      <c r="V173" s="31" t="s">
        <v>293</v>
      </c>
      <c r="X173" s="31" t="s">
        <v>294</v>
      </c>
      <c r="Y173" s="31" t="s">
        <v>295</v>
      </c>
      <c r="Z173" s="31">
        <v>303121941</v>
      </c>
      <c r="AA173" s="31" t="s">
        <v>328</v>
      </c>
      <c r="AB173" s="31" t="s">
        <v>297</v>
      </c>
      <c r="AD173" s="31">
        <v>15</v>
      </c>
      <c r="AE173" s="31" t="s">
        <v>298</v>
      </c>
      <c r="AI173" s="32">
        <v>43968</v>
      </c>
      <c r="AJ173" s="31">
        <v>250</v>
      </c>
      <c r="AK173" s="31">
        <v>2610</v>
      </c>
      <c r="BG173" s="31" t="s">
        <v>278</v>
      </c>
      <c r="BH173" s="31" t="s">
        <v>425</v>
      </c>
      <c r="BI173" s="31" t="s">
        <v>279</v>
      </c>
      <c r="BJ173" s="31">
        <v>2020</v>
      </c>
      <c r="BK173" s="31" t="s">
        <v>0</v>
      </c>
      <c r="BL173" s="31" t="s">
        <v>633</v>
      </c>
      <c r="BM173" s="31" t="s">
        <v>243</v>
      </c>
      <c r="BN173" s="33">
        <v>44126.153594849537</v>
      </c>
      <c r="BP173" s="31" t="s">
        <v>646</v>
      </c>
      <c r="BQ173" s="31" t="s">
        <v>318</v>
      </c>
      <c r="BR173" s="31" t="s">
        <v>244</v>
      </c>
      <c r="BS173" s="31">
        <v>4.1016202018576502E+18</v>
      </c>
      <c r="BT173" s="31" t="s">
        <v>245</v>
      </c>
      <c r="BU173" s="31" t="s">
        <v>283</v>
      </c>
      <c r="BV173" s="31">
        <v>2020</v>
      </c>
      <c r="BW173" s="31" t="s">
        <v>246</v>
      </c>
      <c r="BY173" s="31">
        <v>4.1022202018826798E+18</v>
      </c>
      <c r="BZ173" s="31" t="s">
        <v>647</v>
      </c>
      <c r="CA173" s="31" t="s">
        <v>248</v>
      </c>
    </row>
    <row r="174" spans="1:79" x14ac:dyDescent="0.2">
      <c r="A174" s="31" t="s">
        <v>622</v>
      </c>
      <c r="B174" s="31" t="s">
        <v>623</v>
      </c>
      <c r="C174" s="31">
        <v>2020</v>
      </c>
      <c r="D174" s="31" t="s">
        <v>648</v>
      </c>
      <c r="E174" s="31">
        <v>2.0210602944848E+17</v>
      </c>
      <c r="F174" s="31" t="s">
        <v>225</v>
      </c>
      <c r="G174" s="31">
        <v>4313760</v>
      </c>
      <c r="H174" s="31">
        <v>1518550</v>
      </c>
      <c r="J174" s="31" t="s">
        <v>227</v>
      </c>
      <c r="K174" s="31" t="s">
        <v>228</v>
      </c>
      <c r="N174" s="31" t="s">
        <v>290</v>
      </c>
      <c r="O174" s="31" t="s">
        <v>39</v>
      </c>
      <c r="Q174" s="31" t="s">
        <v>28</v>
      </c>
      <c r="R174" s="31" t="s">
        <v>291</v>
      </c>
      <c r="T174" s="31" t="s">
        <v>292</v>
      </c>
      <c r="V174" s="31" t="s">
        <v>293</v>
      </c>
      <c r="X174" s="31" t="s">
        <v>294</v>
      </c>
      <c r="Y174" s="31" t="s">
        <v>295</v>
      </c>
      <c r="Z174" s="31">
        <v>303121941</v>
      </c>
      <c r="AA174" s="31" t="s">
        <v>626</v>
      </c>
      <c r="AB174" s="31" t="s">
        <v>627</v>
      </c>
      <c r="AD174" s="31" t="s">
        <v>237</v>
      </c>
      <c r="AE174" s="31" t="s">
        <v>238</v>
      </c>
      <c r="AI174" s="32">
        <v>44150</v>
      </c>
      <c r="AJ174" s="31">
        <v>50</v>
      </c>
      <c r="AK174" s="31">
        <v>900</v>
      </c>
      <c r="BG174" s="31" t="s">
        <v>278</v>
      </c>
      <c r="BH174" s="31" t="s">
        <v>649</v>
      </c>
      <c r="BI174" s="31" t="s">
        <v>279</v>
      </c>
      <c r="BJ174" s="31">
        <v>2020</v>
      </c>
      <c r="BK174" s="31" t="s">
        <v>50</v>
      </c>
      <c r="BL174" s="31" t="s">
        <v>242</v>
      </c>
      <c r="BM174" s="31" t="s">
        <v>243</v>
      </c>
      <c r="BN174" s="33">
        <v>44358.155181458336</v>
      </c>
      <c r="BP174" s="31" t="s">
        <v>650</v>
      </c>
      <c r="BQ174" s="31" t="s">
        <v>318</v>
      </c>
      <c r="BR174" s="31" t="s">
        <v>244</v>
      </c>
      <c r="BS174" s="31">
        <v>4.0604202112998001E+18</v>
      </c>
      <c r="BT174" s="31" t="s">
        <v>245</v>
      </c>
      <c r="BU174" s="31" t="s">
        <v>283</v>
      </c>
      <c r="BV174" s="31">
        <v>2020</v>
      </c>
      <c r="BW174" s="31" t="s">
        <v>246</v>
      </c>
      <c r="BY174" s="31">
        <v>4.06112021130626E+18</v>
      </c>
      <c r="BZ174" s="31" t="s">
        <v>651</v>
      </c>
      <c r="CA174" s="31" t="s">
        <v>248</v>
      </c>
    </row>
    <row r="175" spans="1:79" x14ac:dyDescent="0.2">
      <c r="A175" s="31" t="s">
        <v>341</v>
      </c>
      <c r="B175" s="31" t="s">
        <v>551</v>
      </c>
      <c r="C175" s="31">
        <v>2020</v>
      </c>
      <c r="D175" s="31" t="s">
        <v>624</v>
      </c>
      <c r="E175" s="31">
        <v>2.0201012928516998E+17</v>
      </c>
      <c r="F175" s="31" t="s">
        <v>225</v>
      </c>
      <c r="G175" s="31" t="s">
        <v>652</v>
      </c>
      <c r="H175" s="31">
        <v>1446627</v>
      </c>
      <c r="J175" s="31" t="s">
        <v>227</v>
      </c>
      <c r="K175" s="31" t="s">
        <v>228</v>
      </c>
      <c r="L175" s="31" t="s">
        <v>316</v>
      </c>
      <c r="N175" s="31" t="s">
        <v>290</v>
      </c>
      <c r="O175" s="31" t="s">
        <v>254</v>
      </c>
      <c r="Q175" s="31" t="s">
        <v>255</v>
      </c>
      <c r="R175" s="31" t="s">
        <v>291</v>
      </c>
      <c r="T175" s="31" t="s">
        <v>292</v>
      </c>
      <c r="V175" s="31" t="s">
        <v>293</v>
      </c>
      <c r="X175" s="31" t="s">
        <v>294</v>
      </c>
      <c r="Y175" s="31" t="s">
        <v>295</v>
      </c>
      <c r="Z175" s="31">
        <v>303121941</v>
      </c>
      <c r="AA175" s="31" t="s">
        <v>296</v>
      </c>
      <c r="AB175" s="31" t="s">
        <v>297</v>
      </c>
      <c r="AC175" s="31" t="s">
        <v>316</v>
      </c>
      <c r="AD175" s="31" t="s">
        <v>237</v>
      </c>
      <c r="AE175" s="31" t="s">
        <v>238</v>
      </c>
      <c r="AI175" s="32">
        <v>44063</v>
      </c>
      <c r="AJ175" s="31">
        <v>100</v>
      </c>
      <c r="AK175" s="31">
        <v>800</v>
      </c>
      <c r="BG175" s="31" t="s">
        <v>28</v>
      </c>
      <c r="BI175" s="31" t="s">
        <v>279</v>
      </c>
      <c r="BK175" s="31" t="s">
        <v>50</v>
      </c>
      <c r="BL175" s="31" t="s">
        <v>242</v>
      </c>
      <c r="BM175" s="31" t="s">
        <v>243</v>
      </c>
      <c r="BN175" s="33">
        <v>44135.150999803242</v>
      </c>
      <c r="BP175" s="31" t="s">
        <v>653</v>
      </c>
      <c r="BQ175" s="31" t="s">
        <v>318</v>
      </c>
      <c r="BR175" s="31" t="s">
        <v>257</v>
      </c>
      <c r="BS175" s="31">
        <v>4.1014202018575002E+18</v>
      </c>
      <c r="BT175" s="31" t="s">
        <v>245</v>
      </c>
      <c r="BU175" s="31" t="s">
        <v>283</v>
      </c>
      <c r="BV175" s="31">
        <v>2020</v>
      </c>
      <c r="BW175" s="31" t="s">
        <v>246</v>
      </c>
      <c r="BY175" s="31">
        <v>4.1031202018896701E+18</v>
      </c>
      <c r="BZ175" s="31" t="s">
        <v>654</v>
      </c>
      <c r="CA175" s="31" t="s">
        <v>248</v>
      </c>
    </row>
    <row r="176" spans="1:79" x14ac:dyDescent="0.2">
      <c r="A176" s="31" t="s">
        <v>341</v>
      </c>
      <c r="B176" s="31" t="s">
        <v>551</v>
      </c>
      <c r="C176" s="31">
        <v>2020</v>
      </c>
      <c r="D176" s="31" t="s">
        <v>624</v>
      </c>
      <c r="E176" s="31">
        <v>2.0201012928535299E+17</v>
      </c>
      <c r="F176" s="31" t="s">
        <v>225</v>
      </c>
      <c r="G176" s="31" t="s">
        <v>655</v>
      </c>
      <c r="H176" s="31">
        <v>1446627</v>
      </c>
      <c r="J176" s="31" t="s">
        <v>227</v>
      </c>
      <c r="K176" s="31" t="s">
        <v>228</v>
      </c>
      <c r="L176" s="31" t="s">
        <v>316</v>
      </c>
      <c r="N176" s="31" t="s">
        <v>290</v>
      </c>
      <c r="O176" s="31" t="s">
        <v>254</v>
      </c>
      <c r="Q176" s="31" t="s">
        <v>255</v>
      </c>
      <c r="R176" s="31" t="s">
        <v>291</v>
      </c>
      <c r="T176" s="31" t="s">
        <v>292</v>
      </c>
      <c r="V176" s="31" t="s">
        <v>293</v>
      </c>
      <c r="X176" s="31" t="s">
        <v>294</v>
      </c>
      <c r="Y176" s="31" t="s">
        <v>295</v>
      </c>
      <c r="Z176" s="31">
        <v>303121941</v>
      </c>
      <c r="AA176" s="31" t="s">
        <v>296</v>
      </c>
      <c r="AB176" s="31" t="s">
        <v>297</v>
      </c>
      <c r="AC176" s="31" t="s">
        <v>316</v>
      </c>
      <c r="AD176" s="31" t="s">
        <v>237</v>
      </c>
      <c r="AE176" s="31" t="s">
        <v>238</v>
      </c>
      <c r="AI176" s="32">
        <v>44092</v>
      </c>
      <c r="AJ176" s="31">
        <v>100</v>
      </c>
      <c r="AK176" s="31">
        <v>1400</v>
      </c>
      <c r="BG176" s="31" t="s">
        <v>28</v>
      </c>
      <c r="BI176" s="31" t="s">
        <v>279</v>
      </c>
      <c r="BK176" s="31" t="s">
        <v>50</v>
      </c>
      <c r="BL176" s="31" t="s">
        <v>242</v>
      </c>
      <c r="BM176" s="31" t="s">
        <v>243</v>
      </c>
      <c r="BN176" s="33">
        <v>44135.152806585647</v>
      </c>
      <c r="BP176" s="31" t="s">
        <v>656</v>
      </c>
      <c r="BQ176" s="31" t="s">
        <v>318</v>
      </c>
      <c r="BR176" s="31" t="s">
        <v>257</v>
      </c>
      <c r="BS176" s="31">
        <v>4.1014202018575002E+18</v>
      </c>
      <c r="BT176" s="31" t="s">
        <v>245</v>
      </c>
      <c r="BU176" s="31" t="s">
        <v>283</v>
      </c>
      <c r="BV176" s="31">
        <v>2020</v>
      </c>
      <c r="BW176" s="31" t="s">
        <v>246</v>
      </c>
      <c r="BY176" s="31">
        <v>4.1031202018902298E+18</v>
      </c>
      <c r="BZ176" s="31" t="s">
        <v>657</v>
      </c>
      <c r="CA176" s="31" t="s">
        <v>248</v>
      </c>
    </row>
    <row r="177" spans="1:79" x14ac:dyDescent="0.2">
      <c r="A177" s="31" t="s">
        <v>341</v>
      </c>
      <c r="B177" s="31" t="s">
        <v>551</v>
      </c>
      <c r="C177" s="31">
        <v>2020</v>
      </c>
      <c r="D177" s="31" t="s">
        <v>624</v>
      </c>
      <c r="E177" s="31">
        <v>2.0201012928541699E+17</v>
      </c>
      <c r="F177" s="31" t="s">
        <v>225</v>
      </c>
      <c r="G177" s="31" t="s">
        <v>658</v>
      </c>
      <c r="H177" s="31">
        <v>1446627</v>
      </c>
      <c r="J177" s="31" t="s">
        <v>227</v>
      </c>
      <c r="K177" s="31" t="s">
        <v>228</v>
      </c>
      <c r="L177" s="31" t="s">
        <v>316</v>
      </c>
      <c r="N177" s="31" t="s">
        <v>290</v>
      </c>
      <c r="O177" s="31" t="s">
        <v>254</v>
      </c>
      <c r="Q177" s="31" t="s">
        <v>255</v>
      </c>
      <c r="R177" s="31" t="s">
        <v>291</v>
      </c>
      <c r="T177" s="31" t="s">
        <v>292</v>
      </c>
      <c r="V177" s="31" t="s">
        <v>293</v>
      </c>
      <c r="X177" s="31" t="s">
        <v>294</v>
      </c>
      <c r="Y177" s="31" t="s">
        <v>295</v>
      </c>
      <c r="Z177" s="31">
        <v>303121941</v>
      </c>
      <c r="AA177" s="31" t="s">
        <v>296</v>
      </c>
      <c r="AB177" s="31" t="s">
        <v>297</v>
      </c>
      <c r="AC177" s="31" t="s">
        <v>316</v>
      </c>
      <c r="AD177" s="31" t="s">
        <v>237</v>
      </c>
      <c r="AE177" s="31" t="s">
        <v>238</v>
      </c>
      <c r="AI177" s="32">
        <v>44063</v>
      </c>
      <c r="AJ177" s="31">
        <v>100</v>
      </c>
      <c r="AK177" s="31">
        <v>800</v>
      </c>
      <c r="BG177" s="31" t="s">
        <v>28</v>
      </c>
      <c r="BI177" s="31" t="s">
        <v>279</v>
      </c>
      <c r="BK177" s="31" t="s">
        <v>50</v>
      </c>
      <c r="BL177" s="31" t="s">
        <v>242</v>
      </c>
      <c r="BM177" s="31" t="s">
        <v>243</v>
      </c>
      <c r="BN177" s="33">
        <v>44135.153613668983</v>
      </c>
      <c r="BP177" s="31" t="s">
        <v>659</v>
      </c>
      <c r="BQ177" s="31" t="s">
        <v>318</v>
      </c>
      <c r="BR177" s="31" t="s">
        <v>257</v>
      </c>
      <c r="BS177" s="31">
        <v>4.1014202018575002E+18</v>
      </c>
      <c r="BT177" s="31" t="s">
        <v>245</v>
      </c>
      <c r="BU177" s="31" t="s">
        <v>283</v>
      </c>
      <c r="BV177" s="31">
        <v>2020</v>
      </c>
      <c r="BW177" s="31" t="s">
        <v>246</v>
      </c>
      <c r="BY177" s="31">
        <v>4.1031202018904202E+18</v>
      </c>
      <c r="BZ177" s="31" t="s">
        <v>660</v>
      </c>
      <c r="CA177" s="31" t="s">
        <v>248</v>
      </c>
    </row>
    <row r="178" spans="1:79" x14ac:dyDescent="0.2">
      <c r="A178" s="31" t="s">
        <v>341</v>
      </c>
      <c r="B178" s="31" t="s">
        <v>551</v>
      </c>
      <c r="C178" s="31">
        <v>2020</v>
      </c>
      <c r="D178" s="31" t="s">
        <v>624</v>
      </c>
      <c r="E178" s="31">
        <v>2.0201012928518E+17</v>
      </c>
      <c r="F178" s="31" t="s">
        <v>225</v>
      </c>
      <c r="G178" s="31" t="s">
        <v>661</v>
      </c>
      <c r="H178" s="31">
        <v>1446627</v>
      </c>
      <c r="J178" s="31" t="s">
        <v>227</v>
      </c>
      <c r="K178" s="31" t="s">
        <v>228</v>
      </c>
      <c r="L178" s="31" t="s">
        <v>316</v>
      </c>
      <c r="N178" s="31" t="s">
        <v>290</v>
      </c>
      <c r="O178" s="31" t="s">
        <v>254</v>
      </c>
      <c r="Q178" s="31" t="s">
        <v>255</v>
      </c>
      <c r="R178" s="31" t="s">
        <v>291</v>
      </c>
      <c r="T178" s="31" t="s">
        <v>292</v>
      </c>
      <c r="V178" s="31" t="s">
        <v>293</v>
      </c>
      <c r="X178" s="31" t="s">
        <v>294</v>
      </c>
      <c r="Y178" s="31" t="s">
        <v>295</v>
      </c>
      <c r="Z178" s="31">
        <v>303121941</v>
      </c>
      <c r="AA178" s="31" t="s">
        <v>296</v>
      </c>
      <c r="AB178" s="31" t="s">
        <v>297</v>
      </c>
      <c r="AC178" s="31" t="s">
        <v>316</v>
      </c>
      <c r="AD178" s="31" t="s">
        <v>237</v>
      </c>
      <c r="AE178" s="31" t="s">
        <v>238</v>
      </c>
      <c r="AI178" s="32">
        <v>44062</v>
      </c>
      <c r="AJ178" s="31">
        <v>100</v>
      </c>
      <c r="AK178" s="31">
        <v>600</v>
      </c>
      <c r="BG178" s="31" t="s">
        <v>28</v>
      </c>
      <c r="BI178" s="31" t="s">
        <v>279</v>
      </c>
      <c r="BK178" s="31" t="s">
        <v>50</v>
      </c>
      <c r="BL178" s="31" t="s">
        <v>242</v>
      </c>
      <c r="BM178" s="31" t="s">
        <v>243</v>
      </c>
      <c r="BN178" s="33">
        <v>44135.167063692126</v>
      </c>
      <c r="BP178" s="31" t="s">
        <v>662</v>
      </c>
      <c r="BQ178" s="31" t="s">
        <v>318</v>
      </c>
      <c r="BR178" s="31" t="s">
        <v>257</v>
      </c>
      <c r="BS178" s="31">
        <v>4.1014202018575002E+18</v>
      </c>
      <c r="BT178" s="31" t="s">
        <v>245</v>
      </c>
      <c r="BU178" s="31" t="s">
        <v>283</v>
      </c>
      <c r="BV178" s="31">
        <v>2020</v>
      </c>
      <c r="BW178" s="31" t="s">
        <v>246</v>
      </c>
      <c r="BY178" s="31">
        <v>4.1031202018896998E+18</v>
      </c>
      <c r="BZ178" s="31" t="s">
        <v>663</v>
      </c>
      <c r="CA178" s="31" t="s">
        <v>248</v>
      </c>
    </row>
    <row r="179" spans="1:79" x14ac:dyDescent="0.2">
      <c r="A179" s="31" t="s">
        <v>341</v>
      </c>
      <c r="B179" s="31" t="s">
        <v>551</v>
      </c>
      <c r="C179" s="31">
        <v>2020</v>
      </c>
      <c r="D179" s="31" t="s">
        <v>624</v>
      </c>
      <c r="E179" s="31">
        <v>2.0201012928516701E+17</v>
      </c>
      <c r="F179" s="31" t="s">
        <v>225</v>
      </c>
      <c r="G179" s="31" t="s">
        <v>664</v>
      </c>
      <c r="H179" s="31">
        <v>1446627</v>
      </c>
      <c r="J179" s="31" t="s">
        <v>227</v>
      </c>
      <c r="K179" s="31" t="s">
        <v>228</v>
      </c>
      <c r="L179" s="31" t="s">
        <v>316</v>
      </c>
      <c r="N179" s="31" t="s">
        <v>290</v>
      </c>
      <c r="O179" s="31" t="s">
        <v>254</v>
      </c>
      <c r="Q179" s="31" t="s">
        <v>255</v>
      </c>
      <c r="R179" s="31" t="s">
        <v>291</v>
      </c>
      <c r="T179" s="31" t="s">
        <v>292</v>
      </c>
      <c r="V179" s="31" t="s">
        <v>293</v>
      </c>
      <c r="X179" s="31" t="s">
        <v>294</v>
      </c>
      <c r="Y179" s="31" t="s">
        <v>295</v>
      </c>
      <c r="Z179" s="31">
        <v>303121941</v>
      </c>
      <c r="AA179" s="31" t="s">
        <v>296</v>
      </c>
      <c r="AB179" s="31" t="s">
        <v>297</v>
      </c>
      <c r="AC179" s="31" t="s">
        <v>316</v>
      </c>
      <c r="AD179" s="31" t="s">
        <v>237</v>
      </c>
      <c r="AE179" s="31" t="s">
        <v>238</v>
      </c>
      <c r="AI179" s="32">
        <v>44057</v>
      </c>
      <c r="AJ179" s="31">
        <v>100</v>
      </c>
      <c r="AK179" s="31">
        <v>400</v>
      </c>
      <c r="BG179" s="31" t="s">
        <v>28</v>
      </c>
      <c r="BI179" s="31" t="s">
        <v>279</v>
      </c>
      <c r="BK179" s="31" t="s">
        <v>50</v>
      </c>
      <c r="BL179" s="31" t="s">
        <v>242</v>
      </c>
      <c r="BM179" s="31" t="s">
        <v>243</v>
      </c>
      <c r="BN179" s="33">
        <v>44135.167535347224</v>
      </c>
      <c r="BP179" s="31" t="s">
        <v>665</v>
      </c>
      <c r="BQ179" s="31" t="s">
        <v>318</v>
      </c>
      <c r="BR179" s="31" t="s">
        <v>257</v>
      </c>
      <c r="BS179" s="31">
        <v>4.1014202018575002E+18</v>
      </c>
      <c r="BT179" s="31" t="s">
        <v>245</v>
      </c>
      <c r="BU179" s="31" t="s">
        <v>283</v>
      </c>
      <c r="BV179" s="31">
        <v>2020</v>
      </c>
      <c r="BW179" s="31" t="s">
        <v>246</v>
      </c>
      <c r="BY179" s="31">
        <v>4.1031202018896599E+18</v>
      </c>
      <c r="BZ179" s="31" t="s">
        <v>666</v>
      </c>
      <c r="CA179" s="31" t="s">
        <v>248</v>
      </c>
    </row>
    <row r="180" spans="1:79" x14ac:dyDescent="0.2">
      <c r="A180" s="31" t="s">
        <v>341</v>
      </c>
      <c r="B180" s="31" t="s">
        <v>551</v>
      </c>
      <c r="C180" s="31">
        <v>2020</v>
      </c>
      <c r="D180" s="31" t="s">
        <v>624</v>
      </c>
      <c r="E180" s="31">
        <v>2.02010129285228E+17</v>
      </c>
      <c r="F180" s="31" t="s">
        <v>225</v>
      </c>
      <c r="G180" s="31" t="s">
        <v>667</v>
      </c>
      <c r="H180" s="31">
        <v>1446627</v>
      </c>
      <c r="J180" s="31" t="s">
        <v>227</v>
      </c>
      <c r="K180" s="31" t="s">
        <v>228</v>
      </c>
      <c r="L180" s="31" t="s">
        <v>316</v>
      </c>
      <c r="N180" s="31" t="s">
        <v>290</v>
      </c>
      <c r="O180" s="31" t="s">
        <v>254</v>
      </c>
      <c r="Q180" s="31" t="s">
        <v>255</v>
      </c>
      <c r="R180" s="31" t="s">
        <v>291</v>
      </c>
      <c r="T180" s="31" t="s">
        <v>292</v>
      </c>
      <c r="V180" s="31" t="s">
        <v>293</v>
      </c>
      <c r="X180" s="31" t="s">
        <v>294</v>
      </c>
      <c r="Y180" s="31" t="s">
        <v>295</v>
      </c>
      <c r="Z180" s="31">
        <v>303121941</v>
      </c>
      <c r="AA180" s="31" t="s">
        <v>296</v>
      </c>
      <c r="AB180" s="31" t="s">
        <v>297</v>
      </c>
      <c r="AC180" s="31" t="s">
        <v>316</v>
      </c>
      <c r="AD180" s="31" t="s">
        <v>237</v>
      </c>
      <c r="AE180" s="31" t="s">
        <v>238</v>
      </c>
      <c r="AI180" s="32">
        <v>44057</v>
      </c>
      <c r="AJ180" s="31">
        <v>100</v>
      </c>
      <c r="AK180" s="31">
        <v>400</v>
      </c>
      <c r="BG180" s="31" t="s">
        <v>28</v>
      </c>
      <c r="BI180" s="31" t="s">
        <v>279</v>
      </c>
      <c r="BK180" s="31" t="s">
        <v>50</v>
      </c>
      <c r="BL180" s="31" t="s">
        <v>242</v>
      </c>
      <c r="BM180" s="31" t="s">
        <v>243</v>
      </c>
      <c r="BN180" s="33">
        <v>44135.167712199072</v>
      </c>
      <c r="BP180" s="31" t="s">
        <v>668</v>
      </c>
      <c r="BQ180" s="31" t="s">
        <v>318</v>
      </c>
      <c r="BR180" s="31" t="s">
        <v>257</v>
      </c>
      <c r="BS180" s="31">
        <v>4.1014202018575002E+18</v>
      </c>
      <c r="BT180" s="31" t="s">
        <v>245</v>
      </c>
      <c r="BU180" s="31" t="s">
        <v>283</v>
      </c>
      <c r="BV180" s="31">
        <v>2020</v>
      </c>
      <c r="BW180" s="31" t="s">
        <v>246</v>
      </c>
      <c r="BY180" s="31">
        <v>4.1031202018898401E+18</v>
      </c>
      <c r="BZ180" s="31" t="s">
        <v>669</v>
      </c>
      <c r="CA180" s="31" t="s">
        <v>248</v>
      </c>
    </row>
    <row r="181" spans="1:79" x14ac:dyDescent="0.2">
      <c r="A181" s="31" t="s">
        <v>341</v>
      </c>
      <c r="B181" s="31" t="s">
        <v>551</v>
      </c>
      <c r="C181" s="31">
        <v>2020</v>
      </c>
      <c r="D181" s="31" t="s">
        <v>624</v>
      </c>
      <c r="E181" s="31">
        <v>2.02010129285288E+17</v>
      </c>
      <c r="F181" s="31" t="s">
        <v>225</v>
      </c>
      <c r="G181" s="31" t="s">
        <v>670</v>
      </c>
      <c r="H181" s="31">
        <v>1446627</v>
      </c>
      <c r="J181" s="31" t="s">
        <v>227</v>
      </c>
      <c r="K181" s="31" t="s">
        <v>228</v>
      </c>
      <c r="L181" s="31" t="s">
        <v>316</v>
      </c>
      <c r="N181" s="31" t="s">
        <v>290</v>
      </c>
      <c r="O181" s="31" t="s">
        <v>254</v>
      </c>
      <c r="Q181" s="31" t="s">
        <v>255</v>
      </c>
      <c r="R181" s="31" t="s">
        <v>291</v>
      </c>
      <c r="T181" s="31" t="s">
        <v>292</v>
      </c>
      <c r="V181" s="31" t="s">
        <v>293</v>
      </c>
      <c r="X181" s="31" t="s">
        <v>294</v>
      </c>
      <c r="Y181" s="31" t="s">
        <v>295</v>
      </c>
      <c r="Z181" s="31">
        <v>303121941</v>
      </c>
      <c r="AA181" s="31" t="s">
        <v>296</v>
      </c>
      <c r="AB181" s="31" t="s">
        <v>297</v>
      </c>
      <c r="AC181" s="31" t="s">
        <v>316</v>
      </c>
      <c r="AD181" s="31" t="s">
        <v>237</v>
      </c>
      <c r="AE181" s="31" t="s">
        <v>238</v>
      </c>
      <c r="AI181" s="32">
        <v>44070</v>
      </c>
      <c r="AJ181" s="31">
        <v>100</v>
      </c>
      <c r="AK181" s="31">
        <v>1200</v>
      </c>
      <c r="BG181" s="31" t="s">
        <v>28</v>
      </c>
      <c r="BI181" s="31" t="s">
        <v>279</v>
      </c>
      <c r="BK181" s="31" t="s">
        <v>50</v>
      </c>
      <c r="BL181" s="31" t="s">
        <v>242</v>
      </c>
      <c r="BM181" s="31" t="s">
        <v>243</v>
      </c>
      <c r="BN181" s="33">
        <v>44135.168505960646</v>
      </c>
      <c r="BP181" s="31" t="s">
        <v>671</v>
      </c>
      <c r="BQ181" s="31" t="s">
        <v>318</v>
      </c>
      <c r="BR181" s="31" t="s">
        <v>257</v>
      </c>
      <c r="BS181" s="31">
        <v>4.1014202018575002E+18</v>
      </c>
      <c r="BT181" s="31" t="s">
        <v>245</v>
      </c>
      <c r="BU181" s="31" t="s">
        <v>283</v>
      </c>
      <c r="BV181" s="31">
        <v>2020</v>
      </c>
      <c r="BW181" s="31" t="s">
        <v>246</v>
      </c>
      <c r="BY181" s="31">
        <v>4.1031202018900198E+18</v>
      </c>
      <c r="BZ181" s="31" t="s">
        <v>672</v>
      </c>
      <c r="CA181" s="31" t="s">
        <v>248</v>
      </c>
    </row>
    <row r="182" spans="1:79" x14ac:dyDescent="0.2">
      <c r="A182" s="31" t="s">
        <v>341</v>
      </c>
      <c r="B182" s="31" t="s">
        <v>551</v>
      </c>
      <c r="C182" s="31">
        <v>2020</v>
      </c>
      <c r="D182" s="31" t="s">
        <v>624</v>
      </c>
      <c r="E182" s="31">
        <v>2.0201012928531299E+17</v>
      </c>
      <c r="F182" s="31" t="s">
        <v>225</v>
      </c>
      <c r="G182" s="31" t="s">
        <v>673</v>
      </c>
      <c r="H182" s="31">
        <v>1446627</v>
      </c>
      <c r="J182" s="31" t="s">
        <v>227</v>
      </c>
      <c r="K182" s="31" t="s">
        <v>228</v>
      </c>
      <c r="L182" s="31" t="s">
        <v>316</v>
      </c>
      <c r="N182" s="31" t="s">
        <v>290</v>
      </c>
      <c r="O182" s="31" t="s">
        <v>254</v>
      </c>
      <c r="Q182" s="31" t="s">
        <v>255</v>
      </c>
      <c r="R182" s="31" t="s">
        <v>291</v>
      </c>
      <c r="T182" s="31" t="s">
        <v>292</v>
      </c>
      <c r="V182" s="31" t="s">
        <v>293</v>
      </c>
      <c r="X182" s="31" t="s">
        <v>294</v>
      </c>
      <c r="Y182" s="31" t="s">
        <v>295</v>
      </c>
      <c r="Z182" s="31">
        <v>303121941</v>
      </c>
      <c r="AA182" s="31" t="s">
        <v>296</v>
      </c>
      <c r="AB182" s="31" t="s">
        <v>297</v>
      </c>
      <c r="AC182" s="31" t="s">
        <v>316</v>
      </c>
      <c r="AD182" s="31" t="s">
        <v>237</v>
      </c>
      <c r="AE182" s="31" t="s">
        <v>238</v>
      </c>
      <c r="AI182" s="32">
        <v>44073</v>
      </c>
      <c r="AJ182" s="31">
        <v>100</v>
      </c>
      <c r="AK182" s="31">
        <v>1200</v>
      </c>
      <c r="BG182" s="31" t="s">
        <v>28</v>
      </c>
      <c r="BI182" s="31" t="s">
        <v>279</v>
      </c>
      <c r="BK182" s="31" t="s">
        <v>50</v>
      </c>
      <c r="BL182" s="31" t="s">
        <v>242</v>
      </c>
      <c r="BM182" s="31" t="s">
        <v>243</v>
      </c>
      <c r="BN182" s="33">
        <v>44135.168838854166</v>
      </c>
      <c r="BP182" s="31" t="s">
        <v>674</v>
      </c>
      <c r="BQ182" s="31" t="s">
        <v>318</v>
      </c>
      <c r="BR182" s="31" t="s">
        <v>257</v>
      </c>
      <c r="BS182" s="31">
        <v>4.1014202018575002E+18</v>
      </c>
      <c r="BT182" s="31" t="s">
        <v>245</v>
      </c>
      <c r="BU182" s="31" t="s">
        <v>283</v>
      </c>
      <c r="BV182" s="31">
        <v>2020</v>
      </c>
      <c r="BW182" s="31" t="s">
        <v>246</v>
      </c>
      <c r="BY182" s="31">
        <v>4.1031202018901002E+18</v>
      </c>
      <c r="BZ182" s="31" t="s">
        <v>675</v>
      </c>
      <c r="CA182" s="31" t="s">
        <v>248</v>
      </c>
    </row>
    <row r="183" spans="1:79" x14ac:dyDescent="0.2">
      <c r="A183" s="31" t="s">
        <v>341</v>
      </c>
      <c r="B183" s="31" t="s">
        <v>551</v>
      </c>
      <c r="C183" s="31">
        <v>2020</v>
      </c>
      <c r="D183" s="31" t="s">
        <v>624</v>
      </c>
      <c r="E183" s="31">
        <v>2.0201012928533901E+17</v>
      </c>
      <c r="F183" s="31" t="s">
        <v>225</v>
      </c>
      <c r="G183" s="31" t="s">
        <v>676</v>
      </c>
      <c r="H183" s="31">
        <v>1446627</v>
      </c>
      <c r="J183" s="31" t="s">
        <v>227</v>
      </c>
      <c r="K183" s="31" t="s">
        <v>228</v>
      </c>
      <c r="L183" s="31" t="s">
        <v>316</v>
      </c>
      <c r="N183" s="31" t="s">
        <v>290</v>
      </c>
      <c r="O183" s="31" t="s">
        <v>254</v>
      </c>
      <c r="Q183" s="31" t="s">
        <v>255</v>
      </c>
      <c r="R183" s="31" t="s">
        <v>291</v>
      </c>
      <c r="T183" s="31" t="s">
        <v>292</v>
      </c>
      <c r="V183" s="31" t="s">
        <v>293</v>
      </c>
      <c r="X183" s="31" t="s">
        <v>294</v>
      </c>
      <c r="Y183" s="31" t="s">
        <v>295</v>
      </c>
      <c r="Z183" s="31">
        <v>303121941</v>
      </c>
      <c r="AA183" s="31" t="s">
        <v>296</v>
      </c>
      <c r="AB183" s="31" t="s">
        <v>297</v>
      </c>
      <c r="AC183" s="31" t="s">
        <v>316</v>
      </c>
      <c r="AD183" s="31" t="s">
        <v>237</v>
      </c>
      <c r="AE183" s="31" t="s">
        <v>238</v>
      </c>
      <c r="AI183" s="32">
        <v>44070</v>
      </c>
      <c r="AJ183" s="31">
        <v>100</v>
      </c>
      <c r="AK183" s="31">
        <v>1200</v>
      </c>
      <c r="BG183" s="31" t="s">
        <v>28</v>
      </c>
      <c r="BI183" s="31" t="s">
        <v>279</v>
      </c>
      <c r="BK183" s="31" t="s">
        <v>50</v>
      </c>
      <c r="BL183" s="31" t="s">
        <v>242</v>
      </c>
      <c r="BM183" s="31" t="s">
        <v>243</v>
      </c>
      <c r="BN183" s="33">
        <v>44135.171131770832</v>
      </c>
      <c r="BP183" s="31" t="s">
        <v>677</v>
      </c>
      <c r="BQ183" s="31" t="s">
        <v>318</v>
      </c>
      <c r="BR183" s="31" t="s">
        <v>257</v>
      </c>
      <c r="BS183" s="31">
        <v>4.1014202018575002E+18</v>
      </c>
      <c r="BT183" s="31" t="s">
        <v>245</v>
      </c>
      <c r="BU183" s="31" t="s">
        <v>283</v>
      </c>
      <c r="BV183" s="31">
        <v>2020</v>
      </c>
      <c r="BW183" s="31" t="s">
        <v>246</v>
      </c>
      <c r="BY183" s="31">
        <v>4.1031202018901801E+18</v>
      </c>
      <c r="BZ183" s="31" t="s">
        <v>678</v>
      </c>
      <c r="CA183" s="31" t="s">
        <v>248</v>
      </c>
    </row>
    <row r="184" spans="1:79" x14ac:dyDescent="0.2">
      <c r="A184" s="31" t="s">
        <v>341</v>
      </c>
      <c r="B184" s="31" t="s">
        <v>551</v>
      </c>
      <c r="C184" s="31">
        <v>2020</v>
      </c>
      <c r="D184" s="31" t="s">
        <v>624</v>
      </c>
      <c r="E184" s="31">
        <v>2.0201012928535002E+17</v>
      </c>
      <c r="F184" s="31" t="s">
        <v>225</v>
      </c>
      <c r="G184" s="31" t="s">
        <v>679</v>
      </c>
      <c r="H184" s="31">
        <v>1446627</v>
      </c>
      <c r="J184" s="31" t="s">
        <v>227</v>
      </c>
      <c r="K184" s="31" t="s">
        <v>228</v>
      </c>
      <c r="L184" s="31" t="s">
        <v>316</v>
      </c>
      <c r="N184" s="31" t="s">
        <v>290</v>
      </c>
      <c r="O184" s="31" t="s">
        <v>254</v>
      </c>
      <c r="Q184" s="31" t="s">
        <v>255</v>
      </c>
      <c r="R184" s="31" t="s">
        <v>291</v>
      </c>
      <c r="T184" s="31" t="s">
        <v>292</v>
      </c>
      <c r="V184" s="31" t="s">
        <v>293</v>
      </c>
      <c r="X184" s="31" t="s">
        <v>294</v>
      </c>
      <c r="Y184" s="31" t="s">
        <v>295</v>
      </c>
      <c r="Z184" s="31">
        <v>303121941</v>
      </c>
      <c r="AA184" s="31" t="s">
        <v>296</v>
      </c>
      <c r="AB184" s="31" t="s">
        <v>297</v>
      </c>
      <c r="AC184" s="31" t="s">
        <v>316</v>
      </c>
      <c r="AD184" s="31" t="s">
        <v>237</v>
      </c>
      <c r="AE184" s="31" t="s">
        <v>238</v>
      </c>
      <c r="AI184" s="32">
        <v>44073</v>
      </c>
      <c r="AJ184" s="31">
        <v>100</v>
      </c>
      <c r="AK184" s="31">
        <v>1200</v>
      </c>
      <c r="BG184" s="31" t="s">
        <v>28</v>
      </c>
      <c r="BI184" s="31" t="s">
        <v>279</v>
      </c>
      <c r="BK184" s="31" t="s">
        <v>50</v>
      </c>
      <c r="BL184" s="31" t="s">
        <v>242</v>
      </c>
      <c r="BM184" s="31" t="s">
        <v>243</v>
      </c>
      <c r="BN184" s="33">
        <v>44135.171543090277</v>
      </c>
      <c r="BP184" s="31" t="s">
        <v>680</v>
      </c>
      <c r="BQ184" s="31" t="s">
        <v>318</v>
      </c>
      <c r="BR184" s="31" t="s">
        <v>257</v>
      </c>
      <c r="BS184" s="31">
        <v>4.1014202018575002E+18</v>
      </c>
      <c r="BT184" s="31" t="s">
        <v>245</v>
      </c>
      <c r="BU184" s="31" t="s">
        <v>283</v>
      </c>
      <c r="BV184" s="31">
        <v>2020</v>
      </c>
      <c r="BW184" s="31" t="s">
        <v>246</v>
      </c>
      <c r="BY184" s="31">
        <v>4.10312020189022E+18</v>
      </c>
      <c r="BZ184" s="31" t="s">
        <v>681</v>
      </c>
      <c r="CA184" s="31" t="s">
        <v>248</v>
      </c>
    </row>
    <row r="185" spans="1:79" x14ac:dyDescent="0.2">
      <c r="A185" s="31" t="s">
        <v>341</v>
      </c>
      <c r="B185" s="31" t="s">
        <v>551</v>
      </c>
      <c r="C185" s="31">
        <v>2020</v>
      </c>
      <c r="D185" s="31" t="s">
        <v>624</v>
      </c>
      <c r="E185" s="31">
        <v>2.0201012928535802E+17</v>
      </c>
      <c r="F185" s="31" t="s">
        <v>225</v>
      </c>
      <c r="G185" s="31" t="s">
        <v>682</v>
      </c>
      <c r="H185" s="31">
        <v>1446627</v>
      </c>
      <c r="J185" s="31" t="s">
        <v>227</v>
      </c>
      <c r="K185" s="31" t="s">
        <v>228</v>
      </c>
      <c r="L185" s="31" t="s">
        <v>316</v>
      </c>
      <c r="N185" s="31" t="s">
        <v>290</v>
      </c>
      <c r="O185" s="31" t="s">
        <v>254</v>
      </c>
      <c r="Q185" s="31" t="s">
        <v>255</v>
      </c>
      <c r="R185" s="31" t="s">
        <v>291</v>
      </c>
      <c r="T185" s="31" t="s">
        <v>292</v>
      </c>
      <c r="V185" s="31" t="s">
        <v>293</v>
      </c>
      <c r="X185" s="31" t="s">
        <v>294</v>
      </c>
      <c r="Y185" s="31" t="s">
        <v>295</v>
      </c>
      <c r="Z185" s="31">
        <v>303121941</v>
      </c>
      <c r="AA185" s="31" t="s">
        <v>296</v>
      </c>
      <c r="AB185" s="31" t="s">
        <v>297</v>
      </c>
      <c r="AC185" s="31" t="s">
        <v>316</v>
      </c>
      <c r="AD185" s="31" t="s">
        <v>237</v>
      </c>
      <c r="AE185" s="31" t="s">
        <v>238</v>
      </c>
      <c r="AI185" s="32">
        <v>44092</v>
      </c>
      <c r="AJ185" s="31">
        <v>100</v>
      </c>
      <c r="AK185" s="31">
        <v>1400</v>
      </c>
      <c r="BG185" s="31" t="s">
        <v>28</v>
      </c>
      <c r="BI185" s="31" t="s">
        <v>279</v>
      </c>
      <c r="BK185" s="31" t="s">
        <v>50</v>
      </c>
      <c r="BL185" s="31" t="s">
        <v>242</v>
      </c>
      <c r="BM185" s="31" t="s">
        <v>243</v>
      </c>
      <c r="BN185" s="33">
        <v>44135.171717951387</v>
      </c>
      <c r="BP185" s="31" t="s">
        <v>683</v>
      </c>
      <c r="BQ185" s="31" t="s">
        <v>318</v>
      </c>
      <c r="BR185" s="31" t="s">
        <v>257</v>
      </c>
      <c r="BS185" s="31">
        <v>4.1014202018575002E+18</v>
      </c>
      <c r="BT185" s="31" t="s">
        <v>245</v>
      </c>
      <c r="BU185" s="31" t="s">
        <v>283</v>
      </c>
      <c r="BV185" s="31">
        <v>2020</v>
      </c>
      <c r="BW185" s="31" t="s">
        <v>246</v>
      </c>
      <c r="BY185" s="31">
        <v>4.10312020189024E+18</v>
      </c>
      <c r="BZ185" s="31" t="s">
        <v>684</v>
      </c>
      <c r="CA185" s="31" t="s">
        <v>248</v>
      </c>
    </row>
    <row r="186" spans="1:79" x14ac:dyDescent="0.2">
      <c r="A186" s="31" t="s">
        <v>341</v>
      </c>
      <c r="B186" s="31" t="s">
        <v>551</v>
      </c>
      <c r="C186" s="31">
        <v>2020</v>
      </c>
      <c r="D186" s="31" t="s">
        <v>624</v>
      </c>
      <c r="E186" s="31">
        <v>2.0201012928536E+17</v>
      </c>
      <c r="F186" s="31" t="s">
        <v>225</v>
      </c>
      <c r="G186" s="31" t="s">
        <v>685</v>
      </c>
      <c r="H186" s="31">
        <v>1446627</v>
      </c>
      <c r="J186" s="31" t="s">
        <v>227</v>
      </c>
      <c r="K186" s="31" t="s">
        <v>228</v>
      </c>
      <c r="L186" s="31" t="s">
        <v>316</v>
      </c>
      <c r="N186" s="31" t="s">
        <v>290</v>
      </c>
      <c r="O186" s="31" t="s">
        <v>254</v>
      </c>
      <c r="Q186" s="31" t="s">
        <v>255</v>
      </c>
      <c r="R186" s="31" t="s">
        <v>291</v>
      </c>
      <c r="T186" s="31" t="s">
        <v>292</v>
      </c>
      <c r="V186" s="31" t="s">
        <v>293</v>
      </c>
      <c r="X186" s="31" t="s">
        <v>294</v>
      </c>
      <c r="Y186" s="31" t="s">
        <v>295</v>
      </c>
      <c r="Z186" s="31">
        <v>303121941</v>
      </c>
      <c r="AA186" s="31" t="s">
        <v>296</v>
      </c>
      <c r="AB186" s="31" t="s">
        <v>297</v>
      </c>
      <c r="AC186" s="31" t="s">
        <v>316</v>
      </c>
      <c r="AD186" s="31" t="s">
        <v>237</v>
      </c>
      <c r="AE186" s="31" t="s">
        <v>238</v>
      </c>
      <c r="AI186" s="32">
        <v>44062</v>
      </c>
      <c r="AJ186" s="31">
        <v>100</v>
      </c>
      <c r="AK186" s="31">
        <v>600</v>
      </c>
      <c r="BG186" s="31" t="s">
        <v>28</v>
      </c>
      <c r="BI186" s="31" t="s">
        <v>279</v>
      </c>
      <c r="BK186" s="31" t="s">
        <v>50</v>
      </c>
      <c r="BL186" s="31" t="s">
        <v>242</v>
      </c>
      <c r="BM186" s="31" t="s">
        <v>243</v>
      </c>
      <c r="BN186" s="33">
        <v>44135.171741307873</v>
      </c>
      <c r="BP186" s="31" t="s">
        <v>686</v>
      </c>
      <c r="BQ186" s="31" t="s">
        <v>318</v>
      </c>
      <c r="BR186" s="31" t="s">
        <v>257</v>
      </c>
      <c r="BS186" s="31">
        <v>4.1014202018575002E+18</v>
      </c>
      <c r="BT186" s="31" t="s">
        <v>245</v>
      </c>
      <c r="BU186" s="31" t="s">
        <v>283</v>
      </c>
      <c r="BV186" s="31">
        <v>2020</v>
      </c>
      <c r="BW186" s="31" t="s">
        <v>246</v>
      </c>
      <c r="BY186" s="31">
        <v>4.1031202018902502E+18</v>
      </c>
      <c r="BZ186" s="31" t="s">
        <v>687</v>
      </c>
      <c r="CA186" s="31" t="s">
        <v>248</v>
      </c>
    </row>
    <row r="187" spans="1:79" x14ac:dyDescent="0.2">
      <c r="A187" s="31" t="s">
        <v>341</v>
      </c>
      <c r="B187" s="31" t="s">
        <v>551</v>
      </c>
      <c r="C187" s="31">
        <v>2020</v>
      </c>
      <c r="D187" s="31" t="s">
        <v>624</v>
      </c>
      <c r="E187" s="31">
        <v>2.02010129285428E+17</v>
      </c>
      <c r="F187" s="31" t="s">
        <v>225</v>
      </c>
      <c r="G187" s="31" t="s">
        <v>688</v>
      </c>
      <c r="H187" s="31">
        <v>1446627</v>
      </c>
      <c r="J187" s="31" t="s">
        <v>227</v>
      </c>
      <c r="K187" s="31" t="s">
        <v>228</v>
      </c>
      <c r="N187" s="31" t="s">
        <v>290</v>
      </c>
      <c r="O187" s="31" t="s">
        <v>254</v>
      </c>
      <c r="Q187" s="31" t="s">
        <v>255</v>
      </c>
      <c r="R187" s="31" t="s">
        <v>291</v>
      </c>
      <c r="T187" s="31" t="s">
        <v>292</v>
      </c>
      <c r="V187" s="31" t="s">
        <v>293</v>
      </c>
      <c r="X187" s="31" t="s">
        <v>294</v>
      </c>
      <c r="Y187" s="31" t="s">
        <v>295</v>
      </c>
      <c r="Z187" s="31">
        <v>303121941</v>
      </c>
      <c r="AA187" s="31" t="s">
        <v>296</v>
      </c>
      <c r="AB187" s="31" t="s">
        <v>297</v>
      </c>
      <c r="AI187" s="32">
        <v>44044</v>
      </c>
      <c r="AJ187" s="31">
        <v>100</v>
      </c>
      <c r="AK187" s="31">
        <v>100</v>
      </c>
      <c r="BK187" s="31" t="s">
        <v>50</v>
      </c>
      <c r="BL187" s="31" t="s">
        <v>242</v>
      </c>
      <c r="BM187" s="31" t="s">
        <v>243</v>
      </c>
      <c r="BN187" s="33">
        <v>44135.173145486115</v>
      </c>
      <c r="BP187" s="31" t="s">
        <v>689</v>
      </c>
      <c r="BQ187" s="31" t="s">
        <v>318</v>
      </c>
      <c r="BR187" s="31" t="s">
        <v>257</v>
      </c>
      <c r="BS187" s="31">
        <v>4.1014202018575002E+18</v>
      </c>
      <c r="BT187" s="31" t="s">
        <v>245</v>
      </c>
      <c r="BU187" s="31" t="s">
        <v>283</v>
      </c>
      <c r="BV187" s="31">
        <v>2020</v>
      </c>
      <c r="BW187" s="31" t="s">
        <v>246</v>
      </c>
      <c r="BY187" s="31">
        <v>4.1031202018904499E+18</v>
      </c>
      <c r="BZ187" s="31" t="s">
        <v>690</v>
      </c>
      <c r="CA187" s="31" t="s">
        <v>248</v>
      </c>
    </row>
    <row r="188" spans="1:79" x14ac:dyDescent="0.2">
      <c r="A188" s="31" t="s">
        <v>341</v>
      </c>
      <c r="B188" s="31" t="s">
        <v>551</v>
      </c>
      <c r="C188" s="31">
        <v>2020</v>
      </c>
      <c r="D188" s="31" t="s">
        <v>624</v>
      </c>
      <c r="E188" s="31">
        <v>2.0201012928543802E+17</v>
      </c>
      <c r="F188" s="31" t="s">
        <v>225</v>
      </c>
      <c r="G188" s="31" t="s">
        <v>691</v>
      </c>
      <c r="H188" s="31">
        <v>1446627</v>
      </c>
      <c r="J188" s="31" t="s">
        <v>227</v>
      </c>
      <c r="K188" s="31" t="s">
        <v>228</v>
      </c>
      <c r="N188" s="31" t="s">
        <v>290</v>
      </c>
      <c r="O188" s="31" t="s">
        <v>254</v>
      </c>
      <c r="Q188" s="31" t="s">
        <v>255</v>
      </c>
      <c r="R188" s="31" t="s">
        <v>291</v>
      </c>
      <c r="T188" s="31" t="s">
        <v>292</v>
      </c>
      <c r="V188" s="31" t="s">
        <v>293</v>
      </c>
      <c r="X188" s="31" t="s">
        <v>294</v>
      </c>
      <c r="Y188" s="31" t="s">
        <v>295</v>
      </c>
      <c r="Z188" s="31">
        <v>303121941</v>
      </c>
      <c r="AA188" s="31" t="s">
        <v>296</v>
      </c>
      <c r="AB188" s="31" t="s">
        <v>297</v>
      </c>
      <c r="AI188" s="32">
        <v>44047</v>
      </c>
      <c r="AJ188" s="31">
        <v>100</v>
      </c>
      <c r="AK188" s="31">
        <v>200</v>
      </c>
      <c r="BK188" s="31" t="s">
        <v>50</v>
      </c>
      <c r="BL188" s="31" t="s">
        <v>242</v>
      </c>
      <c r="BM188" s="31" t="s">
        <v>243</v>
      </c>
      <c r="BN188" s="33">
        <v>44135.173303923613</v>
      </c>
      <c r="BP188" s="31" t="s">
        <v>692</v>
      </c>
      <c r="BQ188" s="31" t="s">
        <v>318</v>
      </c>
      <c r="BR188" s="31" t="s">
        <v>257</v>
      </c>
      <c r="BS188" s="31">
        <v>4.1014202018575002E+18</v>
      </c>
      <c r="BT188" s="31" t="s">
        <v>245</v>
      </c>
      <c r="BU188" s="31" t="s">
        <v>283</v>
      </c>
      <c r="BV188" s="31">
        <v>2020</v>
      </c>
      <c r="BW188" s="31" t="s">
        <v>246</v>
      </c>
      <c r="BY188" s="31">
        <v>4.1031202018904801E+18</v>
      </c>
      <c r="BZ188" s="31" t="s">
        <v>693</v>
      </c>
      <c r="CA188" s="31" t="s">
        <v>248</v>
      </c>
    </row>
    <row r="189" spans="1:79" x14ac:dyDescent="0.2">
      <c r="A189" s="31" t="s">
        <v>614</v>
      </c>
      <c r="B189" s="31" t="s">
        <v>615</v>
      </c>
      <c r="C189" s="31">
        <v>2020</v>
      </c>
      <c r="D189" s="31" t="s">
        <v>268</v>
      </c>
      <c r="E189" s="31">
        <v>2.02101289413568E+17</v>
      </c>
      <c r="F189" s="31" t="s">
        <v>225</v>
      </c>
      <c r="G189" s="31" t="s">
        <v>694</v>
      </c>
      <c r="H189" s="31">
        <v>1492214</v>
      </c>
      <c r="J189" s="31" t="s">
        <v>227</v>
      </c>
      <c r="K189" s="31" t="s">
        <v>228</v>
      </c>
      <c r="L189" s="31" t="s">
        <v>316</v>
      </c>
      <c r="N189" s="31" t="s">
        <v>290</v>
      </c>
      <c r="O189" s="31" t="s">
        <v>254</v>
      </c>
      <c r="Q189" s="31" t="s">
        <v>255</v>
      </c>
      <c r="R189" s="31" t="s">
        <v>291</v>
      </c>
      <c r="T189" s="31" t="s">
        <v>292</v>
      </c>
      <c r="V189" s="31" t="s">
        <v>293</v>
      </c>
      <c r="X189" s="31" t="s">
        <v>294</v>
      </c>
      <c r="Y189" s="31" t="s">
        <v>295</v>
      </c>
      <c r="Z189" s="31">
        <v>303121941</v>
      </c>
      <c r="AA189" s="31" t="s">
        <v>296</v>
      </c>
      <c r="AB189" s="31" t="s">
        <v>297</v>
      </c>
      <c r="AC189" s="31" t="s">
        <v>316</v>
      </c>
      <c r="AD189" s="31" t="s">
        <v>237</v>
      </c>
      <c r="AE189" s="31" t="s">
        <v>238</v>
      </c>
      <c r="AI189" s="32">
        <v>44180</v>
      </c>
      <c r="AJ189" s="31">
        <v>50</v>
      </c>
      <c r="AK189" s="31">
        <v>270</v>
      </c>
      <c r="BG189" s="31" t="s">
        <v>28</v>
      </c>
      <c r="BI189" s="31" t="s">
        <v>279</v>
      </c>
      <c r="BK189" s="31" t="s">
        <v>50</v>
      </c>
      <c r="BL189" s="31" t="s">
        <v>242</v>
      </c>
      <c r="BM189" s="31" t="s">
        <v>243</v>
      </c>
      <c r="BN189" s="33">
        <v>44229.153772812497</v>
      </c>
      <c r="BP189" s="31" t="s">
        <v>695</v>
      </c>
      <c r="BQ189" s="31" t="s">
        <v>318</v>
      </c>
      <c r="BR189" s="31" t="s">
        <v>257</v>
      </c>
      <c r="BS189" s="31">
        <v>4.0129202121382502E+18</v>
      </c>
      <c r="BT189" s="31" t="s">
        <v>245</v>
      </c>
      <c r="BU189" s="31" t="s">
        <v>283</v>
      </c>
      <c r="BV189" s="31">
        <v>2020</v>
      </c>
      <c r="BW189" s="31" t="s">
        <v>246</v>
      </c>
      <c r="BY189" s="31">
        <v>4.02022021214018E+18</v>
      </c>
      <c r="BZ189" s="31" t="s">
        <v>696</v>
      </c>
      <c r="CA189" s="31" t="s">
        <v>248</v>
      </c>
    </row>
    <row r="190" spans="1:79" x14ac:dyDescent="0.2">
      <c r="A190" s="31" t="s">
        <v>614</v>
      </c>
      <c r="B190" s="31" t="s">
        <v>615</v>
      </c>
      <c r="C190" s="31">
        <v>2020</v>
      </c>
      <c r="D190" s="31" t="s">
        <v>268</v>
      </c>
      <c r="E190" s="31">
        <v>2.02101289413568E+17</v>
      </c>
      <c r="F190" s="31" t="s">
        <v>225</v>
      </c>
      <c r="G190" s="31" t="s">
        <v>697</v>
      </c>
      <c r="H190" s="31">
        <v>1492214</v>
      </c>
      <c r="J190" s="31" t="s">
        <v>227</v>
      </c>
      <c r="K190" s="31" t="s">
        <v>228</v>
      </c>
      <c r="L190" s="31" t="s">
        <v>316</v>
      </c>
      <c r="N190" s="31" t="s">
        <v>290</v>
      </c>
      <c r="O190" s="31" t="s">
        <v>254</v>
      </c>
      <c r="Q190" s="31" t="s">
        <v>255</v>
      </c>
      <c r="R190" s="31" t="s">
        <v>291</v>
      </c>
      <c r="T190" s="31" t="s">
        <v>292</v>
      </c>
      <c r="V190" s="31" t="s">
        <v>293</v>
      </c>
      <c r="X190" s="31" t="s">
        <v>294</v>
      </c>
      <c r="Y190" s="31" t="s">
        <v>295</v>
      </c>
      <c r="Z190" s="31">
        <v>303121941</v>
      </c>
      <c r="AA190" s="31" t="s">
        <v>296</v>
      </c>
      <c r="AB190" s="31" t="s">
        <v>297</v>
      </c>
      <c r="AC190" s="31" t="s">
        <v>316</v>
      </c>
      <c r="AD190" s="31" t="s">
        <v>237</v>
      </c>
      <c r="AE190" s="31" t="s">
        <v>238</v>
      </c>
      <c r="AI190" s="32">
        <v>44186</v>
      </c>
      <c r="AJ190" s="31">
        <v>200</v>
      </c>
      <c r="AK190" s="31">
        <v>470</v>
      </c>
      <c r="BG190" s="31" t="s">
        <v>28</v>
      </c>
      <c r="BI190" s="31" t="s">
        <v>279</v>
      </c>
      <c r="BK190" s="31" t="s">
        <v>50</v>
      </c>
      <c r="BL190" s="31" t="s">
        <v>242</v>
      </c>
      <c r="BM190" s="31" t="s">
        <v>243</v>
      </c>
      <c r="BN190" s="33">
        <v>44229.153772812497</v>
      </c>
      <c r="BP190" s="31" t="s">
        <v>698</v>
      </c>
      <c r="BQ190" s="31" t="s">
        <v>318</v>
      </c>
      <c r="BR190" s="31" t="s">
        <v>257</v>
      </c>
      <c r="BS190" s="31">
        <v>4.0129202121382502E+18</v>
      </c>
      <c r="BT190" s="31" t="s">
        <v>245</v>
      </c>
      <c r="BU190" s="31" t="s">
        <v>283</v>
      </c>
      <c r="BV190" s="31">
        <v>2020</v>
      </c>
      <c r="BW190" s="31" t="s">
        <v>246</v>
      </c>
      <c r="BY190" s="31">
        <v>4.02022021214018E+18</v>
      </c>
      <c r="BZ190" s="31" t="s">
        <v>699</v>
      </c>
      <c r="CA190" s="31" t="s">
        <v>248</v>
      </c>
    </row>
    <row r="191" spans="1:79" x14ac:dyDescent="0.2">
      <c r="A191" s="31" t="s">
        <v>459</v>
      </c>
      <c r="B191" s="31" t="s">
        <v>460</v>
      </c>
      <c r="C191" s="31">
        <v>2020</v>
      </c>
      <c r="D191" s="31" t="s">
        <v>268</v>
      </c>
      <c r="E191" s="31">
        <v>2.0210129941384899E+17</v>
      </c>
      <c r="F191" s="31" t="s">
        <v>225</v>
      </c>
      <c r="G191" s="31" t="s">
        <v>700</v>
      </c>
      <c r="H191" s="31">
        <v>1493017</v>
      </c>
      <c r="J191" s="31" t="s">
        <v>227</v>
      </c>
      <c r="K191" s="31" t="s">
        <v>228</v>
      </c>
      <c r="L191" s="31" t="s">
        <v>316</v>
      </c>
      <c r="N191" s="31" t="s">
        <v>290</v>
      </c>
      <c r="O191" s="31" t="s">
        <v>0</v>
      </c>
      <c r="Q191" s="31" t="s">
        <v>255</v>
      </c>
      <c r="R191" s="31" t="s">
        <v>291</v>
      </c>
      <c r="T191" s="31" t="s">
        <v>292</v>
      </c>
      <c r="V191" s="31" t="s">
        <v>293</v>
      </c>
      <c r="X191" s="31" t="s">
        <v>294</v>
      </c>
      <c r="Y191" s="31" t="s">
        <v>295</v>
      </c>
      <c r="Z191" s="31">
        <v>303121941</v>
      </c>
      <c r="AA191" s="31" t="s">
        <v>296</v>
      </c>
      <c r="AB191" s="31" t="s">
        <v>297</v>
      </c>
      <c r="AC191" s="31" t="s">
        <v>316</v>
      </c>
      <c r="AD191" s="31" t="s">
        <v>237</v>
      </c>
      <c r="AE191" s="31" t="s">
        <v>238</v>
      </c>
      <c r="AI191" s="32">
        <v>44194</v>
      </c>
      <c r="AJ191" s="31">
        <v>200</v>
      </c>
      <c r="AK191" s="31">
        <v>1015</v>
      </c>
      <c r="BG191" s="31" t="s">
        <v>28</v>
      </c>
      <c r="BI191" s="31" t="s">
        <v>279</v>
      </c>
      <c r="BK191" s="31" t="s">
        <v>50</v>
      </c>
      <c r="BL191" s="31" t="s">
        <v>242</v>
      </c>
      <c r="BM191" s="31" t="s">
        <v>243</v>
      </c>
      <c r="BN191" s="33">
        <v>44230.153218634259</v>
      </c>
      <c r="BP191" s="31" t="s">
        <v>701</v>
      </c>
      <c r="BQ191" s="31" t="s">
        <v>318</v>
      </c>
      <c r="BR191" s="31" t="s">
        <v>257</v>
      </c>
      <c r="BS191" s="31">
        <v>4.01302021213907E+18</v>
      </c>
      <c r="BT191" s="31" t="s">
        <v>245</v>
      </c>
      <c r="BU191" s="31" t="s">
        <v>283</v>
      </c>
      <c r="BV191" s="31">
        <v>2020</v>
      </c>
      <c r="BW191" s="31" t="s">
        <v>246</v>
      </c>
      <c r="BY191" s="31">
        <v>4.02032021214033E+18</v>
      </c>
      <c r="BZ191" s="31" t="s">
        <v>702</v>
      </c>
      <c r="CA191" s="31" t="s">
        <v>248</v>
      </c>
    </row>
    <row r="192" spans="1:79" x14ac:dyDescent="0.2">
      <c r="A192" s="31" t="s">
        <v>459</v>
      </c>
      <c r="B192" s="31" t="s">
        <v>460</v>
      </c>
      <c r="C192" s="31">
        <v>2020</v>
      </c>
      <c r="D192" s="31" t="s">
        <v>268</v>
      </c>
      <c r="E192" s="31">
        <v>2.0210129941384899E+17</v>
      </c>
      <c r="F192" s="31" t="s">
        <v>225</v>
      </c>
      <c r="G192" s="31" t="s">
        <v>703</v>
      </c>
      <c r="H192" s="31">
        <v>1493017</v>
      </c>
      <c r="J192" s="31" t="s">
        <v>227</v>
      </c>
      <c r="K192" s="31" t="s">
        <v>228</v>
      </c>
      <c r="L192" s="31" t="s">
        <v>316</v>
      </c>
      <c r="N192" s="31" t="s">
        <v>290</v>
      </c>
      <c r="O192" s="31" t="s">
        <v>0</v>
      </c>
      <c r="Q192" s="31" t="s">
        <v>255</v>
      </c>
      <c r="R192" s="31" t="s">
        <v>291</v>
      </c>
      <c r="T192" s="31" t="s">
        <v>292</v>
      </c>
      <c r="V192" s="31" t="s">
        <v>293</v>
      </c>
      <c r="X192" s="31" t="s">
        <v>294</v>
      </c>
      <c r="Y192" s="31" t="s">
        <v>295</v>
      </c>
      <c r="Z192" s="31">
        <v>303121941</v>
      </c>
      <c r="AA192" s="31" t="s">
        <v>296</v>
      </c>
      <c r="AB192" s="31" t="s">
        <v>297</v>
      </c>
      <c r="AC192" s="31" t="s">
        <v>316</v>
      </c>
      <c r="AD192" s="31" t="s">
        <v>237</v>
      </c>
      <c r="AE192" s="31" t="s">
        <v>238</v>
      </c>
      <c r="AI192" s="32">
        <v>44194</v>
      </c>
      <c r="AJ192" s="31">
        <v>15</v>
      </c>
      <c r="AK192" s="31">
        <v>1015</v>
      </c>
      <c r="BG192" s="31" t="s">
        <v>28</v>
      </c>
      <c r="BI192" s="31" t="s">
        <v>279</v>
      </c>
      <c r="BK192" s="31" t="s">
        <v>50</v>
      </c>
      <c r="BL192" s="31" t="s">
        <v>242</v>
      </c>
      <c r="BM192" s="31" t="s">
        <v>243</v>
      </c>
      <c r="BN192" s="33">
        <v>44230.153218634259</v>
      </c>
      <c r="BP192" s="31" t="s">
        <v>704</v>
      </c>
      <c r="BQ192" s="31" t="s">
        <v>318</v>
      </c>
      <c r="BR192" s="31" t="s">
        <v>257</v>
      </c>
      <c r="BS192" s="31">
        <v>4.01302021213907E+18</v>
      </c>
      <c r="BT192" s="31" t="s">
        <v>245</v>
      </c>
      <c r="BU192" s="31" t="s">
        <v>283</v>
      </c>
      <c r="BV192" s="31">
        <v>2020</v>
      </c>
      <c r="BW192" s="31" t="s">
        <v>246</v>
      </c>
      <c r="BY192" s="31">
        <v>4.02032021214033E+18</v>
      </c>
      <c r="BZ192" s="31" t="s">
        <v>705</v>
      </c>
      <c r="CA192" s="31" t="s">
        <v>248</v>
      </c>
    </row>
    <row r="193" spans="1:79" x14ac:dyDescent="0.2">
      <c r="A193" s="31" t="s">
        <v>314</v>
      </c>
      <c r="B193" s="31" t="s">
        <v>315</v>
      </c>
      <c r="C193" s="31">
        <v>2020</v>
      </c>
      <c r="D193" s="31" t="s">
        <v>268</v>
      </c>
      <c r="E193" s="31">
        <v>2.0210526944742E+17</v>
      </c>
      <c r="F193" s="31" t="s">
        <v>225</v>
      </c>
      <c r="G193" s="31">
        <v>17356044</v>
      </c>
      <c r="H193" s="31">
        <v>1518062</v>
      </c>
      <c r="J193" s="31" t="s">
        <v>227</v>
      </c>
      <c r="K193" s="31" t="s">
        <v>228</v>
      </c>
      <c r="N193" s="31" t="s">
        <v>290</v>
      </c>
      <c r="O193" s="31" t="s">
        <v>26</v>
      </c>
      <c r="Q193" s="31" t="s">
        <v>255</v>
      </c>
      <c r="R193" s="31" t="s">
        <v>291</v>
      </c>
      <c r="T193" s="31" t="s">
        <v>292</v>
      </c>
      <c r="V193" s="31" t="s">
        <v>293</v>
      </c>
      <c r="X193" s="31" t="s">
        <v>294</v>
      </c>
      <c r="Y193" s="31" t="s">
        <v>295</v>
      </c>
      <c r="Z193" s="31">
        <v>303121941</v>
      </c>
      <c r="AA193" s="31" t="s">
        <v>296</v>
      </c>
      <c r="AB193" s="31" t="s">
        <v>297</v>
      </c>
      <c r="AD193" s="31" t="s">
        <v>237</v>
      </c>
      <c r="AE193" s="31" t="s">
        <v>238</v>
      </c>
      <c r="AI193" s="32">
        <v>44184</v>
      </c>
      <c r="AJ193" s="31">
        <v>200</v>
      </c>
      <c r="AK193" s="31">
        <v>3210</v>
      </c>
      <c r="BG193" s="31" t="s">
        <v>28</v>
      </c>
      <c r="BI193" s="31" t="s">
        <v>279</v>
      </c>
      <c r="BK193" s="31" t="s">
        <v>50</v>
      </c>
      <c r="BL193" s="31" t="s">
        <v>242</v>
      </c>
      <c r="BM193" s="31" t="s">
        <v>243</v>
      </c>
      <c r="BN193" s="33">
        <v>44344.152551874999</v>
      </c>
      <c r="BP193" s="31" t="s">
        <v>706</v>
      </c>
      <c r="BQ193" s="31" t="s">
        <v>318</v>
      </c>
      <c r="BR193" s="31" t="s">
        <v>257</v>
      </c>
      <c r="BS193" s="31">
        <v>4.0527202112973501E+18</v>
      </c>
      <c r="BT193" s="31" t="s">
        <v>245</v>
      </c>
      <c r="BU193" s="31" t="s">
        <v>283</v>
      </c>
      <c r="BV193" s="31">
        <v>2020</v>
      </c>
      <c r="BW193" s="31" t="s">
        <v>246</v>
      </c>
      <c r="BY193" s="31">
        <v>4.0528202112991201E+18</v>
      </c>
      <c r="BZ193" s="31" t="s">
        <v>707</v>
      </c>
      <c r="CA193" s="31" t="s">
        <v>248</v>
      </c>
    </row>
    <row r="194" spans="1:79" x14ac:dyDescent="0.2">
      <c r="A194" s="31" t="s">
        <v>316</v>
      </c>
      <c r="B194" s="31" t="s">
        <v>325</v>
      </c>
      <c r="C194" s="31">
        <v>2020</v>
      </c>
      <c r="D194" s="31" t="s">
        <v>303</v>
      </c>
      <c r="E194" s="31">
        <v>2.0201217938838701E+17</v>
      </c>
      <c r="F194" s="31" t="s">
        <v>225</v>
      </c>
      <c r="G194" s="31" t="s">
        <v>708</v>
      </c>
      <c r="H194" s="31">
        <v>1483193</v>
      </c>
      <c r="J194" s="31" t="s">
        <v>227</v>
      </c>
      <c r="K194" s="31" t="s">
        <v>228</v>
      </c>
      <c r="N194" s="31" t="s">
        <v>290</v>
      </c>
      <c r="O194" s="31" t="s">
        <v>254</v>
      </c>
      <c r="Q194" s="31" t="s">
        <v>255</v>
      </c>
      <c r="R194" s="31" t="s">
        <v>291</v>
      </c>
      <c r="T194" s="31" t="s">
        <v>292</v>
      </c>
      <c r="V194" s="31" t="s">
        <v>327</v>
      </c>
      <c r="X194" s="31" t="s">
        <v>294</v>
      </c>
      <c r="Y194" s="31" t="s">
        <v>295</v>
      </c>
      <c r="Z194" s="31">
        <v>30312</v>
      </c>
      <c r="AA194" s="31" t="s">
        <v>328</v>
      </c>
      <c r="AB194" s="31" t="s">
        <v>297</v>
      </c>
      <c r="AF194" s="31" t="s">
        <v>331</v>
      </c>
      <c r="AI194" s="32">
        <v>44109</v>
      </c>
      <c r="AJ194" s="31">
        <v>25</v>
      </c>
      <c r="AK194" s="31">
        <v>110</v>
      </c>
      <c r="BF194" s="31" t="s">
        <v>332</v>
      </c>
      <c r="BK194" s="31" t="s">
        <v>50</v>
      </c>
      <c r="BL194" s="31" t="s">
        <v>242</v>
      </c>
      <c r="BM194" s="31" t="s">
        <v>243</v>
      </c>
      <c r="BN194" s="33">
        <v>44231.439771655096</v>
      </c>
      <c r="BR194" s="31" t="s">
        <v>257</v>
      </c>
      <c r="BS194" s="31">
        <v>4.1219202019782098E+18</v>
      </c>
      <c r="BT194" s="31" t="s">
        <v>245</v>
      </c>
      <c r="BU194" s="31" t="s">
        <v>709</v>
      </c>
      <c r="BV194" s="31">
        <v>2020</v>
      </c>
      <c r="BW194" s="31" t="s">
        <v>246</v>
      </c>
      <c r="BY194" s="31">
        <v>4.0203202120103798E+18</v>
      </c>
      <c r="BZ194" s="31" t="s">
        <v>710</v>
      </c>
      <c r="CA194" s="31" t="s">
        <v>248</v>
      </c>
    </row>
    <row r="195" spans="1:79" x14ac:dyDescent="0.2">
      <c r="A195" s="31" t="s">
        <v>316</v>
      </c>
      <c r="B195" s="31" t="s">
        <v>325</v>
      </c>
      <c r="C195" s="31">
        <v>2020</v>
      </c>
      <c r="D195" s="31" t="s">
        <v>303</v>
      </c>
      <c r="E195" s="31">
        <v>2.0201217938838701E+17</v>
      </c>
      <c r="F195" s="31" t="s">
        <v>225</v>
      </c>
      <c r="G195" s="31" t="s">
        <v>711</v>
      </c>
      <c r="H195" s="31">
        <v>1483193</v>
      </c>
      <c r="J195" s="31" t="s">
        <v>227</v>
      </c>
      <c r="K195" s="31" t="s">
        <v>228</v>
      </c>
      <c r="N195" s="31" t="s">
        <v>290</v>
      </c>
      <c r="O195" s="31" t="s">
        <v>254</v>
      </c>
      <c r="Q195" s="31" t="s">
        <v>255</v>
      </c>
      <c r="R195" s="31" t="s">
        <v>291</v>
      </c>
      <c r="T195" s="31" t="s">
        <v>292</v>
      </c>
      <c r="V195" s="31" t="s">
        <v>327</v>
      </c>
      <c r="X195" s="31" t="s">
        <v>294</v>
      </c>
      <c r="Y195" s="31" t="s">
        <v>295</v>
      </c>
      <c r="Z195" s="31">
        <v>30312</v>
      </c>
      <c r="AA195" s="31" t="s">
        <v>328</v>
      </c>
      <c r="AB195" s="31" t="s">
        <v>297</v>
      </c>
      <c r="AD195" s="31">
        <v>15</v>
      </c>
      <c r="AE195" s="31" t="s">
        <v>298</v>
      </c>
      <c r="AF195" s="31" t="s">
        <v>336</v>
      </c>
      <c r="AI195" s="32">
        <v>44109</v>
      </c>
      <c r="AJ195" s="31">
        <v>2.5</v>
      </c>
      <c r="AK195" s="31">
        <v>1246.4000000000001</v>
      </c>
      <c r="BF195" s="31" t="s">
        <v>332</v>
      </c>
      <c r="BK195" s="31" t="s">
        <v>50</v>
      </c>
      <c r="BL195" s="31" t="s">
        <v>242</v>
      </c>
      <c r="BM195" s="31" t="s">
        <v>243</v>
      </c>
      <c r="BN195" s="33">
        <v>44231.439803981484</v>
      </c>
      <c r="BR195" s="31" t="s">
        <v>257</v>
      </c>
      <c r="BS195" s="31">
        <v>4.1219202019782098E+18</v>
      </c>
      <c r="BT195" s="31" t="s">
        <v>245</v>
      </c>
      <c r="BU195" s="31" t="s">
        <v>337</v>
      </c>
      <c r="BV195" s="31">
        <v>2020</v>
      </c>
      <c r="BW195" s="31" t="s">
        <v>246</v>
      </c>
      <c r="BY195" s="31">
        <v>4.0203202120103798E+18</v>
      </c>
      <c r="BZ195" s="31" t="s">
        <v>712</v>
      </c>
      <c r="CA195" s="31" t="s">
        <v>248</v>
      </c>
    </row>
    <row r="196" spans="1:79" x14ac:dyDescent="0.2">
      <c r="A196" s="31" t="s">
        <v>316</v>
      </c>
      <c r="B196" s="31" t="s">
        <v>325</v>
      </c>
      <c r="C196" s="31">
        <v>2020</v>
      </c>
      <c r="D196" s="31" t="s">
        <v>303</v>
      </c>
      <c r="E196" s="31">
        <v>2.0201217938838701E+17</v>
      </c>
      <c r="F196" s="31" t="s">
        <v>225</v>
      </c>
      <c r="G196" s="31" t="s">
        <v>713</v>
      </c>
      <c r="H196" s="31">
        <v>1483193</v>
      </c>
      <c r="J196" s="31" t="s">
        <v>227</v>
      </c>
      <c r="K196" s="31" t="s">
        <v>228</v>
      </c>
      <c r="N196" s="31" t="s">
        <v>290</v>
      </c>
      <c r="O196" s="31" t="s">
        <v>254</v>
      </c>
      <c r="Q196" s="31" t="s">
        <v>255</v>
      </c>
      <c r="R196" s="31" t="s">
        <v>291</v>
      </c>
      <c r="T196" s="31" t="s">
        <v>292</v>
      </c>
      <c r="V196" s="31" t="s">
        <v>327</v>
      </c>
      <c r="X196" s="31" t="s">
        <v>294</v>
      </c>
      <c r="Y196" s="31" t="s">
        <v>295</v>
      </c>
      <c r="Z196" s="31">
        <v>30312</v>
      </c>
      <c r="AA196" s="31" t="s">
        <v>328</v>
      </c>
      <c r="AB196" s="31" t="s">
        <v>297</v>
      </c>
      <c r="AF196" s="31" t="s">
        <v>331</v>
      </c>
      <c r="AI196" s="32">
        <v>44109</v>
      </c>
      <c r="AJ196" s="31">
        <v>35</v>
      </c>
      <c r="AK196" s="31">
        <v>110</v>
      </c>
      <c r="BF196" s="31" t="s">
        <v>332</v>
      </c>
      <c r="BK196" s="31" t="s">
        <v>50</v>
      </c>
      <c r="BL196" s="31" t="s">
        <v>242</v>
      </c>
      <c r="BM196" s="31" t="s">
        <v>243</v>
      </c>
      <c r="BN196" s="33">
        <v>44231.439839363426</v>
      </c>
      <c r="BR196" s="31" t="s">
        <v>257</v>
      </c>
      <c r="BS196" s="31">
        <v>4.1219202019782098E+18</v>
      </c>
      <c r="BT196" s="31" t="s">
        <v>245</v>
      </c>
      <c r="BU196" s="31" t="s">
        <v>709</v>
      </c>
      <c r="BV196" s="31">
        <v>2020</v>
      </c>
      <c r="BW196" s="31" t="s">
        <v>246</v>
      </c>
      <c r="BY196" s="31">
        <v>4.0203202120103798E+18</v>
      </c>
      <c r="BZ196" s="31" t="s">
        <v>710</v>
      </c>
      <c r="CA196" s="31" t="s">
        <v>248</v>
      </c>
    </row>
    <row r="197" spans="1:79" x14ac:dyDescent="0.2">
      <c r="A197" s="31" t="s">
        <v>316</v>
      </c>
      <c r="B197" s="31" t="s">
        <v>325</v>
      </c>
      <c r="C197" s="31">
        <v>2020</v>
      </c>
      <c r="D197" s="31" t="s">
        <v>303</v>
      </c>
      <c r="E197" s="31">
        <v>2.0201217938838701E+17</v>
      </c>
      <c r="F197" s="31" t="s">
        <v>225</v>
      </c>
      <c r="G197" s="31" t="s">
        <v>714</v>
      </c>
      <c r="H197" s="31">
        <v>1483193</v>
      </c>
      <c r="J197" s="31" t="s">
        <v>227</v>
      </c>
      <c r="K197" s="31" t="s">
        <v>228</v>
      </c>
      <c r="N197" s="31" t="s">
        <v>290</v>
      </c>
      <c r="O197" s="31" t="s">
        <v>254</v>
      </c>
      <c r="Q197" s="31" t="s">
        <v>255</v>
      </c>
      <c r="R197" s="31" t="s">
        <v>291</v>
      </c>
      <c r="T197" s="31" t="s">
        <v>292</v>
      </c>
      <c r="V197" s="31" t="s">
        <v>327</v>
      </c>
      <c r="X197" s="31" t="s">
        <v>294</v>
      </c>
      <c r="Y197" s="31" t="s">
        <v>295</v>
      </c>
      <c r="Z197" s="31">
        <v>30312</v>
      </c>
      <c r="AA197" s="31" t="s">
        <v>328</v>
      </c>
      <c r="AB197" s="31" t="s">
        <v>297</v>
      </c>
      <c r="AD197" s="31">
        <v>15</v>
      </c>
      <c r="AE197" s="31" t="s">
        <v>298</v>
      </c>
      <c r="AF197" s="31" t="s">
        <v>336</v>
      </c>
      <c r="AI197" s="32">
        <v>44109</v>
      </c>
      <c r="AJ197" s="31">
        <v>3.5</v>
      </c>
      <c r="AK197" s="31">
        <v>1246.4000000000001</v>
      </c>
      <c r="BF197" s="31" t="s">
        <v>332</v>
      </c>
      <c r="BK197" s="31" t="s">
        <v>50</v>
      </c>
      <c r="BL197" s="31" t="s">
        <v>242</v>
      </c>
      <c r="BM197" s="31" t="s">
        <v>243</v>
      </c>
      <c r="BN197" s="33">
        <v>44231.439872939816</v>
      </c>
      <c r="BR197" s="31" t="s">
        <v>257</v>
      </c>
      <c r="BS197" s="31">
        <v>4.1219202019782098E+18</v>
      </c>
      <c r="BT197" s="31" t="s">
        <v>245</v>
      </c>
      <c r="BU197" s="31" t="s">
        <v>337</v>
      </c>
      <c r="BV197" s="31">
        <v>2020</v>
      </c>
      <c r="BW197" s="31" t="s">
        <v>246</v>
      </c>
      <c r="BY197" s="31">
        <v>4.0203202120103798E+18</v>
      </c>
      <c r="BZ197" s="31" t="s">
        <v>715</v>
      </c>
      <c r="CA197" s="31" t="s">
        <v>248</v>
      </c>
    </row>
    <row r="198" spans="1:79" x14ac:dyDescent="0.2">
      <c r="A198" s="31" t="s">
        <v>316</v>
      </c>
      <c r="B198" s="31" t="s">
        <v>325</v>
      </c>
      <c r="C198" s="31">
        <v>2020</v>
      </c>
      <c r="D198" s="31" t="s">
        <v>303</v>
      </c>
      <c r="E198" s="31">
        <v>2.0201217938838701E+17</v>
      </c>
      <c r="F198" s="31" t="s">
        <v>225</v>
      </c>
      <c r="G198" s="31" t="s">
        <v>716</v>
      </c>
      <c r="H198" s="31">
        <v>1483193</v>
      </c>
      <c r="J198" s="31" t="s">
        <v>227</v>
      </c>
      <c r="K198" s="31" t="s">
        <v>228</v>
      </c>
      <c r="N198" s="31" t="s">
        <v>290</v>
      </c>
      <c r="O198" s="31" t="s">
        <v>254</v>
      </c>
      <c r="Q198" s="31" t="s">
        <v>255</v>
      </c>
      <c r="R198" s="31" t="s">
        <v>291</v>
      </c>
      <c r="T198" s="31" t="s">
        <v>292</v>
      </c>
      <c r="V198" s="31" t="s">
        <v>327</v>
      </c>
      <c r="X198" s="31" t="s">
        <v>294</v>
      </c>
      <c r="Y198" s="31" t="s">
        <v>295</v>
      </c>
      <c r="Z198" s="31">
        <v>30312</v>
      </c>
      <c r="AA198" s="31" t="s">
        <v>328</v>
      </c>
      <c r="AB198" s="31" t="s">
        <v>297</v>
      </c>
      <c r="AD198" s="31">
        <v>15</v>
      </c>
      <c r="AE198" s="31" t="s">
        <v>298</v>
      </c>
      <c r="AF198" s="31" t="s">
        <v>336</v>
      </c>
      <c r="AI198" s="32">
        <v>44114</v>
      </c>
      <c r="AJ198" s="31">
        <v>10</v>
      </c>
      <c r="AK198" s="31">
        <v>1246.4000000000001</v>
      </c>
      <c r="BF198" s="31" t="s">
        <v>332</v>
      </c>
      <c r="BK198" s="31" t="s">
        <v>50</v>
      </c>
      <c r="BL198" s="31" t="s">
        <v>242</v>
      </c>
      <c r="BM198" s="31" t="s">
        <v>243</v>
      </c>
      <c r="BN198" s="33">
        <v>44231.44156175926</v>
      </c>
      <c r="BR198" s="31" t="s">
        <v>257</v>
      </c>
      <c r="BS198" s="31">
        <v>4.1219202019782098E+18</v>
      </c>
      <c r="BT198" s="31" t="s">
        <v>245</v>
      </c>
      <c r="BU198" s="31" t="s">
        <v>337</v>
      </c>
      <c r="BV198" s="31">
        <v>2020</v>
      </c>
      <c r="BW198" s="31" t="s">
        <v>246</v>
      </c>
      <c r="BY198" s="31">
        <v>4.02032021201344E+18</v>
      </c>
      <c r="BZ198" s="31" t="s">
        <v>717</v>
      </c>
      <c r="CA198" s="31" t="s">
        <v>248</v>
      </c>
    </row>
    <row r="199" spans="1:79" x14ac:dyDescent="0.2">
      <c r="A199" s="31" t="s">
        <v>316</v>
      </c>
      <c r="B199" s="31" t="s">
        <v>325</v>
      </c>
      <c r="C199" s="31">
        <v>2020</v>
      </c>
      <c r="D199" s="31" t="s">
        <v>303</v>
      </c>
      <c r="E199" s="31">
        <v>2.0201217938838701E+17</v>
      </c>
      <c r="F199" s="31" t="s">
        <v>225</v>
      </c>
      <c r="G199" s="31" t="s">
        <v>718</v>
      </c>
      <c r="H199" s="31">
        <v>1483193</v>
      </c>
      <c r="J199" s="31" t="s">
        <v>227</v>
      </c>
      <c r="K199" s="31" t="s">
        <v>228</v>
      </c>
      <c r="N199" s="31" t="s">
        <v>290</v>
      </c>
      <c r="O199" s="31" t="s">
        <v>254</v>
      </c>
      <c r="Q199" s="31" t="s">
        <v>255</v>
      </c>
      <c r="R199" s="31" t="s">
        <v>291</v>
      </c>
      <c r="T199" s="31" t="s">
        <v>292</v>
      </c>
      <c r="V199" s="31" t="s">
        <v>327</v>
      </c>
      <c r="X199" s="31" t="s">
        <v>294</v>
      </c>
      <c r="Y199" s="31" t="s">
        <v>295</v>
      </c>
      <c r="Z199" s="31">
        <v>30312</v>
      </c>
      <c r="AA199" s="31" t="s">
        <v>328</v>
      </c>
      <c r="AB199" s="31" t="s">
        <v>297</v>
      </c>
      <c r="AF199" s="31" t="s">
        <v>331</v>
      </c>
      <c r="AI199" s="32">
        <v>44114</v>
      </c>
      <c r="AJ199" s="31">
        <v>100</v>
      </c>
      <c r="AK199" s="31">
        <v>170</v>
      </c>
      <c r="BF199" s="31" t="s">
        <v>332</v>
      </c>
      <c r="BK199" s="31" t="s">
        <v>50</v>
      </c>
      <c r="BL199" s="31" t="s">
        <v>242</v>
      </c>
      <c r="BM199" s="31" t="s">
        <v>243</v>
      </c>
      <c r="BN199" s="33">
        <v>44231.441832337965</v>
      </c>
      <c r="BR199" s="31" t="s">
        <v>257</v>
      </c>
      <c r="BS199" s="31">
        <v>4.1219202019782098E+18</v>
      </c>
      <c r="BT199" s="31" t="s">
        <v>245</v>
      </c>
      <c r="BU199" s="31" t="s">
        <v>719</v>
      </c>
      <c r="BV199" s="31">
        <v>2020</v>
      </c>
      <c r="BW199" s="31" t="s">
        <v>246</v>
      </c>
      <c r="BY199" s="31">
        <v>4.02032021201344E+18</v>
      </c>
      <c r="BZ199" s="31" t="s">
        <v>717</v>
      </c>
      <c r="CA199" s="31" t="s">
        <v>248</v>
      </c>
    </row>
    <row r="200" spans="1:79" x14ac:dyDescent="0.2">
      <c r="A200" s="31" t="s">
        <v>316</v>
      </c>
      <c r="B200" s="31" t="s">
        <v>325</v>
      </c>
      <c r="C200" s="31">
        <v>2020</v>
      </c>
      <c r="D200" s="31" t="s">
        <v>303</v>
      </c>
      <c r="E200" s="31">
        <v>2.0201217938838701E+17</v>
      </c>
      <c r="F200" s="31" t="s">
        <v>225</v>
      </c>
      <c r="G200" s="31" t="s">
        <v>720</v>
      </c>
      <c r="H200" s="31">
        <v>1483193</v>
      </c>
      <c r="J200" s="31" t="s">
        <v>227</v>
      </c>
      <c r="K200" s="31" t="s">
        <v>228</v>
      </c>
      <c r="N200" s="31" t="s">
        <v>290</v>
      </c>
      <c r="O200" s="31" t="s">
        <v>254</v>
      </c>
      <c r="Q200" s="31" t="s">
        <v>255</v>
      </c>
      <c r="R200" s="31" t="s">
        <v>291</v>
      </c>
      <c r="T200" s="31" t="s">
        <v>292</v>
      </c>
      <c r="V200" s="31" t="s">
        <v>327</v>
      </c>
      <c r="X200" s="31" t="s">
        <v>294</v>
      </c>
      <c r="Y200" s="31" t="s">
        <v>295</v>
      </c>
      <c r="Z200" s="31">
        <v>30312</v>
      </c>
      <c r="AA200" s="31" t="s">
        <v>328</v>
      </c>
      <c r="AB200" s="31" t="s">
        <v>297</v>
      </c>
      <c r="AD200" s="31">
        <v>15</v>
      </c>
      <c r="AE200" s="31" t="s">
        <v>298</v>
      </c>
      <c r="AF200" s="31" t="s">
        <v>336</v>
      </c>
      <c r="AI200" s="32">
        <v>44115</v>
      </c>
      <c r="AJ200" s="31">
        <v>25</v>
      </c>
      <c r="AK200" s="31">
        <v>1246.4000000000001</v>
      </c>
      <c r="BF200" s="31" t="s">
        <v>332</v>
      </c>
      <c r="BK200" s="31" t="s">
        <v>50</v>
      </c>
      <c r="BL200" s="31" t="s">
        <v>242</v>
      </c>
      <c r="BM200" s="31" t="s">
        <v>243</v>
      </c>
      <c r="BN200" s="33">
        <v>44231.446794930554</v>
      </c>
      <c r="BR200" s="31" t="s">
        <v>257</v>
      </c>
      <c r="BS200" s="31">
        <v>4.1219202019782098E+18</v>
      </c>
      <c r="BT200" s="31" t="s">
        <v>245</v>
      </c>
      <c r="BU200" s="31" t="s">
        <v>337</v>
      </c>
      <c r="BV200" s="31">
        <v>2020</v>
      </c>
      <c r="BW200" s="31" t="s">
        <v>246</v>
      </c>
      <c r="BY200" s="31">
        <v>4.0203202120141901E+18</v>
      </c>
      <c r="BZ200" s="31" t="s">
        <v>721</v>
      </c>
      <c r="CA200" s="31" t="s">
        <v>248</v>
      </c>
    </row>
    <row r="201" spans="1:79" x14ac:dyDescent="0.2">
      <c r="A201" s="31" t="s">
        <v>722</v>
      </c>
      <c r="B201" s="31" t="s">
        <v>723</v>
      </c>
      <c r="C201" s="31">
        <v>2020</v>
      </c>
      <c r="D201" s="31" t="s">
        <v>624</v>
      </c>
      <c r="E201" s="31">
        <v>2.0210114940467299E+17</v>
      </c>
      <c r="F201" s="31" t="s">
        <v>225</v>
      </c>
      <c r="G201" s="31">
        <v>8045377</v>
      </c>
      <c r="H201" s="31">
        <v>1487959</v>
      </c>
      <c r="J201" s="31" t="s">
        <v>227</v>
      </c>
      <c r="K201" s="31" t="s">
        <v>228</v>
      </c>
      <c r="N201" s="31" t="s">
        <v>290</v>
      </c>
      <c r="O201" s="31" t="s">
        <v>0</v>
      </c>
      <c r="Q201" s="31" t="s">
        <v>60</v>
      </c>
      <c r="R201" s="31" t="s">
        <v>291</v>
      </c>
      <c r="T201" s="31" t="s">
        <v>292</v>
      </c>
      <c r="V201" s="31" t="s">
        <v>293</v>
      </c>
      <c r="X201" s="31" t="s">
        <v>294</v>
      </c>
      <c r="Y201" s="31" t="s">
        <v>295</v>
      </c>
      <c r="Z201" s="31">
        <v>303121941</v>
      </c>
      <c r="AA201" s="31" t="s">
        <v>296</v>
      </c>
      <c r="AB201" s="31" t="s">
        <v>297</v>
      </c>
      <c r="AD201" s="31">
        <v>15</v>
      </c>
      <c r="AE201" s="31" t="s">
        <v>298</v>
      </c>
      <c r="AI201" s="32">
        <v>44033</v>
      </c>
      <c r="AJ201" s="31">
        <v>250</v>
      </c>
      <c r="AK201" s="31">
        <v>250</v>
      </c>
      <c r="BG201" s="31" t="s">
        <v>28</v>
      </c>
      <c r="BI201" s="31" t="s">
        <v>279</v>
      </c>
      <c r="BK201" s="31" t="s">
        <v>50</v>
      </c>
      <c r="BL201" s="31" t="s">
        <v>242</v>
      </c>
      <c r="BM201" s="31" t="s">
        <v>243</v>
      </c>
      <c r="BN201" s="33">
        <v>44231.448629814811</v>
      </c>
      <c r="BR201" s="31" t="s">
        <v>257</v>
      </c>
      <c r="BS201" s="31">
        <v>4.0115202120936602E+18</v>
      </c>
      <c r="BT201" s="31" t="s">
        <v>245</v>
      </c>
      <c r="BV201" s="31">
        <v>2020</v>
      </c>
      <c r="BW201" s="31" t="s">
        <v>246</v>
      </c>
      <c r="BY201" s="31">
        <v>4.0203202120189798E+18</v>
      </c>
      <c r="BZ201" s="31" t="s">
        <v>724</v>
      </c>
      <c r="CA201" s="31" t="s">
        <v>248</v>
      </c>
    </row>
    <row r="202" spans="1:79" x14ac:dyDescent="0.2">
      <c r="A202" s="31" t="s">
        <v>316</v>
      </c>
      <c r="B202" s="31" t="s">
        <v>325</v>
      </c>
      <c r="C202" s="31">
        <v>2020</v>
      </c>
      <c r="D202" s="31" t="s">
        <v>303</v>
      </c>
      <c r="E202" s="31">
        <v>2.0201217938838701E+17</v>
      </c>
      <c r="F202" s="31" t="s">
        <v>225</v>
      </c>
      <c r="G202" s="31" t="s">
        <v>725</v>
      </c>
      <c r="H202" s="31">
        <v>1483193</v>
      </c>
      <c r="J202" s="31" t="s">
        <v>227</v>
      </c>
      <c r="K202" s="31" t="s">
        <v>228</v>
      </c>
      <c r="N202" s="31" t="s">
        <v>290</v>
      </c>
      <c r="O202" s="31" t="s">
        <v>254</v>
      </c>
      <c r="Q202" s="31" t="s">
        <v>255</v>
      </c>
      <c r="R202" s="31" t="s">
        <v>291</v>
      </c>
      <c r="T202" s="31" t="s">
        <v>292</v>
      </c>
      <c r="V202" s="31" t="s">
        <v>327</v>
      </c>
      <c r="X202" s="31" t="s">
        <v>294</v>
      </c>
      <c r="Y202" s="31" t="s">
        <v>295</v>
      </c>
      <c r="Z202" s="31">
        <v>30312</v>
      </c>
      <c r="AA202" s="31" t="s">
        <v>328</v>
      </c>
      <c r="AB202" s="31" t="s">
        <v>297</v>
      </c>
      <c r="AD202" s="31">
        <v>15</v>
      </c>
      <c r="AE202" s="31" t="s">
        <v>298</v>
      </c>
      <c r="AF202" s="31" t="s">
        <v>336</v>
      </c>
      <c r="AI202" s="32">
        <v>44118</v>
      </c>
      <c r="AJ202" s="31">
        <v>10</v>
      </c>
      <c r="AK202" s="31">
        <v>1246.4000000000001</v>
      </c>
      <c r="BF202" s="31" t="s">
        <v>332</v>
      </c>
      <c r="BK202" s="31" t="s">
        <v>50</v>
      </c>
      <c r="BL202" s="31" t="s">
        <v>242</v>
      </c>
      <c r="BM202" s="31" t="s">
        <v>243</v>
      </c>
      <c r="BN202" s="33">
        <v>44231.44874565972</v>
      </c>
      <c r="BR202" s="31" t="s">
        <v>257</v>
      </c>
      <c r="BS202" s="31">
        <v>4.1219202019782098E+18</v>
      </c>
      <c r="BT202" s="31" t="s">
        <v>245</v>
      </c>
      <c r="BU202" s="31" t="s">
        <v>337</v>
      </c>
      <c r="BV202" s="31">
        <v>2020</v>
      </c>
      <c r="BW202" s="31" t="s">
        <v>246</v>
      </c>
      <c r="BY202" s="31">
        <v>4.0203202120169298E+18</v>
      </c>
      <c r="BZ202" s="31" t="s">
        <v>721</v>
      </c>
      <c r="CA202" s="31" t="s">
        <v>248</v>
      </c>
    </row>
    <row r="203" spans="1:79" x14ac:dyDescent="0.2">
      <c r="A203" s="31" t="s">
        <v>316</v>
      </c>
      <c r="B203" s="31" t="s">
        <v>325</v>
      </c>
      <c r="C203" s="31">
        <v>2020</v>
      </c>
      <c r="D203" s="31" t="s">
        <v>303</v>
      </c>
      <c r="E203" s="31">
        <v>2.0201217938838701E+17</v>
      </c>
      <c r="F203" s="31" t="s">
        <v>225</v>
      </c>
      <c r="G203" s="31" t="s">
        <v>726</v>
      </c>
      <c r="H203" s="31">
        <v>1483193</v>
      </c>
      <c r="J203" s="31" t="s">
        <v>227</v>
      </c>
      <c r="K203" s="31" t="s">
        <v>228</v>
      </c>
      <c r="N203" s="31" t="s">
        <v>290</v>
      </c>
      <c r="O203" s="31" t="s">
        <v>254</v>
      </c>
      <c r="Q203" s="31" t="s">
        <v>255</v>
      </c>
      <c r="R203" s="31" t="s">
        <v>291</v>
      </c>
      <c r="T203" s="31" t="s">
        <v>292</v>
      </c>
      <c r="V203" s="31" t="s">
        <v>327</v>
      </c>
      <c r="X203" s="31" t="s">
        <v>294</v>
      </c>
      <c r="Y203" s="31" t="s">
        <v>295</v>
      </c>
      <c r="Z203" s="31">
        <v>30312</v>
      </c>
      <c r="AA203" s="31" t="s">
        <v>328</v>
      </c>
      <c r="AB203" s="31" t="s">
        <v>297</v>
      </c>
      <c r="AF203" s="31" t="s">
        <v>331</v>
      </c>
      <c r="AI203" s="32">
        <v>44109</v>
      </c>
      <c r="AJ203" s="31">
        <v>25</v>
      </c>
      <c r="AK203" s="31">
        <v>25</v>
      </c>
      <c r="BF203" s="31" t="s">
        <v>332</v>
      </c>
      <c r="BK203" s="31" t="s">
        <v>50</v>
      </c>
      <c r="BL203" s="31" t="s">
        <v>242</v>
      </c>
      <c r="BM203" s="31" t="s">
        <v>243</v>
      </c>
      <c r="BN203" s="33">
        <v>44231.453346365743</v>
      </c>
      <c r="BR203" s="31" t="s">
        <v>257</v>
      </c>
      <c r="BS203" s="31">
        <v>4.1219202019782098E+18</v>
      </c>
      <c r="BT203" s="31" t="s">
        <v>245</v>
      </c>
      <c r="BU203" s="31" t="s">
        <v>727</v>
      </c>
      <c r="BV203" s="31">
        <v>2020</v>
      </c>
      <c r="BW203" s="31" t="s">
        <v>246</v>
      </c>
      <c r="BY203" s="31">
        <v>4.0203202120103997E+18</v>
      </c>
      <c r="BZ203" s="31" t="s">
        <v>712</v>
      </c>
      <c r="CA203" s="31" t="s">
        <v>248</v>
      </c>
    </row>
    <row r="204" spans="1:79" x14ac:dyDescent="0.2">
      <c r="A204" s="31" t="s">
        <v>316</v>
      </c>
      <c r="B204" s="31" t="s">
        <v>325</v>
      </c>
      <c r="C204" s="31">
        <v>2020</v>
      </c>
      <c r="D204" s="31" t="s">
        <v>303</v>
      </c>
      <c r="E204" s="31">
        <v>2.0201217938838701E+17</v>
      </c>
      <c r="F204" s="31" t="s">
        <v>225</v>
      </c>
      <c r="G204" s="31" t="s">
        <v>728</v>
      </c>
      <c r="H204" s="31">
        <v>1483193</v>
      </c>
      <c r="J204" s="31" t="s">
        <v>227</v>
      </c>
      <c r="K204" s="31" t="s">
        <v>228</v>
      </c>
      <c r="N204" s="31" t="s">
        <v>290</v>
      </c>
      <c r="O204" s="31" t="s">
        <v>254</v>
      </c>
      <c r="Q204" s="31" t="s">
        <v>255</v>
      </c>
      <c r="R204" s="31" t="s">
        <v>291</v>
      </c>
      <c r="T204" s="31" t="s">
        <v>292</v>
      </c>
      <c r="V204" s="31" t="s">
        <v>327</v>
      </c>
      <c r="X204" s="31" t="s">
        <v>294</v>
      </c>
      <c r="Y204" s="31" t="s">
        <v>295</v>
      </c>
      <c r="Z204" s="31">
        <v>30312</v>
      </c>
      <c r="AA204" s="31" t="s">
        <v>328</v>
      </c>
      <c r="AB204" s="31" t="s">
        <v>297</v>
      </c>
      <c r="AD204" s="31">
        <v>15</v>
      </c>
      <c r="AE204" s="31" t="s">
        <v>298</v>
      </c>
      <c r="AF204" s="31" t="s">
        <v>336</v>
      </c>
      <c r="AI204" s="32">
        <v>44109</v>
      </c>
      <c r="AJ204" s="31">
        <v>2.5</v>
      </c>
      <c r="AK204" s="31">
        <v>1246.4000000000001</v>
      </c>
      <c r="BF204" s="31" t="s">
        <v>332</v>
      </c>
      <c r="BK204" s="31" t="s">
        <v>50</v>
      </c>
      <c r="BL204" s="31" t="s">
        <v>242</v>
      </c>
      <c r="BM204" s="31" t="s">
        <v>243</v>
      </c>
      <c r="BN204" s="33">
        <v>44231.453376817131</v>
      </c>
      <c r="BR204" s="31" t="s">
        <v>257</v>
      </c>
      <c r="BS204" s="31">
        <v>4.1219202019782098E+18</v>
      </c>
      <c r="BT204" s="31" t="s">
        <v>245</v>
      </c>
      <c r="BU204" s="31" t="s">
        <v>337</v>
      </c>
      <c r="BV204" s="31">
        <v>2020</v>
      </c>
      <c r="BW204" s="31" t="s">
        <v>246</v>
      </c>
      <c r="BY204" s="31">
        <v>4.0203202120103997E+18</v>
      </c>
      <c r="BZ204" s="31" t="s">
        <v>710</v>
      </c>
      <c r="CA204" s="31" t="s">
        <v>248</v>
      </c>
    </row>
    <row r="205" spans="1:79" x14ac:dyDescent="0.2">
      <c r="A205" s="31" t="s">
        <v>316</v>
      </c>
      <c r="B205" s="31" t="s">
        <v>325</v>
      </c>
      <c r="C205" s="31">
        <v>2020</v>
      </c>
      <c r="D205" s="31" t="s">
        <v>303</v>
      </c>
      <c r="E205" s="31">
        <v>2.0201217938838701E+17</v>
      </c>
      <c r="F205" s="31" t="s">
        <v>225</v>
      </c>
      <c r="G205" s="31" t="s">
        <v>729</v>
      </c>
      <c r="H205" s="31">
        <v>1483193</v>
      </c>
      <c r="J205" s="31" t="s">
        <v>227</v>
      </c>
      <c r="K205" s="31" t="s">
        <v>228</v>
      </c>
      <c r="L205" s="31" t="s">
        <v>404</v>
      </c>
      <c r="N205" s="31" t="s">
        <v>290</v>
      </c>
      <c r="O205" s="31" t="s">
        <v>254</v>
      </c>
      <c r="Q205" s="31" t="s">
        <v>255</v>
      </c>
      <c r="R205" s="31" t="s">
        <v>291</v>
      </c>
      <c r="T205" s="31" t="s">
        <v>292</v>
      </c>
      <c r="V205" s="31" t="s">
        <v>327</v>
      </c>
      <c r="X205" s="31" t="s">
        <v>294</v>
      </c>
      <c r="Y205" s="31" t="s">
        <v>295</v>
      </c>
      <c r="Z205" s="31">
        <v>30312</v>
      </c>
      <c r="AA205" s="31" t="s">
        <v>328</v>
      </c>
      <c r="AB205" s="31" t="s">
        <v>297</v>
      </c>
      <c r="AC205" s="31" t="s">
        <v>404</v>
      </c>
      <c r="AD205" s="31" t="s">
        <v>329</v>
      </c>
      <c r="AE205" s="31" t="s">
        <v>330</v>
      </c>
      <c r="AF205" s="31" t="s">
        <v>331</v>
      </c>
      <c r="AI205" s="32">
        <v>44109</v>
      </c>
      <c r="AJ205" s="31">
        <v>5</v>
      </c>
      <c r="AK205" s="31">
        <v>2930</v>
      </c>
      <c r="AL205" s="31" t="s">
        <v>405</v>
      </c>
      <c r="BF205" s="31" t="s">
        <v>332</v>
      </c>
      <c r="BK205" s="31" t="s">
        <v>50</v>
      </c>
      <c r="BL205" s="31" t="s">
        <v>242</v>
      </c>
      <c r="BM205" s="31" t="s">
        <v>243</v>
      </c>
      <c r="BN205" s="33">
        <v>44231.454832083335</v>
      </c>
      <c r="BR205" s="31" t="s">
        <v>257</v>
      </c>
      <c r="BS205" s="31">
        <v>4.1219202019782098E+18</v>
      </c>
      <c r="BT205" s="31" t="s">
        <v>245</v>
      </c>
      <c r="BU205" s="31" t="s">
        <v>385</v>
      </c>
      <c r="BV205" s="31">
        <v>2020</v>
      </c>
      <c r="BW205" s="31" t="s">
        <v>246</v>
      </c>
      <c r="BY205" s="31">
        <v>4.0203202120099799E+18</v>
      </c>
      <c r="BZ205" s="31" t="s">
        <v>712</v>
      </c>
      <c r="CA205" s="31" t="s">
        <v>248</v>
      </c>
    </row>
    <row r="206" spans="1:79" x14ac:dyDescent="0.2">
      <c r="A206" s="31" t="s">
        <v>316</v>
      </c>
      <c r="B206" s="31" t="s">
        <v>325</v>
      </c>
      <c r="C206" s="31">
        <v>2020</v>
      </c>
      <c r="D206" s="31" t="s">
        <v>303</v>
      </c>
      <c r="E206" s="31">
        <v>2.0201217938838701E+17</v>
      </c>
      <c r="F206" s="31" t="s">
        <v>225</v>
      </c>
      <c r="G206" s="31" t="s">
        <v>730</v>
      </c>
      <c r="H206" s="31">
        <v>1483193</v>
      </c>
      <c r="J206" s="31" t="s">
        <v>227</v>
      </c>
      <c r="K206" s="31" t="s">
        <v>228</v>
      </c>
      <c r="L206" s="31" t="s">
        <v>341</v>
      </c>
      <c r="N206" s="31" t="s">
        <v>290</v>
      </c>
      <c r="O206" s="31" t="s">
        <v>254</v>
      </c>
      <c r="Q206" s="31" t="s">
        <v>255</v>
      </c>
      <c r="R206" s="31" t="s">
        <v>291</v>
      </c>
      <c r="T206" s="31" t="s">
        <v>292</v>
      </c>
      <c r="V206" s="31" t="s">
        <v>327</v>
      </c>
      <c r="X206" s="31" t="s">
        <v>294</v>
      </c>
      <c r="Y206" s="31" t="s">
        <v>295</v>
      </c>
      <c r="Z206" s="31">
        <v>30312</v>
      </c>
      <c r="AA206" s="31" t="s">
        <v>328</v>
      </c>
      <c r="AB206" s="31" t="s">
        <v>297</v>
      </c>
      <c r="AC206" s="31" t="s">
        <v>341</v>
      </c>
      <c r="AD206" s="31" t="s">
        <v>329</v>
      </c>
      <c r="AE206" s="31" t="s">
        <v>330</v>
      </c>
      <c r="AF206" s="31" t="s">
        <v>331</v>
      </c>
      <c r="AI206" s="32">
        <v>44118</v>
      </c>
      <c r="AJ206" s="31">
        <v>100</v>
      </c>
      <c r="AK206" s="31">
        <v>1700</v>
      </c>
      <c r="BF206" s="31" t="s">
        <v>332</v>
      </c>
      <c r="BK206" s="31" t="s">
        <v>50</v>
      </c>
      <c r="BL206" s="31" t="s">
        <v>242</v>
      </c>
      <c r="BM206" s="31" t="s">
        <v>243</v>
      </c>
      <c r="BN206" s="33">
        <v>44231.455670671297</v>
      </c>
      <c r="BR206" s="31" t="s">
        <v>257</v>
      </c>
      <c r="BS206" s="31">
        <v>4.1219202019782098E+18</v>
      </c>
      <c r="BT206" s="31" t="s">
        <v>245</v>
      </c>
      <c r="BU206" s="31" t="s">
        <v>342</v>
      </c>
      <c r="BV206" s="31">
        <v>2020</v>
      </c>
      <c r="BW206" s="31" t="s">
        <v>246</v>
      </c>
      <c r="BY206" s="31">
        <v>4.02032021201694E+18</v>
      </c>
      <c r="BZ206" s="31" t="s">
        <v>731</v>
      </c>
      <c r="CA206" s="31" t="s">
        <v>248</v>
      </c>
    </row>
    <row r="207" spans="1:79" x14ac:dyDescent="0.2">
      <c r="A207" s="31" t="s">
        <v>316</v>
      </c>
      <c r="B207" s="31" t="s">
        <v>325</v>
      </c>
      <c r="C207" s="31">
        <v>2020</v>
      </c>
      <c r="D207" s="31" t="s">
        <v>303</v>
      </c>
      <c r="E207" s="31">
        <v>2.0201217938838701E+17</v>
      </c>
      <c r="F207" s="31" t="s">
        <v>225</v>
      </c>
      <c r="G207" s="31" t="s">
        <v>732</v>
      </c>
      <c r="H207" s="31">
        <v>1483193</v>
      </c>
      <c r="J207" s="31" t="s">
        <v>227</v>
      </c>
      <c r="K207" s="31" t="s">
        <v>228</v>
      </c>
      <c r="N207" s="31" t="s">
        <v>290</v>
      </c>
      <c r="O207" s="31" t="s">
        <v>254</v>
      </c>
      <c r="Q207" s="31" t="s">
        <v>255</v>
      </c>
      <c r="R207" s="31" t="s">
        <v>291</v>
      </c>
      <c r="T207" s="31" t="s">
        <v>292</v>
      </c>
      <c r="V207" s="31" t="s">
        <v>327</v>
      </c>
      <c r="X207" s="31" t="s">
        <v>294</v>
      </c>
      <c r="Y207" s="31" t="s">
        <v>295</v>
      </c>
      <c r="Z207" s="31">
        <v>30312</v>
      </c>
      <c r="AA207" s="31" t="s">
        <v>328</v>
      </c>
      <c r="AB207" s="31" t="s">
        <v>297</v>
      </c>
      <c r="AD207" s="31">
        <v>15</v>
      </c>
      <c r="AE207" s="31" t="s">
        <v>298</v>
      </c>
      <c r="AF207" s="31" t="s">
        <v>336</v>
      </c>
      <c r="AI207" s="32">
        <v>44111</v>
      </c>
      <c r="AJ207" s="31">
        <v>10</v>
      </c>
      <c r="AK207" s="31">
        <v>1246.4000000000001</v>
      </c>
      <c r="BF207" s="31" t="s">
        <v>332</v>
      </c>
      <c r="BK207" s="31" t="s">
        <v>50</v>
      </c>
      <c r="BL207" s="31" t="s">
        <v>242</v>
      </c>
      <c r="BM207" s="31" t="s">
        <v>243</v>
      </c>
      <c r="BN207" s="33">
        <v>44231.456571712966</v>
      </c>
      <c r="BR207" s="31" t="s">
        <v>257</v>
      </c>
      <c r="BS207" s="31">
        <v>4.1219202019782098E+18</v>
      </c>
      <c r="BT207" s="31" t="s">
        <v>245</v>
      </c>
      <c r="BU207" s="31" t="s">
        <v>337</v>
      </c>
      <c r="BV207" s="31">
        <v>2020</v>
      </c>
      <c r="BW207" s="31" t="s">
        <v>246</v>
      </c>
      <c r="BY207" s="31">
        <v>4.0203202120117801E+18</v>
      </c>
      <c r="BZ207" s="31" t="s">
        <v>733</v>
      </c>
      <c r="CA207" s="31" t="s">
        <v>248</v>
      </c>
    </row>
    <row r="208" spans="1:79" x14ac:dyDescent="0.2">
      <c r="A208" s="31" t="s">
        <v>316</v>
      </c>
      <c r="B208" s="31" t="s">
        <v>325</v>
      </c>
      <c r="C208" s="31">
        <v>2020</v>
      </c>
      <c r="D208" s="31" t="s">
        <v>303</v>
      </c>
      <c r="E208" s="31">
        <v>2.0201217938838701E+17</v>
      </c>
      <c r="F208" s="31" t="s">
        <v>225</v>
      </c>
      <c r="G208" s="31" t="s">
        <v>734</v>
      </c>
      <c r="H208" s="31">
        <v>1483193</v>
      </c>
      <c r="J208" s="31" t="s">
        <v>227</v>
      </c>
      <c r="K208" s="31" t="s">
        <v>228</v>
      </c>
      <c r="N208" s="31" t="s">
        <v>290</v>
      </c>
      <c r="O208" s="31" t="s">
        <v>254</v>
      </c>
      <c r="Q208" s="31" t="s">
        <v>255</v>
      </c>
      <c r="R208" s="31" t="s">
        <v>291</v>
      </c>
      <c r="T208" s="31" t="s">
        <v>292</v>
      </c>
      <c r="V208" s="31" t="s">
        <v>327</v>
      </c>
      <c r="X208" s="31" t="s">
        <v>294</v>
      </c>
      <c r="Y208" s="31" t="s">
        <v>295</v>
      </c>
      <c r="Z208" s="31">
        <v>30312</v>
      </c>
      <c r="AA208" s="31" t="s">
        <v>328</v>
      </c>
      <c r="AB208" s="31" t="s">
        <v>297</v>
      </c>
      <c r="AD208" s="31">
        <v>15</v>
      </c>
      <c r="AE208" s="31" t="s">
        <v>298</v>
      </c>
      <c r="AF208" s="31" t="s">
        <v>336</v>
      </c>
      <c r="AI208" s="32">
        <v>44111</v>
      </c>
      <c r="AJ208" s="31">
        <v>10</v>
      </c>
      <c r="AK208" s="31">
        <v>1246.4000000000001</v>
      </c>
      <c r="BF208" s="31" t="s">
        <v>332</v>
      </c>
      <c r="BK208" s="31" t="s">
        <v>50</v>
      </c>
      <c r="BL208" s="31" t="s">
        <v>242</v>
      </c>
      <c r="BM208" s="31" t="s">
        <v>243</v>
      </c>
      <c r="BN208" s="33">
        <v>44231.456663888886</v>
      </c>
      <c r="BR208" s="31" t="s">
        <v>257</v>
      </c>
      <c r="BS208" s="31">
        <v>4.1219202019782098E+18</v>
      </c>
      <c r="BT208" s="31" t="s">
        <v>245</v>
      </c>
      <c r="BU208" s="31" t="s">
        <v>337</v>
      </c>
      <c r="BV208" s="31">
        <v>2020</v>
      </c>
      <c r="BW208" s="31" t="s">
        <v>246</v>
      </c>
      <c r="BY208" s="31">
        <v>4.0203202120117801E+18</v>
      </c>
      <c r="BZ208" s="31" t="s">
        <v>733</v>
      </c>
      <c r="CA208" s="31" t="s">
        <v>248</v>
      </c>
    </row>
    <row r="209" spans="1:79" x14ac:dyDescent="0.2">
      <c r="A209" s="31" t="s">
        <v>316</v>
      </c>
      <c r="B209" s="31" t="s">
        <v>325</v>
      </c>
      <c r="C209" s="31">
        <v>2020</v>
      </c>
      <c r="D209" s="31" t="s">
        <v>303</v>
      </c>
      <c r="E209" s="31">
        <v>2.0201217938838701E+17</v>
      </c>
      <c r="F209" s="31" t="s">
        <v>225</v>
      </c>
      <c r="G209" s="31" t="s">
        <v>735</v>
      </c>
      <c r="H209" s="31">
        <v>1483193</v>
      </c>
      <c r="J209" s="31" t="s">
        <v>227</v>
      </c>
      <c r="K209" s="31" t="s">
        <v>228</v>
      </c>
      <c r="L209" s="31" t="s">
        <v>341</v>
      </c>
      <c r="N209" s="31" t="s">
        <v>290</v>
      </c>
      <c r="O209" s="31" t="s">
        <v>254</v>
      </c>
      <c r="Q209" s="31" t="s">
        <v>255</v>
      </c>
      <c r="R209" s="31" t="s">
        <v>291</v>
      </c>
      <c r="T209" s="31" t="s">
        <v>292</v>
      </c>
      <c r="V209" s="31" t="s">
        <v>327</v>
      </c>
      <c r="X209" s="31" t="s">
        <v>294</v>
      </c>
      <c r="Y209" s="31" t="s">
        <v>295</v>
      </c>
      <c r="Z209" s="31">
        <v>30312</v>
      </c>
      <c r="AA209" s="31" t="s">
        <v>328</v>
      </c>
      <c r="AB209" s="31" t="s">
        <v>297</v>
      </c>
      <c r="AC209" s="31" t="s">
        <v>341</v>
      </c>
      <c r="AD209" s="31" t="s">
        <v>329</v>
      </c>
      <c r="AE209" s="31" t="s">
        <v>330</v>
      </c>
      <c r="AF209" s="31" t="s">
        <v>331</v>
      </c>
      <c r="AI209" s="32">
        <v>44111</v>
      </c>
      <c r="AJ209" s="31">
        <v>100</v>
      </c>
      <c r="AK209" s="31">
        <v>1700</v>
      </c>
      <c r="BF209" s="31" t="s">
        <v>332</v>
      </c>
      <c r="BK209" s="31" t="s">
        <v>50</v>
      </c>
      <c r="BL209" s="31" t="s">
        <v>242</v>
      </c>
      <c r="BM209" s="31" t="s">
        <v>243</v>
      </c>
      <c r="BN209" s="33">
        <v>44231.456787673611</v>
      </c>
      <c r="BR209" s="31" t="s">
        <v>257</v>
      </c>
      <c r="BS209" s="31">
        <v>4.1219202019782098E+18</v>
      </c>
      <c r="BT209" s="31" t="s">
        <v>245</v>
      </c>
      <c r="BU209" s="31" t="s">
        <v>342</v>
      </c>
      <c r="BV209" s="31">
        <v>2020</v>
      </c>
      <c r="BW209" s="31" t="s">
        <v>246</v>
      </c>
      <c r="BY209" s="31">
        <v>4.0203202120117898E+18</v>
      </c>
      <c r="BZ209" s="31" t="s">
        <v>715</v>
      </c>
      <c r="CA209" s="31" t="s">
        <v>248</v>
      </c>
    </row>
    <row r="210" spans="1:79" x14ac:dyDescent="0.2">
      <c r="A210" s="31" t="s">
        <v>316</v>
      </c>
      <c r="B210" s="31" t="s">
        <v>325</v>
      </c>
      <c r="C210" s="31">
        <v>2020</v>
      </c>
      <c r="D210" s="31" t="s">
        <v>303</v>
      </c>
      <c r="E210" s="31">
        <v>2.0201217938838701E+17</v>
      </c>
      <c r="F210" s="31" t="s">
        <v>225</v>
      </c>
      <c r="G210" s="31" t="s">
        <v>736</v>
      </c>
      <c r="H210" s="31">
        <v>1483193</v>
      </c>
      <c r="J210" s="31" t="s">
        <v>227</v>
      </c>
      <c r="K210" s="31" t="s">
        <v>228</v>
      </c>
      <c r="L210" s="31" t="s">
        <v>341</v>
      </c>
      <c r="N210" s="31" t="s">
        <v>290</v>
      </c>
      <c r="O210" s="31" t="s">
        <v>254</v>
      </c>
      <c r="Q210" s="31" t="s">
        <v>255</v>
      </c>
      <c r="R210" s="31" t="s">
        <v>291</v>
      </c>
      <c r="T210" s="31" t="s">
        <v>292</v>
      </c>
      <c r="V210" s="31" t="s">
        <v>327</v>
      </c>
      <c r="X210" s="31" t="s">
        <v>294</v>
      </c>
      <c r="Y210" s="31" t="s">
        <v>295</v>
      </c>
      <c r="Z210" s="31">
        <v>30312</v>
      </c>
      <c r="AA210" s="31" t="s">
        <v>328</v>
      </c>
      <c r="AB210" s="31" t="s">
        <v>297</v>
      </c>
      <c r="AC210" s="31" t="s">
        <v>341</v>
      </c>
      <c r="AD210" s="31" t="s">
        <v>329</v>
      </c>
      <c r="AE210" s="31" t="s">
        <v>330</v>
      </c>
      <c r="AF210" s="31" t="s">
        <v>331</v>
      </c>
      <c r="AI210" s="32">
        <v>44111</v>
      </c>
      <c r="AJ210" s="31">
        <v>100</v>
      </c>
      <c r="AK210" s="31">
        <v>1700</v>
      </c>
      <c r="BF210" s="31" t="s">
        <v>332</v>
      </c>
      <c r="BK210" s="31" t="s">
        <v>50</v>
      </c>
      <c r="BL210" s="31" t="s">
        <v>242</v>
      </c>
      <c r="BM210" s="31" t="s">
        <v>243</v>
      </c>
      <c r="BN210" s="33">
        <v>44231.45687991898</v>
      </c>
      <c r="BR210" s="31" t="s">
        <v>257</v>
      </c>
      <c r="BS210" s="31">
        <v>4.1219202019782098E+18</v>
      </c>
      <c r="BT210" s="31" t="s">
        <v>245</v>
      </c>
      <c r="BU210" s="31" t="s">
        <v>342</v>
      </c>
      <c r="BV210" s="31">
        <v>2020</v>
      </c>
      <c r="BW210" s="31" t="s">
        <v>246</v>
      </c>
      <c r="BY210" s="31">
        <v>4.0203202120117898E+18</v>
      </c>
      <c r="BZ210" s="31" t="s">
        <v>733</v>
      </c>
      <c r="CA210" s="31" t="s">
        <v>248</v>
      </c>
    </row>
    <row r="211" spans="1:79" x14ac:dyDescent="0.2">
      <c r="A211" s="31" t="s">
        <v>622</v>
      </c>
      <c r="B211" s="31" t="s">
        <v>623</v>
      </c>
      <c r="C211" s="31">
        <v>2020</v>
      </c>
      <c r="D211" s="31" t="s">
        <v>648</v>
      </c>
      <c r="E211" s="31">
        <v>2.0210602944851501E+17</v>
      </c>
      <c r="F211" s="31" t="s">
        <v>225</v>
      </c>
      <c r="G211" s="31">
        <v>5672702</v>
      </c>
      <c r="H211" s="31">
        <v>1518550</v>
      </c>
      <c r="J211" s="31" t="s">
        <v>227</v>
      </c>
      <c r="K211" s="31" t="s">
        <v>228</v>
      </c>
      <c r="N211" s="31" t="s">
        <v>290</v>
      </c>
      <c r="O211" s="31" t="s">
        <v>39</v>
      </c>
      <c r="Q211" s="31" t="s">
        <v>28</v>
      </c>
      <c r="R211" s="31" t="s">
        <v>291</v>
      </c>
      <c r="T211" s="31" t="s">
        <v>292</v>
      </c>
      <c r="V211" s="31" t="s">
        <v>293</v>
      </c>
      <c r="X211" s="31" t="s">
        <v>294</v>
      </c>
      <c r="Y211" s="31" t="s">
        <v>295</v>
      </c>
      <c r="Z211" s="31">
        <v>303121941</v>
      </c>
      <c r="AA211" s="31" t="s">
        <v>626</v>
      </c>
      <c r="AB211" s="31" t="s">
        <v>627</v>
      </c>
      <c r="AD211" s="31" t="s">
        <v>237</v>
      </c>
      <c r="AE211" s="31" t="s">
        <v>238</v>
      </c>
      <c r="AI211" s="32">
        <v>44180</v>
      </c>
      <c r="AJ211" s="31">
        <v>50</v>
      </c>
      <c r="AK211" s="31">
        <v>900</v>
      </c>
      <c r="BG211" s="31" t="s">
        <v>737</v>
      </c>
      <c r="BH211" s="31" t="s">
        <v>649</v>
      </c>
      <c r="BJ211" s="31">
        <v>2020</v>
      </c>
      <c r="BK211" s="31" t="s">
        <v>50</v>
      </c>
      <c r="BL211" s="31" t="s">
        <v>242</v>
      </c>
      <c r="BM211" s="31" t="s">
        <v>243</v>
      </c>
      <c r="BN211" s="33">
        <v>44358.158967048614</v>
      </c>
      <c r="BP211" s="31" t="s">
        <v>738</v>
      </c>
      <c r="BQ211" s="31" t="s">
        <v>318</v>
      </c>
      <c r="BR211" s="31" t="s">
        <v>244</v>
      </c>
      <c r="BS211" s="31">
        <v>4.0604202112998001E+18</v>
      </c>
      <c r="BT211" s="31" t="s">
        <v>245</v>
      </c>
      <c r="BU211" s="31" t="s">
        <v>283</v>
      </c>
      <c r="BV211" s="31">
        <v>2020</v>
      </c>
      <c r="BW211" s="31" t="s">
        <v>246</v>
      </c>
      <c r="BY211" s="31">
        <v>4.06112021130637E+18</v>
      </c>
      <c r="BZ211" s="31" t="s">
        <v>739</v>
      </c>
      <c r="CA211" s="31" t="s">
        <v>248</v>
      </c>
    </row>
    <row r="212" spans="1:79" x14ac:dyDescent="0.2">
      <c r="A212" s="31" t="s">
        <v>341</v>
      </c>
      <c r="B212" s="31" t="s">
        <v>551</v>
      </c>
      <c r="C212" s="31">
        <v>2020</v>
      </c>
      <c r="D212" s="31" t="s">
        <v>224</v>
      </c>
      <c r="E212" s="31">
        <v>2.0201203933849299E+17</v>
      </c>
      <c r="F212" s="31" t="s">
        <v>225</v>
      </c>
      <c r="G212" s="31" t="s">
        <v>740</v>
      </c>
      <c r="H212" s="31">
        <v>1479266</v>
      </c>
      <c r="J212" s="31" t="s">
        <v>227</v>
      </c>
      <c r="K212" s="31" t="s">
        <v>228</v>
      </c>
      <c r="L212" s="31" t="s">
        <v>316</v>
      </c>
      <c r="N212" s="31" t="s">
        <v>290</v>
      </c>
      <c r="O212" s="31" t="s">
        <v>254</v>
      </c>
      <c r="Q212" s="31" t="s">
        <v>255</v>
      </c>
      <c r="R212" s="31" t="s">
        <v>291</v>
      </c>
      <c r="T212" s="31" t="s">
        <v>292</v>
      </c>
      <c r="V212" s="31" t="s">
        <v>293</v>
      </c>
      <c r="X212" s="31" t="s">
        <v>294</v>
      </c>
      <c r="Y212" s="31" t="s">
        <v>295</v>
      </c>
      <c r="Z212" s="31">
        <v>303121941</v>
      </c>
      <c r="AA212" s="31" t="s">
        <v>296</v>
      </c>
      <c r="AB212" s="31" t="s">
        <v>297</v>
      </c>
      <c r="AC212" s="31" t="s">
        <v>316</v>
      </c>
      <c r="AD212" s="31" t="s">
        <v>237</v>
      </c>
      <c r="AE212" s="31" t="s">
        <v>238</v>
      </c>
      <c r="AI212" s="32">
        <v>44142</v>
      </c>
      <c r="AJ212" s="31">
        <v>50</v>
      </c>
      <c r="AK212" s="31">
        <v>2199</v>
      </c>
      <c r="BG212" s="31" t="s">
        <v>28</v>
      </c>
      <c r="BI212" s="31" t="s">
        <v>279</v>
      </c>
      <c r="BK212" s="31" t="s">
        <v>50</v>
      </c>
      <c r="BL212" s="31" t="s">
        <v>242</v>
      </c>
      <c r="BM212" s="31" t="s">
        <v>243</v>
      </c>
      <c r="BN212" s="33">
        <v>44196.153215543978</v>
      </c>
      <c r="BP212" s="31" t="s">
        <v>741</v>
      </c>
      <c r="BQ212" s="31" t="s">
        <v>318</v>
      </c>
      <c r="BR212" s="31" t="s">
        <v>257</v>
      </c>
      <c r="BS212" s="31">
        <v>4.1204202019634299E+18</v>
      </c>
      <c r="BT212" s="31" t="s">
        <v>245</v>
      </c>
      <c r="BU212" s="31" t="s">
        <v>283</v>
      </c>
      <c r="BV212" s="31">
        <v>2020</v>
      </c>
      <c r="BW212" s="31" t="s">
        <v>246</v>
      </c>
      <c r="BY212" s="31">
        <v>4.1231202019879501E+18</v>
      </c>
      <c r="BZ212" s="31" t="s">
        <v>742</v>
      </c>
      <c r="CA212" s="31" t="s">
        <v>248</v>
      </c>
    </row>
    <row r="213" spans="1:79" x14ac:dyDescent="0.2">
      <c r="A213" s="31" t="s">
        <v>314</v>
      </c>
      <c r="B213" s="31" t="s">
        <v>315</v>
      </c>
      <c r="C213" s="31">
        <v>2020</v>
      </c>
      <c r="D213" s="31" t="s">
        <v>288</v>
      </c>
      <c r="E213" s="31">
        <v>2.02011239337088E+17</v>
      </c>
      <c r="F213" s="31" t="s">
        <v>225</v>
      </c>
      <c r="G213" s="31">
        <v>15035476</v>
      </c>
      <c r="H213" s="31">
        <v>1473039</v>
      </c>
      <c r="J213" s="31" t="s">
        <v>227</v>
      </c>
      <c r="K213" s="31" t="s">
        <v>228</v>
      </c>
      <c r="N213" s="31" t="s">
        <v>290</v>
      </c>
      <c r="O213" s="31" t="s">
        <v>26</v>
      </c>
      <c r="Q213" s="31" t="s">
        <v>255</v>
      </c>
      <c r="R213" s="31" t="s">
        <v>291</v>
      </c>
      <c r="T213" s="31" t="s">
        <v>292</v>
      </c>
      <c r="V213" s="31" t="s">
        <v>293</v>
      </c>
      <c r="X213" s="31" t="s">
        <v>294</v>
      </c>
      <c r="Y213" s="31" t="s">
        <v>295</v>
      </c>
      <c r="Z213" s="31">
        <v>303121941</v>
      </c>
      <c r="AA213" s="31" t="s">
        <v>296</v>
      </c>
      <c r="AB213" s="31" t="s">
        <v>297</v>
      </c>
      <c r="AD213" s="31" t="s">
        <v>237</v>
      </c>
      <c r="AE213" s="31" t="s">
        <v>238</v>
      </c>
      <c r="AI213" s="32">
        <v>44055</v>
      </c>
      <c r="AJ213" s="31">
        <v>200</v>
      </c>
      <c r="AK213" s="31">
        <v>1600</v>
      </c>
      <c r="BG213" s="31" t="s">
        <v>28</v>
      </c>
      <c r="BI213" s="31" t="s">
        <v>279</v>
      </c>
      <c r="BK213" s="31" t="s">
        <v>50</v>
      </c>
      <c r="BL213" s="31" t="s">
        <v>242</v>
      </c>
      <c r="BM213" s="31" t="s">
        <v>243</v>
      </c>
      <c r="BN213" s="33">
        <v>44160.172270069444</v>
      </c>
      <c r="BP213" s="31" t="s">
        <v>743</v>
      </c>
      <c r="BQ213" s="31" t="s">
        <v>318</v>
      </c>
      <c r="BR213" s="31" t="s">
        <v>257</v>
      </c>
      <c r="BS213" s="31">
        <v>4.1124202019600399E+18</v>
      </c>
      <c r="BT213" s="31" t="s">
        <v>245</v>
      </c>
      <c r="BU213" s="31" t="s">
        <v>283</v>
      </c>
      <c r="BV213" s="31">
        <v>2020</v>
      </c>
      <c r="BW213" s="31" t="s">
        <v>246</v>
      </c>
      <c r="BY213" s="31">
        <v>4.1125202019606502E+18</v>
      </c>
      <c r="BZ213" s="31" t="s">
        <v>744</v>
      </c>
      <c r="CA213" s="31" t="s">
        <v>248</v>
      </c>
    </row>
    <row r="214" spans="1:79" x14ac:dyDescent="0.2">
      <c r="A214" s="31" t="s">
        <v>314</v>
      </c>
      <c r="B214" s="31" t="s">
        <v>315</v>
      </c>
      <c r="C214" s="31">
        <v>2020</v>
      </c>
      <c r="D214" s="31" t="s">
        <v>288</v>
      </c>
      <c r="E214" s="31">
        <v>2.02011239337088E+17</v>
      </c>
      <c r="F214" s="31" t="s">
        <v>225</v>
      </c>
      <c r="G214" s="31">
        <v>15276438</v>
      </c>
      <c r="H214" s="31">
        <v>1473039</v>
      </c>
      <c r="J214" s="31" t="s">
        <v>227</v>
      </c>
      <c r="K214" s="31" t="s">
        <v>228</v>
      </c>
      <c r="N214" s="31" t="s">
        <v>290</v>
      </c>
      <c r="O214" s="31" t="s">
        <v>26</v>
      </c>
      <c r="Q214" s="31" t="s">
        <v>255</v>
      </c>
      <c r="R214" s="31" t="s">
        <v>291</v>
      </c>
      <c r="T214" s="31" t="s">
        <v>292</v>
      </c>
      <c r="V214" s="31" t="s">
        <v>293</v>
      </c>
      <c r="X214" s="31" t="s">
        <v>294</v>
      </c>
      <c r="Y214" s="31" t="s">
        <v>295</v>
      </c>
      <c r="Z214" s="31">
        <v>303121941</v>
      </c>
      <c r="AA214" s="31" t="s">
        <v>296</v>
      </c>
      <c r="AB214" s="31" t="s">
        <v>297</v>
      </c>
      <c r="AD214" s="31" t="s">
        <v>237</v>
      </c>
      <c r="AE214" s="31" t="s">
        <v>238</v>
      </c>
      <c r="AI214" s="32">
        <v>44063</v>
      </c>
      <c r="AJ214" s="31">
        <v>200</v>
      </c>
      <c r="AK214" s="31">
        <v>1800</v>
      </c>
      <c r="BG214" s="31" t="s">
        <v>28</v>
      </c>
      <c r="BI214" s="31" t="s">
        <v>279</v>
      </c>
      <c r="BK214" s="31" t="s">
        <v>50</v>
      </c>
      <c r="BL214" s="31" t="s">
        <v>242</v>
      </c>
      <c r="BM214" s="31" t="s">
        <v>243</v>
      </c>
      <c r="BN214" s="33">
        <v>44160.172270069444</v>
      </c>
      <c r="BP214" s="31" t="s">
        <v>745</v>
      </c>
      <c r="BQ214" s="31" t="s">
        <v>318</v>
      </c>
      <c r="BR214" s="31" t="s">
        <v>257</v>
      </c>
      <c r="BS214" s="31">
        <v>4.1124202019600399E+18</v>
      </c>
      <c r="BT214" s="31" t="s">
        <v>245</v>
      </c>
      <c r="BU214" s="31" t="s">
        <v>283</v>
      </c>
      <c r="BV214" s="31">
        <v>2020</v>
      </c>
      <c r="BW214" s="31" t="s">
        <v>246</v>
      </c>
      <c r="BY214" s="31">
        <v>4.1125202019606502E+18</v>
      </c>
      <c r="BZ214" s="31" t="s">
        <v>746</v>
      </c>
      <c r="CA214" s="31" t="s">
        <v>248</v>
      </c>
    </row>
    <row r="215" spans="1:79" x14ac:dyDescent="0.2">
      <c r="A215" s="31" t="s">
        <v>341</v>
      </c>
      <c r="B215" s="31" t="s">
        <v>551</v>
      </c>
      <c r="C215" s="31">
        <v>2020</v>
      </c>
      <c r="D215" s="31" t="s">
        <v>224</v>
      </c>
      <c r="E215" s="31">
        <v>2.0201203933851501E+17</v>
      </c>
      <c r="F215" s="31" t="s">
        <v>225</v>
      </c>
      <c r="G215" s="31" t="s">
        <v>747</v>
      </c>
      <c r="H215" s="31">
        <v>1479266</v>
      </c>
      <c r="J215" s="31" t="s">
        <v>227</v>
      </c>
      <c r="K215" s="31" t="s">
        <v>228</v>
      </c>
      <c r="L215" s="31" t="s">
        <v>316</v>
      </c>
      <c r="N215" s="31" t="s">
        <v>290</v>
      </c>
      <c r="O215" s="31" t="s">
        <v>254</v>
      </c>
      <c r="Q215" s="31" t="s">
        <v>255</v>
      </c>
      <c r="R215" s="31" t="s">
        <v>291</v>
      </c>
      <c r="T215" s="31" t="s">
        <v>292</v>
      </c>
      <c r="V215" s="31" t="s">
        <v>293</v>
      </c>
      <c r="X215" s="31" t="s">
        <v>294</v>
      </c>
      <c r="Y215" s="31" t="s">
        <v>295</v>
      </c>
      <c r="Z215" s="31">
        <v>303121941</v>
      </c>
      <c r="AA215" s="31" t="s">
        <v>296</v>
      </c>
      <c r="AB215" s="31" t="s">
        <v>297</v>
      </c>
      <c r="AC215" s="31" t="s">
        <v>316</v>
      </c>
      <c r="AD215" s="31" t="s">
        <v>237</v>
      </c>
      <c r="AE215" s="31" t="s">
        <v>238</v>
      </c>
      <c r="AI215" s="32">
        <v>44123</v>
      </c>
      <c r="AJ215" s="31">
        <v>100</v>
      </c>
      <c r="AK215" s="31">
        <v>1900</v>
      </c>
      <c r="BG215" s="31" t="s">
        <v>28</v>
      </c>
      <c r="BI215" s="31" t="s">
        <v>279</v>
      </c>
      <c r="BK215" s="31" t="s">
        <v>50</v>
      </c>
      <c r="BL215" s="31" t="s">
        <v>242</v>
      </c>
      <c r="BM215" s="31" t="s">
        <v>243</v>
      </c>
      <c r="BN215" s="33">
        <v>44196.154829976855</v>
      </c>
      <c r="BP215" s="31" t="s">
        <v>748</v>
      </c>
      <c r="BQ215" s="31" t="s">
        <v>318</v>
      </c>
      <c r="BR215" s="31" t="s">
        <v>257</v>
      </c>
      <c r="BS215" s="31">
        <v>4.1204202019634299E+18</v>
      </c>
      <c r="BT215" s="31" t="s">
        <v>245</v>
      </c>
      <c r="BU215" s="31" t="s">
        <v>283</v>
      </c>
      <c r="BV215" s="31">
        <v>2020</v>
      </c>
      <c r="BW215" s="31" t="s">
        <v>246</v>
      </c>
      <c r="BY215" s="31">
        <v>4.1231202019880202E+18</v>
      </c>
      <c r="BZ215" s="31" t="s">
        <v>749</v>
      </c>
      <c r="CA215" s="31" t="s">
        <v>248</v>
      </c>
    </row>
    <row r="216" spans="1:79" x14ac:dyDescent="0.2">
      <c r="A216" s="31" t="s">
        <v>404</v>
      </c>
      <c r="B216" s="31" t="s">
        <v>424</v>
      </c>
      <c r="C216" s="31">
        <v>2020</v>
      </c>
      <c r="D216" s="31" t="s">
        <v>750</v>
      </c>
      <c r="E216" s="31">
        <v>2.0201022933535002E+17</v>
      </c>
      <c r="F216" s="31" t="s">
        <v>225</v>
      </c>
      <c r="G216" s="31">
        <v>7694021</v>
      </c>
      <c r="H216" s="31">
        <v>1463232</v>
      </c>
      <c r="J216" s="31" t="s">
        <v>227</v>
      </c>
      <c r="K216" s="31" t="s">
        <v>228</v>
      </c>
      <c r="L216" s="31" t="s">
        <v>316</v>
      </c>
      <c r="N216" s="31" t="s">
        <v>290</v>
      </c>
      <c r="O216" s="31" t="s">
        <v>39</v>
      </c>
      <c r="Q216" s="31" t="s">
        <v>28</v>
      </c>
      <c r="R216" s="31" t="s">
        <v>291</v>
      </c>
      <c r="T216" s="31" t="s">
        <v>292</v>
      </c>
      <c r="V216" s="31" t="s">
        <v>293</v>
      </c>
      <c r="X216" s="31" t="s">
        <v>294</v>
      </c>
      <c r="Y216" s="31" t="s">
        <v>295</v>
      </c>
      <c r="Z216" s="31">
        <v>303121941</v>
      </c>
      <c r="AA216" s="31" t="s">
        <v>328</v>
      </c>
      <c r="AB216" s="31" t="s">
        <v>297</v>
      </c>
      <c r="AC216" s="31" t="s">
        <v>316</v>
      </c>
      <c r="AD216" s="31" t="s">
        <v>237</v>
      </c>
      <c r="AE216" s="31" t="s">
        <v>238</v>
      </c>
      <c r="AI216" s="32">
        <v>44109</v>
      </c>
      <c r="AJ216" s="31">
        <v>5</v>
      </c>
      <c r="AK216" s="31">
        <v>2800</v>
      </c>
      <c r="BG216" s="31" t="s">
        <v>737</v>
      </c>
      <c r="BH216" s="31" t="s">
        <v>425</v>
      </c>
      <c r="BJ216" s="31">
        <v>2020</v>
      </c>
      <c r="BK216" s="31" t="s">
        <v>50</v>
      </c>
      <c r="BL216" s="31" t="s">
        <v>242</v>
      </c>
      <c r="BM216" s="31" t="s">
        <v>243</v>
      </c>
      <c r="BN216" s="33">
        <v>44174.164712511571</v>
      </c>
      <c r="BP216" s="31" t="s">
        <v>751</v>
      </c>
      <c r="BQ216" s="31" t="s">
        <v>318</v>
      </c>
      <c r="BR216" s="31" t="s">
        <v>244</v>
      </c>
      <c r="BS216" s="31">
        <v>4.1023202018827402E+18</v>
      </c>
      <c r="BT216" s="31" t="s">
        <v>245</v>
      </c>
      <c r="BU216" s="31" t="s">
        <v>283</v>
      </c>
      <c r="BV216" s="31">
        <v>2020</v>
      </c>
      <c r="BW216" s="31" t="s">
        <v>246</v>
      </c>
      <c r="BY216" s="31">
        <v>4.1209202019675602E+18</v>
      </c>
      <c r="BZ216" s="31" t="s">
        <v>752</v>
      </c>
      <c r="CA216" s="31" t="s">
        <v>248</v>
      </c>
    </row>
    <row r="217" spans="1:79" x14ac:dyDescent="0.2">
      <c r="A217" s="31" t="s">
        <v>404</v>
      </c>
      <c r="B217" s="31" t="s">
        <v>424</v>
      </c>
      <c r="C217" s="31">
        <v>2020</v>
      </c>
      <c r="D217" s="31" t="s">
        <v>750</v>
      </c>
      <c r="E217" s="31">
        <v>2.0201022933535398E+17</v>
      </c>
      <c r="F217" s="31" t="s">
        <v>225</v>
      </c>
      <c r="G217" s="31">
        <v>7963057</v>
      </c>
      <c r="H217" s="31">
        <v>1463232</v>
      </c>
      <c r="J217" s="31" t="s">
        <v>227</v>
      </c>
      <c r="K217" s="31" t="s">
        <v>228</v>
      </c>
      <c r="L217" s="31" t="s">
        <v>316</v>
      </c>
      <c r="N217" s="31" t="s">
        <v>290</v>
      </c>
      <c r="O217" s="31" t="s">
        <v>39</v>
      </c>
      <c r="Q217" s="31" t="s">
        <v>28</v>
      </c>
      <c r="R217" s="31" t="s">
        <v>291</v>
      </c>
      <c r="T217" s="31" t="s">
        <v>292</v>
      </c>
      <c r="V217" s="31" t="s">
        <v>293</v>
      </c>
      <c r="X217" s="31" t="s">
        <v>294</v>
      </c>
      <c r="Y217" s="31" t="s">
        <v>295</v>
      </c>
      <c r="Z217" s="31">
        <v>303121941</v>
      </c>
      <c r="AA217" s="31" t="s">
        <v>328</v>
      </c>
      <c r="AB217" s="31" t="s">
        <v>297</v>
      </c>
      <c r="AC217" s="31" t="s">
        <v>316</v>
      </c>
      <c r="AD217" s="31" t="s">
        <v>237</v>
      </c>
      <c r="AE217" s="31" t="s">
        <v>238</v>
      </c>
      <c r="AI217" s="32">
        <v>44115</v>
      </c>
      <c r="AJ217" s="31">
        <v>236.43</v>
      </c>
      <c r="AK217" s="31">
        <v>286.43</v>
      </c>
      <c r="BG217" s="31" t="s">
        <v>737</v>
      </c>
      <c r="BH217" s="31" t="s">
        <v>753</v>
      </c>
      <c r="BJ217" s="31">
        <v>2020</v>
      </c>
      <c r="BK217" s="31" t="s">
        <v>50</v>
      </c>
      <c r="BL217" s="31" t="s">
        <v>242</v>
      </c>
      <c r="BM217" s="31" t="s">
        <v>243</v>
      </c>
      <c r="BN217" s="33">
        <v>44174.165188611114</v>
      </c>
      <c r="BP217" s="31" t="s">
        <v>754</v>
      </c>
      <c r="BQ217" s="31" t="s">
        <v>318</v>
      </c>
      <c r="BR217" s="31" t="s">
        <v>244</v>
      </c>
      <c r="BS217" s="31">
        <v>4.1023202018827402E+18</v>
      </c>
      <c r="BT217" s="31" t="s">
        <v>245</v>
      </c>
      <c r="BU217" s="31" t="s">
        <v>283</v>
      </c>
      <c r="BV217" s="31">
        <v>2020</v>
      </c>
      <c r="BW217" s="31" t="s">
        <v>246</v>
      </c>
      <c r="BY217" s="31">
        <v>4.1209202019675699E+18</v>
      </c>
      <c r="BZ217" s="31" t="s">
        <v>755</v>
      </c>
      <c r="CA217" s="31" t="s">
        <v>248</v>
      </c>
    </row>
    <row r="218" spans="1:79" x14ac:dyDescent="0.2">
      <c r="A218" s="31" t="s">
        <v>404</v>
      </c>
      <c r="B218" s="31" t="s">
        <v>424</v>
      </c>
      <c r="C218" s="31">
        <v>2020</v>
      </c>
      <c r="D218" s="31" t="s">
        <v>750</v>
      </c>
      <c r="E218" s="31">
        <v>2.02010229335356E+17</v>
      </c>
      <c r="F218" s="31" t="s">
        <v>225</v>
      </c>
      <c r="G218" s="31">
        <v>7929699</v>
      </c>
      <c r="H218" s="31">
        <v>1463232</v>
      </c>
      <c r="J218" s="31" t="s">
        <v>227</v>
      </c>
      <c r="K218" s="31" t="s">
        <v>228</v>
      </c>
      <c r="L218" s="31" t="s">
        <v>316</v>
      </c>
      <c r="N218" s="31" t="s">
        <v>290</v>
      </c>
      <c r="O218" s="31" t="s">
        <v>39</v>
      </c>
      <c r="Q218" s="31" t="s">
        <v>28</v>
      </c>
      <c r="R218" s="31" t="s">
        <v>291</v>
      </c>
      <c r="T218" s="31" t="s">
        <v>292</v>
      </c>
      <c r="V218" s="31" t="s">
        <v>293</v>
      </c>
      <c r="X218" s="31" t="s">
        <v>294</v>
      </c>
      <c r="Y218" s="31" t="s">
        <v>295</v>
      </c>
      <c r="Z218" s="31">
        <v>303121941</v>
      </c>
      <c r="AA218" s="31" t="s">
        <v>328</v>
      </c>
      <c r="AB218" s="31" t="s">
        <v>297</v>
      </c>
      <c r="AC218" s="31" t="s">
        <v>316</v>
      </c>
      <c r="AD218" s="31" t="s">
        <v>237</v>
      </c>
      <c r="AE218" s="31" t="s">
        <v>238</v>
      </c>
      <c r="AI218" s="32">
        <v>44115</v>
      </c>
      <c r="AJ218" s="31">
        <v>13.57</v>
      </c>
      <c r="AK218" s="31">
        <v>2800</v>
      </c>
      <c r="BG218" s="31" t="s">
        <v>737</v>
      </c>
      <c r="BH218" s="31" t="s">
        <v>425</v>
      </c>
      <c r="BJ218" s="31">
        <v>2020</v>
      </c>
      <c r="BK218" s="31" t="s">
        <v>50</v>
      </c>
      <c r="BL218" s="31" t="s">
        <v>242</v>
      </c>
      <c r="BM218" s="31" t="s">
        <v>243</v>
      </c>
      <c r="BN218" s="33">
        <v>44174.1653387037</v>
      </c>
      <c r="BP218" s="31" t="s">
        <v>756</v>
      </c>
      <c r="BQ218" s="31" t="s">
        <v>318</v>
      </c>
      <c r="BR218" s="31" t="s">
        <v>244</v>
      </c>
      <c r="BS218" s="31">
        <v>4.1023202018827402E+18</v>
      </c>
      <c r="BT218" s="31" t="s">
        <v>245</v>
      </c>
      <c r="BU218" s="31" t="s">
        <v>283</v>
      </c>
      <c r="BV218" s="31">
        <v>2020</v>
      </c>
      <c r="BW218" s="31" t="s">
        <v>246</v>
      </c>
      <c r="BY218" s="31">
        <v>4.1209202019675802E+18</v>
      </c>
      <c r="BZ218" s="31" t="s">
        <v>757</v>
      </c>
      <c r="CA218" s="31" t="s">
        <v>248</v>
      </c>
    </row>
    <row r="219" spans="1:79" x14ac:dyDescent="0.2">
      <c r="A219" s="31" t="s">
        <v>404</v>
      </c>
      <c r="B219" s="31" t="s">
        <v>424</v>
      </c>
      <c r="C219" s="31">
        <v>2020</v>
      </c>
      <c r="D219" s="31" t="s">
        <v>624</v>
      </c>
      <c r="E219" s="31">
        <v>2.0201015929585402E+17</v>
      </c>
      <c r="F219" s="31" t="s">
        <v>225</v>
      </c>
      <c r="G219" s="31">
        <v>5815277</v>
      </c>
      <c r="H219" s="31">
        <v>1452851</v>
      </c>
      <c r="J219" s="31" t="s">
        <v>227</v>
      </c>
      <c r="K219" s="31" t="s">
        <v>228</v>
      </c>
      <c r="L219" s="31" t="s">
        <v>316</v>
      </c>
      <c r="N219" s="31" t="s">
        <v>290</v>
      </c>
      <c r="O219" s="31" t="s">
        <v>39</v>
      </c>
      <c r="Q219" s="31" t="s">
        <v>28</v>
      </c>
      <c r="R219" s="31" t="s">
        <v>291</v>
      </c>
      <c r="T219" s="31" t="s">
        <v>292</v>
      </c>
      <c r="V219" s="31" t="s">
        <v>293</v>
      </c>
      <c r="X219" s="31" t="s">
        <v>294</v>
      </c>
      <c r="Y219" s="31" t="s">
        <v>295</v>
      </c>
      <c r="Z219" s="31">
        <v>303121941</v>
      </c>
      <c r="AA219" s="31" t="s">
        <v>328</v>
      </c>
      <c r="AB219" s="31" t="s">
        <v>277</v>
      </c>
      <c r="AC219" s="31" t="s">
        <v>316</v>
      </c>
      <c r="AD219" s="31" t="s">
        <v>237</v>
      </c>
      <c r="AE219" s="31" t="s">
        <v>238</v>
      </c>
      <c r="AI219" s="32">
        <v>44048</v>
      </c>
      <c r="AJ219" s="31">
        <v>5</v>
      </c>
      <c r="AK219" s="31">
        <v>2781.43</v>
      </c>
      <c r="BG219" s="31" t="s">
        <v>278</v>
      </c>
      <c r="BH219" s="31" t="s">
        <v>425</v>
      </c>
      <c r="BI219" s="31" t="s">
        <v>279</v>
      </c>
      <c r="BJ219" s="31">
        <v>2020</v>
      </c>
      <c r="BK219" s="31" t="s">
        <v>50</v>
      </c>
      <c r="BL219" s="31" t="s">
        <v>242</v>
      </c>
      <c r="BM219" s="31" t="s">
        <v>243</v>
      </c>
      <c r="BN219" s="33">
        <v>44176.19407203704</v>
      </c>
      <c r="BP219" s="31" t="s">
        <v>758</v>
      </c>
      <c r="BQ219" s="31" t="s">
        <v>318</v>
      </c>
      <c r="BR219" s="31" t="s">
        <v>244</v>
      </c>
      <c r="BS219" s="31">
        <v>4.1016202018585702E+18</v>
      </c>
      <c r="BT219" s="31" t="s">
        <v>245</v>
      </c>
      <c r="BU219" s="31" t="s">
        <v>283</v>
      </c>
      <c r="BV219" s="31">
        <v>2020</v>
      </c>
      <c r="BW219" s="31" t="s">
        <v>246</v>
      </c>
      <c r="BY219" s="31">
        <v>4.1211202019687501E+18</v>
      </c>
      <c r="BZ219" s="31" t="s">
        <v>759</v>
      </c>
      <c r="CA219" s="31" t="s">
        <v>248</v>
      </c>
    </row>
    <row r="220" spans="1:79" x14ac:dyDescent="0.2">
      <c r="A220" s="31" t="s">
        <v>404</v>
      </c>
      <c r="B220" s="31" t="s">
        <v>424</v>
      </c>
      <c r="C220" s="31">
        <v>2020</v>
      </c>
      <c r="D220" s="31" t="s">
        <v>624</v>
      </c>
      <c r="E220" s="31">
        <v>2.02010159295856E+17</v>
      </c>
      <c r="F220" s="31" t="s">
        <v>225</v>
      </c>
      <c r="G220" s="31">
        <v>7494578</v>
      </c>
      <c r="H220" s="31">
        <v>1452851</v>
      </c>
      <c r="J220" s="31" t="s">
        <v>227</v>
      </c>
      <c r="K220" s="31" t="s">
        <v>228</v>
      </c>
      <c r="N220" s="31" t="s">
        <v>290</v>
      </c>
      <c r="O220" s="31" t="s">
        <v>39</v>
      </c>
      <c r="Q220" s="31" t="s">
        <v>28</v>
      </c>
      <c r="R220" s="31" t="s">
        <v>291</v>
      </c>
      <c r="T220" s="31" t="s">
        <v>292</v>
      </c>
      <c r="V220" s="31" t="s">
        <v>293</v>
      </c>
      <c r="X220" s="31" t="s">
        <v>294</v>
      </c>
      <c r="Y220" s="31" t="s">
        <v>295</v>
      </c>
      <c r="Z220" s="31">
        <v>303121941</v>
      </c>
      <c r="AA220" s="31" t="s">
        <v>328</v>
      </c>
      <c r="AB220" s="31" t="s">
        <v>277</v>
      </c>
      <c r="AD220" s="31">
        <v>15</v>
      </c>
      <c r="AE220" s="31" t="s">
        <v>298</v>
      </c>
      <c r="AI220" s="32">
        <v>44102</v>
      </c>
      <c r="AJ220" s="31">
        <v>56.43</v>
      </c>
      <c r="AK220" s="31">
        <v>2781.43</v>
      </c>
      <c r="BG220" s="31" t="s">
        <v>737</v>
      </c>
      <c r="BH220" s="31" t="s">
        <v>425</v>
      </c>
      <c r="BJ220" s="31">
        <v>2020</v>
      </c>
      <c r="BK220" s="31" t="s">
        <v>50</v>
      </c>
      <c r="BL220" s="31" t="s">
        <v>242</v>
      </c>
      <c r="BM220" s="31" t="s">
        <v>243</v>
      </c>
      <c r="BN220" s="33">
        <v>44176.194134560188</v>
      </c>
      <c r="BR220" s="31" t="s">
        <v>244</v>
      </c>
      <c r="BS220" s="31">
        <v>4.1016202018585702E+18</v>
      </c>
      <c r="BT220" s="31" t="s">
        <v>245</v>
      </c>
      <c r="BV220" s="31">
        <v>2020</v>
      </c>
      <c r="BW220" s="31" t="s">
        <v>246</v>
      </c>
      <c r="BY220" s="31">
        <v>4.1211202019687501E+18</v>
      </c>
      <c r="BZ220" s="31" t="s">
        <v>760</v>
      </c>
      <c r="CA220" s="31" t="s">
        <v>248</v>
      </c>
    </row>
    <row r="221" spans="1:79" x14ac:dyDescent="0.2">
      <c r="A221" s="31" t="s">
        <v>404</v>
      </c>
      <c r="B221" s="31" t="s">
        <v>424</v>
      </c>
      <c r="C221" s="31">
        <v>2020</v>
      </c>
      <c r="D221" s="31" t="s">
        <v>624</v>
      </c>
      <c r="E221" s="31">
        <v>2.0201015929585699E+17</v>
      </c>
      <c r="F221" s="31" t="s">
        <v>225</v>
      </c>
      <c r="G221" s="31">
        <v>5292919</v>
      </c>
      <c r="H221" s="31">
        <v>1452851</v>
      </c>
      <c r="J221" s="31" t="s">
        <v>227</v>
      </c>
      <c r="K221" s="31" t="s">
        <v>228</v>
      </c>
      <c r="L221" s="31" t="s">
        <v>316</v>
      </c>
      <c r="N221" s="31" t="s">
        <v>290</v>
      </c>
      <c r="O221" s="31" t="s">
        <v>39</v>
      </c>
      <c r="Q221" s="31" t="s">
        <v>28</v>
      </c>
      <c r="R221" s="31" t="s">
        <v>291</v>
      </c>
      <c r="T221" s="31" t="s">
        <v>292</v>
      </c>
      <c r="V221" s="31" t="s">
        <v>293</v>
      </c>
      <c r="X221" s="31" t="s">
        <v>294</v>
      </c>
      <c r="Y221" s="31" t="s">
        <v>295</v>
      </c>
      <c r="Z221" s="31">
        <v>303121941</v>
      </c>
      <c r="AA221" s="31" t="s">
        <v>328</v>
      </c>
      <c r="AB221" s="31" t="s">
        <v>277</v>
      </c>
      <c r="AC221" s="31" t="s">
        <v>316</v>
      </c>
      <c r="AD221" s="31" t="s">
        <v>237</v>
      </c>
      <c r="AE221" s="31" t="s">
        <v>238</v>
      </c>
      <c r="AI221" s="32">
        <v>44017</v>
      </c>
      <c r="AJ221" s="31">
        <v>5</v>
      </c>
      <c r="AK221" s="31">
        <v>2781.43</v>
      </c>
      <c r="BG221" s="31" t="s">
        <v>278</v>
      </c>
      <c r="BH221" s="31" t="s">
        <v>425</v>
      </c>
      <c r="BI221" s="31" t="s">
        <v>279</v>
      </c>
      <c r="BJ221" s="31">
        <v>2020</v>
      </c>
      <c r="BK221" s="31" t="s">
        <v>50</v>
      </c>
      <c r="BL221" s="31" t="s">
        <v>242</v>
      </c>
      <c r="BM221" s="31" t="s">
        <v>243</v>
      </c>
      <c r="BN221" s="33">
        <v>44176.194163425927</v>
      </c>
      <c r="BP221" s="31" t="s">
        <v>761</v>
      </c>
      <c r="BQ221" s="31" t="s">
        <v>318</v>
      </c>
      <c r="BR221" s="31" t="s">
        <v>244</v>
      </c>
      <c r="BS221" s="31">
        <v>4.1016202018585702E+18</v>
      </c>
      <c r="BT221" s="31" t="s">
        <v>245</v>
      </c>
      <c r="BU221" s="31" t="s">
        <v>283</v>
      </c>
      <c r="BV221" s="31">
        <v>2020</v>
      </c>
      <c r="BW221" s="31" t="s">
        <v>246</v>
      </c>
      <c r="BY221" s="31">
        <v>4.1211202019687501E+18</v>
      </c>
      <c r="BZ221" s="31" t="s">
        <v>762</v>
      </c>
      <c r="CA221" s="31" t="s">
        <v>248</v>
      </c>
    </row>
    <row r="222" spans="1:79" x14ac:dyDescent="0.2">
      <c r="A222" s="31" t="s">
        <v>404</v>
      </c>
      <c r="B222" s="31" t="s">
        <v>424</v>
      </c>
      <c r="C222" s="31">
        <v>2020</v>
      </c>
      <c r="D222" s="31" t="s">
        <v>624</v>
      </c>
      <c r="E222" s="31">
        <v>2.0201015929584899E+17</v>
      </c>
      <c r="F222" s="31" t="s">
        <v>225</v>
      </c>
      <c r="G222" s="31">
        <v>6279515</v>
      </c>
      <c r="H222" s="31">
        <v>1452851</v>
      </c>
      <c r="J222" s="31" t="s">
        <v>227</v>
      </c>
      <c r="K222" s="31" t="s">
        <v>228</v>
      </c>
      <c r="L222" s="31" t="s">
        <v>316</v>
      </c>
      <c r="N222" s="31" t="s">
        <v>290</v>
      </c>
      <c r="O222" s="31" t="s">
        <v>39</v>
      </c>
      <c r="Q222" s="31" t="s">
        <v>28</v>
      </c>
      <c r="R222" s="31" t="s">
        <v>291</v>
      </c>
      <c r="T222" s="31" t="s">
        <v>292</v>
      </c>
      <c r="V222" s="31" t="s">
        <v>293</v>
      </c>
      <c r="X222" s="31" t="s">
        <v>294</v>
      </c>
      <c r="Y222" s="31" t="s">
        <v>295</v>
      </c>
      <c r="Z222" s="31">
        <v>303121941</v>
      </c>
      <c r="AA222" s="31" t="s">
        <v>328</v>
      </c>
      <c r="AB222" s="31" t="s">
        <v>277</v>
      </c>
      <c r="AC222" s="31" t="s">
        <v>316</v>
      </c>
      <c r="AD222" s="31" t="s">
        <v>237</v>
      </c>
      <c r="AE222" s="31" t="s">
        <v>238</v>
      </c>
      <c r="AI222" s="32">
        <v>44079</v>
      </c>
      <c r="AJ222" s="31">
        <v>5</v>
      </c>
      <c r="AK222" s="31">
        <v>2781.43</v>
      </c>
      <c r="BG222" s="31" t="s">
        <v>278</v>
      </c>
      <c r="BH222" s="31" t="s">
        <v>425</v>
      </c>
      <c r="BI222" s="31" t="s">
        <v>279</v>
      </c>
      <c r="BJ222" s="31">
        <v>2020</v>
      </c>
      <c r="BK222" s="31" t="s">
        <v>50</v>
      </c>
      <c r="BL222" s="31" t="s">
        <v>242</v>
      </c>
      <c r="BM222" s="31" t="s">
        <v>243</v>
      </c>
      <c r="BN222" s="33">
        <v>44176.194955486113</v>
      </c>
      <c r="BP222" s="31" t="s">
        <v>763</v>
      </c>
      <c r="BQ222" s="31" t="s">
        <v>318</v>
      </c>
      <c r="BR222" s="31" t="s">
        <v>244</v>
      </c>
      <c r="BS222" s="31">
        <v>4.1016202018585702E+18</v>
      </c>
      <c r="BT222" s="31" t="s">
        <v>245</v>
      </c>
      <c r="BU222" s="31" t="s">
        <v>283</v>
      </c>
      <c r="BV222" s="31">
        <v>2020</v>
      </c>
      <c r="BW222" s="31" t="s">
        <v>246</v>
      </c>
      <c r="BY222" s="31">
        <v>4.1211202019687301E+18</v>
      </c>
      <c r="BZ222" s="31" t="s">
        <v>764</v>
      </c>
      <c r="CA222" s="31" t="s">
        <v>248</v>
      </c>
    </row>
    <row r="223" spans="1:79" x14ac:dyDescent="0.2">
      <c r="A223" s="31" t="s">
        <v>404</v>
      </c>
      <c r="B223" s="31" t="s">
        <v>424</v>
      </c>
      <c r="C223" s="31">
        <v>2020</v>
      </c>
      <c r="D223" s="31" t="s">
        <v>624</v>
      </c>
      <c r="E223" s="31">
        <v>2.0201015929585699E+17</v>
      </c>
      <c r="F223" s="31" t="s">
        <v>225</v>
      </c>
      <c r="G223" s="31">
        <v>5653369</v>
      </c>
      <c r="H223" s="31">
        <v>1452851</v>
      </c>
      <c r="J223" s="31" t="s">
        <v>227</v>
      </c>
      <c r="K223" s="31" t="s">
        <v>228</v>
      </c>
      <c r="N223" s="31" t="s">
        <v>290</v>
      </c>
      <c r="O223" s="31" t="s">
        <v>39</v>
      </c>
      <c r="Q223" s="31" t="s">
        <v>28</v>
      </c>
      <c r="R223" s="31" t="s">
        <v>291</v>
      </c>
      <c r="T223" s="31" t="s">
        <v>292</v>
      </c>
      <c r="V223" s="31" t="s">
        <v>293</v>
      </c>
      <c r="X223" s="31" t="s">
        <v>294</v>
      </c>
      <c r="Y223" s="31" t="s">
        <v>295</v>
      </c>
      <c r="Z223" s="31">
        <v>303121941</v>
      </c>
      <c r="AA223" s="31" t="s">
        <v>328</v>
      </c>
      <c r="AB223" s="31" t="s">
        <v>277</v>
      </c>
      <c r="AD223" s="31">
        <v>15</v>
      </c>
      <c r="AE223" s="31" t="s">
        <v>298</v>
      </c>
      <c r="AI223" s="32">
        <v>44034</v>
      </c>
      <c r="AJ223" s="31">
        <v>100</v>
      </c>
      <c r="AK223" s="31">
        <v>2781.43</v>
      </c>
      <c r="BG223" s="31" t="s">
        <v>737</v>
      </c>
      <c r="BH223" s="31" t="s">
        <v>425</v>
      </c>
      <c r="BJ223" s="31">
        <v>2020</v>
      </c>
      <c r="BK223" s="31" t="s">
        <v>50</v>
      </c>
      <c r="BL223" s="31" t="s">
        <v>242</v>
      </c>
      <c r="BM223" s="31" t="s">
        <v>243</v>
      </c>
      <c r="BN223" s="33">
        <v>44176.195618958336</v>
      </c>
      <c r="BR223" s="31" t="s">
        <v>244</v>
      </c>
      <c r="BS223" s="31">
        <v>4.1016202018585702E+18</v>
      </c>
      <c r="BT223" s="31" t="s">
        <v>245</v>
      </c>
      <c r="BV223" s="31">
        <v>2020</v>
      </c>
      <c r="BW223" s="31" t="s">
        <v>246</v>
      </c>
      <c r="BY223" s="31">
        <v>4.1211202019687598E+18</v>
      </c>
      <c r="BZ223" s="31" t="s">
        <v>765</v>
      </c>
      <c r="CA223" s="31" t="s">
        <v>248</v>
      </c>
    </row>
    <row r="224" spans="1:79" x14ac:dyDescent="0.2">
      <c r="A224" s="31" t="s">
        <v>266</v>
      </c>
      <c r="B224" s="31" t="s">
        <v>267</v>
      </c>
      <c r="C224" s="31">
        <v>2020</v>
      </c>
      <c r="D224" s="31" t="s">
        <v>224</v>
      </c>
      <c r="E224" s="31">
        <v>2.0201203934194099E+17</v>
      </c>
      <c r="F224" s="31" t="s">
        <v>269</v>
      </c>
      <c r="G224" s="31">
        <v>25776011</v>
      </c>
      <c r="H224" s="31">
        <v>1481223</v>
      </c>
      <c r="J224" s="31" t="s">
        <v>227</v>
      </c>
      <c r="K224" s="31" t="s">
        <v>228</v>
      </c>
      <c r="L224" s="31" t="s">
        <v>316</v>
      </c>
      <c r="N224" s="31" t="s">
        <v>290</v>
      </c>
      <c r="O224" s="31" t="s">
        <v>28</v>
      </c>
      <c r="Q224" s="31" t="s">
        <v>28</v>
      </c>
      <c r="R224" s="31" t="s">
        <v>291</v>
      </c>
      <c r="T224" s="31" t="s">
        <v>292</v>
      </c>
      <c r="V224" s="31" t="s">
        <v>293</v>
      </c>
      <c r="X224" s="31" t="s">
        <v>294</v>
      </c>
      <c r="Y224" s="31" t="s">
        <v>295</v>
      </c>
      <c r="Z224" s="31">
        <v>303121941</v>
      </c>
      <c r="AA224" s="31" t="s">
        <v>296</v>
      </c>
      <c r="AB224" s="31" t="s">
        <v>297</v>
      </c>
      <c r="AC224" s="31" t="s">
        <v>316</v>
      </c>
      <c r="AD224" s="31" t="s">
        <v>237</v>
      </c>
      <c r="AE224" s="31" t="s">
        <v>238</v>
      </c>
      <c r="AI224" s="32">
        <v>44128</v>
      </c>
      <c r="AJ224" s="31">
        <v>20</v>
      </c>
      <c r="AK224" s="31">
        <v>5820</v>
      </c>
      <c r="BG224" s="31" t="s">
        <v>240</v>
      </c>
      <c r="BI224" s="31" t="s">
        <v>241</v>
      </c>
      <c r="BJ224" s="31">
        <v>2020</v>
      </c>
      <c r="BK224" s="31" t="s">
        <v>50</v>
      </c>
      <c r="BL224" s="31" t="s">
        <v>242</v>
      </c>
      <c r="BM224" s="31" t="s">
        <v>243</v>
      </c>
      <c r="BN224" s="33">
        <v>44176.216800509261</v>
      </c>
      <c r="BP224" s="31" t="s">
        <v>766</v>
      </c>
      <c r="BQ224" s="31" t="s">
        <v>281</v>
      </c>
      <c r="BR224" s="31" t="s">
        <v>282</v>
      </c>
      <c r="BS224" s="31">
        <v>4.1205202019644498E+18</v>
      </c>
      <c r="BT224" s="31" t="s">
        <v>245</v>
      </c>
      <c r="BU224" s="31" t="s">
        <v>283</v>
      </c>
      <c r="BV224" s="31">
        <v>2020</v>
      </c>
      <c r="BW224" s="31" t="s">
        <v>246</v>
      </c>
      <c r="BY224" s="31">
        <v>4.12112020197011E+18</v>
      </c>
      <c r="BZ224" s="31" t="s">
        <v>767</v>
      </c>
      <c r="CA224" s="31" t="s">
        <v>248</v>
      </c>
    </row>
    <row r="225" spans="1:79" x14ac:dyDescent="0.2">
      <c r="A225" s="31" t="s">
        <v>266</v>
      </c>
      <c r="B225" s="31" t="s">
        <v>267</v>
      </c>
      <c r="C225" s="31">
        <v>2020</v>
      </c>
      <c r="D225" s="31" t="s">
        <v>224</v>
      </c>
      <c r="E225" s="31">
        <v>2.0201203934194099E+17</v>
      </c>
      <c r="F225" s="31" t="s">
        <v>269</v>
      </c>
      <c r="G225" s="31">
        <v>25776275</v>
      </c>
      <c r="H225" s="31">
        <v>1481223</v>
      </c>
      <c r="J225" s="31" t="s">
        <v>227</v>
      </c>
      <c r="K225" s="31" t="s">
        <v>228</v>
      </c>
      <c r="L225" s="31" t="s">
        <v>316</v>
      </c>
      <c r="N225" s="31" t="s">
        <v>290</v>
      </c>
      <c r="O225" s="31" t="s">
        <v>28</v>
      </c>
      <c r="Q225" s="31" t="s">
        <v>28</v>
      </c>
      <c r="R225" s="31" t="s">
        <v>291</v>
      </c>
      <c r="T225" s="31" t="s">
        <v>292</v>
      </c>
      <c r="V225" s="31" t="s">
        <v>293</v>
      </c>
      <c r="X225" s="31" t="s">
        <v>294</v>
      </c>
      <c r="Y225" s="31" t="s">
        <v>295</v>
      </c>
      <c r="Z225" s="31">
        <v>303121941</v>
      </c>
      <c r="AA225" s="31" t="s">
        <v>296</v>
      </c>
      <c r="AB225" s="31" t="s">
        <v>297</v>
      </c>
      <c r="AC225" s="31" t="s">
        <v>316</v>
      </c>
      <c r="AD225" s="31" t="s">
        <v>237</v>
      </c>
      <c r="AE225" s="31" t="s">
        <v>238</v>
      </c>
      <c r="AI225" s="32">
        <v>44128</v>
      </c>
      <c r="AJ225" s="31">
        <v>200</v>
      </c>
      <c r="AK225" s="31">
        <v>5820</v>
      </c>
      <c r="BG225" s="31" t="s">
        <v>240</v>
      </c>
      <c r="BI225" s="31" t="s">
        <v>241</v>
      </c>
      <c r="BJ225" s="31">
        <v>2020</v>
      </c>
      <c r="BK225" s="31" t="s">
        <v>50</v>
      </c>
      <c r="BL225" s="31" t="s">
        <v>242</v>
      </c>
      <c r="BM225" s="31" t="s">
        <v>243</v>
      </c>
      <c r="BN225" s="33">
        <v>44176.216800520837</v>
      </c>
      <c r="BP225" s="31" t="s">
        <v>768</v>
      </c>
      <c r="BQ225" s="31" t="s">
        <v>281</v>
      </c>
      <c r="BR225" s="31" t="s">
        <v>282</v>
      </c>
      <c r="BS225" s="31">
        <v>4.1205202019644498E+18</v>
      </c>
      <c r="BT225" s="31" t="s">
        <v>245</v>
      </c>
      <c r="BU225" s="31" t="s">
        <v>283</v>
      </c>
      <c r="BV225" s="31">
        <v>2020</v>
      </c>
      <c r="BW225" s="31" t="s">
        <v>246</v>
      </c>
      <c r="BY225" s="31">
        <v>4.12112020197011E+18</v>
      </c>
      <c r="BZ225" s="31" t="s">
        <v>767</v>
      </c>
      <c r="CA225" s="31" t="s">
        <v>248</v>
      </c>
    </row>
    <row r="226" spans="1:79" x14ac:dyDescent="0.2">
      <c r="A226" s="31" t="s">
        <v>622</v>
      </c>
      <c r="B226" s="31" t="s">
        <v>623</v>
      </c>
      <c r="C226" s="31">
        <v>2020</v>
      </c>
      <c r="D226" s="31" t="s">
        <v>648</v>
      </c>
      <c r="E226" s="31">
        <v>2.0210602944871299E+17</v>
      </c>
      <c r="F226" s="31">
        <v>12</v>
      </c>
      <c r="G226" s="31">
        <v>5375032</v>
      </c>
      <c r="H226" s="31">
        <v>1518550</v>
      </c>
      <c r="J226" s="31" t="s">
        <v>227</v>
      </c>
      <c r="K226" s="31" t="s">
        <v>228</v>
      </c>
      <c r="N226" s="31" t="s">
        <v>290</v>
      </c>
      <c r="O226" s="31" t="s">
        <v>39</v>
      </c>
      <c r="Q226" s="31" t="s">
        <v>28</v>
      </c>
      <c r="R226" s="31" t="s">
        <v>291</v>
      </c>
      <c r="T226" s="31" t="s">
        <v>292</v>
      </c>
      <c r="V226" s="31" t="s">
        <v>293</v>
      </c>
      <c r="X226" s="31" t="s">
        <v>294</v>
      </c>
      <c r="Y226" s="31" t="s">
        <v>295</v>
      </c>
      <c r="Z226" s="31">
        <v>303121941</v>
      </c>
      <c r="AA226" s="31" t="s">
        <v>626</v>
      </c>
      <c r="AB226" s="31" t="s">
        <v>627</v>
      </c>
      <c r="AD226" s="31" t="s">
        <v>545</v>
      </c>
      <c r="AE226" s="31" t="s">
        <v>546</v>
      </c>
      <c r="AG226" s="31" t="s">
        <v>415</v>
      </c>
      <c r="AI226" s="32">
        <v>44166</v>
      </c>
      <c r="AJ226" s="31">
        <v>250</v>
      </c>
      <c r="AK226" s="31">
        <v>900</v>
      </c>
      <c r="BG226" s="31" t="s">
        <v>278</v>
      </c>
      <c r="BH226" s="31" t="s">
        <v>649</v>
      </c>
      <c r="BI226" s="31" t="s">
        <v>279</v>
      </c>
      <c r="BJ226" s="31">
        <v>2020</v>
      </c>
      <c r="BK226" s="31" t="s">
        <v>50</v>
      </c>
      <c r="BL226" s="31" t="s">
        <v>242</v>
      </c>
      <c r="BM226" s="31" t="s">
        <v>243</v>
      </c>
      <c r="BN226" s="33">
        <v>44358.165385324071</v>
      </c>
      <c r="BP226" s="31">
        <v>5367482</v>
      </c>
      <c r="BQ226" s="31" t="s">
        <v>547</v>
      </c>
      <c r="BR226" s="31" t="s">
        <v>244</v>
      </c>
      <c r="BS226" s="31">
        <v>4.0604202112998001E+18</v>
      </c>
      <c r="BT226" s="31" t="s">
        <v>245</v>
      </c>
      <c r="BV226" s="31">
        <v>2020</v>
      </c>
      <c r="BW226" s="31" t="s">
        <v>246</v>
      </c>
      <c r="BY226" s="31">
        <v>4.0611202113069599E+18</v>
      </c>
      <c r="BZ226" s="31" t="s">
        <v>769</v>
      </c>
      <c r="CA226" s="31" t="s">
        <v>770</v>
      </c>
    </row>
    <row r="227" spans="1:79" x14ac:dyDescent="0.2">
      <c r="A227" s="31" t="s">
        <v>622</v>
      </c>
      <c r="B227" s="31" t="s">
        <v>623</v>
      </c>
      <c r="C227" s="31">
        <v>2020</v>
      </c>
      <c r="D227" s="31" t="s">
        <v>648</v>
      </c>
      <c r="E227" s="31">
        <v>2.0210602944860499E+17</v>
      </c>
      <c r="F227" s="31" t="s">
        <v>225</v>
      </c>
      <c r="G227" s="31">
        <v>4924175</v>
      </c>
      <c r="H227" s="31">
        <v>1518550</v>
      </c>
      <c r="J227" s="31" t="s">
        <v>227</v>
      </c>
      <c r="K227" s="31" t="s">
        <v>228</v>
      </c>
      <c r="N227" s="31" t="s">
        <v>290</v>
      </c>
      <c r="O227" s="31" t="s">
        <v>39</v>
      </c>
      <c r="Q227" s="31" t="s">
        <v>28</v>
      </c>
      <c r="R227" s="31" t="s">
        <v>291</v>
      </c>
      <c r="T227" s="31" t="s">
        <v>292</v>
      </c>
      <c r="V227" s="31" t="s">
        <v>293</v>
      </c>
      <c r="X227" s="31" t="s">
        <v>294</v>
      </c>
      <c r="Y227" s="31" t="s">
        <v>295</v>
      </c>
      <c r="Z227" s="31">
        <v>303121941</v>
      </c>
      <c r="AA227" s="31" t="s">
        <v>626</v>
      </c>
      <c r="AB227" s="31" t="s">
        <v>627</v>
      </c>
      <c r="AD227" s="31" t="s">
        <v>237</v>
      </c>
      <c r="AE227" s="31" t="s">
        <v>238</v>
      </c>
      <c r="AI227" s="32">
        <v>44164</v>
      </c>
      <c r="AJ227" s="31">
        <v>50</v>
      </c>
      <c r="AK227" s="31">
        <v>900</v>
      </c>
      <c r="BG227" s="31" t="s">
        <v>737</v>
      </c>
      <c r="BH227" s="31" t="s">
        <v>649</v>
      </c>
      <c r="BJ227" s="31">
        <v>2020</v>
      </c>
      <c r="BK227" s="31" t="s">
        <v>50</v>
      </c>
      <c r="BL227" s="31" t="s">
        <v>242</v>
      </c>
      <c r="BM227" s="31" t="s">
        <v>243</v>
      </c>
      <c r="BN227" s="33">
        <v>44358.165851655096</v>
      </c>
      <c r="BP227" s="31" t="s">
        <v>771</v>
      </c>
      <c r="BQ227" s="31" t="s">
        <v>318</v>
      </c>
      <c r="BR227" s="31" t="s">
        <v>244</v>
      </c>
      <c r="BS227" s="31">
        <v>4.0604202112998001E+18</v>
      </c>
      <c r="BT227" s="31" t="s">
        <v>245</v>
      </c>
      <c r="BU227" s="31" t="s">
        <v>283</v>
      </c>
      <c r="BV227" s="31">
        <v>2020</v>
      </c>
      <c r="BW227" s="31" t="s">
        <v>246</v>
      </c>
      <c r="BY227" s="31">
        <v>4.0611202113066399E+18</v>
      </c>
      <c r="BZ227" s="31" t="s">
        <v>772</v>
      </c>
      <c r="CA227" s="31" t="s">
        <v>248</v>
      </c>
    </row>
    <row r="228" spans="1:79" x14ac:dyDescent="0.2">
      <c r="A228" s="31" t="s">
        <v>341</v>
      </c>
      <c r="B228" s="31" t="s">
        <v>551</v>
      </c>
      <c r="C228" s="31">
        <v>2020</v>
      </c>
      <c r="D228" s="31" t="s">
        <v>224</v>
      </c>
      <c r="E228" s="31">
        <v>2.0201203933842301E+17</v>
      </c>
      <c r="F228" s="31" t="s">
        <v>225</v>
      </c>
      <c r="G228" s="31" t="s">
        <v>773</v>
      </c>
      <c r="H228" s="31">
        <v>1479266</v>
      </c>
      <c r="J228" s="31" t="s">
        <v>227</v>
      </c>
      <c r="K228" s="31" t="s">
        <v>228</v>
      </c>
      <c r="L228" s="31" t="s">
        <v>316</v>
      </c>
      <c r="N228" s="31" t="s">
        <v>290</v>
      </c>
      <c r="O228" s="31" t="s">
        <v>254</v>
      </c>
      <c r="Q228" s="31" t="s">
        <v>255</v>
      </c>
      <c r="R228" s="31" t="s">
        <v>291</v>
      </c>
      <c r="T228" s="31" t="s">
        <v>292</v>
      </c>
      <c r="V228" s="31" t="s">
        <v>293</v>
      </c>
      <c r="X228" s="31" t="s">
        <v>294</v>
      </c>
      <c r="Y228" s="31" t="s">
        <v>295</v>
      </c>
      <c r="Z228" s="31">
        <v>303121941</v>
      </c>
      <c r="AA228" s="31" t="s">
        <v>296</v>
      </c>
      <c r="AB228" s="31" t="s">
        <v>297</v>
      </c>
      <c r="AC228" s="31" t="s">
        <v>316</v>
      </c>
      <c r="AD228" s="31" t="s">
        <v>237</v>
      </c>
      <c r="AE228" s="31" t="s">
        <v>238</v>
      </c>
      <c r="AI228" s="32">
        <v>44136</v>
      </c>
      <c r="AJ228" s="31">
        <v>49</v>
      </c>
      <c r="AK228" s="31">
        <v>1999</v>
      </c>
      <c r="BG228" s="31" t="s">
        <v>28</v>
      </c>
      <c r="BI228" s="31" t="s">
        <v>279</v>
      </c>
      <c r="BK228" s="31" t="s">
        <v>50</v>
      </c>
      <c r="BL228" s="31" t="s">
        <v>242</v>
      </c>
      <c r="BM228" s="31" t="s">
        <v>243</v>
      </c>
      <c r="BN228" s="33">
        <v>44196.15768585648</v>
      </c>
      <c r="BP228" s="31" t="s">
        <v>774</v>
      </c>
      <c r="BQ228" s="31" t="s">
        <v>318</v>
      </c>
      <c r="BR228" s="31" t="s">
        <v>257</v>
      </c>
      <c r="BS228" s="31">
        <v>4.1204202019634299E+18</v>
      </c>
      <c r="BT228" s="31" t="s">
        <v>245</v>
      </c>
      <c r="BU228" s="31" t="s">
        <v>283</v>
      </c>
      <c r="BV228" s="31">
        <v>2020</v>
      </c>
      <c r="BW228" s="31" t="s">
        <v>246</v>
      </c>
      <c r="BY228" s="31">
        <v>4.1231202019877402E+18</v>
      </c>
      <c r="BZ228" s="31" t="s">
        <v>775</v>
      </c>
      <c r="CA228" s="31" t="s">
        <v>248</v>
      </c>
    </row>
    <row r="229" spans="1:79" x14ac:dyDescent="0.2">
      <c r="A229" s="31" t="s">
        <v>341</v>
      </c>
      <c r="B229" s="31" t="s">
        <v>551</v>
      </c>
      <c r="C229" s="31">
        <v>2020</v>
      </c>
      <c r="D229" s="31" t="s">
        <v>224</v>
      </c>
      <c r="E229" s="31">
        <v>2.0201203933843002E+17</v>
      </c>
      <c r="F229" s="31" t="s">
        <v>225</v>
      </c>
      <c r="G229" s="31" t="s">
        <v>776</v>
      </c>
      <c r="H229" s="31">
        <v>1479266</v>
      </c>
      <c r="J229" s="31" t="s">
        <v>227</v>
      </c>
      <c r="K229" s="31" t="s">
        <v>228</v>
      </c>
      <c r="L229" s="31" t="s">
        <v>316</v>
      </c>
      <c r="N229" s="31" t="s">
        <v>290</v>
      </c>
      <c r="O229" s="31" t="s">
        <v>254</v>
      </c>
      <c r="Q229" s="31" t="s">
        <v>255</v>
      </c>
      <c r="R229" s="31" t="s">
        <v>291</v>
      </c>
      <c r="T229" s="31" t="s">
        <v>292</v>
      </c>
      <c r="V229" s="31" t="s">
        <v>293</v>
      </c>
      <c r="X229" s="31" t="s">
        <v>294</v>
      </c>
      <c r="Y229" s="31" t="s">
        <v>295</v>
      </c>
      <c r="Z229" s="31">
        <v>303121941</v>
      </c>
      <c r="AA229" s="31" t="s">
        <v>296</v>
      </c>
      <c r="AB229" s="31" t="s">
        <v>297</v>
      </c>
      <c r="AC229" s="31" t="s">
        <v>316</v>
      </c>
      <c r="AD229" s="31" t="s">
        <v>237</v>
      </c>
      <c r="AE229" s="31" t="s">
        <v>238</v>
      </c>
      <c r="AI229" s="32">
        <v>44137</v>
      </c>
      <c r="AJ229" s="31">
        <v>50</v>
      </c>
      <c r="AK229" s="31">
        <v>2149</v>
      </c>
      <c r="BG229" s="31" t="s">
        <v>28</v>
      </c>
      <c r="BI229" s="31" t="s">
        <v>279</v>
      </c>
      <c r="BK229" s="31" t="s">
        <v>50</v>
      </c>
      <c r="BL229" s="31" t="s">
        <v>242</v>
      </c>
      <c r="BM229" s="31" t="s">
        <v>243</v>
      </c>
      <c r="BN229" s="33">
        <v>44196.158240914352</v>
      </c>
      <c r="BP229" s="31" t="s">
        <v>777</v>
      </c>
      <c r="BQ229" s="31" t="s">
        <v>318</v>
      </c>
      <c r="BR229" s="31" t="s">
        <v>257</v>
      </c>
      <c r="BS229" s="31">
        <v>4.1204202019634299E+18</v>
      </c>
      <c r="BT229" s="31" t="s">
        <v>245</v>
      </c>
      <c r="BU229" s="31" t="s">
        <v>283</v>
      </c>
      <c r="BV229" s="31">
        <v>2020</v>
      </c>
      <c r="BW229" s="31" t="s">
        <v>246</v>
      </c>
      <c r="BY229" s="31">
        <v>4.1231202019877601E+18</v>
      </c>
      <c r="BZ229" s="31" t="s">
        <v>778</v>
      </c>
      <c r="CA229" s="31" t="s">
        <v>248</v>
      </c>
    </row>
    <row r="230" spans="1:79" x14ac:dyDescent="0.2">
      <c r="A230" s="31" t="s">
        <v>341</v>
      </c>
      <c r="B230" s="31" t="s">
        <v>551</v>
      </c>
      <c r="C230" s="31">
        <v>2020</v>
      </c>
      <c r="D230" s="31" t="s">
        <v>224</v>
      </c>
      <c r="E230" s="31">
        <v>2.0201203933844099E+17</v>
      </c>
      <c r="F230" s="31" t="s">
        <v>225</v>
      </c>
      <c r="G230" s="31" t="s">
        <v>779</v>
      </c>
      <c r="H230" s="31">
        <v>1479266</v>
      </c>
      <c r="J230" s="31" t="s">
        <v>227</v>
      </c>
      <c r="K230" s="31" t="s">
        <v>228</v>
      </c>
      <c r="L230" s="31" t="s">
        <v>316</v>
      </c>
      <c r="N230" s="31" t="s">
        <v>290</v>
      </c>
      <c r="O230" s="31" t="s">
        <v>254</v>
      </c>
      <c r="Q230" s="31" t="s">
        <v>255</v>
      </c>
      <c r="R230" s="31" t="s">
        <v>291</v>
      </c>
      <c r="T230" s="31" t="s">
        <v>292</v>
      </c>
      <c r="V230" s="31" t="s">
        <v>293</v>
      </c>
      <c r="X230" s="31" t="s">
        <v>294</v>
      </c>
      <c r="Y230" s="31" t="s">
        <v>295</v>
      </c>
      <c r="Z230" s="31">
        <v>303121941</v>
      </c>
      <c r="AA230" s="31" t="s">
        <v>296</v>
      </c>
      <c r="AB230" s="31" t="s">
        <v>297</v>
      </c>
      <c r="AC230" s="31" t="s">
        <v>316</v>
      </c>
      <c r="AD230" s="31" t="s">
        <v>237</v>
      </c>
      <c r="AE230" s="31" t="s">
        <v>238</v>
      </c>
      <c r="AI230" s="32">
        <v>44137</v>
      </c>
      <c r="AJ230" s="31">
        <v>100</v>
      </c>
      <c r="AK230" s="31">
        <v>2149</v>
      </c>
      <c r="BG230" s="31" t="s">
        <v>28</v>
      </c>
      <c r="BI230" s="31" t="s">
        <v>279</v>
      </c>
      <c r="BK230" s="31" t="s">
        <v>50</v>
      </c>
      <c r="BL230" s="31" t="s">
        <v>242</v>
      </c>
      <c r="BM230" s="31" t="s">
        <v>243</v>
      </c>
      <c r="BN230" s="33">
        <v>44196.158994351848</v>
      </c>
      <c r="BP230" s="31" t="s">
        <v>780</v>
      </c>
      <c r="BQ230" s="31" t="s">
        <v>318</v>
      </c>
      <c r="BR230" s="31" t="s">
        <v>257</v>
      </c>
      <c r="BS230" s="31">
        <v>4.1204202019634299E+18</v>
      </c>
      <c r="BT230" s="31" t="s">
        <v>245</v>
      </c>
      <c r="BU230" s="31" t="s">
        <v>283</v>
      </c>
      <c r="BV230" s="31">
        <v>2020</v>
      </c>
      <c r="BW230" s="31" t="s">
        <v>246</v>
      </c>
      <c r="BY230" s="31">
        <v>4.1231202019878001E+18</v>
      </c>
      <c r="BZ230" s="31" t="s">
        <v>781</v>
      </c>
      <c r="CA230" s="31" t="s">
        <v>248</v>
      </c>
    </row>
    <row r="231" spans="1:79" x14ac:dyDescent="0.2">
      <c r="A231" s="31" t="s">
        <v>341</v>
      </c>
      <c r="B231" s="31" t="s">
        <v>551</v>
      </c>
      <c r="C231" s="31">
        <v>2020</v>
      </c>
      <c r="D231" s="31" t="s">
        <v>224</v>
      </c>
      <c r="E231" s="31">
        <v>2.0201203933847101E+17</v>
      </c>
      <c r="F231" s="31" t="s">
        <v>225</v>
      </c>
      <c r="G231" s="31" t="s">
        <v>782</v>
      </c>
      <c r="H231" s="31">
        <v>1479266</v>
      </c>
      <c r="J231" s="31" t="s">
        <v>227</v>
      </c>
      <c r="K231" s="31" t="s">
        <v>228</v>
      </c>
      <c r="L231" s="31" t="s">
        <v>316</v>
      </c>
      <c r="N231" s="31" t="s">
        <v>290</v>
      </c>
      <c r="O231" s="31" t="s">
        <v>254</v>
      </c>
      <c r="Q231" s="31" t="s">
        <v>255</v>
      </c>
      <c r="R231" s="31" t="s">
        <v>291</v>
      </c>
      <c r="T231" s="31" t="s">
        <v>292</v>
      </c>
      <c r="V231" s="31" t="s">
        <v>293</v>
      </c>
      <c r="X231" s="31" t="s">
        <v>294</v>
      </c>
      <c r="Y231" s="31" t="s">
        <v>295</v>
      </c>
      <c r="Z231" s="31">
        <v>303121941</v>
      </c>
      <c r="AA231" s="31" t="s">
        <v>296</v>
      </c>
      <c r="AB231" s="31" t="s">
        <v>297</v>
      </c>
      <c r="AC231" s="31" t="s">
        <v>316</v>
      </c>
      <c r="AD231" s="31" t="s">
        <v>237</v>
      </c>
      <c r="AE231" s="31" t="s">
        <v>238</v>
      </c>
      <c r="AI231" s="32">
        <v>44135</v>
      </c>
      <c r="AJ231" s="31">
        <v>50</v>
      </c>
      <c r="AK231" s="31">
        <v>1999</v>
      </c>
      <c r="BG231" s="31" t="s">
        <v>28</v>
      </c>
      <c r="BI231" s="31" t="s">
        <v>279</v>
      </c>
      <c r="BK231" s="31" t="s">
        <v>50</v>
      </c>
      <c r="BL231" s="31" t="s">
        <v>242</v>
      </c>
      <c r="BM231" s="31" t="s">
        <v>243</v>
      </c>
      <c r="BN231" s="33">
        <v>44196.161071689814</v>
      </c>
      <c r="BP231" s="31" t="s">
        <v>783</v>
      </c>
      <c r="BQ231" s="31" t="s">
        <v>318</v>
      </c>
      <c r="BR231" s="31" t="s">
        <v>257</v>
      </c>
      <c r="BS231" s="31">
        <v>4.1204202019634299E+18</v>
      </c>
      <c r="BT231" s="31" t="s">
        <v>245</v>
      </c>
      <c r="BU231" s="31" t="s">
        <v>283</v>
      </c>
      <c r="BV231" s="31">
        <v>2020</v>
      </c>
      <c r="BW231" s="31" t="s">
        <v>246</v>
      </c>
      <c r="BY231" s="31">
        <v>4.1231202019878902E+18</v>
      </c>
      <c r="BZ231" s="31" t="s">
        <v>784</v>
      </c>
      <c r="CA231" s="31" t="s">
        <v>248</v>
      </c>
    </row>
    <row r="232" spans="1:79" x14ac:dyDescent="0.2">
      <c r="A232" s="31" t="s">
        <v>316</v>
      </c>
      <c r="B232" s="31" t="s">
        <v>325</v>
      </c>
      <c r="C232" s="31">
        <v>2020</v>
      </c>
      <c r="D232" s="31" t="s">
        <v>224</v>
      </c>
      <c r="E232" s="31">
        <v>2.0201204935455299E+17</v>
      </c>
      <c r="F232" s="31" t="s">
        <v>225</v>
      </c>
      <c r="G232" s="31" t="s">
        <v>785</v>
      </c>
      <c r="H232" s="31">
        <v>1481637</v>
      </c>
      <c r="J232" s="31" t="s">
        <v>227</v>
      </c>
      <c r="K232" s="31" t="s">
        <v>228</v>
      </c>
      <c r="L232" s="31" t="s">
        <v>404</v>
      </c>
      <c r="N232" s="31" t="s">
        <v>290</v>
      </c>
      <c r="O232" s="31" t="s">
        <v>254</v>
      </c>
      <c r="Q232" s="31" t="s">
        <v>255</v>
      </c>
      <c r="R232" s="31" t="s">
        <v>291</v>
      </c>
      <c r="T232" s="31" t="s">
        <v>292</v>
      </c>
      <c r="V232" s="31" t="s">
        <v>327</v>
      </c>
      <c r="X232" s="31" t="s">
        <v>294</v>
      </c>
      <c r="Y232" s="31" t="s">
        <v>295</v>
      </c>
      <c r="Z232" s="31">
        <v>30312</v>
      </c>
      <c r="AA232" s="31" t="s">
        <v>328</v>
      </c>
      <c r="AB232" s="31" t="s">
        <v>297</v>
      </c>
      <c r="AC232" s="31" t="s">
        <v>404</v>
      </c>
      <c r="AD232" s="31" t="s">
        <v>329</v>
      </c>
      <c r="AE232" s="31" t="s">
        <v>330</v>
      </c>
      <c r="AF232" s="31" t="s">
        <v>331</v>
      </c>
      <c r="AI232" s="32">
        <v>44140</v>
      </c>
      <c r="AJ232" s="31">
        <v>5</v>
      </c>
      <c r="AK232" s="31">
        <v>3634</v>
      </c>
      <c r="AL232" s="31" t="s">
        <v>405</v>
      </c>
      <c r="BF232" s="31" t="s">
        <v>332</v>
      </c>
      <c r="BK232" s="31" t="s">
        <v>50</v>
      </c>
      <c r="BL232" s="31" t="s">
        <v>242</v>
      </c>
      <c r="BM232" s="31" t="s">
        <v>243</v>
      </c>
      <c r="BN232" s="33">
        <v>44201.549779270834</v>
      </c>
      <c r="BR232" s="31" t="s">
        <v>257</v>
      </c>
      <c r="BS232" s="31">
        <v>4.1205202019644498E+18</v>
      </c>
      <c r="BT232" s="31" t="s">
        <v>245</v>
      </c>
      <c r="BU232" s="31" t="s">
        <v>385</v>
      </c>
      <c r="BV232" s="31">
        <v>2020</v>
      </c>
      <c r="BW232" s="31" t="s">
        <v>246</v>
      </c>
      <c r="BY232" s="31">
        <v>4.0104202120058998E+18</v>
      </c>
      <c r="BZ232" s="31" t="s">
        <v>786</v>
      </c>
      <c r="CA232" s="31" t="s">
        <v>248</v>
      </c>
    </row>
    <row r="233" spans="1:79" x14ac:dyDescent="0.2">
      <c r="A233" s="31" t="s">
        <v>316</v>
      </c>
      <c r="B233" s="31" t="s">
        <v>325</v>
      </c>
      <c r="C233" s="31">
        <v>2020</v>
      </c>
      <c r="D233" s="31" t="s">
        <v>224</v>
      </c>
      <c r="E233" s="31">
        <v>2.0201204935455299E+17</v>
      </c>
      <c r="F233" s="31" t="s">
        <v>225</v>
      </c>
      <c r="G233" s="31" t="s">
        <v>787</v>
      </c>
      <c r="H233" s="31">
        <v>1481637</v>
      </c>
      <c r="J233" s="31" t="s">
        <v>227</v>
      </c>
      <c r="K233" s="31" t="s">
        <v>228</v>
      </c>
      <c r="N233" s="31" t="s">
        <v>290</v>
      </c>
      <c r="O233" s="31" t="s">
        <v>254</v>
      </c>
      <c r="Q233" s="31" t="s">
        <v>255</v>
      </c>
      <c r="R233" s="31" t="s">
        <v>291</v>
      </c>
      <c r="T233" s="31" t="s">
        <v>292</v>
      </c>
      <c r="V233" s="31" t="s">
        <v>327</v>
      </c>
      <c r="X233" s="31" t="s">
        <v>294</v>
      </c>
      <c r="Y233" s="31" t="s">
        <v>295</v>
      </c>
      <c r="Z233" s="31">
        <v>30312</v>
      </c>
      <c r="AA233" s="31" t="s">
        <v>328</v>
      </c>
      <c r="AB233" s="31" t="s">
        <v>297</v>
      </c>
      <c r="AD233" s="31">
        <v>15</v>
      </c>
      <c r="AE233" s="31" t="s">
        <v>298</v>
      </c>
      <c r="AF233" s="31" t="s">
        <v>336</v>
      </c>
      <c r="AI233" s="32">
        <v>44155</v>
      </c>
      <c r="AJ233" s="31">
        <v>20</v>
      </c>
      <c r="AK233" s="31">
        <v>1512.2</v>
      </c>
      <c r="BF233" s="31" t="s">
        <v>332</v>
      </c>
      <c r="BK233" s="31" t="s">
        <v>50</v>
      </c>
      <c r="BL233" s="31" t="s">
        <v>242</v>
      </c>
      <c r="BM233" s="31" t="s">
        <v>243</v>
      </c>
      <c r="BN233" s="33">
        <v>44201.552054918982</v>
      </c>
      <c r="BR233" s="31" t="s">
        <v>257</v>
      </c>
      <c r="BS233" s="31">
        <v>4.1205202019644498E+18</v>
      </c>
      <c r="BT233" s="31" t="s">
        <v>245</v>
      </c>
      <c r="BU233" s="31" t="s">
        <v>337</v>
      </c>
      <c r="BV233" s="31">
        <v>2020</v>
      </c>
      <c r="BW233" s="31" t="s">
        <v>246</v>
      </c>
      <c r="BY233" s="31">
        <v>4.0104202120117801E+18</v>
      </c>
      <c r="BZ233" s="31" t="s">
        <v>788</v>
      </c>
      <c r="CA233" s="31" t="s">
        <v>248</v>
      </c>
    </row>
    <row r="234" spans="1:79" x14ac:dyDescent="0.2">
      <c r="A234" s="31" t="s">
        <v>316</v>
      </c>
      <c r="B234" s="31" t="s">
        <v>325</v>
      </c>
      <c r="C234" s="31">
        <v>2020</v>
      </c>
      <c r="D234" s="31" t="s">
        <v>224</v>
      </c>
      <c r="E234" s="31">
        <v>2.0201204935455299E+17</v>
      </c>
      <c r="F234" s="31" t="s">
        <v>225</v>
      </c>
      <c r="G234" s="31" t="s">
        <v>789</v>
      </c>
      <c r="H234" s="31">
        <v>1481637</v>
      </c>
      <c r="J234" s="31" t="s">
        <v>227</v>
      </c>
      <c r="K234" s="31" t="s">
        <v>228</v>
      </c>
      <c r="N234" s="31" t="s">
        <v>290</v>
      </c>
      <c r="O234" s="31" t="s">
        <v>254</v>
      </c>
      <c r="Q234" s="31" t="s">
        <v>255</v>
      </c>
      <c r="R234" s="31" t="s">
        <v>291</v>
      </c>
      <c r="T234" s="31" t="s">
        <v>292</v>
      </c>
      <c r="V234" s="31" t="s">
        <v>327</v>
      </c>
      <c r="X234" s="31" t="s">
        <v>294</v>
      </c>
      <c r="Y234" s="31" t="s">
        <v>295</v>
      </c>
      <c r="Z234" s="31">
        <v>30312</v>
      </c>
      <c r="AA234" s="31" t="s">
        <v>328</v>
      </c>
      <c r="AB234" s="31" t="s">
        <v>297</v>
      </c>
      <c r="AD234" s="31">
        <v>15</v>
      </c>
      <c r="AE234" s="31" t="s">
        <v>298</v>
      </c>
      <c r="AF234" s="31" t="s">
        <v>336</v>
      </c>
      <c r="AI234" s="32">
        <v>44155</v>
      </c>
      <c r="AJ234" s="31">
        <v>20</v>
      </c>
      <c r="AK234" s="31">
        <v>1512.2</v>
      </c>
      <c r="BF234" s="31" t="s">
        <v>332</v>
      </c>
      <c r="BK234" s="31" t="s">
        <v>50</v>
      </c>
      <c r="BL234" s="31" t="s">
        <v>242</v>
      </c>
      <c r="BM234" s="31" t="s">
        <v>243</v>
      </c>
      <c r="BN234" s="33">
        <v>44201.552332384257</v>
      </c>
      <c r="BR234" s="31" t="s">
        <v>257</v>
      </c>
      <c r="BS234" s="31">
        <v>4.1205202019644498E+18</v>
      </c>
      <c r="BT234" s="31" t="s">
        <v>245</v>
      </c>
      <c r="BU234" s="31" t="s">
        <v>337</v>
      </c>
      <c r="BV234" s="31">
        <v>2020</v>
      </c>
      <c r="BW234" s="31" t="s">
        <v>246</v>
      </c>
      <c r="BY234" s="31">
        <v>4.0104202120117898E+18</v>
      </c>
      <c r="BZ234" s="31" t="s">
        <v>790</v>
      </c>
      <c r="CA234" s="31" t="s">
        <v>248</v>
      </c>
    </row>
    <row r="235" spans="1:79" x14ac:dyDescent="0.2">
      <c r="A235" s="31" t="s">
        <v>316</v>
      </c>
      <c r="B235" s="31" t="s">
        <v>325</v>
      </c>
      <c r="C235" s="31">
        <v>2020</v>
      </c>
      <c r="D235" s="31" t="s">
        <v>224</v>
      </c>
      <c r="E235" s="31">
        <v>2.0201204935455299E+17</v>
      </c>
      <c r="F235" s="31" t="s">
        <v>225</v>
      </c>
      <c r="G235" s="31" t="s">
        <v>791</v>
      </c>
      <c r="H235" s="31">
        <v>1481637</v>
      </c>
      <c r="J235" s="31" t="s">
        <v>227</v>
      </c>
      <c r="K235" s="31" t="s">
        <v>228</v>
      </c>
      <c r="L235" s="31" t="s">
        <v>341</v>
      </c>
      <c r="N235" s="31" t="s">
        <v>290</v>
      </c>
      <c r="O235" s="31" t="s">
        <v>254</v>
      </c>
      <c r="Q235" s="31" t="s">
        <v>255</v>
      </c>
      <c r="R235" s="31" t="s">
        <v>291</v>
      </c>
      <c r="T235" s="31" t="s">
        <v>292</v>
      </c>
      <c r="V235" s="31" t="s">
        <v>327</v>
      </c>
      <c r="X235" s="31" t="s">
        <v>294</v>
      </c>
      <c r="Y235" s="31" t="s">
        <v>295</v>
      </c>
      <c r="Z235" s="31">
        <v>30312</v>
      </c>
      <c r="AA235" s="31" t="s">
        <v>328</v>
      </c>
      <c r="AB235" s="31" t="s">
        <v>297</v>
      </c>
      <c r="AC235" s="31" t="s">
        <v>341</v>
      </c>
      <c r="AD235" s="31" t="s">
        <v>329</v>
      </c>
      <c r="AE235" s="31" t="s">
        <v>330</v>
      </c>
      <c r="AF235" s="31" t="s">
        <v>331</v>
      </c>
      <c r="AI235" s="32">
        <v>44123</v>
      </c>
      <c r="AJ235" s="31">
        <v>100</v>
      </c>
      <c r="AK235" s="31">
        <v>2199</v>
      </c>
      <c r="BF235" s="31" t="s">
        <v>332</v>
      </c>
      <c r="BK235" s="31" t="s">
        <v>50</v>
      </c>
      <c r="BL235" s="31" t="s">
        <v>242</v>
      </c>
      <c r="BM235" s="31" t="s">
        <v>243</v>
      </c>
      <c r="BN235" s="33">
        <v>44201.558658078706</v>
      </c>
      <c r="BR235" s="31" t="s">
        <v>257</v>
      </c>
      <c r="BS235" s="31">
        <v>4.1205202019644498E+18</v>
      </c>
      <c r="BT235" s="31" t="s">
        <v>245</v>
      </c>
      <c r="BU235" s="31" t="s">
        <v>342</v>
      </c>
      <c r="BV235" s="31">
        <v>2020</v>
      </c>
      <c r="BW235" s="31" t="s">
        <v>246</v>
      </c>
      <c r="BY235" s="31">
        <v>4.0104202119922002E+18</v>
      </c>
      <c r="BZ235" s="31" t="s">
        <v>792</v>
      </c>
      <c r="CA235" s="31" t="s">
        <v>248</v>
      </c>
    </row>
    <row r="236" spans="1:79" x14ac:dyDescent="0.2">
      <c r="A236" s="31" t="s">
        <v>316</v>
      </c>
      <c r="B236" s="31" t="s">
        <v>325</v>
      </c>
      <c r="C236" s="31">
        <v>2020</v>
      </c>
      <c r="D236" s="31" t="s">
        <v>224</v>
      </c>
      <c r="E236" s="31">
        <v>2.0201204935455299E+17</v>
      </c>
      <c r="F236" s="31" t="s">
        <v>225</v>
      </c>
      <c r="G236" s="31" t="s">
        <v>793</v>
      </c>
      <c r="H236" s="31">
        <v>1481637</v>
      </c>
      <c r="J236" s="31" t="s">
        <v>227</v>
      </c>
      <c r="K236" s="31" t="s">
        <v>228</v>
      </c>
      <c r="N236" s="31" t="s">
        <v>290</v>
      </c>
      <c r="O236" s="31" t="s">
        <v>254</v>
      </c>
      <c r="Q236" s="31" t="s">
        <v>255</v>
      </c>
      <c r="R236" s="31" t="s">
        <v>291</v>
      </c>
      <c r="T236" s="31" t="s">
        <v>292</v>
      </c>
      <c r="V236" s="31" t="s">
        <v>327</v>
      </c>
      <c r="X236" s="31" t="s">
        <v>294</v>
      </c>
      <c r="Y236" s="31" t="s">
        <v>295</v>
      </c>
      <c r="Z236" s="31">
        <v>30312</v>
      </c>
      <c r="AA236" s="31" t="s">
        <v>328</v>
      </c>
      <c r="AB236" s="31" t="s">
        <v>297</v>
      </c>
      <c r="AD236" s="31">
        <v>15</v>
      </c>
      <c r="AE236" s="31" t="s">
        <v>298</v>
      </c>
      <c r="AF236" s="31" t="s">
        <v>336</v>
      </c>
      <c r="AI236" s="32">
        <v>44123</v>
      </c>
      <c r="AJ236" s="31">
        <v>5</v>
      </c>
      <c r="AK236" s="31">
        <v>1512.2</v>
      </c>
      <c r="BF236" s="31" t="s">
        <v>332</v>
      </c>
      <c r="BK236" s="31" t="s">
        <v>50</v>
      </c>
      <c r="BL236" s="31" t="s">
        <v>242</v>
      </c>
      <c r="BM236" s="31" t="s">
        <v>243</v>
      </c>
      <c r="BN236" s="33">
        <v>44201.558668993057</v>
      </c>
      <c r="BR236" s="31" t="s">
        <v>257</v>
      </c>
      <c r="BS236" s="31">
        <v>4.1205202019644498E+18</v>
      </c>
      <c r="BT236" s="31" t="s">
        <v>245</v>
      </c>
      <c r="BU236" s="31" t="s">
        <v>337</v>
      </c>
      <c r="BV236" s="31">
        <v>2020</v>
      </c>
      <c r="BW236" s="31" t="s">
        <v>246</v>
      </c>
      <c r="BY236" s="31">
        <v>4.0104202119922099E+18</v>
      </c>
      <c r="BZ236" s="31" t="s">
        <v>794</v>
      </c>
      <c r="CA236" s="31" t="s">
        <v>248</v>
      </c>
    </row>
    <row r="237" spans="1:79" x14ac:dyDescent="0.2">
      <c r="A237" s="31" t="s">
        <v>316</v>
      </c>
      <c r="B237" s="31" t="s">
        <v>325</v>
      </c>
      <c r="C237" s="31">
        <v>2020</v>
      </c>
      <c r="D237" s="31" t="s">
        <v>224</v>
      </c>
      <c r="E237" s="31">
        <v>2.0201204935455299E+17</v>
      </c>
      <c r="F237" s="31" t="s">
        <v>225</v>
      </c>
      <c r="G237" s="31" t="s">
        <v>795</v>
      </c>
      <c r="H237" s="31">
        <v>1481637</v>
      </c>
      <c r="J237" s="31" t="s">
        <v>227</v>
      </c>
      <c r="K237" s="31" t="s">
        <v>228</v>
      </c>
      <c r="L237" s="31" t="s">
        <v>266</v>
      </c>
      <c r="N237" s="31" t="s">
        <v>290</v>
      </c>
      <c r="O237" s="31" t="s">
        <v>254</v>
      </c>
      <c r="Q237" s="31" t="s">
        <v>255</v>
      </c>
      <c r="R237" s="31" t="s">
        <v>291</v>
      </c>
      <c r="T237" s="31" t="s">
        <v>292</v>
      </c>
      <c r="V237" s="31" t="s">
        <v>327</v>
      </c>
      <c r="X237" s="31" t="s">
        <v>294</v>
      </c>
      <c r="Y237" s="31" t="s">
        <v>295</v>
      </c>
      <c r="Z237" s="31">
        <v>30312</v>
      </c>
      <c r="AA237" s="31" t="s">
        <v>328</v>
      </c>
      <c r="AB237" s="31" t="s">
        <v>297</v>
      </c>
      <c r="AC237" s="31" t="s">
        <v>266</v>
      </c>
      <c r="AD237" s="31" t="s">
        <v>329</v>
      </c>
      <c r="AE237" s="31" t="s">
        <v>330</v>
      </c>
      <c r="AF237" s="31" t="s">
        <v>331</v>
      </c>
      <c r="AI237" s="32">
        <v>44128</v>
      </c>
      <c r="AJ237" s="31">
        <v>20</v>
      </c>
      <c r="AK237" s="31">
        <v>5854</v>
      </c>
      <c r="AL237" s="31" t="s">
        <v>445</v>
      </c>
      <c r="BF237" s="31" t="s">
        <v>332</v>
      </c>
      <c r="BK237" s="31" t="s">
        <v>50</v>
      </c>
      <c r="BL237" s="31" t="s">
        <v>242</v>
      </c>
      <c r="BM237" s="31" t="s">
        <v>243</v>
      </c>
      <c r="BN237" s="33">
        <v>44201.560764953705</v>
      </c>
      <c r="BR237" s="31" t="s">
        <v>257</v>
      </c>
      <c r="BS237" s="31">
        <v>4.1205202019644498E+18</v>
      </c>
      <c r="BT237" s="31" t="s">
        <v>245</v>
      </c>
      <c r="BU237" s="31" t="s">
        <v>446</v>
      </c>
      <c r="BV237" s="31">
        <v>2020</v>
      </c>
      <c r="BW237" s="31" t="s">
        <v>246</v>
      </c>
      <c r="BY237" s="31">
        <v>4.0104202119959199E+18</v>
      </c>
      <c r="BZ237" s="31" t="s">
        <v>796</v>
      </c>
      <c r="CA237" s="31" t="s">
        <v>248</v>
      </c>
    </row>
    <row r="238" spans="1:79" x14ac:dyDescent="0.2">
      <c r="A238" s="31" t="s">
        <v>316</v>
      </c>
      <c r="B238" s="31" t="s">
        <v>325</v>
      </c>
      <c r="C238" s="31">
        <v>2020</v>
      </c>
      <c r="D238" s="31" t="s">
        <v>224</v>
      </c>
      <c r="E238" s="31">
        <v>2.0201204935455299E+17</v>
      </c>
      <c r="F238" s="31" t="s">
        <v>225</v>
      </c>
      <c r="G238" s="31" t="s">
        <v>797</v>
      </c>
      <c r="H238" s="31">
        <v>1481637</v>
      </c>
      <c r="J238" s="31" t="s">
        <v>227</v>
      </c>
      <c r="K238" s="31" t="s">
        <v>228</v>
      </c>
      <c r="N238" s="31" t="s">
        <v>290</v>
      </c>
      <c r="O238" s="31" t="s">
        <v>254</v>
      </c>
      <c r="Q238" s="31" t="s">
        <v>255</v>
      </c>
      <c r="R238" s="31" t="s">
        <v>291</v>
      </c>
      <c r="T238" s="31" t="s">
        <v>292</v>
      </c>
      <c r="V238" s="31" t="s">
        <v>327</v>
      </c>
      <c r="X238" s="31" t="s">
        <v>294</v>
      </c>
      <c r="Y238" s="31" t="s">
        <v>295</v>
      </c>
      <c r="Z238" s="31">
        <v>30312</v>
      </c>
      <c r="AA238" s="31" t="s">
        <v>328</v>
      </c>
      <c r="AB238" s="31" t="s">
        <v>297</v>
      </c>
      <c r="AD238" s="31">
        <v>15</v>
      </c>
      <c r="AE238" s="31" t="s">
        <v>298</v>
      </c>
      <c r="AF238" s="31" t="s">
        <v>336</v>
      </c>
      <c r="AI238" s="32">
        <v>44128</v>
      </c>
      <c r="AJ238" s="31">
        <v>1</v>
      </c>
      <c r="AK238" s="31">
        <v>1512.2</v>
      </c>
      <c r="BF238" s="31" t="s">
        <v>332</v>
      </c>
      <c r="BK238" s="31" t="s">
        <v>50</v>
      </c>
      <c r="BL238" s="31" t="s">
        <v>242</v>
      </c>
      <c r="BM238" s="31" t="s">
        <v>243</v>
      </c>
      <c r="BN238" s="33">
        <v>44201.560853576389</v>
      </c>
      <c r="BR238" s="31" t="s">
        <v>257</v>
      </c>
      <c r="BS238" s="31">
        <v>4.1205202019644498E+18</v>
      </c>
      <c r="BT238" s="31" t="s">
        <v>245</v>
      </c>
      <c r="BU238" s="31" t="s">
        <v>337</v>
      </c>
      <c r="BV238" s="31">
        <v>2020</v>
      </c>
      <c r="BW238" s="31" t="s">
        <v>246</v>
      </c>
      <c r="BY238" s="31">
        <v>4.0104202119959301E+18</v>
      </c>
      <c r="BZ238" s="31" t="s">
        <v>796</v>
      </c>
      <c r="CA238" s="31" t="s">
        <v>248</v>
      </c>
    </row>
    <row r="239" spans="1:79" x14ac:dyDescent="0.2">
      <c r="A239" s="31" t="s">
        <v>316</v>
      </c>
      <c r="B239" s="31" t="s">
        <v>325</v>
      </c>
      <c r="C239" s="31">
        <v>2020</v>
      </c>
      <c r="D239" s="31" t="s">
        <v>224</v>
      </c>
      <c r="E239" s="31">
        <v>2.0201204935455299E+17</v>
      </c>
      <c r="F239" s="31" t="s">
        <v>225</v>
      </c>
      <c r="G239" s="31" t="s">
        <v>798</v>
      </c>
      <c r="H239" s="31">
        <v>1481637</v>
      </c>
      <c r="J239" s="31" t="s">
        <v>227</v>
      </c>
      <c r="K239" s="31" t="s">
        <v>228</v>
      </c>
      <c r="N239" s="31" t="s">
        <v>290</v>
      </c>
      <c r="O239" s="31" t="s">
        <v>254</v>
      </c>
      <c r="Q239" s="31" t="s">
        <v>255</v>
      </c>
      <c r="R239" s="31" t="s">
        <v>291</v>
      </c>
      <c r="T239" s="31" t="s">
        <v>292</v>
      </c>
      <c r="V239" s="31" t="s">
        <v>327</v>
      </c>
      <c r="X239" s="31" t="s">
        <v>294</v>
      </c>
      <c r="Y239" s="31" t="s">
        <v>295</v>
      </c>
      <c r="Z239" s="31">
        <v>30312</v>
      </c>
      <c r="AA239" s="31" t="s">
        <v>328</v>
      </c>
      <c r="AB239" s="31" t="s">
        <v>297</v>
      </c>
      <c r="AD239" s="31">
        <v>15</v>
      </c>
      <c r="AE239" s="31" t="s">
        <v>298</v>
      </c>
      <c r="AF239" s="31" t="s">
        <v>336</v>
      </c>
      <c r="AI239" s="32">
        <v>44128</v>
      </c>
      <c r="AJ239" s="31">
        <v>10</v>
      </c>
      <c r="AK239" s="31">
        <v>1512.2</v>
      </c>
      <c r="BF239" s="31" t="s">
        <v>332</v>
      </c>
      <c r="BK239" s="31" t="s">
        <v>50</v>
      </c>
      <c r="BL239" s="31" t="s">
        <v>242</v>
      </c>
      <c r="BM239" s="31" t="s">
        <v>243</v>
      </c>
      <c r="BN239" s="33">
        <v>44201.560939432871</v>
      </c>
      <c r="BR239" s="31" t="s">
        <v>257</v>
      </c>
      <c r="BS239" s="31">
        <v>4.1205202019644498E+18</v>
      </c>
      <c r="BT239" s="31" t="s">
        <v>245</v>
      </c>
      <c r="BU239" s="31" t="s">
        <v>337</v>
      </c>
      <c r="BV239" s="31">
        <v>2020</v>
      </c>
      <c r="BW239" s="31" t="s">
        <v>246</v>
      </c>
      <c r="BY239" s="31">
        <v>4.0104202119959301E+18</v>
      </c>
      <c r="BZ239" s="31" t="s">
        <v>796</v>
      </c>
      <c r="CA239" s="31" t="s">
        <v>248</v>
      </c>
    </row>
    <row r="240" spans="1:79" x14ac:dyDescent="0.2">
      <c r="A240" s="31" t="s">
        <v>316</v>
      </c>
      <c r="B240" s="31" t="s">
        <v>325</v>
      </c>
      <c r="C240" s="31">
        <v>2020</v>
      </c>
      <c r="D240" s="31" t="s">
        <v>224</v>
      </c>
      <c r="E240" s="31">
        <v>2.0201204935455299E+17</v>
      </c>
      <c r="F240" s="31" t="s">
        <v>225</v>
      </c>
      <c r="G240" s="31" t="s">
        <v>799</v>
      </c>
      <c r="H240" s="31">
        <v>1481637</v>
      </c>
      <c r="J240" s="31" t="s">
        <v>227</v>
      </c>
      <c r="K240" s="31" t="s">
        <v>228</v>
      </c>
      <c r="N240" s="31" t="s">
        <v>290</v>
      </c>
      <c r="O240" s="31" t="s">
        <v>254</v>
      </c>
      <c r="Q240" s="31" t="s">
        <v>255</v>
      </c>
      <c r="R240" s="31" t="s">
        <v>291</v>
      </c>
      <c r="T240" s="31" t="s">
        <v>292</v>
      </c>
      <c r="V240" s="31" t="s">
        <v>327</v>
      </c>
      <c r="X240" s="31" t="s">
        <v>294</v>
      </c>
      <c r="Y240" s="31" t="s">
        <v>295</v>
      </c>
      <c r="Z240" s="31">
        <v>30312</v>
      </c>
      <c r="AA240" s="31" t="s">
        <v>328</v>
      </c>
      <c r="AB240" s="31" t="s">
        <v>297</v>
      </c>
      <c r="AF240" s="31" t="s">
        <v>331</v>
      </c>
      <c r="AI240" s="32">
        <v>44143</v>
      </c>
      <c r="AJ240" s="31">
        <v>50</v>
      </c>
      <c r="AK240" s="31">
        <v>75</v>
      </c>
      <c r="BF240" s="31" t="s">
        <v>332</v>
      </c>
      <c r="BK240" s="31" t="s">
        <v>50</v>
      </c>
      <c r="BL240" s="31" t="s">
        <v>242</v>
      </c>
      <c r="BM240" s="31" t="s">
        <v>243</v>
      </c>
      <c r="BN240" s="33">
        <v>44201.561664386572</v>
      </c>
      <c r="BR240" s="31" t="s">
        <v>257</v>
      </c>
      <c r="BS240" s="31">
        <v>4.1205202019644498E+18</v>
      </c>
      <c r="BT240" s="31" t="s">
        <v>245</v>
      </c>
      <c r="BU240" s="31" t="s">
        <v>727</v>
      </c>
      <c r="BV240" s="31">
        <v>2020</v>
      </c>
      <c r="BW240" s="31" t="s">
        <v>246</v>
      </c>
      <c r="BY240" s="31">
        <v>4.0104202120077599E+18</v>
      </c>
      <c r="BZ240" s="31" t="s">
        <v>800</v>
      </c>
      <c r="CA240" s="31" t="s">
        <v>248</v>
      </c>
    </row>
    <row r="241" spans="1:79" x14ac:dyDescent="0.2">
      <c r="A241" s="31" t="s">
        <v>316</v>
      </c>
      <c r="B241" s="31" t="s">
        <v>325</v>
      </c>
      <c r="C241" s="31">
        <v>2020</v>
      </c>
      <c r="D241" s="31" t="s">
        <v>224</v>
      </c>
      <c r="E241" s="31">
        <v>2.0201204935455299E+17</v>
      </c>
      <c r="F241" s="31" t="s">
        <v>225</v>
      </c>
      <c r="G241" s="31" t="s">
        <v>801</v>
      </c>
      <c r="H241" s="31">
        <v>1481637</v>
      </c>
      <c r="J241" s="31" t="s">
        <v>227</v>
      </c>
      <c r="K241" s="31" t="s">
        <v>228</v>
      </c>
      <c r="N241" s="31" t="s">
        <v>290</v>
      </c>
      <c r="O241" s="31" t="s">
        <v>254</v>
      </c>
      <c r="Q241" s="31" t="s">
        <v>255</v>
      </c>
      <c r="R241" s="31" t="s">
        <v>291</v>
      </c>
      <c r="T241" s="31" t="s">
        <v>292</v>
      </c>
      <c r="V241" s="31" t="s">
        <v>327</v>
      </c>
      <c r="X241" s="31" t="s">
        <v>294</v>
      </c>
      <c r="Y241" s="31" t="s">
        <v>295</v>
      </c>
      <c r="Z241" s="31">
        <v>30312</v>
      </c>
      <c r="AA241" s="31" t="s">
        <v>328</v>
      </c>
      <c r="AB241" s="31" t="s">
        <v>297</v>
      </c>
      <c r="AD241" s="31">
        <v>15</v>
      </c>
      <c r="AE241" s="31" t="s">
        <v>298</v>
      </c>
      <c r="AF241" s="31" t="s">
        <v>336</v>
      </c>
      <c r="AI241" s="32">
        <v>44143</v>
      </c>
      <c r="AJ241" s="31">
        <v>5</v>
      </c>
      <c r="AK241" s="31">
        <v>1512.2</v>
      </c>
      <c r="BF241" s="31" t="s">
        <v>332</v>
      </c>
      <c r="BK241" s="31" t="s">
        <v>50</v>
      </c>
      <c r="BL241" s="31" t="s">
        <v>242</v>
      </c>
      <c r="BM241" s="31" t="s">
        <v>243</v>
      </c>
      <c r="BN241" s="33">
        <v>44201.561707719906</v>
      </c>
      <c r="BR241" s="31" t="s">
        <v>257</v>
      </c>
      <c r="BS241" s="31">
        <v>4.1205202019644498E+18</v>
      </c>
      <c r="BT241" s="31" t="s">
        <v>245</v>
      </c>
      <c r="BU241" s="31" t="s">
        <v>337</v>
      </c>
      <c r="BV241" s="31">
        <v>2020</v>
      </c>
      <c r="BW241" s="31" t="s">
        <v>246</v>
      </c>
      <c r="BY241" s="31">
        <v>4.0104202120077599E+18</v>
      </c>
      <c r="BZ241" s="31" t="s">
        <v>802</v>
      </c>
      <c r="CA241" s="31" t="s">
        <v>248</v>
      </c>
    </row>
    <row r="242" spans="1:79" x14ac:dyDescent="0.2">
      <c r="A242" s="31" t="s">
        <v>316</v>
      </c>
      <c r="B242" s="31" t="s">
        <v>325</v>
      </c>
      <c r="C242" s="31">
        <v>2020</v>
      </c>
      <c r="D242" s="31" t="s">
        <v>224</v>
      </c>
      <c r="E242" s="31">
        <v>2.0201204935455299E+17</v>
      </c>
      <c r="F242" s="31" t="s">
        <v>225</v>
      </c>
      <c r="G242" s="31" t="s">
        <v>803</v>
      </c>
      <c r="H242" s="31">
        <v>1481637</v>
      </c>
      <c r="J242" s="31" t="s">
        <v>227</v>
      </c>
      <c r="K242" s="31" t="s">
        <v>228</v>
      </c>
      <c r="L242" s="31" t="s">
        <v>622</v>
      </c>
      <c r="N242" s="31" t="s">
        <v>290</v>
      </c>
      <c r="O242" s="31" t="s">
        <v>254</v>
      </c>
      <c r="Q242" s="31" t="s">
        <v>255</v>
      </c>
      <c r="R242" s="31" t="s">
        <v>291</v>
      </c>
      <c r="T242" s="31" t="s">
        <v>292</v>
      </c>
      <c r="V242" s="31" t="s">
        <v>327</v>
      </c>
      <c r="X242" s="31" t="s">
        <v>294</v>
      </c>
      <c r="Y242" s="31" t="s">
        <v>295</v>
      </c>
      <c r="Z242" s="31">
        <v>30312</v>
      </c>
      <c r="AA242" s="31" t="s">
        <v>328</v>
      </c>
      <c r="AB242" s="31" t="s">
        <v>297</v>
      </c>
      <c r="AC242" s="31" t="s">
        <v>622</v>
      </c>
      <c r="AD242" s="31" t="s">
        <v>329</v>
      </c>
      <c r="AE242" s="31" t="s">
        <v>330</v>
      </c>
      <c r="AF242" s="31" t="s">
        <v>331</v>
      </c>
      <c r="AI242" s="32">
        <v>44150</v>
      </c>
      <c r="AJ242" s="31">
        <v>50</v>
      </c>
      <c r="AK242" s="31">
        <v>550</v>
      </c>
      <c r="AL242" s="31" t="s">
        <v>804</v>
      </c>
      <c r="BF242" s="31" t="s">
        <v>332</v>
      </c>
      <c r="BK242" s="31" t="s">
        <v>50</v>
      </c>
      <c r="BL242" s="31" t="s">
        <v>242</v>
      </c>
      <c r="BM242" s="31" t="s">
        <v>243</v>
      </c>
      <c r="BN242" s="33">
        <v>44201.562661064818</v>
      </c>
      <c r="BR242" s="31" t="s">
        <v>257</v>
      </c>
      <c r="BS242" s="31">
        <v>4.1205202019644498E+18</v>
      </c>
      <c r="BT242" s="31" t="s">
        <v>245</v>
      </c>
      <c r="BU242" s="31" t="s">
        <v>805</v>
      </c>
      <c r="BV242" s="31">
        <v>2020</v>
      </c>
      <c r="BW242" s="31" t="s">
        <v>246</v>
      </c>
      <c r="BY242" s="31">
        <v>4.01042021201043E+18</v>
      </c>
      <c r="BZ242" s="31" t="s">
        <v>806</v>
      </c>
      <c r="CA242" s="31" t="s">
        <v>248</v>
      </c>
    </row>
    <row r="243" spans="1:79" x14ac:dyDescent="0.2">
      <c r="A243" s="31" t="s">
        <v>316</v>
      </c>
      <c r="B243" s="31" t="s">
        <v>325</v>
      </c>
      <c r="C243" s="31">
        <v>2020</v>
      </c>
      <c r="D243" s="31" t="s">
        <v>224</v>
      </c>
      <c r="E243" s="31">
        <v>2.0201204935455299E+17</v>
      </c>
      <c r="F243" s="31" t="s">
        <v>225</v>
      </c>
      <c r="G243" s="31" t="s">
        <v>807</v>
      </c>
      <c r="H243" s="31">
        <v>1481637</v>
      </c>
      <c r="J243" s="31" t="s">
        <v>227</v>
      </c>
      <c r="K243" s="31" t="s">
        <v>228</v>
      </c>
      <c r="L243" s="31" t="s">
        <v>614</v>
      </c>
      <c r="N243" s="31" t="s">
        <v>290</v>
      </c>
      <c r="O243" s="31" t="s">
        <v>254</v>
      </c>
      <c r="Q243" s="31" t="s">
        <v>255</v>
      </c>
      <c r="R243" s="31" t="s">
        <v>291</v>
      </c>
      <c r="T243" s="31" t="s">
        <v>292</v>
      </c>
      <c r="V243" s="31" t="s">
        <v>327</v>
      </c>
      <c r="X243" s="31" t="s">
        <v>294</v>
      </c>
      <c r="Y243" s="31" t="s">
        <v>295</v>
      </c>
      <c r="Z243" s="31">
        <v>30312</v>
      </c>
      <c r="AA243" s="31" t="s">
        <v>328</v>
      </c>
      <c r="AB243" s="31" t="s">
        <v>297</v>
      </c>
      <c r="AC243" s="31" t="s">
        <v>614</v>
      </c>
      <c r="AD243" s="31" t="s">
        <v>329</v>
      </c>
      <c r="AE243" s="31" t="s">
        <v>330</v>
      </c>
      <c r="AF243" s="31" t="s">
        <v>331</v>
      </c>
      <c r="AI243" s="32">
        <v>44150</v>
      </c>
      <c r="AJ243" s="31">
        <v>50</v>
      </c>
      <c r="AK243" s="31">
        <v>220</v>
      </c>
      <c r="BF243" s="31" t="s">
        <v>332</v>
      </c>
      <c r="BK243" s="31" t="s">
        <v>50</v>
      </c>
      <c r="BL243" s="31" t="s">
        <v>242</v>
      </c>
      <c r="BM243" s="31" t="s">
        <v>243</v>
      </c>
      <c r="BN243" s="33">
        <v>44201.562661064818</v>
      </c>
      <c r="BR243" s="31" t="s">
        <v>257</v>
      </c>
      <c r="BS243" s="31">
        <v>4.1205202019644498E+18</v>
      </c>
      <c r="BT243" s="31" t="s">
        <v>245</v>
      </c>
      <c r="BU243" s="31" t="s">
        <v>719</v>
      </c>
      <c r="BV243" s="31">
        <v>2020</v>
      </c>
      <c r="BW243" s="31" t="s">
        <v>246</v>
      </c>
      <c r="BY243" s="31">
        <v>4.01042021201043E+18</v>
      </c>
      <c r="BZ243" s="31" t="s">
        <v>808</v>
      </c>
      <c r="CA243" s="31" t="s">
        <v>248</v>
      </c>
    </row>
    <row r="244" spans="1:79" x14ac:dyDescent="0.2">
      <c r="A244" s="31" t="s">
        <v>316</v>
      </c>
      <c r="B244" s="31" t="s">
        <v>325</v>
      </c>
      <c r="C244" s="31">
        <v>2020</v>
      </c>
      <c r="D244" s="31" t="s">
        <v>224</v>
      </c>
      <c r="E244" s="31">
        <v>2.0201204935455299E+17</v>
      </c>
      <c r="F244" s="31" t="s">
        <v>225</v>
      </c>
      <c r="G244" s="31" t="s">
        <v>809</v>
      </c>
      <c r="H244" s="31">
        <v>1481637</v>
      </c>
      <c r="J244" s="31" t="s">
        <v>227</v>
      </c>
      <c r="K244" s="31" t="s">
        <v>228</v>
      </c>
      <c r="N244" s="31" t="s">
        <v>290</v>
      </c>
      <c r="O244" s="31" t="s">
        <v>254</v>
      </c>
      <c r="Q244" s="31" t="s">
        <v>255</v>
      </c>
      <c r="R244" s="31" t="s">
        <v>291</v>
      </c>
      <c r="T244" s="31" t="s">
        <v>292</v>
      </c>
      <c r="V244" s="31" t="s">
        <v>327</v>
      </c>
      <c r="X244" s="31" t="s">
        <v>294</v>
      </c>
      <c r="Y244" s="31" t="s">
        <v>295</v>
      </c>
      <c r="Z244" s="31">
        <v>30312</v>
      </c>
      <c r="AA244" s="31" t="s">
        <v>328</v>
      </c>
      <c r="AB244" s="31" t="s">
        <v>297</v>
      </c>
      <c r="AD244" s="31">
        <v>15</v>
      </c>
      <c r="AE244" s="31" t="s">
        <v>298</v>
      </c>
      <c r="AF244" s="31" t="s">
        <v>336</v>
      </c>
      <c r="AI244" s="32">
        <v>44150</v>
      </c>
      <c r="AJ244" s="31">
        <v>10</v>
      </c>
      <c r="AK244" s="31">
        <v>1512.2</v>
      </c>
      <c r="BF244" s="31" t="s">
        <v>332</v>
      </c>
      <c r="BK244" s="31" t="s">
        <v>50</v>
      </c>
      <c r="BL244" s="31" t="s">
        <v>242</v>
      </c>
      <c r="BM244" s="31" t="s">
        <v>243</v>
      </c>
      <c r="BN244" s="33">
        <v>44201.562714467589</v>
      </c>
      <c r="BR244" s="31" t="s">
        <v>257</v>
      </c>
      <c r="BS244" s="31">
        <v>4.1205202019644498E+18</v>
      </c>
      <c r="BT244" s="31" t="s">
        <v>245</v>
      </c>
      <c r="BU244" s="31" t="s">
        <v>337</v>
      </c>
      <c r="BV244" s="31">
        <v>2020</v>
      </c>
      <c r="BW244" s="31" t="s">
        <v>246</v>
      </c>
      <c r="BY244" s="31">
        <v>4.01042021201043E+18</v>
      </c>
      <c r="BZ244" s="31" t="s">
        <v>806</v>
      </c>
      <c r="CA244" s="31" t="s">
        <v>248</v>
      </c>
    </row>
    <row r="245" spans="1:79" x14ac:dyDescent="0.2">
      <c r="A245" s="31" t="s">
        <v>316</v>
      </c>
      <c r="B245" s="31" t="s">
        <v>325</v>
      </c>
      <c r="C245" s="31">
        <v>2020</v>
      </c>
      <c r="D245" s="31" t="s">
        <v>224</v>
      </c>
      <c r="E245" s="31">
        <v>2.0201204935455299E+17</v>
      </c>
      <c r="F245" s="31" t="s">
        <v>225</v>
      </c>
      <c r="G245" s="31" t="s">
        <v>810</v>
      </c>
      <c r="H245" s="31">
        <v>1481637</v>
      </c>
      <c r="J245" s="31" t="s">
        <v>227</v>
      </c>
      <c r="K245" s="31" t="s">
        <v>228</v>
      </c>
      <c r="N245" s="31" t="s">
        <v>290</v>
      </c>
      <c r="O245" s="31" t="s">
        <v>254</v>
      </c>
      <c r="Q245" s="31" t="s">
        <v>255</v>
      </c>
      <c r="R245" s="31" t="s">
        <v>291</v>
      </c>
      <c r="T245" s="31" t="s">
        <v>292</v>
      </c>
      <c r="V245" s="31" t="s">
        <v>327</v>
      </c>
      <c r="X245" s="31" t="s">
        <v>294</v>
      </c>
      <c r="Y245" s="31" t="s">
        <v>295</v>
      </c>
      <c r="Z245" s="31">
        <v>30312</v>
      </c>
      <c r="AA245" s="31" t="s">
        <v>328</v>
      </c>
      <c r="AB245" s="31" t="s">
        <v>297</v>
      </c>
      <c r="AD245" s="31">
        <v>15</v>
      </c>
      <c r="AE245" s="31" t="s">
        <v>298</v>
      </c>
      <c r="AF245" s="31" t="s">
        <v>336</v>
      </c>
      <c r="AI245" s="32">
        <v>44150</v>
      </c>
      <c r="AJ245" s="31">
        <v>2.5</v>
      </c>
      <c r="AK245" s="31">
        <v>1512.2</v>
      </c>
      <c r="BF245" s="31" t="s">
        <v>332</v>
      </c>
      <c r="BK245" s="31" t="s">
        <v>50</v>
      </c>
      <c r="BL245" s="31" t="s">
        <v>242</v>
      </c>
      <c r="BM245" s="31" t="s">
        <v>243</v>
      </c>
      <c r="BN245" s="33">
        <v>44201.565165462962</v>
      </c>
      <c r="BR245" s="31" t="s">
        <v>257</v>
      </c>
      <c r="BS245" s="31">
        <v>4.1205202019644498E+18</v>
      </c>
      <c r="BT245" s="31" t="s">
        <v>245</v>
      </c>
      <c r="BU245" s="31" t="s">
        <v>337</v>
      </c>
      <c r="BV245" s="31">
        <v>2020</v>
      </c>
      <c r="BW245" s="31" t="s">
        <v>246</v>
      </c>
      <c r="BY245" s="31">
        <v>4.01042021201039E+18</v>
      </c>
      <c r="BZ245" s="31" t="s">
        <v>808</v>
      </c>
      <c r="CA245" s="31" t="s">
        <v>248</v>
      </c>
    </row>
    <row r="246" spans="1:79" x14ac:dyDescent="0.2">
      <c r="A246" s="31" t="s">
        <v>316</v>
      </c>
      <c r="B246" s="31" t="s">
        <v>325</v>
      </c>
      <c r="C246" s="31">
        <v>2020</v>
      </c>
      <c r="D246" s="31" t="s">
        <v>224</v>
      </c>
      <c r="E246" s="31">
        <v>2.0201204935455299E+17</v>
      </c>
      <c r="F246" s="31" t="s">
        <v>225</v>
      </c>
      <c r="G246" s="31" t="s">
        <v>811</v>
      </c>
      <c r="H246" s="31">
        <v>1481637</v>
      </c>
      <c r="J246" s="31" t="s">
        <v>227</v>
      </c>
      <c r="K246" s="31" t="s">
        <v>228</v>
      </c>
      <c r="N246" s="31" t="s">
        <v>290</v>
      </c>
      <c r="O246" s="31" t="s">
        <v>254</v>
      </c>
      <c r="Q246" s="31" t="s">
        <v>255</v>
      </c>
      <c r="R246" s="31" t="s">
        <v>291</v>
      </c>
      <c r="T246" s="31" t="s">
        <v>292</v>
      </c>
      <c r="V246" s="31" t="s">
        <v>327</v>
      </c>
      <c r="X246" s="31" t="s">
        <v>294</v>
      </c>
      <c r="Y246" s="31" t="s">
        <v>295</v>
      </c>
      <c r="Z246" s="31">
        <v>30312</v>
      </c>
      <c r="AA246" s="31" t="s">
        <v>328</v>
      </c>
      <c r="AB246" s="31" t="s">
        <v>297</v>
      </c>
      <c r="AD246" s="31">
        <v>15</v>
      </c>
      <c r="AE246" s="31" t="s">
        <v>298</v>
      </c>
      <c r="AF246" s="31" t="s">
        <v>336</v>
      </c>
      <c r="AI246" s="32">
        <v>44150</v>
      </c>
      <c r="AJ246" s="31">
        <v>25</v>
      </c>
      <c r="AK246" s="31">
        <v>1512.2</v>
      </c>
      <c r="BF246" s="31" t="s">
        <v>332</v>
      </c>
      <c r="BK246" s="31" t="s">
        <v>50</v>
      </c>
      <c r="BL246" s="31" t="s">
        <v>242</v>
      </c>
      <c r="BM246" s="31" t="s">
        <v>243</v>
      </c>
      <c r="BN246" s="33">
        <v>44201.565502430552</v>
      </c>
      <c r="BR246" s="31" t="s">
        <v>257</v>
      </c>
      <c r="BS246" s="31">
        <v>4.1205202019644498E+18</v>
      </c>
      <c r="BT246" s="31" t="s">
        <v>245</v>
      </c>
      <c r="BU246" s="31" t="s">
        <v>337</v>
      </c>
      <c r="BV246" s="31">
        <v>2020</v>
      </c>
      <c r="BW246" s="31" t="s">
        <v>246</v>
      </c>
      <c r="BY246" s="31">
        <v>4.0104202120103997E+18</v>
      </c>
      <c r="BZ246" s="31" t="s">
        <v>812</v>
      </c>
      <c r="CA246" s="31" t="s">
        <v>248</v>
      </c>
    </row>
    <row r="247" spans="1:79" x14ac:dyDescent="0.2">
      <c r="A247" s="31" t="s">
        <v>418</v>
      </c>
      <c r="B247" s="31" t="s">
        <v>419</v>
      </c>
      <c r="C247" s="31">
        <v>2020</v>
      </c>
      <c r="D247" s="31" t="s">
        <v>624</v>
      </c>
      <c r="E247" s="31">
        <v>2.0201015929513101E+17</v>
      </c>
      <c r="F247" s="31" t="s">
        <v>225</v>
      </c>
      <c r="G247" s="31" t="s">
        <v>813</v>
      </c>
      <c r="H247" s="31">
        <v>1451906</v>
      </c>
      <c r="J247" s="31" t="s">
        <v>227</v>
      </c>
      <c r="K247" s="31" t="s">
        <v>228</v>
      </c>
      <c r="L247" s="31" t="s">
        <v>316</v>
      </c>
      <c r="N247" s="31" t="s">
        <v>290</v>
      </c>
      <c r="O247" s="31" t="s">
        <v>75</v>
      </c>
      <c r="Q247" s="31" t="s">
        <v>28</v>
      </c>
      <c r="R247" s="31" t="s">
        <v>291</v>
      </c>
      <c r="T247" s="31" t="s">
        <v>292</v>
      </c>
      <c r="V247" s="31" t="s">
        <v>293</v>
      </c>
      <c r="X247" s="31" t="s">
        <v>294</v>
      </c>
      <c r="Y247" s="31" t="s">
        <v>295</v>
      </c>
      <c r="Z247" s="31">
        <v>303121941</v>
      </c>
      <c r="AA247" s="31" t="s">
        <v>296</v>
      </c>
      <c r="AB247" s="31" t="s">
        <v>297</v>
      </c>
      <c r="AC247" s="31" t="s">
        <v>316</v>
      </c>
      <c r="AD247" s="31" t="s">
        <v>237</v>
      </c>
      <c r="AE247" s="31" t="s">
        <v>238</v>
      </c>
      <c r="AI247" s="32">
        <v>44088</v>
      </c>
      <c r="AJ247" s="31">
        <v>250</v>
      </c>
      <c r="AK247" s="31">
        <v>1150</v>
      </c>
      <c r="BG247" s="31" t="s">
        <v>240</v>
      </c>
      <c r="BI247" s="31" t="s">
        <v>241</v>
      </c>
      <c r="BJ247" s="31">
        <v>2020</v>
      </c>
      <c r="BK247" s="31" t="s">
        <v>50</v>
      </c>
      <c r="BL247" s="31" t="s">
        <v>242</v>
      </c>
      <c r="BM247" s="31" t="s">
        <v>243</v>
      </c>
      <c r="BN247" s="33">
        <v>44155.308093761574</v>
      </c>
      <c r="BP247" s="31" t="s">
        <v>814</v>
      </c>
      <c r="BQ247" s="31" t="s">
        <v>318</v>
      </c>
      <c r="BR247" s="31" t="s">
        <v>244</v>
      </c>
      <c r="BS247" s="31">
        <v>4.1016202018576502E+18</v>
      </c>
      <c r="BT247" s="31" t="s">
        <v>245</v>
      </c>
      <c r="BU247" s="31" t="s">
        <v>283</v>
      </c>
      <c r="BV247" s="31">
        <v>2020</v>
      </c>
      <c r="BW247" s="31" t="s">
        <v>246</v>
      </c>
      <c r="BY247" s="31">
        <v>4.1119202019584701E+18</v>
      </c>
      <c r="BZ247" s="31" t="s">
        <v>815</v>
      </c>
      <c r="CA247" s="31" t="s">
        <v>248</v>
      </c>
    </row>
    <row r="248" spans="1:79" x14ac:dyDescent="0.2">
      <c r="A248" s="31" t="s">
        <v>418</v>
      </c>
      <c r="B248" s="31" t="s">
        <v>419</v>
      </c>
      <c r="C248" s="31">
        <v>2020</v>
      </c>
      <c r="D248" s="31" t="s">
        <v>624</v>
      </c>
      <c r="E248" s="31">
        <v>2.0201015929513101E+17</v>
      </c>
      <c r="F248" s="31" t="s">
        <v>225</v>
      </c>
      <c r="G248" s="31" t="s">
        <v>816</v>
      </c>
      <c r="H248" s="31">
        <v>1451906</v>
      </c>
      <c r="J248" s="31" t="s">
        <v>227</v>
      </c>
      <c r="K248" s="31" t="s">
        <v>228</v>
      </c>
      <c r="L248" s="31" t="s">
        <v>316</v>
      </c>
      <c r="N248" s="31" t="s">
        <v>290</v>
      </c>
      <c r="O248" s="31" t="s">
        <v>75</v>
      </c>
      <c r="Q248" s="31" t="s">
        <v>28</v>
      </c>
      <c r="R248" s="31" t="s">
        <v>291</v>
      </c>
      <c r="T248" s="31" t="s">
        <v>292</v>
      </c>
      <c r="V248" s="31" t="s">
        <v>293</v>
      </c>
      <c r="X248" s="31" t="s">
        <v>294</v>
      </c>
      <c r="Y248" s="31" t="s">
        <v>295</v>
      </c>
      <c r="Z248" s="31">
        <v>303121941</v>
      </c>
      <c r="AA248" s="31" t="s">
        <v>296</v>
      </c>
      <c r="AB248" s="31" t="s">
        <v>297</v>
      </c>
      <c r="AC248" s="31" t="s">
        <v>316</v>
      </c>
      <c r="AD248" s="31" t="s">
        <v>237</v>
      </c>
      <c r="AE248" s="31" t="s">
        <v>238</v>
      </c>
      <c r="AI248" s="32">
        <v>44082</v>
      </c>
      <c r="AJ248" s="31">
        <v>250</v>
      </c>
      <c r="AK248" s="31">
        <v>900</v>
      </c>
      <c r="BG248" s="31" t="s">
        <v>240</v>
      </c>
      <c r="BI248" s="31" t="s">
        <v>241</v>
      </c>
      <c r="BJ248" s="31">
        <v>2020</v>
      </c>
      <c r="BK248" s="31" t="s">
        <v>50</v>
      </c>
      <c r="BL248" s="31" t="s">
        <v>242</v>
      </c>
      <c r="BM248" s="31" t="s">
        <v>243</v>
      </c>
      <c r="BN248" s="33">
        <v>44155.30854208333</v>
      </c>
      <c r="BP248" s="31" t="s">
        <v>817</v>
      </c>
      <c r="BQ248" s="31" t="s">
        <v>318</v>
      </c>
      <c r="BR248" s="31" t="s">
        <v>244</v>
      </c>
      <c r="BS248" s="31">
        <v>4.1016202018576502E+18</v>
      </c>
      <c r="BT248" s="31" t="s">
        <v>245</v>
      </c>
      <c r="BU248" s="31" t="s">
        <v>283</v>
      </c>
      <c r="BV248" s="31">
        <v>2020</v>
      </c>
      <c r="BW248" s="31" t="s">
        <v>246</v>
      </c>
      <c r="BY248" s="31">
        <v>4.1119202019584701E+18</v>
      </c>
      <c r="BZ248" s="31" t="s">
        <v>818</v>
      </c>
      <c r="CA248" s="31" t="s">
        <v>248</v>
      </c>
    </row>
    <row r="249" spans="1:79" x14ac:dyDescent="0.2">
      <c r="A249" s="31" t="s">
        <v>316</v>
      </c>
      <c r="B249" s="31" t="s">
        <v>325</v>
      </c>
      <c r="C249" s="31">
        <v>2020</v>
      </c>
      <c r="D249" s="31" t="s">
        <v>224</v>
      </c>
      <c r="E249" s="31">
        <v>2.0201204935455299E+17</v>
      </c>
      <c r="F249" s="31" t="s">
        <v>225</v>
      </c>
      <c r="G249" s="31" t="s">
        <v>819</v>
      </c>
      <c r="H249" s="31">
        <v>1481637</v>
      </c>
      <c r="J249" s="31" t="s">
        <v>227</v>
      </c>
      <c r="K249" s="31" t="s">
        <v>228</v>
      </c>
      <c r="L249" s="31" t="s">
        <v>404</v>
      </c>
      <c r="N249" s="31" t="s">
        <v>290</v>
      </c>
      <c r="O249" s="31" t="s">
        <v>254</v>
      </c>
      <c r="Q249" s="31" t="s">
        <v>255</v>
      </c>
      <c r="R249" s="31" t="s">
        <v>291</v>
      </c>
      <c r="T249" s="31" t="s">
        <v>292</v>
      </c>
      <c r="V249" s="31" t="s">
        <v>327</v>
      </c>
      <c r="X249" s="31" t="s">
        <v>294</v>
      </c>
      <c r="Y249" s="31" t="s">
        <v>295</v>
      </c>
      <c r="Z249" s="31">
        <v>30312</v>
      </c>
      <c r="AA249" s="31" t="s">
        <v>328</v>
      </c>
      <c r="AB249" s="31" t="s">
        <v>297</v>
      </c>
      <c r="AC249" s="31" t="s">
        <v>404</v>
      </c>
      <c r="AD249" s="31" t="s">
        <v>329</v>
      </c>
      <c r="AE249" s="31" t="s">
        <v>330</v>
      </c>
      <c r="AF249" s="31" t="s">
        <v>331</v>
      </c>
      <c r="AI249" s="32">
        <v>44150</v>
      </c>
      <c r="AJ249" s="31">
        <v>25</v>
      </c>
      <c r="AK249" s="31">
        <v>3634</v>
      </c>
      <c r="AL249" s="31" t="s">
        <v>405</v>
      </c>
      <c r="BF249" s="31" t="s">
        <v>332</v>
      </c>
      <c r="BK249" s="31" t="s">
        <v>50</v>
      </c>
      <c r="BL249" s="31" t="s">
        <v>242</v>
      </c>
      <c r="BM249" s="31" t="s">
        <v>243</v>
      </c>
      <c r="BN249" s="33">
        <v>44201.59307091435</v>
      </c>
      <c r="BR249" s="31" t="s">
        <v>257</v>
      </c>
      <c r="BS249" s="31">
        <v>4.1205202019644498E+18</v>
      </c>
      <c r="BT249" s="31" t="s">
        <v>245</v>
      </c>
      <c r="BU249" s="31" t="s">
        <v>385</v>
      </c>
      <c r="BV249" s="31">
        <v>2020</v>
      </c>
      <c r="BW249" s="31" t="s">
        <v>246</v>
      </c>
      <c r="BY249" s="31">
        <v>4.01042021201039E+18</v>
      </c>
      <c r="BZ249" s="31" t="s">
        <v>806</v>
      </c>
      <c r="CA249" s="31" t="s">
        <v>248</v>
      </c>
    </row>
    <row r="250" spans="1:79" x14ac:dyDescent="0.2">
      <c r="A250" s="31" t="s">
        <v>316</v>
      </c>
      <c r="B250" s="31" t="s">
        <v>325</v>
      </c>
      <c r="C250" s="31">
        <v>2020</v>
      </c>
      <c r="D250" s="31" t="s">
        <v>224</v>
      </c>
      <c r="E250" s="31">
        <v>2.0201204935455299E+17</v>
      </c>
      <c r="F250" s="31" t="s">
        <v>225</v>
      </c>
      <c r="G250" s="31" t="s">
        <v>820</v>
      </c>
      <c r="H250" s="31">
        <v>1481637</v>
      </c>
      <c r="J250" s="31" t="s">
        <v>227</v>
      </c>
      <c r="K250" s="31" t="s">
        <v>228</v>
      </c>
      <c r="N250" s="31" t="s">
        <v>290</v>
      </c>
      <c r="O250" s="31" t="s">
        <v>254</v>
      </c>
      <c r="Q250" s="31" t="s">
        <v>255</v>
      </c>
      <c r="R250" s="31" t="s">
        <v>291</v>
      </c>
      <c r="T250" s="31" t="s">
        <v>292</v>
      </c>
      <c r="V250" s="31" t="s">
        <v>327</v>
      </c>
      <c r="X250" s="31" t="s">
        <v>294</v>
      </c>
      <c r="Y250" s="31" t="s">
        <v>295</v>
      </c>
      <c r="Z250" s="31">
        <v>30312</v>
      </c>
      <c r="AA250" s="31" t="s">
        <v>328</v>
      </c>
      <c r="AB250" s="31" t="s">
        <v>297</v>
      </c>
      <c r="AD250" s="31">
        <v>15</v>
      </c>
      <c r="AE250" s="31" t="s">
        <v>298</v>
      </c>
      <c r="AF250" s="31" t="s">
        <v>336</v>
      </c>
      <c r="AI250" s="32">
        <v>44134</v>
      </c>
      <c r="AJ250" s="31">
        <v>10</v>
      </c>
      <c r="AK250" s="31">
        <v>1512.2</v>
      </c>
      <c r="BF250" s="31" t="s">
        <v>332</v>
      </c>
      <c r="BK250" s="31" t="s">
        <v>50</v>
      </c>
      <c r="BL250" s="31" t="s">
        <v>242</v>
      </c>
      <c r="BM250" s="31" t="s">
        <v>243</v>
      </c>
      <c r="BN250" s="33">
        <v>44201.59743047454</v>
      </c>
      <c r="BR250" s="31" t="s">
        <v>257</v>
      </c>
      <c r="BS250" s="31">
        <v>4.1205202019644498E+18</v>
      </c>
      <c r="BT250" s="31" t="s">
        <v>245</v>
      </c>
      <c r="BU250" s="31" t="s">
        <v>337</v>
      </c>
      <c r="BV250" s="31">
        <v>2020</v>
      </c>
      <c r="BW250" s="31" t="s">
        <v>246</v>
      </c>
      <c r="BY250" s="31">
        <v>4.0104202120016701E+18</v>
      </c>
      <c r="BZ250" s="31" t="s">
        <v>821</v>
      </c>
      <c r="CA250" s="31" t="s">
        <v>248</v>
      </c>
    </row>
    <row r="251" spans="1:79" x14ac:dyDescent="0.2">
      <c r="A251" s="31" t="s">
        <v>316</v>
      </c>
      <c r="B251" s="31" t="s">
        <v>325</v>
      </c>
      <c r="C251" s="31">
        <v>2020</v>
      </c>
      <c r="D251" s="31" t="s">
        <v>224</v>
      </c>
      <c r="E251" s="31">
        <v>2.0201204935455299E+17</v>
      </c>
      <c r="F251" s="31" t="s">
        <v>225</v>
      </c>
      <c r="G251" s="31" t="s">
        <v>822</v>
      </c>
      <c r="H251" s="31">
        <v>1481637</v>
      </c>
      <c r="J251" s="31" t="s">
        <v>227</v>
      </c>
      <c r="K251" s="31" t="s">
        <v>228</v>
      </c>
      <c r="N251" s="31" t="s">
        <v>290</v>
      </c>
      <c r="O251" s="31" t="s">
        <v>254</v>
      </c>
      <c r="Q251" s="31" t="s">
        <v>255</v>
      </c>
      <c r="R251" s="31" t="s">
        <v>291</v>
      </c>
      <c r="T251" s="31" t="s">
        <v>292</v>
      </c>
      <c r="V251" s="31" t="s">
        <v>327</v>
      </c>
      <c r="X251" s="31" t="s">
        <v>294</v>
      </c>
      <c r="Y251" s="31" t="s">
        <v>295</v>
      </c>
      <c r="Z251" s="31">
        <v>30312</v>
      </c>
      <c r="AA251" s="31" t="s">
        <v>328</v>
      </c>
      <c r="AB251" s="31" t="s">
        <v>297</v>
      </c>
      <c r="AD251" s="31">
        <v>15</v>
      </c>
      <c r="AE251" s="31" t="s">
        <v>298</v>
      </c>
      <c r="AF251" s="31" t="s">
        <v>336</v>
      </c>
      <c r="AI251" s="32">
        <v>44134</v>
      </c>
      <c r="AJ251" s="31">
        <v>10</v>
      </c>
      <c r="AK251" s="31">
        <v>1512.2</v>
      </c>
      <c r="BF251" s="31" t="s">
        <v>332</v>
      </c>
      <c r="BK251" s="31" t="s">
        <v>50</v>
      </c>
      <c r="BL251" s="31" t="s">
        <v>242</v>
      </c>
      <c r="BM251" s="31" t="s">
        <v>243</v>
      </c>
      <c r="BN251" s="33">
        <v>44201.597456701391</v>
      </c>
      <c r="BR251" s="31" t="s">
        <v>257</v>
      </c>
      <c r="BS251" s="31">
        <v>4.1205202019644498E+18</v>
      </c>
      <c r="BT251" s="31" t="s">
        <v>245</v>
      </c>
      <c r="BU251" s="31" t="s">
        <v>337</v>
      </c>
      <c r="BV251" s="31">
        <v>2020</v>
      </c>
      <c r="BW251" s="31" t="s">
        <v>246</v>
      </c>
      <c r="BY251" s="31">
        <v>4.0104202120016701E+18</v>
      </c>
      <c r="BZ251" s="31" t="s">
        <v>823</v>
      </c>
      <c r="CA251" s="31" t="s">
        <v>248</v>
      </c>
    </row>
    <row r="252" spans="1:79" x14ac:dyDescent="0.2">
      <c r="A252" s="31" t="s">
        <v>316</v>
      </c>
      <c r="B252" s="31" t="s">
        <v>325</v>
      </c>
      <c r="C252" s="31">
        <v>2020</v>
      </c>
      <c r="D252" s="31" t="s">
        <v>224</v>
      </c>
      <c r="E252" s="31">
        <v>2.0201204935455299E+17</v>
      </c>
      <c r="F252" s="31" t="s">
        <v>225</v>
      </c>
      <c r="G252" s="31" t="s">
        <v>824</v>
      </c>
      <c r="H252" s="31">
        <v>1481637</v>
      </c>
      <c r="J252" s="31" t="s">
        <v>227</v>
      </c>
      <c r="K252" s="31" t="s">
        <v>228</v>
      </c>
      <c r="L252" s="31" t="s">
        <v>341</v>
      </c>
      <c r="N252" s="31" t="s">
        <v>290</v>
      </c>
      <c r="O252" s="31" t="s">
        <v>254</v>
      </c>
      <c r="Q252" s="31" t="s">
        <v>255</v>
      </c>
      <c r="R252" s="31" t="s">
        <v>291</v>
      </c>
      <c r="T252" s="31" t="s">
        <v>292</v>
      </c>
      <c r="V252" s="31" t="s">
        <v>327</v>
      </c>
      <c r="X252" s="31" t="s">
        <v>294</v>
      </c>
      <c r="Y252" s="31" t="s">
        <v>295</v>
      </c>
      <c r="Z252" s="31">
        <v>30312</v>
      </c>
      <c r="AA252" s="31" t="s">
        <v>328</v>
      </c>
      <c r="AB252" s="31" t="s">
        <v>297</v>
      </c>
      <c r="AC252" s="31" t="s">
        <v>341</v>
      </c>
      <c r="AD252" s="31" t="s">
        <v>329</v>
      </c>
      <c r="AE252" s="31" t="s">
        <v>330</v>
      </c>
      <c r="AF252" s="31" t="s">
        <v>331</v>
      </c>
      <c r="AI252" s="32">
        <v>44119</v>
      </c>
      <c r="AJ252" s="31">
        <v>100</v>
      </c>
      <c r="AK252" s="31">
        <v>2199</v>
      </c>
      <c r="BF252" s="31" t="s">
        <v>332</v>
      </c>
      <c r="BK252" s="31" t="s">
        <v>50</v>
      </c>
      <c r="BL252" s="31" t="s">
        <v>242</v>
      </c>
      <c r="BM252" s="31" t="s">
        <v>243</v>
      </c>
      <c r="BN252" s="33">
        <v>44201.606078414348</v>
      </c>
      <c r="BR252" s="31" t="s">
        <v>257</v>
      </c>
      <c r="BS252" s="31">
        <v>4.1205202019644498E+18</v>
      </c>
      <c r="BT252" s="31" t="s">
        <v>245</v>
      </c>
      <c r="BU252" s="31" t="s">
        <v>342</v>
      </c>
      <c r="BV252" s="31">
        <v>2020</v>
      </c>
      <c r="BW252" s="31" t="s">
        <v>246</v>
      </c>
      <c r="BY252" s="31">
        <v>4.01042021198978E+18</v>
      </c>
      <c r="BZ252" s="31" t="s">
        <v>825</v>
      </c>
      <c r="CA252" s="31" t="s">
        <v>248</v>
      </c>
    </row>
    <row r="253" spans="1:79" x14ac:dyDescent="0.2">
      <c r="A253" s="31" t="s">
        <v>316</v>
      </c>
      <c r="B253" s="31" t="s">
        <v>325</v>
      </c>
      <c r="C253" s="31">
        <v>2020</v>
      </c>
      <c r="D253" s="31" t="s">
        <v>224</v>
      </c>
      <c r="E253" s="31">
        <v>2.0201204935455299E+17</v>
      </c>
      <c r="F253" s="31" t="s">
        <v>225</v>
      </c>
      <c r="G253" s="31" t="s">
        <v>826</v>
      </c>
      <c r="H253" s="31">
        <v>1481637</v>
      </c>
      <c r="J253" s="31" t="s">
        <v>227</v>
      </c>
      <c r="K253" s="31" t="s">
        <v>228</v>
      </c>
      <c r="N253" s="31" t="s">
        <v>290</v>
      </c>
      <c r="O253" s="31" t="s">
        <v>254</v>
      </c>
      <c r="Q253" s="31" t="s">
        <v>255</v>
      </c>
      <c r="R253" s="31" t="s">
        <v>291</v>
      </c>
      <c r="T253" s="31" t="s">
        <v>292</v>
      </c>
      <c r="V253" s="31" t="s">
        <v>327</v>
      </c>
      <c r="X253" s="31" t="s">
        <v>294</v>
      </c>
      <c r="Y253" s="31" t="s">
        <v>295</v>
      </c>
      <c r="Z253" s="31">
        <v>30312</v>
      </c>
      <c r="AA253" s="31" t="s">
        <v>328</v>
      </c>
      <c r="AB253" s="31" t="s">
        <v>297</v>
      </c>
      <c r="AD253" s="31">
        <v>15</v>
      </c>
      <c r="AE253" s="31" t="s">
        <v>298</v>
      </c>
      <c r="AF253" s="31" t="s">
        <v>336</v>
      </c>
      <c r="AI253" s="32">
        <v>44119</v>
      </c>
      <c r="AJ253" s="31">
        <v>5</v>
      </c>
      <c r="AK253" s="31">
        <v>1512.2</v>
      </c>
      <c r="BF253" s="31" t="s">
        <v>332</v>
      </c>
      <c r="BK253" s="31" t="s">
        <v>50</v>
      </c>
      <c r="BL253" s="31" t="s">
        <v>242</v>
      </c>
      <c r="BM253" s="31" t="s">
        <v>243</v>
      </c>
      <c r="BN253" s="33">
        <v>44201.606235046296</v>
      </c>
      <c r="BR253" s="31" t="s">
        <v>257</v>
      </c>
      <c r="BS253" s="31">
        <v>4.1205202019644498E+18</v>
      </c>
      <c r="BT253" s="31" t="s">
        <v>245</v>
      </c>
      <c r="BU253" s="31" t="s">
        <v>337</v>
      </c>
      <c r="BV253" s="31">
        <v>2020</v>
      </c>
      <c r="BW253" s="31" t="s">
        <v>246</v>
      </c>
      <c r="BY253" s="31">
        <v>4.01042021198978E+18</v>
      </c>
      <c r="BZ253" s="31" t="s">
        <v>794</v>
      </c>
      <c r="CA253" s="31" t="s">
        <v>248</v>
      </c>
    </row>
    <row r="254" spans="1:79" x14ac:dyDescent="0.2">
      <c r="A254" s="31" t="s">
        <v>316</v>
      </c>
      <c r="B254" s="31" t="s">
        <v>325</v>
      </c>
      <c r="C254" s="31">
        <v>2020</v>
      </c>
      <c r="D254" s="31" t="s">
        <v>224</v>
      </c>
      <c r="E254" s="31">
        <v>2.0201204935455299E+17</v>
      </c>
      <c r="F254" s="31" t="s">
        <v>225</v>
      </c>
      <c r="G254" s="31" t="s">
        <v>827</v>
      </c>
      <c r="H254" s="31">
        <v>1481637</v>
      </c>
      <c r="J254" s="31" t="s">
        <v>227</v>
      </c>
      <c r="K254" s="31" t="s">
        <v>228</v>
      </c>
      <c r="L254" s="31" t="s">
        <v>341</v>
      </c>
      <c r="N254" s="31" t="s">
        <v>290</v>
      </c>
      <c r="O254" s="31" t="s">
        <v>254</v>
      </c>
      <c r="Q254" s="31" t="s">
        <v>255</v>
      </c>
      <c r="R254" s="31" t="s">
        <v>291</v>
      </c>
      <c r="T254" s="31" t="s">
        <v>292</v>
      </c>
      <c r="V254" s="31" t="s">
        <v>327</v>
      </c>
      <c r="X254" s="31" t="s">
        <v>294</v>
      </c>
      <c r="Y254" s="31" t="s">
        <v>295</v>
      </c>
      <c r="Z254" s="31">
        <v>30312</v>
      </c>
      <c r="AA254" s="31" t="s">
        <v>328</v>
      </c>
      <c r="AB254" s="31" t="s">
        <v>297</v>
      </c>
      <c r="AC254" s="31" t="s">
        <v>341</v>
      </c>
      <c r="AD254" s="31" t="s">
        <v>329</v>
      </c>
      <c r="AE254" s="31" t="s">
        <v>330</v>
      </c>
      <c r="AF254" s="31" t="s">
        <v>331</v>
      </c>
      <c r="AI254" s="32">
        <v>44136</v>
      </c>
      <c r="AJ254" s="31">
        <v>49</v>
      </c>
      <c r="AK254" s="31">
        <v>2199</v>
      </c>
      <c r="BF254" s="31" t="s">
        <v>332</v>
      </c>
      <c r="BK254" s="31" t="s">
        <v>50</v>
      </c>
      <c r="BL254" s="31" t="s">
        <v>242</v>
      </c>
      <c r="BM254" s="31" t="s">
        <v>243</v>
      </c>
      <c r="BN254" s="33">
        <v>44201.611542870371</v>
      </c>
      <c r="BR254" s="31" t="s">
        <v>257</v>
      </c>
      <c r="BS254" s="31">
        <v>4.1205202019644498E+18</v>
      </c>
      <c r="BT254" s="31" t="s">
        <v>245</v>
      </c>
      <c r="BU254" s="31" t="s">
        <v>342</v>
      </c>
      <c r="BV254" s="31">
        <v>2020</v>
      </c>
      <c r="BW254" s="31" t="s">
        <v>246</v>
      </c>
      <c r="BY254" s="31">
        <v>4.01042021200371E+18</v>
      </c>
      <c r="BZ254" s="31" t="s">
        <v>828</v>
      </c>
      <c r="CA254" s="31" t="s">
        <v>248</v>
      </c>
    </row>
    <row r="255" spans="1:79" x14ac:dyDescent="0.2">
      <c r="A255" s="31" t="s">
        <v>316</v>
      </c>
      <c r="B255" s="31" t="s">
        <v>325</v>
      </c>
      <c r="C255" s="31">
        <v>2020</v>
      </c>
      <c r="D255" s="31" t="s">
        <v>224</v>
      </c>
      <c r="E255" s="31">
        <v>2.0201204935455299E+17</v>
      </c>
      <c r="F255" s="31" t="s">
        <v>225</v>
      </c>
      <c r="G255" s="31" t="s">
        <v>829</v>
      </c>
      <c r="H255" s="31">
        <v>1481637</v>
      </c>
      <c r="J255" s="31" t="s">
        <v>227</v>
      </c>
      <c r="K255" s="31" t="s">
        <v>228</v>
      </c>
      <c r="L255" s="31" t="s">
        <v>404</v>
      </c>
      <c r="N255" s="31" t="s">
        <v>290</v>
      </c>
      <c r="O255" s="31" t="s">
        <v>254</v>
      </c>
      <c r="Q255" s="31" t="s">
        <v>255</v>
      </c>
      <c r="R255" s="31" t="s">
        <v>291</v>
      </c>
      <c r="T255" s="31" t="s">
        <v>292</v>
      </c>
      <c r="V255" s="31" t="s">
        <v>327</v>
      </c>
      <c r="X255" s="31" t="s">
        <v>294</v>
      </c>
      <c r="Y255" s="31" t="s">
        <v>295</v>
      </c>
      <c r="Z255" s="31">
        <v>30312</v>
      </c>
      <c r="AA255" s="31" t="s">
        <v>328</v>
      </c>
      <c r="AB255" s="31" t="s">
        <v>297</v>
      </c>
      <c r="AC255" s="31" t="s">
        <v>404</v>
      </c>
      <c r="AD255" s="31" t="s">
        <v>329</v>
      </c>
      <c r="AE255" s="31" t="s">
        <v>330</v>
      </c>
      <c r="AF255" s="31" t="s">
        <v>331</v>
      </c>
      <c r="AI255" s="32">
        <v>44136</v>
      </c>
      <c r="AJ255" s="31">
        <v>49</v>
      </c>
      <c r="AK255" s="31">
        <v>3634</v>
      </c>
      <c r="AL255" s="31" t="s">
        <v>405</v>
      </c>
      <c r="BF255" s="31" t="s">
        <v>332</v>
      </c>
      <c r="BK255" s="31" t="s">
        <v>50</v>
      </c>
      <c r="BL255" s="31" t="s">
        <v>242</v>
      </c>
      <c r="BM255" s="31" t="s">
        <v>243</v>
      </c>
      <c r="BN255" s="33">
        <v>44201.611542870371</v>
      </c>
      <c r="BR255" s="31" t="s">
        <v>257</v>
      </c>
      <c r="BS255" s="31">
        <v>4.1205202019644498E+18</v>
      </c>
      <c r="BT255" s="31" t="s">
        <v>245</v>
      </c>
      <c r="BU255" s="31" t="s">
        <v>385</v>
      </c>
      <c r="BV255" s="31">
        <v>2020</v>
      </c>
      <c r="BW255" s="31" t="s">
        <v>246</v>
      </c>
      <c r="BY255" s="31">
        <v>4.01042021200371E+18</v>
      </c>
      <c r="BZ255" s="31" t="s">
        <v>828</v>
      </c>
      <c r="CA255" s="31" t="s">
        <v>248</v>
      </c>
    </row>
    <row r="256" spans="1:79" x14ac:dyDescent="0.2">
      <c r="A256" s="31" t="s">
        <v>316</v>
      </c>
      <c r="B256" s="31" t="s">
        <v>325</v>
      </c>
      <c r="C256" s="31">
        <v>2020</v>
      </c>
      <c r="D256" s="31" t="s">
        <v>224</v>
      </c>
      <c r="E256" s="31">
        <v>2.0201204935455299E+17</v>
      </c>
      <c r="F256" s="31" t="s">
        <v>225</v>
      </c>
      <c r="G256" s="31" t="s">
        <v>830</v>
      </c>
      <c r="H256" s="31">
        <v>1481637</v>
      </c>
      <c r="J256" s="31" t="s">
        <v>227</v>
      </c>
      <c r="K256" s="31" t="s">
        <v>228</v>
      </c>
      <c r="N256" s="31" t="s">
        <v>290</v>
      </c>
      <c r="O256" s="31" t="s">
        <v>254</v>
      </c>
      <c r="Q256" s="31" t="s">
        <v>255</v>
      </c>
      <c r="R256" s="31" t="s">
        <v>291</v>
      </c>
      <c r="T256" s="31" t="s">
        <v>292</v>
      </c>
      <c r="V256" s="31" t="s">
        <v>327</v>
      </c>
      <c r="X256" s="31" t="s">
        <v>294</v>
      </c>
      <c r="Y256" s="31" t="s">
        <v>295</v>
      </c>
      <c r="Z256" s="31">
        <v>30312</v>
      </c>
      <c r="AA256" s="31" t="s">
        <v>328</v>
      </c>
      <c r="AB256" s="31" t="s">
        <v>297</v>
      </c>
      <c r="AD256" s="31">
        <v>15</v>
      </c>
      <c r="AE256" s="31" t="s">
        <v>298</v>
      </c>
      <c r="AF256" s="31" t="s">
        <v>336</v>
      </c>
      <c r="AI256" s="32">
        <v>44136</v>
      </c>
      <c r="AJ256" s="31">
        <v>9.8000000000000007</v>
      </c>
      <c r="AK256" s="31">
        <v>1512.2</v>
      </c>
      <c r="BF256" s="31" t="s">
        <v>332</v>
      </c>
      <c r="BK256" s="31" t="s">
        <v>50</v>
      </c>
      <c r="BL256" s="31" t="s">
        <v>242</v>
      </c>
      <c r="BM256" s="31" t="s">
        <v>243</v>
      </c>
      <c r="BN256" s="33">
        <v>44201.611651122686</v>
      </c>
      <c r="BR256" s="31" t="s">
        <v>257</v>
      </c>
      <c r="BS256" s="31">
        <v>4.1205202019644498E+18</v>
      </c>
      <c r="BT256" s="31" t="s">
        <v>245</v>
      </c>
      <c r="BU256" s="31" t="s">
        <v>337</v>
      </c>
      <c r="BV256" s="31">
        <v>2020</v>
      </c>
      <c r="BW256" s="31" t="s">
        <v>246</v>
      </c>
      <c r="BY256" s="31">
        <v>4.01042021200371E+18</v>
      </c>
      <c r="BZ256" s="31" t="s">
        <v>828</v>
      </c>
      <c r="CA256" s="31" t="s">
        <v>248</v>
      </c>
    </row>
    <row r="257" spans="1:79" x14ac:dyDescent="0.2">
      <c r="A257" s="31" t="s">
        <v>316</v>
      </c>
      <c r="B257" s="31" t="s">
        <v>325</v>
      </c>
      <c r="C257" s="31">
        <v>2020</v>
      </c>
      <c r="D257" s="31" t="s">
        <v>224</v>
      </c>
      <c r="E257" s="31">
        <v>2.0201204935455299E+17</v>
      </c>
      <c r="F257" s="31" t="s">
        <v>225</v>
      </c>
      <c r="G257" s="31" t="s">
        <v>831</v>
      </c>
      <c r="H257" s="31">
        <v>1481637</v>
      </c>
      <c r="J257" s="31" t="s">
        <v>227</v>
      </c>
      <c r="K257" s="31" t="s">
        <v>228</v>
      </c>
      <c r="L257" s="31" t="s">
        <v>320</v>
      </c>
      <c r="N257" s="31" t="s">
        <v>290</v>
      </c>
      <c r="O257" s="31" t="s">
        <v>254</v>
      </c>
      <c r="Q257" s="31" t="s">
        <v>255</v>
      </c>
      <c r="R257" s="31" t="s">
        <v>291</v>
      </c>
      <c r="T257" s="31" t="s">
        <v>292</v>
      </c>
      <c r="V257" s="31" t="s">
        <v>327</v>
      </c>
      <c r="X257" s="31" t="s">
        <v>294</v>
      </c>
      <c r="Y257" s="31" t="s">
        <v>295</v>
      </c>
      <c r="Z257" s="31">
        <v>30312</v>
      </c>
      <c r="AA257" s="31" t="s">
        <v>328</v>
      </c>
      <c r="AB257" s="31" t="s">
        <v>297</v>
      </c>
      <c r="AC257" s="31" t="s">
        <v>320</v>
      </c>
      <c r="AD257" s="31" t="s">
        <v>329</v>
      </c>
      <c r="AE257" s="31" t="s">
        <v>330</v>
      </c>
      <c r="AF257" s="31" t="s">
        <v>331</v>
      </c>
      <c r="AI257" s="32">
        <v>44135</v>
      </c>
      <c r="AJ257" s="31">
        <v>100</v>
      </c>
      <c r="AK257" s="31">
        <v>1779</v>
      </c>
      <c r="BF257" s="31" t="s">
        <v>332</v>
      </c>
      <c r="BK257" s="31" t="s">
        <v>50</v>
      </c>
      <c r="BL257" s="31" t="s">
        <v>242</v>
      </c>
      <c r="BM257" s="31" t="s">
        <v>243</v>
      </c>
      <c r="BN257" s="33">
        <v>44201.61197510417</v>
      </c>
      <c r="BR257" s="31" t="s">
        <v>257</v>
      </c>
      <c r="BS257" s="31">
        <v>4.1205202019644498E+18</v>
      </c>
      <c r="BT257" s="31" t="s">
        <v>245</v>
      </c>
      <c r="BU257" s="31" t="s">
        <v>354</v>
      </c>
      <c r="BV257" s="31">
        <v>2020</v>
      </c>
      <c r="BW257" s="31" t="s">
        <v>246</v>
      </c>
      <c r="BY257" s="31">
        <v>4.0104202120030198E+18</v>
      </c>
      <c r="BZ257" s="31" t="s">
        <v>832</v>
      </c>
      <c r="CA257" s="31" t="s">
        <v>248</v>
      </c>
    </row>
    <row r="258" spans="1:79" x14ac:dyDescent="0.2">
      <c r="A258" s="31" t="s">
        <v>316</v>
      </c>
      <c r="B258" s="31" t="s">
        <v>325</v>
      </c>
      <c r="C258" s="31">
        <v>2020</v>
      </c>
      <c r="D258" s="31" t="s">
        <v>224</v>
      </c>
      <c r="E258" s="31">
        <v>2.0201204935455299E+17</v>
      </c>
      <c r="F258" s="31" t="s">
        <v>225</v>
      </c>
      <c r="G258" s="31" t="s">
        <v>833</v>
      </c>
      <c r="H258" s="31">
        <v>1481637</v>
      </c>
      <c r="J258" s="31" t="s">
        <v>227</v>
      </c>
      <c r="K258" s="31" t="s">
        <v>228</v>
      </c>
      <c r="N258" s="31" t="s">
        <v>290</v>
      </c>
      <c r="O258" s="31" t="s">
        <v>254</v>
      </c>
      <c r="Q258" s="31" t="s">
        <v>255</v>
      </c>
      <c r="R258" s="31" t="s">
        <v>291</v>
      </c>
      <c r="T258" s="31" t="s">
        <v>292</v>
      </c>
      <c r="V258" s="31" t="s">
        <v>327</v>
      </c>
      <c r="X258" s="31" t="s">
        <v>294</v>
      </c>
      <c r="Y258" s="31" t="s">
        <v>295</v>
      </c>
      <c r="Z258" s="31">
        <v>30312</v>
      </c>
      <c r="AA258" s="31" t="s">
        <v>328</v>
      </c>
      <c r="AB258" s="31" t="s">
        <v>297</v>
      </c>
      <c r="AD258" s="31">
        <v>15</v>
      </c>
      <c r="AE258" s="31" t="s">
        <v>298</v>
      </c>
      <c r="AF258" s="31" t="s">
        <v>336</v>
      </c>
      <c r="AI258" s="32">
        <v>44135</v>
      </c>
      <c r="AJ258" s="31">
        <v>10</v>
      </c>
      <c r="AK258" s="31">
        <v>1512.2</v>
      </c>
      <c r="BF258" s="31" t="s">
        <v>332</v>
      </c>
      <c r="BK258" s="31" t="s">
        <v>50</v>
      </c>
      <c r="BL258" s="31" t="s">
        <v>242</v>
      </c>
      <c r="BM258" s="31" t="s">
        <v>243</v>
      </c>
      <c r="BN258" s="33">
        <v>44201.612088958333</v>
      </c>
      <c r="BR258" s="31" t="s">
        <v>257</v>
      </c>
      <c r="BS258" s="31">
        <v>4.1205202019644498E+18</v>
      </c>
      <c r="BT258" s="31" t="s">
        <v>245</v>
      </c>
      <c r="BU258" s="31" t="s">
        <v>337</v>
      </c>
      <c r="BV258" s="31">
        <v>2020</v>
      </c>
      <c r="BW258" s="31" t="s">
        <v>246</v>
      </c>
      <c r="BY258" s="31">
        <v>4.0104202120030198E+18</v>
      </c>
      <c r="BZ258" s="31" t="s">
        <v>832</v>
      </c>
      <c r="CA258" s="31" t="s">
        <v>248</v>
      </c>
    </row>
    <row r="259" spans="1:79" x14ac:dyDescent="0.2">
      <c r="A259" s="31" t="s">
        <v>316</v>
      </c>
      <c r="B259" s="31" t="s">
        <v>325</v>
      </c>
      <c r="C259" s="31">
        <v>2020</v>
      </c>
      <c r="D259" s="31" t="s">
        <v>224</v>
      </c>
      <c r="E259" s="31">
        <v>2.0201204935455299E+17</v>
      </c>
      <c r="F259" s="31" t="s">
        <v>225</v>
      </c>
      <c r="G259" s="31" t="s">
        <v>834</v>
      </c>
      <c r="H259" s="31">
        <v>1481637</v>
      </c>
      <c r="J259" s="31" t="s">
        <v>227</v>
      </c>
      <c r="K259" s="31" t="s">
        <v>228</v>
      </c>
      <c r="L259" s="31" t="s">
        <v>341</v>
      </c>
      <c r="N259" s="31" t="s">
        <v>290</v>
      </c>
      <c r="O259" s="31" t="s">
        <v>254</v>
      </c>
      <c r="Q259" s="31" t="s">
        <v>255</v>
      </c>
      <c r="R259" s="31" t="s">
        <v>291</v>
      </c>
      <c r="T259" s="31" t="s">
        <v>292</v>
      </c>
      <c r="V259" s="31" t="s">
        <v>327</v>
      </c>
      <c r="X259" s="31" t="s">
        <v>294</v>
      </c>
      <c r="Y259" s="31" t="s">
        <v>295</v>
      </c>
      <c r="Z259" s="31">
        <v>30312</v>
      </c>
      <c r="AA259" s="31" t="s">
        <v>328</v>
      </c>
      <c r="AB259" s="31" t="s">
        <v>297</v>
      </c>
      <c r="AC259" s="31" t="s">
        <v>341</v>
      </c>
      <c r="AD259" s="31" t="s">
        <v>329</v>
      </c>
      <c r="AE259" s="31" t="s">
        <v>330</v>
      </c>
      <c r="AF259" s="31" t="s">
        <v>331</v>
      </c>
      <c r="AI259" s="32">
        <v>44135</v>
      </c>
      <c r="AJ259" s="31">
        <v>50</v>
      </c>
      <c r="AK259" s="31">
        <v>2199</v>
      </c>
      <c r="BF259" s="31" t="s">
        <v>332</v>
      </c>
      <c r="BK259" s="31" t="s">
        <v>50</v>
      </c>
      <c r="BL259" s="31" t="s">
        <v>242</v>
      </c>
      <c r="BM259" s="31" t="s">
        <v>243</v>
      </c>
      <c r="BN259" s="33">
        <v>44201.612141747682</v>
      </c>
      <c r="BR259" s="31" t="s">
        <v>257</v>
      </c>
      <c r="BS259" s="31">
        <v>4.1205202019644498E+18</v>
      </c>
      <c r="BT259" s="31" t="s">
        <v>245</v>
      </c>
      <c r="BU259" s="31" t="s">
        <v>342</v>
      </c>
      <c r="BV259" s="31">
        <v>2020</v>
      </c>
      <c r="BW259" s="31" t="s">
        <v>246</v>
      </c>
      <c r="BY259" s="31">
        <v>4.0104202120030198E+18</v>
      </c>
      <c r="BZ259" s="31" t="s">
        <v>821</v>
      </c>
      <c r="CA259" s="31" t="s">
        <v>248</v>
      </c>
    </row>
    <row r="260" spans="1:79" x14ac:dyDescent="0.2">
      <c r="A260" s="31" t="s">
        <v>316</v>
      </c>
      <c r="B260" s="31" t="s">
        <v>325</v>
      </c>
      <c r="C260" s="31">
        <v>2020</v>
      </c>
      <c r="D260" s="31" t="s">
        <v>224</v>
      </c>
      <c r="E260" s="31">
        <v>2.0201204935455299E+17</v>
      </c>
      <c r="F260" s="31" t="s">
        <v>225</v>
      </c>
      <c r="G260" s="31" t="s">
        <v>835</v>
      </c>
      <c r="H260" s="31">
        <v>1481637</v>
      </c>
      <c r="J260" s="31" t="s">
        <v>227</v>
      </c>
      <c r="K260" s="31" t="s">
        <v>228</v>
      </c>
      <c r="N260" s="31" t="s">
        <v>290</v>
      </c>
      <c r="O260" s="31" t="s">
        <v>254</v>
      </c>
      <c r="Q260" s="31" t="s">
        <v>255</v>
      </c>
      <c r="R260" s="31" t="s">
        <v>291</v>
      </c>
      <c r="T260" s="31" t="s">
        <v>292</v>
      </c>
      <c r="V260" s="31" t="s">
        <v>327</v>
      </c>
      <c r="X260" s="31" t="s">
        <v>294</v>
      </c>
      <c r="Y260" s="31" t="s">
        <v>295</v>
      </c>
      <c r="Z260" s="31">
        <v>30312</v>
      </c>
      <c r="AA260" s="31" t="s">
        <v>328</v>
      </c>
      <c r="AB260" s="31" t="s">
        <v>297</v>
      </c>
      <c r="AD260" s="31">
        <v>15</v>
      </c>
      <c r="AE260" s="31" t="s">
        <v>298</v>
      </c>
      <c r="AF260" s="31" t="s">
        <v>336</v>
      </c>
      <c r="AI260" s="32">
        <v>44135</v>
      </c>
      <c r="AJ260" s="31">
        <v>5</v>
      </c>
      <c r="AK260" s="31">
        <v>1512.2</v>
      </c>
      <c r="BF260" s="31" t="s">
        <v>332</v>
      </c>
      <c r="BK260" s="31" t="s">
        <v>50</v>
      </c>
      <c r="BL260" s="31" t="s">
        <v>242</v>
      </c>
      <c r="BM260" s="31" t="s">
        <v>243</v>
      </c>
      <c r="BN260" s="33">
        <v>44201.612351400465</v>
      </c>
      <c r="BR260" s="31" t="s">
        <v>257</v>
      </c>
      <c r="BS260" s="31">
        <v>4.1205202019644498E+18</v>
      </c>
      <c r="BT260" s="31" t="s">
        <v>245</v>
      </c>
      <c r="BU260" s="31" t="s">
        <v>337</v>
      </c>
      <c r="BV260" s="31">
        <v>2020</v>
      </c>
      <c r="BW260" s="31" t="s">
        <v>246</v>
      </c>
      <c r="BY260" s="31">
        <v>4.01042021200303E+18</v>
      </c>
      <c r="BZ260" s="31" t="s">
        <v>821</v>
      </c>
      <c r="CA260" s="31" t="s">
        <v>248</v>
      </c>
    </row>
    <row r="261" spans="1:79" x14ac:dyDescent="0.2">
      <c r="A261" s="31" t="s">
        <v>316</v>
      </c>
      <c r="B261" s="31" t="s">
        <v>325</v>
      </c>
      <c r="C261" s="31">
        <v>2020</v>
      </c>
      <c r="D261" s="31" t="s">
        <v>224</v>
      </c>
      <c r="E261" s="31">
        <v>2.0201204935455299E+17</v>
      </c>
      <c r="F261" s="31" t="s">
        <v>225</v>
      </c>
      <c r="G261" s="31" t="s">
        <v>836</v>
      </c>
      <c r="H261" s="31">
        <v>1481637</v>
      </c>
      <c r="J261" s="31" t="s">
        <v>227</v>
      </c>
      <c r="K261" s="31" t="s">
        <v>228</v>
      </c>
      <c r="L261" s="31" t="s">
        <v>341</v>
      </c>
      <c r="N261" s="31" t="s">
        <v>290</v>
      </c>
      <c r="O261" s="31" t="s">
        <v>254</v>
      </c>
      <c r="Q261" s="31" t="s">
        <v>255</v>
      </c>
      <c r="R261" s="31" t="s">
        <v>291</v>
      </c>
      <c r="T261" s="31" t="s">
        <v>292</v>
      </c>
      <c r="V261" s="31" t="s">
        <v>327</v>
      </c>
      <c r="X261" s="31" t="s">
        <v>294</v>
      </c>
      <c r="Y261" s="31" t="s">
        <v>295</v>
      </c>
      <c r="Z261" s="31">
        <v>30312</v>
      </c>
      <c r="AA261" s="31" t="s">
        <v>328</v>
      </c>
      <c r="AB261" s="31" t="s">
        <v>297</v>
      </c>
      <c r="AC261" s="31" t="s">
        <v>341</v>
      </c>
      <c r="AD261" s="31" t="s">
        <v>329</v>
      </c>
      <c r="AE261" s="31" t="s">
        <v>330</v>
      </c>
      <c r="AF261" s="31" t="s">
        <v>331</v>
      </c>
      <c r="AI261" s="32">
        <v>44137</v>
      </c>
      <c r="AJ261" s="31">
        <v>50</v>
      </c>
      <c r="AK261" s="31">
        <v>2199</v>
      </c>
      <c r="BF261" s="31" t="s">
        <v>332</v>
      </c>
      <c r="BK261" s="31" t="s">
        <v>50</v>
      </c>
      <c r="BL261" s="31" t="s">
        <v>242</v>
      </c>
      <c r="BM261" s="31" t="s">
        <v>243</v>
      </c>
      <c r="BN261" s="33">
        <v>44201.621686516206</v>
      </c>
      <c r="BR261" s="31" t="s">
        <v>257</v>
      </c>
      <c r="BS261" s="31">
        <v>4.1205202019644498E+18</v>
      </c>
      <c r="BT261" s="31" t="s">
        <v>245</v>
      </c>
      <c r="BU261" s="31" t="s">
        <v>342</v>
      </c>
      <c r="BV261" s="31">
        <v>2020</v>
      </c>
      <c r="BW261" s="31" t="s">
        <v>246</v>
      </c>
      <c r="BY261" s="31">
        <v>4.0104202120048502E+18</v>
      </c>
      <c r="BZ261" s="31" t="s">
        <v>837</v>
      </c>
      <c r="CA261" s="31" t="s">
        <v>248</v>
      </c>
    </row>
    <row r="262" spans="1:79" x14ac:dyDescent="0.2">
      <c r="A262" s="31" t="s">
        <v>316</v>
      </c>
      <c r="B262" s="31" t="s">
        <v>325</v>
      </c>
      <c r="C262" s="31">
        <v>2020</v>
      </c>
      <c r="D262" s="31" t="s">
        <v>224</v>
      </c>
      <c r="E262" s="31">
        <v>2.0201204935455299E+17</v>
      </c>
      <c r="F262" s="31" t="s">
        <v>225</v>
      </c>
      <c r="G262" s="31" t="s">
        <v>838</v>
      </c>
      <c r="H262" s="31">
        <v>1481637</v>
      </c>
      <c r="J262" s="31" t="s">
        <v>227</v>
      </c>
      <c r="K262" s="31" t="s">
        <v>228</v>
      </c>
      <c r="L262" s="31" t="s">
        <v>320</v>
      </c>
      <c r="N262" s="31" t="s">
        <v>290</v>
      </c>
      <c r="O262" s="31" t="s">
        <v>254</v>
      </c>
      <c r="Q262" s="31" t="s">
        <v>255</v>
      </c>
      <c r="R262" s="31" t="s">
        <v>291</v>
      </c>
      <c r="T262" s="31" t="s">
        <v>292</v>
      </c>
      <c r="V262" s="31" t="s">
        <v>327</v>
      </c>
      <c r="X262" s="31" t="s">
        <v>294</v>
      </c>
      <c r="Y262" s="31" t="s">
        <v>295</v>
      </c>
      <c r="Z262" s="31">
        <v>30312</v>
      </c>
      <c r="AA262" s="31" t="s">
        <v>328</v>
      </c>
      <c r="AB262" s="31" t="s">
        <v>297</v>
      </c>
      <c r="AC262" s="31" t="s">
        <v>320</v>
      </c>
      <c r="AD262" s="31" t="s">
        <v>329</v>
      </c>
      <c r="AE262" s="31" t="s">
        <v>330</v>
      </c>
      <c r="AF262" s="31" t="s">
        <v>331</v>
      </c>
      <c r="AI262" s="32">
        <v>44126</v>
      </c>
      <c r="AJ262" s="31">
        <v>100</v>
      </c>
      <c r="AK262" s="31">
        <v>1779</v>
      </c>
      <c r="BF262" s="31" t="s">
        <v>332</v>
      </c>
      <c r="BK262" s="31" t="s">
        <v>50</v>
      </c>
      <c r="BL262" s="31" t="s">
        <v>242</v>
      </c>
      <c r="BM262" s="31" t="s">
        <v>243</v>
      </c>
      <c r="BN262" s="33">
        <v>44201.621929108798</v>
      </c>
      <c r="BR262" s="31" t="s">
        <v>257</v>
      </c>
      <c r="BS262" s="31">
        <v>4.1205202019644498E+18</v>
      </c>
      <c r="BT262" s="31" t="s">
        <v>245</v>
      </c>
      <c r="BU262" s="31" t="s">
        <v>354</v>
      </c>
      <c r="BV262" s="31">
        <v>2020</v>
      </c>
      <c r="BW262" s="31" t="s">
        <v>246</v>
      </c>
      <c r="BY262" s="31">
        <v>4.0104202119945001E+18</v>
      </c>
      <c r="BZ262" s="31" t="s">
        <v>839</v>
      </c>
      <c r="CA262" s="31" t="s">
        <v>248</v>
      </c>
    </row>
    <row r="263" spans="1:79" x14ac:dyDescent="0.2">
      <c r="A263" s="31" t="s">
        <v>316</v>
      </c>
      <c r="B263" s="31" t="s">
        <v>325</v>
      </c>
      <c r="C263" s="31">
        <v>2020</v>
      </c>
      <c r="D263" s="31" t="s">
        <v>224</v>
      </c>
      <c r="E263" s="31">
        <v>2.0201204935455299E+17</v>
      </c>
      <c r="F263" s="31" t="s">
        <v>225</v>
      </c>
      <c r="G263" s="31" t="s">
        <v>840</v>
      </c>
      <c r="H263" s="31">
        <v>1481637</v>
      </c>
      <c r="J263" s="31" t="s">
        <v>227</v>
      </c>
      <c r="K263" s="31" t="s">
        <v>228</v>
      </c>
      <c r="N263" s="31" t="s">
        <v>290</v>
      </c>
      <c r="O263" s="31" t="s">
        <v>254</v>
      </c>
      <c r="Q263" s="31" t="s">
        <v>255</v>
      </c>
      <c r="R263" s="31" t="s">
        <v>291</v>
      </c>
      <c r="T263" s="31" t="s">
        <v>292</v>
      </c>
      <c r="V263" s="31" t="s">
        <v>327</v>
      </c>
      <c r="X263" s="31" t="s">
        <v>294</v>
      </c>
      <c r="Y263" s="31" t="s">
        <v>295</v>
      </c>
      <c r="Z263" s="31">
        <v>30312</v>
      </c>
      <c r="AA263" s="31" t="s">
        <v>328</v>
      </c>
      <c r="AB263" s="31" t="s">
        <v>297</v>
      </c>
      <c r="AD263" s="31">
        <v>15</v>
      </c>
      <c r="AE263" s="31" t="s">
        <v>298</v>
      </c>
      <c r="AF263" s="31" t="s">
        <v>336</v>
      </c>
      <c r="AI263" s="32">
        <v>44126</v>
      </c>
      <c r="AJ263" s="31">
        <v>10</v>
      </c>
      <c r="AK263" s="31">
        <v>1512.2</v>
      </c>
      <c r="BF263" s="31" t="s">
        <v>332</v>
      </c>
      <c r="BK263" s="31" t="s">
        <v>50</v>
      </c>
      <c r="BL263" s="31" t="s">
        <v>242</v>
      </c>
      <c r="BM263" s="31" t="s">
        <v>243</v>
      </c>
      <c r="BN263" s="33">
        <v>44201.621980185184</v>
      </c>
      <c r="BR263" s="31" t="s">
        <v>257</v>
      </c>
      <c r="BS263" s="31">
        <v>4.1205202019644498E+18</v>
      </c>
      <c r="BT263" s="31" t="s">
        <v>245</v>
      </c>
      <c r="BU263" s="31" t="s">
        <v>337</v>
      </c>
      <c r="BV263" s="31">
        <v>2020</v>
      </c>
      <c r="BW263" s="31" t="s">
        <v>246</v>
      </c>
      <c r="BY263" s="31">
        <v>4.0104202119945001E+18</v>
      </c>
      <c r="BZ263" s="31" t="s">
        <v>839</v>
      </c>
      <c r="CA263" s="31" t="s">
        <v>248</v>
      </c>
    </row>
    <row r="264" spans="1:79" x14ac:dyDescent="0.2">
      <c r="A264" s="31" t="s">
        <v>316</v>
      </c>
      <c r="B264" s="31" t="s">
        <v>325</v>
      </c>
      <c r="C264" s="31">
        <v>2020</v>
      </c>
      <c r="D264" s="31" t="s">
        <v>224</v>
      </c>
      <c r="E264" s="31">
        <v>2.0201204935455299E+17</v>
      </c>
      <c r="F264" s="31" t="s">
        <v>225</v>
      </c>
      <c r="G264" s="31" t="s">
        <v>841</v>
      </c>
      <c r="H264" s="31">
        <v>1481637</v>
      </c>
      <c r="J264" s="31" t="s">
        <v>227</v>
      </c>
      <c r="K264" s="31" t="s">
        <v>228</v>
      </c>
      <c r="L264" s="31" t="s">
        <v>341</v>
      </c>
      <c r="N264" s="31" t="s">
        <v>290</v>
      </c>
      <c r="O264" s="31" t="s">
        <v>254</v>
      </c>
      <c r="Q264" s="31" t="s">
        <v>255</v>
      </c>
      <c r="R264" s="31" t="s">
        <v>291</v>
      </c>
      <c r="T264" s="31" t="s">
        <v>292</v>
      </c>
      <c r="V264" s="31" t="s">
        <v>327</v>
      </c>
      <c r="X264" s="31" t="s">
        <v>294</v>
      </c>
      <c r="Y264" s="31" t="s">
        <v>295</v>
      </c>
      <c r="Z264" s="31">
        <v>30312</v>
      </c>
      <c r="AA264" s="31" t="s">
        <v>328</v>
      </c>
      <c r="AB264" s="31" t="s">
        <v>297</v>
      </c>
      <c r="AC264" s="31" t="s">
        <v>341</v>
      </c>
      <c r="AD264" s="31" t="s">
        <v>329</v>
      </c>
      <c r="AE264" s="31" t="s">
        <v>330</v>
      </c>
      <c r="AF264" s="31" t="s">
        <v>331</v>
      </c>
      <c r="AI264" s="32">
        <v>44137</v>
      </c>
      <c r="AJ264" s="31">
        <v>100</v>
      </c>
      <c r="AK264" s="31">
        <v>2199</v>
      </c>
      <c r="BF264" s="31" t="s">
        <v>332</v>
      </c>
      <c r="BK264" s="31" t="s">
        <v>50</v>
      </c>
      <c r="BL264" s="31" t="s">
        <v>242</v>
      </c>
      <c r="BM264" s="31" t="s">
        <v>243</v>
      </c>
      <c r="BN264" s="33">
        <v>44201.625357280092</v>
      </c>
      <c r="BR264" s="31" t="s">
        <v>257</v>
      </c>
      <c r="BS264" s="31">
        <v>4.1205202019644498E+18</v>
      </c>
      <c r="BT264" s="31" t="s">
        <v>245</v>
      </c>
      <c r="BU264" s="31" t="s">
        <v>342</v>
      </c>
      <c r="BV264" s="31">
        <v>2020</v>
      </c>
      <c r="BW264" s="31" t="s">
        <v>246</v>
      </c>
      <c r="BY264" s="31">
        <v>4.0104202120048502E+18</v>
      </c>
      <c r="BZ264" s="31" t="s">
        <v>837</v>
      </c>
      <c r="CA264" s="31" t="s">
        <v>248</v>
      </c>
    </row>
    <row r="265" spans="1:79" x14ac:dyDescent="0.2">
      <c r="A265" s="31" t="s">
        <v>316</v>
      </c>
      <c r="B265" s="31" t="s">
        <v>325</v>
      </c>
      <c r="C265" s="31">
        <v>2020</v>
      </c>
      <c r="D265" s="31" t="s">
        <v>224</v>
      </c>
      <c r="E265" s="31">
        <v>2.0201204935455299E+17</v>
      </c>
      <c r="F265" s="31" t="s">
        <v>225</v>
      </c>
      <c r="G265" s="31" t="s">
        <v>842</v>
      </c>
      <c r="H265" s="31">
        <v>1481637</v>
      </c>
      <c r="J265" s="31" t="s">
        <v>227</v>
      </c>
      <c r="K265" s="31" t="s">
        <v>228</v>
      </c>
      <c r="N265" s="31" t="s">
        <v>290</v>
      </c>
      <c r="O265" s="31" t="s">
        <v>254</v>
      </c>
      <c r="Q265" s="31" t="s">
        <v>255</v>
      </c>
      <c r="R265" s="31" t="s">
        <v>291</v>
      </c>
      <c r="T265" s="31" t="s">
        <v>292</v>
      </c>
      <c r="V265" s="31" t="s">
        <v>327</v>
      </c>
      <c r="X265" s="31" t="s">
        <v>294</v>
      </c>
      <c r="Y265" s="31" t="s">
        <v>295</v>
      </c>
      <c r="Z265" s="31">
        <v>30312</v>
      </c>
      <c r="AA265" s="31" t="s">
        <v>328</v>
      </c>
      <c r="AB265" s="31" t="s">
        <v>297</v>
      </c>
      <c r="AD265" s="31">
        <v>15</v>
      </c>
      <c r="AE265" s="31" t="s">
        <v>298</v>
      </c>
      <c r="AF265" s="31" t="s">
        <v>336</v>
      </c>
      <c r="AI265" s="32">
        <v>44137</v>
      </c>
      <c r="AJ265" s="31">
        <v>5</v>
      </c>
      <c r="AK265" s="31">
        <v>1512.2</v>
      </c>
      <c r="BF265" s="31" t="s">
        <v>332</v>
      </c>
      <c r="BK265" s="31" t="s">
        <v>50</v>
      </c>
      <c r="BL265" s="31" t="s">
        <v>242</v>
      </c>
      <c r="BM265" s="31" t="s">
        <v>243</v>
      </c>
      <c r="BN265" s="33">
        <v>44201.625357349534</v>
      </c>
      <c r="BR265" s="31" t="s">
        <v>257</v>
      </c>
      <c r="BS265" s="31">
        <v>4.1205202019644498E+18</v>
      </c>
      <c r="BT265" s="31" t="s">
        <v>245</v>
      </c>
      <c r="BU265" s="31" t="s">
        <v>337</v>
      </c>
      <c r="BV265" s="31">
        <v>2020</v>
      </c>
      <c r="BW265" s="31" t="s">
        <v>246</v>
      </c>
      <c r="BY265" s="31">
        <v>4.0104202120048502E+18</v>
      </c>
      <c r="BZ265" s="31" t="s">
        <v>837</v>
      </c>
      <c r="CA265" s="31" t="s">
        <v>248</v>
      </c>
    </row>
    <row r="266" spans="1:79" x14ac:dyDescent="0.2">
      <c r="A266" s="31" t="s">
        <v>316</v>
      </c>
      <c r="B266" s="31" t="s">
        <v>325</v>
      </c>
      <c r="C266" s="31">
        <v>2020</v>
      </c>
      <c r="D266" s="31" t="s">
        <v>224</v>
      </c>
      <c r="E266" s="31">
        <v>2.0201204935455299E+17</v>
      </c>
      <c r="F266" s="31" t="s">
        <v>225</v>
      </c>
      <c r="G266" s="31" t="s">
        <v>843</v>
      </c>
      <c r="H266" s="31">
        <v>1481637</v>
      </c>
      <c r="J266" s="31" t="s">
        <v>227</v>
      </c>
      <c r="K266" s="31" t="s">
        <v>228</v>
      </c>
      <c r="N266" s="31" t="s">
        <v>290</v>
      </c>
      <c r="O266" s="31" t="s">
        <v>254</v>
      </c>
      <c r="Q266" s="31" t="s">
        <v>255</v>
      </c>
      <c r="R266" s="31" t="s">
        <v>291</v>
      </c>
      <c r="T266" s="31" t="s">
        <v>292</v>
      </c>
      <c r="V266" s="31" t="s">
        <v>327</v>
      </c>
      <c r="X266" s="31" t="s">
        <v>294</v>
      </c>
      <c r="Y266" s="31" t="s">
        <v>295</v>
      </c>
      <c r="Z266" s="31">
        <v>30312</v>
      </c>
      <c r="AA266" s="31" t="s">
        <v>328</v>
      </c>
      <c r="AB266" s="31" t="s">
        <v>297</v>
      </c>
      <c r="AD266" s="31">
        <v>15</v>
      </c>
      <c r="AE266" s="31" t="s">
        <v>298</v>
      </c>
      <c r="AF266" s="31" t="s">
        <v>336</v>
      </c>
      <c r="AI266" s="32">
        <v>44137</v>
      </c>
      <c r="AJ266" s="31">
        <v>5</v>
      </c>
      <c r="AK266" s="31">
        <v>1512.2</v>
      </c>
      <c r="BF266" s="31" t="s">
        <v>332</v>
      </c>
      <c r="BK266" s="31" t="s">
        <v>50</v>
      </c>
      <c r="BL266" s="31" t="s">
        <v>242</v>
      </c>
      <c r="BM266" s="31" t="s">
        <v>243</v>
      </c>
      <c r="BN266" s="33">
        <v>44201.625477384259</v>
      </c>
      <c r="BR266" s="31" t="s">
        <v>257</v>
      </c>
      <c r="BS266" s="31">
        <v>4.1205202019644498E+18</v>
      </c>
      <c r="BT266" s="31" t="s">
        <v>245</v>
      </c>
      <c r="BU266" s="31" t="s">
        <v>337</v>
      </c>
      <c r="BV266" s="31">
        <v>2020</v>
      </c>
      <c r="BW266" s="31" t="s">
        <v>246</v>
      </c>
      <c r="BY266" s="31">
        <v>4.0104202120048599E+18</v>
      </c>
      <c r="BZ266" s="31" t="s">
        <v>786</v>
      </c>
      <c r="CA266" s="31" t="s">
        <v>248</v>
      </c>
    </row>
    <row r="267" spans="1:79" x14ac:dyDescent="0.2">
      <c r="A267" s="31" t="s">
        <v>316</v>
      </c>
      <c r="B267" s="31" t="s">
        <v>325</v>
      </c>
      <c r="C267" s="31">
        <v>2020</v>
      </c>
      <c r="D267" s="31" t="s">
        <v>224</v>
      </c>
      <c r="E267" s="31">
        <v>2.0201204935455299E+17</v>
      </c>
      <c r="F267" s="31" t="s">
        <v>225</v>
      </c>
      <c r="G267" s="31" t="s">
        <v>844</v>
      </c>
      <c r="H267" s="31">
        <v>1481637</v>
      </c>
      <c r="J267" s="31" t="s">
        <v>227</v>
      </c>
      <c r="K267" s="31" t="s">
        <v>228</v>
      </c>
      <c r="L267" s="31" t="s">
        <v>845</v>
      </c>
      <c r="N267" s="31" t="s">
        <v>290</v>
      </c>
      <c r="O267" s="31" t="s">
        <v>254</v>
      </c>
      <c r="Q267" s="31" t="s">
        <v>255</v>
      </c>
      <c r="R267" s="31" t="s">
        <v>291</v>
      </c>
      <c r="T267" s="31" t="s">
        <v>292</v>
      </c>
      <c r="V267" s="31" t="s">
        <v>327</v>
      </c>
      <c r="X267" s="31" t="s">
        <v>294</v>
      </c>
      <c r="Y267" s="31" t="s">
        <v>295</v>
      </c>
      <c r="Z267" s="31">
        <v>30312</v>
      </c>
      <c r="AA267" s="31" t="s">
        <v>328</v>
      </c>
      <c r="AB267" s="31" t="s">
        <v>297</v>
      </c>
      <c r="AC267" s="31" t="s">
        <v>845</v>
      </c>
      <c r="AD267" s="31" t="s">
        <v>329</v>
      </c>
      <c r="AE267" s="31" t="s">
        <v>330</v>
      </c>
      <c r="AF267" s="31" t="s">
        <v>331</v>
      </c>
      <c r="AI267" s="32">
        <v>44140</v>
      </c>
      <c r="AJ267" s="31">
        <v>50</v>
      </c>
      <c r="AK267" s="31">
        <v>450</v>
      </c>
      <c r="BF267" s="31" t="s">
        <v>332</v>
      </c>
      <c r="BK267" s="31" t="s">
        <v>50</v>
      </c>
      <c r="BL267" s="31" t="s">
        <v>242</v>
      </c>
      <c r="BM267" s="31" t="s">
        <v>243</v>
      </c>
      <c r="BN267" s="33">
        <v>44201.626546944448</v>
      </c>
      <c r="BR267" s="31" t="s">
        <v>257</v>
      </c>
      <c r="BS267" s="31">
        <v>4.1205202019644498E+18</v>
      </c>
      <c r="BT267" s="31" t="s">
        <v>245</v>
      </c>
      <c r="BU267" s="31" t="s">
        <v>846</v>
      </c>
      <c r="BV267" s="31">
        <v>2020</v>
      </c>
      <c r="BW267" s="31" t="s">
        <v>246</v>
      </c>
      <c r="BY267" s="31">
        <v>4.01042021200621E+18</v>
      </c>
      <c r="BZ267" s="31" t="s">
        <v>786</v>
      </c>
      <c r="CA267" s="31" t="s">
        <v>248</v>
      </c>
    </row>
    <row r="268" spans="1:79" x14ac:dyDescent="0.2">
      <c r="A268" s="31" t="s">
        <v>316</v>
      </c>
      <c r="B268" s="31" t="s">
        <v>325</v>
      </c>
      <c r="C268" s="31">
        <v>2020</v>
      </c>
      <c r="D268" s="31" t="s">
        <v>224</v>
      </c>
      <c r="E268" s="31">
        <v>2.0201204935455299E+17</v>
      </c>
      <c r="F268" s="31" t="s">
        <v>225</v>
      </c>
      <c r="G268" s="31" t="s">
        <v>847</v>
      </c>
      <c r="H268" s="31">
        <v>1481637</v>
      </c>
      <c r="J268" s="31" t="s">
        <v>227</v>
      </c>
      <c r="K268" s="31" t="s">
        <v>228</v>
      </c>
      <c r="N268" s="31" t="s">
        <v>290</v>
      </c>
      <c r="O268" s="31" t="s">
        <v>254</v>
      </c>
      <c r="Q268" s="31" t="s">
        <v>255</v>
      </c>
      <c r="R268" s="31" t="s">
        <v>291</v>
      </c>
      <c r="T268" s="31" t="s">
        <v>292</v>
      </c>
      <c r="V268" s="31" t="s">
        <v>327</v>
      </c>
      <c r="X268" s="31" t="s">
        <v>294</v>
      </c>
      <c r="Y268" s="31" t="s">
        <v>295</v>
      </c>
      <c r="Z268" s="31">
        <v>30312</v>
      </c>
      <c r="AA268" s="31" t="s">
        <v>328</v>
      </c>
      <c r="AB268" s="31" t="s">
        <v>297</v>
      </c>
      <c r="AD268" s="31">
        <v>15</v>
      </c>
      <c r="AE268" s="31" t="s">
        <v>298</v>
      </c>
      <c r="AF268" s="31" t="s">
        <v>336</v>
      </c>
      <c r="AI268" s="32">
        <v>44140</v>
      </c>
      <c r="AJ268" s="31">
        <v>5</v>
      </c>
      <c r="AK268" s="31">
        <v>1512.2</v>
      </c>
      <c r="BF268" s="31" t="s">
        <v>332</v>
      </c>
      <c r="BK268" s="31" t="s">
        <v>50</v>
      </c>
      <c r="BL268" s="31" t="s">
        <v>242</v>
      </c>
      <c r="BM268" s="31" t="s">
        <v>243</v>
      </c>
      <c r="BN268" s="33">
        <v>44201.626573530091</v>
      </c>
      <c r="BR268" s="31" t="s">
        <v>257</v>
      </c>
      <c r="BS268" s="31">
        <v>4.1205202019644498E+18</v>
      </c>
      <c r="BT268" s="31" t="s">
        <v>245</v>
      </c>
      <c r="BU268" s="31" t="s">
        <v>337</v>
      </c>
      <c r="BV268" s="31">
        <v>2020</v>
      </c>
      <c r="BW268" s="31" t="s">
        <v>246</v>
      </c>
      <c r="BY268" s="31">
        <v>4.01042021200621E+18</v>
      </c>
      <c r="BZ268" s="31" t="s">
        <v>848</v>
      </c>
      <c r="CA268" s="31" t="s">
        <v>248</v>
      </c>
    </row>
    <row r="269" spans="1:79" x14ac:dyDescent="0.2">
      <c r="A269" s="31" t="s">
        <v>316</v>
      </c>
      <c r="B269" s="31" t="s">
        <v>325</v>
      </c>
      <c r="C269" s="31">
        <v>2020</v>
      </c>
      <c r="D269" s="31" t="s">
        <v>224</v>
      </c>
      <c r="E269" s="31">
        <v>2.0201204935455299E+17</v>
      </c>
      <c r="F269" s="31" t="s">
        <v>225</v>
      </c>
      <c r="G269" s="31" t="s">
        <v>849</v>
      </c>
      <c r="H269" s="31">
        <v>1481637</v>
      </c>
      <c r="J269" s="31" t="s">
        <v>227</v>
      </c>
      <c r="K269" s="31" t="s">
        <v>228</v>
      </c>
      <c r="N269" s="31" t="s">
        <v>290</v>
      </c>
      <c r="O269" s="31" t="s">
        <v>254</v>
      </c>
      <c r="Q269" s="31" t="s">
        <v>255</v>
      </c>
      <c r="R269" s="31" t="s">
        <v>291</v>
      </c>
      <c r="T269" s="31" t="s">
        <v>292</v>
      </c>
      <c r="V269" s="31" t="s">
        <v>327</v>
      </c>
      <c r="X269" s="31" t="s">
        <v>294</v>
      </c>
      <c r="Y269" s="31" t="s">
        <v>295</v>
      </c>
      <c r="Z269" s="31">
        <v>30312</v>
      </c>
      <c r="AA269" s="31" t="s">
        <v>328</v>
      </c>
      <c r="AB269" s="31" t="s">
        <v>297</v>
      </c>
      <c r="AD269" s="31">
        <v>15</v>
      </c>
      <c r="AE269" s="31" t="s">
        <v>298</v>
      </c>
      <c r="AF269" s="31" t="s">
        <v>336</v>
      </c>
      <c r="AI269" s="32">
        <v>44146</v>
      </c>
      <c r="AJ269" s="31">
        <v>25</v>
      </c>
      <c r="AK269" s="31">
        <v>1512.2</v>
      </c>
      <c r="BF269" s="31" t="s">
        <v>332</v>
      </c>
      <c r="BK269" s="31" t="s">
        <v>50</v>
      </c>
      <c r="BL269" s="31" t="s">
        <v>242</v>
      </c>
      <c r="BM269" s="31" t="s">
        <v>243</v>
      </c>
      <c r="BN269" s="33">
        <v>44201.626695914354</v>
      </c>
      <c r="BR269" s="31" t="s">
        <v>257</v>
      </c>
      <c r="BS269" s="31">
        <v>4.1205202019644498E+18</v>
      </c>
      <c r="BT269" s="31" t="s">
        <v>245</v>
      </c>
      <c r="BU269" s="31" t="s">
        <v>337</v>
      </c>
      <c r="BV269" s="31">
        <v>2020</v>
      </c>
      <c r="BW269" s="31" t="s">
        <v>246</v>
      </c>
      <c r="BY269" s="31">
        <v>4.01042021200898E+18</v>
      </c>
      <c r="BZ269" s="31" t="s">
        <v>800</v>
      </c>
      <c r="CA269" s="31" t="s">
        <v>248</v>
      </c>
    </row>
    <row r="270" spans="1:79" x14ac:dyDescent="0.2">
      <c r="A270" s="31" t="s">
        <v>316</v>
      </c>
      <c r="B270" s="31" t="s">
        <v>325</v>
      </c>
      <c r="C270" s="31">
        <v>2020</v>
      </c>
      <c r="D270" s="31" t="s">
        <v>224</v>
      </c>
      <c r="E270" s="31">
        <v>2.0201204935455299E+17</v>
      </c>
      <c r="F270" s="31" t="s">
        <v>225</v>
      </c>
      <c r="G270" s="31" t="s">
        <v>850</v>
      </c>
      <c r="H270" s="31">
        <v>1481637</v>
      </c>
      <c r="J270" s="31" t="s">
        <v>227</v>
      </c>
      <c r="K270" s="31" t="s">
        <v>228</v>
      </c>
      <c r="L270" s="31" t="s">
        <v>341</v>
      </c>
      <c r="N270" s="31" t="s">
        <v>290</v>
      </c>
      <c r="O270" s="31" t="s">
        <v>254</v>
      </c>
      <c r="Q270" s="31" t="s">
        <v>255</v>
      </c>
      <c r="R270" s="31" t="s">
        <v>291</v>
      </c>
      <c r="T270" s="31" t="s">
        <v>292</v>
      </c>
      <c r="V270" s="31" t="s">
        <v>327</v>
      </c>
      <c r="X270" s="31" t="s">
        <v>294</v>
      </c>
      <c r="Y270" s="31" t="s">
        <v>295</v>
      </c>
      <c r="Z270" s="31">
        <v>30312</v>
      </c>
      <c r="AA270" s="31" t="s">
        <v>328</v>
      </c>
      <c r="AB270" s="31" t="s">
        <v>297</v>
      </c>
      <c r="AC270" s="31" t="s">
        <v>341</v>
      </c>
      <c r="AD270" s="31" t="s">
        <v>329</v>
      </c>
      <c r="AE270" s="31" t="s">
        <v>330</v>
      </c>
      <c r="AF270" s="31" t="s">
        <v>331</v>
      </c>
      <c r="AI270" s="32">
        <v>44142</v>
      </c>
      <c r="AJ270" s="31">
        <v>50</v>
      </c>
      <c r="AK270" s="31">
        <v>2199</v>
      </c>
      <c r="BF270" s="31" t="s">
        <v>332</v>
      </c>
      <c r="BK270" s="31" t="s">
        <v>50</v>
      </c>
      <c r="BL270" s="31" t="s">
        <v>242</v>
      </c>
      <c r="BM270" s="31" t="s">
        <v>243</v>
      </c>
      <c r="BN270" s="33">
        <v>44201.628791319446</v>
      </c>
      <c r="BR270" s="31" t="s">
        <v>257</v>
      </c>
      <c r="BS270" s="31">
        <v>4.1205202019644498E+18</v>
      </c>
      <c r="BT270" s="31" t="s">
        <v>245</v>
      </c>
      <c r="BU270" s="31" t="s">
        <v>342</v>
      </c>
      <c r="BV270" s="31">
        <v>2020</v>
      </c>
      <c r="BW270" s="31" t="s">
        <v>246</v>
      </c>
      <c r="BY270" s="31">
        <v>4.0104202120067599E+18</v>
      </c>
      <c r="BZ270" s="31" t="s">
        <v>848</v>
      </c>
      <c r="CA270" s="31" t="s">
        <v>248</v>
      </c>
    </row>
    <row r="271" spans="1:79" x14ac:dyDescent="0.2">
      <c r="A271" s="31" t="s">
        <v>316</v>
      </c>
      <c r="B271" s="31" t="s">
        <v>325</v>
      </c>
      <c r="C271" s="31">
        <v>2020</v>
      </c>
      <c r="D271" s="31" t="s">
        <v>224</v>
      </c>
      <c r="E271" s="31">
        <v>2.0201204935455299E+17</v>
      </c>
      <c r="F271" s="31" t="s">
        <v>225</v>
      </c>
      <c r="G271" s="31" t="s">
        <v>851</v>
      </c>
      <c r="H271" s="31">
        <v>1481637</v>
      </c>
      <c r="J271" s="31" t="s">
        <v>227</v>
      </c>
      <c r="K271" s="31" t="s">
        <v>228</v>
      </c>
      <c r="N271" s="31" t="s">
        <v>290</v>
      </c>
      <c r="O271" s="31" t="s">
        <v>254</v>
      </c>
      <c r="Q271" s="31" t="s">
        <v>255</v>
      </c>
      <c r="R271" s="31" t="s">
        <v>291</v>
      </c>
      <c r="T271" s="31" t="s">
        <v>292</v>
      </c>
      <c r="V271" s="31" t="s">
        <v>327</v>
      </c>
      <c r="X271" s="31" t="s">
        <v>294</v>
      </c>
      <c r="Y271" s="31" t="s">
        <v>295</v>
      </c>
      <c r="Z271" s="31">
        <v>30312</v>
      </c>
      <c r="AA271" s="31" t="s">
        <v>328</v>
      </c>
      <c r="AB271" s="31" t="s">
        <v>297</v>
      </c>
      <c r="AD271" s="31">
        <v>15</v>
      </c>
      <c r="AE271" s="31" t="s">
        <v>298</v>
      </c>
      <c r="AF271" s="31" t="s">
        <v>336</v>
      </c>
      <c r="AI271" s="32">
        <v>44142</v>
      </c>
      <c r="AJ271" s="31">
        <v>5</v>
      </c>
      <c r="AK271" s="31">
        <v>1512.2</v>
      </c>
      <c r="BF271" s="31" t="s">
        <v>332</v>
      </c>
      <c r="BK271" s="31" t="s">
        <v>50</v>
      </c>
      <c r="BL271" s="31" t="s">
        <v>242</v>
      </c>
      <c r="BM271" s="31" t="s">
        <v>243</v>
      </c>
      <c r="BN271" s="33">
        <v>44201.628844039355</v>
      </c>
      <c r="BR271" s="31" t="s">
        <v>257</v>
      </c>
      <c r="BS271" s="31">
        <v>4.1205202019644498E+18</v>
      </c>
      <c r="BT271" s="31" t="s">
        <v>245</v>
      </c>
      <c r="BU271" s="31" t="s">
        <v>337</v>
      </c>
      <c r="BV271" s="31">
        <v>2020</v>
      </c>
      <c r="BW271" s="31" t="s">
        <v>246</v>
      </c>
      <c r="BY271" s="31">
        <v>4.0104202120067599E+18</v>
      </c>
      <c r="BZ271" s="31" t="s">
        <v>802</v>
      </c>
      <c r="CA271" s="31" t="s">
        <v>248</v>
      </c>
    </row>
    <row r="272" spans="1:79" x14ac:dyDescent="0.2">
      <c r="A272" s="31" t="s">
        <v>316</v>
      </c>
      <c r="B272" s="31" t="s">
        <v>325</v>
      </c>
      <c r="C272" s="31">
        <v>2020</v>
      </c>
      <c r="D272" s="31" t="s">
        <v>224</v>
      </c>
      <c r="E272" s="31">
        <v>2.0201204935455299E+17</v>
      </c>
      <c r="F272" s="31" t="s">
        <v>225</v>
      </c>
      <c r="G272" s="31" t="s">
        <v>852</v>
      </c>
      <c r="H272" s="31">
        <v>1481637</v>
      </c>
      <c r="J272" s="31" t="s">
        <v>227</v>
      </c>
      <c r="K272" s="31" t="s">
        <v>228</v>
      </c>
      <c r="N272" s="31" t="s">
        <v>290</v>
      </c>
      <c r="O272" s="31" t="s">
        <v>254</v>
      </c>
      <c r="Q272" s="31" t="s">
        <v>255</v>
      </c>
      <c r="R272" s="31" t="s">
        <v>291</v>
      </c>
      <c r="T272" s="31" t="s">
        <v>292</v>
      </c>
      <c r="V272" s="31" t="s">
        <v>327</v>
      </c>
      <c r="X272" s="31" t="s">
        <v>294</v>
      </c>
      <c r="Y272" s="31" t="s">
        <v>295</v>
      </c>
      <c r="Z272" s="31">
        <v>30312</v>
      </c>
      <c r="AA272" s="31" t="s">
        <v>328</v>
      </c>
      <c r="AB272" s="31" t="s">
        <v>297</v>
      </c>
      <c r="AD272" s="31">
        <v>15</v>
      </c>
      <c r="AE272" s="31" t="s">
        <v>298</v>
      </c>
      <c r="AF272" s="31" t="s">
        <v>336</v>
      </c>
      <c r="AI272" s="32">
        <v>44142</v>
      </c>
      <c r="AJ272" s="31">
        <v>20</v>
      </c>
      <c r="AK272" s="31">
        <v>1512.2</v>
      </c>
      <c r="BF272" s="31" t="s">
        <v>332</v>
      </c>
      <c r="BK272" s="31" t="s">
        <v>50</v>
      </c>
      <c r="BL272" s="31" t="s">
        <v>242</v>
      </c>
      <c r="BM272" s="31" t="s">
        <v>243</v>
      </c>
      <c r="BN272" s="33">
        <v>44201.629098750003</v>
      </c>
      <c r="BR272" s="31" t="s">
        <v>257</v>
      </c>
      <c r="BS272" s="31">
        <v>4.1205202019644498E+18</v>
      </c>
      <c r="BT272" s="31" t="s">
        <v>245</v>
      </c>
      <c r="BU272" s="31" t="s">
        <v>337</v>
      </c>
      <c r="BV272" s="31">
        <v>2020</v>
      </c>
      <c r="BW272" s="31" t="s">
        <v>246</v>
      </c>
      <c r="BY272" s="31">
        <v>4.0104202120067702E+18</v>
      </c>
      <c r="BZ272" s="31" t="s">
        <v>848</v>
      </c>
      <c r="CA272" s="31" t="s">
        <v>248</v>
      </c>
    </row>
    <row r="273" spans="1:79" x14ac:dyDescent="0.2">
      <c r="A273" s="31" t="s">
        <v>316</v>
      </c>
      <c r="B273" s="31" t="s">
        <v>325</v>
      </c>
      <c r="C273" s="31">
        <v>2020</v>
      </c>
      <c r="D273" s="31" t="s">
        <v>224</v>
      </c>
      <c r="E273" s="31">
        <v>2.0201204935455299E+17</v>
      </c>
      <c r="F273" s="31" t="s">
        <v>225</v>
      </c>
      <c r="G273" s="31" t="s">
        <v>853</v>
      </c>
      <c r="H273" s="31">
        <v>1481637</v>
      </c>
      <c r="J273" s="31" t="s">
        <v>227</v>
      </c>
      <c r="K273" s="31" t="s">
        <v>228</v>
      </c>
      <c r="N273" s="31" t="s">
        <v>290</v>
      </c>
      <c r="O273" s="31" t="s">
        <v>254</v>
      </c>
      <c r="Q273" s="31" t="s">
        <v>255</v>
      </c>
      <c r="R273" s="31" t="s">
        <v>291</v>
      </c>
      <c r="T273" s="31" t="s">
        <v>292</v>
      </c>
      <c r="V273" s="31" t="s">
        <v>327</v>
      </c>
      <c r="X273" s="31" t="s">
        <v>294</v>
      </c>
      <c r="Y273" s="31" t="s">
        <v>295</v>
      </c>
      <c r="Z273" s="31">
        <v>30312</v>
      </c>
      <c r="AA273" s="31" t="s">
        <v>328</v>
      </c>
      <c r="AB273" s="31" t="s">
        <v>297</v>
      </c>
      <c r="AD273" s="31">
        <v>15</v>
      </c>
      <c r="AE273" s="31" t="s">
        <v>298</v>
      </c>
      <c r="AF273" s="31" t="s">
        <v>336</v>
      </c>
      <c r="AI273" s="32">
        <v>44149</v>
      </c>
      <c r="AJ273" s="31">
        <v>20</v>
      </c>
      <c r="AK273" s="31">
        <v>1512.2</v>
      </c>
      <c r="BF273" s="31" t="s">
        <v>332</v>
      </c>
      <c r="BK273" s="31" t="s">
        <v>50</v>
      </c>
      <c r="BL273" s="31" t="s">
        <v>242</v>
      </c>
      <c r="BM273" s="31" t="s">
        <v>243</v>
      </c>
      <c r="BN273" s="33">
        <v>44201.631638425926</v>
      </c>
      <c r="BR273" s="31" t="s">
        <v>257</v>
      </c>
      <c r="BS273" s="31">
        <v>4.1205202019644498E+18</v>
      </c>
      <c r="BT273" s="31" t="s">
        <v>245</v>
      </c>
      <c r="BU273" s="31" t="s">
        <v>337</v>
      </c>
      <c r="BV273" s="31">
        <v>2020</v>
      </c>
      <c r="BW273" s="31" t="s">
        <v>246</v>
      </c>
      <c r="BY273" s="31">
        <v>4.0104202120101601E+18</v>
      </c>
      <c r="BZ273" s="31" t="s">
        <v>812</v>
      </c>
      <c r="CA273" s="31" t="s">
        <v>248</v>
      </c>
    </row>
    <row r="274" spans="1:79" x14ac:dyDescent="0.2">
      <c r="A274" s="31" t="s">
        <v>316</v>
      </c>
      <c r="B274" s="31" t="s">
        <v>325</v>
      </c>
      <c r="C274" s="31">
        <v>2020</v>
      </c>
      <c r="D274" s="31" t="s">
        <v>224</v>
      </c>
      <c r="E274" s="31">
        <v>2.0201204935455299E+17</v>
      </c>
      <c r="F274" s="31" t="s">
        <v>225</v>
      </c>
      <c r="G274" s="31" t="s">
        <v>854</v>
      </c>
      <c r="H274" s="31">
        <v>1481637</v>
      </c>
      <c r="J274" s="31" t="s">
        <v>227</v>
      </c>
      <c r="K274" s="31" t="s">
        <v>228</v>
      </c>
      <c r="L274" s="31" t="s">
        <v>404</v>
      </c>
      <c r="N274" s="31" t="s">
        <v>290</v>
      </c>
      <c r="O274" s="31" t="s">
        <v>254</v>
      </c>
      <c r="Q274" s="31" t="s">
        <v>255</v>
      </c>
      <c r="R274" s="31" t="s">
        <v>291</v>
      </c>
      <c r="T274" s="31" t="s">
        <v>292</v>
      </c>
      <c r="V274" s="31" t="s">
        <v>327</v>
      </c>
      <c r="X274" s="31" t="s">
        <v>294</v>
      </c>
      <c r="Y274" s="31" t="s">
        <v>295</v>
      </c>
      <c r="Z274" s="31">
        <v>30312</v>
      </c>
      <c r="AA274" s="31" t="s">
        <v>328</v>
      </c>
      <c r="AB274" s="31" t="s">
        <v>297</v>
      </c>
      <c r="AC274" s="31" t="s">
        <v>404</v>
      </c>
      <c r="AD274" s="31" t="s">
        <v>329</v>
      </c>
      <c r="AE274" s="31" t="s">
        <v>330</v>
      </c>
      <c r="AF274" s="31" t="s">
        <v>331</v>
      </c>
      <c r="AI274" s="32">
        <v>44124</v>
      </c>
      <c r="AJ274" s="31">
        <v>100</v>
      </c>
      <c r="AK274" s="31">
        <v>3634</v>
      </c>
      <c r="AL274" s="31" t="s">
        <v>405</v>
      </c>
      <c r="BF274" s="31" t="s">
        <v>332</v>
      </c>
      <c r="BK274" s="31" t="s">
        <v>50</v>
      </c>
      <c r="BL274" s="31" t="s">
        <v>242</v>
      </c>
      <c r="BM274" s="31" t="s">
        <v>243</v>
      </c>
      <c r="BN274" s="33">
        <v>44201.63676642361</v>
      </c>
      <c r="BR274" s="31" t="s">
        <v>257</v>
      </c>
      <c r="BS274" s="31">
        <v>4.1205202019644498E+18</v>
      </c>
      <c r="BT274" s="31" t="s">
        <v>245</v>
      </c>
      <c r="BU274" s="31" t="s">
        <v>385</v>
      </c>
      <c r="BV274" s="31">
        <v>2020</v>
      </c>
      <c r="BW274" s="31" t="s">
        <v>246</v>
      </c>
      <c r="BY274" s="31">
        <v>4.01042021199315E+18</v>
      </c>
      <c r="BZ274" s="31" t="s">
        <v>792</v>
      </c>
      <c r="CA274" s="31" t="s">
        <v>248</v>
      </c>
    </row>
    <row r="275" spans="1:79" x14ac:dyDescent="0.2">
      <c r="A275" s="31" t="s">
        <v>316</v>
      </c>
      <c r="B275" s="31" t="s">
        <v>325</v>
      </c>
      <c r="C275" s="31">
        <v>2020</v>
      </c>
      <c r="D275" s="31" t="s">
        <v>224</v>
      </c>
      <c r="E275" s="31">
        <v>2.0201204935455299E+17</v>
      </c>
      <c r="F275" s="31" t="s">
        <v>225</v>
      </c>
      <c r="G275" s="31" t="s">
        <v>855</v>
      </c>
      <c r="H275" s="31">
        <v>1481637</v>
      </c>
      <c r="J275" s="31" t="s">
        <v>227</v>
      </c>
      <c r="K275" s="31" t="s">
        <v>228</v>
      </c>
      <c r="N275" s="31" t="s">
        <v>290</v>
      </c>
      <c r="O275" s="31" t="s">
        <v>254</v>
      </c>
      <c r="Q275" s="31" t="s">
        <v>255</v>
      </c>
      <c r="R275" s="31" t="s">
        <v>291</v>
      </c>
      <c r="T275" s="31" t="s">
        <v>292</v>
      </c>
      <c r="V275" s="31" t="s">
        <v>327</v>
      </c>
      <c r="X275" s="31" t="s">
        <v>294</v>
      </c>
      <c r="Y275" s="31" t="s">
        <v>295</v>
      </c>
      <c r="Z275" s="31">
        <v>30312</v>
      </c>
      <c r="AA275" s="31" t="s">
        <v>328</v>
      </c>
      <c r="AB275" s="31" t="s">
        <v>297</v>
      </c>
      <c r="AD275" s="31">
        <v>15</v>
      </c>
      <c r="AE275" s="31" t="s">
        <v>298</v>
      </c>
      <c r="AF275" s="31" t="s">
        <v>336</v>
      </c>
      <c r="AI275" s="32">
        <v>44124</v>
      </c>
      <c r="AJ275" s="31">
        <v>10</v>
      </c>
      <c r="AK275" s="31">
        <v>1512.2</v>
      </c>
      <c r="BF275" s="31" t="s">
        <v>332</v>
      </c>
      <c r="BK275" s="31" t="s">
        <v>50</v>
      </c>
      <c r="BL275" s="31" t="s">
        <v>242</v>
      </c>
      <c r="BM275" s="31" t="s">
        <v>243</v>
      </c>
      <c r="BN275" s="33">
        <v>44201.636853206015</v>
      </c>
      <c r="BR275" s="31" t="s">
        <v>257</v>
      </c>
      <c r="BS275" s="31">
        <v>4.1205202019644498E+18</v>
      </c>
      <c r="BT275" s="31" t="s">
        <v>245</v>
      </c>
      <c r="BU275" s="31" t="s">
        <v>337</v>
      </c>
      <c r="BV275" s="31">
        <v>2020</v>
      </c>
      <c r="BW275" s="31" t="s">
        <v>246</v>
      </c>
      <c r="BY275" s="31">
        <v>4.0104202119931602E+18</v>
      </c>
      <c r="BZ275" s="31" t="s">
        <v>792</v>
      </c>
      <c r="CA275" s="31" t="s">
        <v>248</v>
      </c>
    </row>
    <row r="276" spans="1:79" x14ac:dyDescent="0.2">
      <c r="A276" s="31" t="s">
        <v>316</v>
      </c>
      <c r="B276" s="31" t="s">
        <v>325</v>
      </c>
      <c r="C276" s="31">
        <v>2020</v>
      </c>
      <c r="D276" s="31" t="s">
        <v>310</v>
      </c>
      <c r="E276" s="31">
        <v>2.0201214937663398E+17</v>
      </c>
      <c r="F276" s="31" t="s">
        <v>225</v>
      </c>
      <c r="G276" s="31" t="s">
        <v>856</v>
      </c>
      <c r="H276" s="31">
        <v>1482832</v>
      </c>
      <c r="J276" s="31" t="s">
        <v>227</v>
      </c>
      <c r="K276" s="31" t="s">
        <v>228</v>
      </c>
      <c r="L276" s="31" t="s">
        <v>314</v>
      </c>
      <c r="N276" s="31" t="s">
        <v>290</v>
      </c>
      <c r="O276" s="31" t="s">
        <v>254</v>
      </c>
      <c r="Q276" s="31" t="s">
        <v>255</v>
      </c>
      <c r="R276" s="31" t="s">
        <v>291</v>
      </c>
      <c r="T276" s="31" t="s">
        <v>292</v>
      </c>
      <c r="V276" s="31" t="s">
        <v>327</v>
      </c>
      <c r="X276" s="31" t="s">
        <v>294</v>
      </c>
      <c r="Y276" s="31" t="s">
        <v>295</v>
      </c>
      <c r="Z276" s="31">
        <v>30312</v>
      </c>
      <c r="AA276" s="31" t="s">
        <v>328</v>
      </c>
      <c r="AB276" s="31" t="s">
        <v>297</v>
      </c>
      <c r="AC276" s="31" t="s">
        <v>314</v>
      </c>
      <c r="AD276" s="31" t="s">
        <v>329</v>
      </c>
      <c r="AE276" s="31" t="s">
        <v>330</v>
      </c>
      <c r="AF276" s="31" t="s">
        <v>331</v>
      </c>
      <c r="AI276" s="32">
        <v>44086</v>
      </c>
      <c r="AJ276" s="31">
        <v>10</v>
      </c>
      <c r="AK276" s="31">
        <v>2210</v>
      </c>
      <c r="BF276" s="31" t="s">
        <v>332</v>
      </c>
      <c r="BK276" s="31" t="s">
        <v>50</v>
      </c>
      <c r="BL276" s="31" t="s">
        <v>242</v>
      </c>
      <c r="BM276" s="31" t="s">
        <v>243</v>
      </c>
      <c r="BN276" s="33">
        <v>44218.689470844911</v>
      </c>
      <c r="BR276" s="31" t="s">
        <v>257</v>
      </c>
      <c r="BS276" s="31">
        <v>4.1216202019742802E+18</v>
      </c>
      <c r="BT276" s="31" t="s">
        <v>245</v>
      </c>
      <c r="BU276" s="31" t="s">
        <v>357</v>
      </c>
      <c r="BV276" s="31">
        <v>2020</v>
      </c>
      <c r="BW276" s="31" t="s">
        <v>246</v>
      </c>
      <c r="BY276" s="31">
        <v>4.0121202121042299E+18</v>
      </c>
      <c r="BZ276" s="31" t="s">
        <v>857</v>
      </c>
      <c r="CA276" s="31" t="s">
        <v>248</v>
      </c>
    </row>
    <row r="277" spans="1:79" x14ac:dyDescent="0.2">
      <c r="A277" s="31" t="s">
        <v>316</v>
      </c>
      <c r="B277" s="31" t="s">
        <v>325</v>
      </c>
      <c r="C277" s="31">
        <v>2020</v>
      </c>
      <c r="D277" s="31" t="s">
        <v>310</v>
      </c>
      <c r="E277" s="31">
        <v>2.0201214937663398E+17</v>
      </c>
      <c r="F277" s="31" t="s">
        <v>225</v>
      </c>
      <c r="G277" s="31" t="s">
        <v>858</v>
      </c>
      <c r="H277" s="31">
        <v>1482832</v>
      </c>
      <c r="J277" s="31" t="s">
        <v>227</v>
      </c>
      <c r="K277" s="31" t="s">
        <v>228</v>
      </c>
      <c r="N277" s="31" t="s">
        <v>290</v>
      </c>
      <c r="O277" s="31" t="s">
        <v>254</v>
      </c>
      <c r="Q277" s="31" t="s">
        <v>255</v>
      </c>
      <c r="R277" s="31" t="s">
        <v>291</v>
      </c>
      <c r="T277" s="31" t="s">
        <v>292</v>
      </c>
      <c r="V277" s="31" t="s">
        <v>327</v>
      </c>
      <c r="X277" s="31" t="s">
        <v>294</v>
      </c>
      <c r="Y277" s="31" t="s">
        <v>295</v>
      </c>
      <c r="Z277" s="31">
        <v>30312</v>
      </c>
      <c r="AA277" s="31" t="s">
        <v>328</v>
      </c>
      <c r="AB277" s="31" t="s">
        <v>297</v>
      </c>
      <c r="AD277" s="31">
        <v>15</v>
      </c>
      <c r="AE277" s="31" t="s">
        <v>298</v>
      </c>
      <c r="AF277" s="31" t="s">
        <v>336</v>
      </c>
      <c r="AI277" s="32">
        <v>44086</v>
      </c>
      <c r="AJ277" s="31">
        <v>1</v>
      </c>
      <c r="AK277" s="31">
        <v>1172.9000000000001</v>
      </c>
      <c r="BF277" s="31" t="s">
        <v>332</v>
      </c>
      <c r="BK277" s="31" t="s">
        <v>50</v>
      </c>
      <c r="BL277" s="31" t="s">
        <v>242</v>
      </c>
      <c r="BM277" s="31" t="s">
        <v>243</v>
      </c>
      <c r="BN277" s="33">
        <v>44218.689854039352</v>
      </c>
      <c r="BR277" s="31" t="s">
        <v>257</v>
      </c>
      <c r="BS277" s="31">
        <v>4.1216202019742802E+18</v>
      </c>
      <c r="BT277" s="31" t="s">
        <v>245</v>
      </c>
      <c r="BU277" s="31" t="s">
        <v>337</v>
      </c>
      <c r="BV277" s="31">
        <v>2020</v>
      </c>
      <c r="BW277" s="31" t="s">
        <v>246</v>
      </c>
      <c r="BY277" s="31">
        <v>4.0121202121042401E+18</v>
      </c>
      <c r="BZ277" s="31" t="s">
        <v>857</v>
      </c>
      <c r="CA277" s="31" t="s">
        <v>248</v>
      </c>
    </row>
    <row r="278" spans="1:79" x14ac:dyDescent="0.2">
      <c r="A278" s="31" t="s">
        <v>316</v>
      </c>
      <c r="B278" s="31" t="s">
        <v>325</v>
      </c>
      <c r="C278" s="31">
        <v>2020</v>
      </c>
      <c r="D278" s="31" t="s">
        <v>310</v>
      </c>
      <c r="E278" s="31">
        <v>2.0201214937663398E+17</v>
      </c>
      <c r="F278" s="31" t="s">
        <v>225</v>
      </c>
      <c r="G278" s="31" t="s">
        <v>859</v>
      </c>
      <c r="H278" s="31">
        <v>1482832</v>
      </c>
      <c r="J278" s="31" t="s">
        <v>227</v>
      </c>
      <c r="K278" s="31" t="s">
        <v>228</v>
      </c>
      <c r="L278" s="31" t="s">
        <v>314</v>
      </c>
      <c r="N278" s="31" t="s">
        <v>290</v>
      </c>
      <c r="O278" s="31" t="s">
        <v>254</v>
      </c>
      <c r="Q278" s="31" t="s">
        <v>255</v>
      </c>
      <c r="R278" s="31" t="s">
        <v>291</v>
      </c>
      <c r="T278" s="31" t="s">
        <v>292</v>
      </c>
      <c r="V278" s="31" t="s">
        <v>327</v>
      </c>
      <c r="X278" s="31" t="s">
        <v>294</v>
      </c>
      <c r="Y278" s="31" t="s">
        <v>295</v>
      </c>
      <c r="Z278" s="31">
        <v>30312</v>
      </c>
      <c r="AA278" s="31" t="s">
        <v>328</v>
      </c>
      <c r="AB278" s="31" t="s">
        <v>297</v>
      </c>
      <c r="AC278" s="31" t="s">
        <v>314</v>
      </c>
      <c r="AD278" s="31" t="s">
        <v>329</v>
      </c>
      <c r="AE278" s="31" t="s">
        <v>330</v>
      </c>
      <c r="AF278" s="31" t="s">
        <v>331</v>
      </c>
      <c r="AI278" s="32">
        <v>44086</v>
      </c>
      <c r="AJ278" s="31">
        <v>100</v>
      </c>
      <c r="AK278" s="31">
        <v>2210</v>
      </c>
      <c r="BF278" s="31" t="s">
        <v>332</v>
      </c>
      <c r="BK278" s="31" t="s">
        <v>50</v>
      </c>
      <c r="BL278" s="31" t="s">
        <v>242</v>
      </c>
      <c r="BM278" s="31" t="s">
        <v>243</v>
      </c>
      <c r="BN278" s="33">
        <v>44218.690302523151</v>
      </c>
      <c r="BR278" s="31" t="s">
        <v>257</v>
      </c>
      <c r="BS278" s="31">
        <v>4.1216202019742802E+18</v>
      </c>
      <c r="BT278" s="31" t="s">
        <v>245</v>
      </c>
      <c r="BU278" s="31" t="s">
        <v>357</v>
      </c>
      <c r="BV278" s="31">
        <v>2020</v>
      </c>
      <c r="BW278" s="31" t="s">
        <v>246</v>
      </c>
      <c r="BY278" s="31">
        <v>4.0121202121042401E+18</v>
      </c>
      <c r="BZ278" s="31" t="s">
        <v>860</v>
      </c>
      <c r="CA278" s="31" t="s">
        <v>248</v>
      </c>
    </row>
    <row r="279" spans="1:79" x14ac:dyDescent="0.2">
      <c r="A279" s="31" t="s">
        <v>316</v>
      </c>
      <c r="B279" s="31" t="s">
        <v>325</v>
      </c>
      <c r="C279" s="31">
        <v>2020</v>
      </c>
      <c r="D279" s="31" t="s">
        <v>310</v>
      </c>
      <c r="E279" s="31">
        <v>2.0201214937663398E+17</v>
      </c>
      <c r="F279" s="31" t="s">
        <v>225</v>
      </c>
      <c r="G279" s="31" t="s">
        <v>861</v>
      </c>
      <c r="H279" s="31">
        <v>1482832</v>
      </c>
      <c r="J279" s="31" t="s">
        <v>227</v>
      </c>
      <c r="K279" s="31" t="s">
        <v>228</v>
      </c>
      <c r="N279" s="31" t="s">
        <v>290</v>
      </c>
      <c r="O279" s="31" t="s">
        <v>254</v>
      </c>
      <c r="Q279" s="31" t="s">
        <v>255</v>
      </c>
      <c r="R279" s="31" t="s">
        <v>291</v>
      </c>
      <c r="T279" s="31" t="s">
        <v>292</v>
      </c>
      <c r="V279" s="31" t="s">
        <v>327</v>
      </c>
      <c r="X279" s="31" t="s">
        <v>294</v>
      </c>
      <c r="Y279" s="31" t="s">
        <v>295</v>
      </c>
      <c r="Z279" s="31">
        <v>30312</v>
      </c>
      <c r="AA279" s="31" t="s">
        <v>328</v>
      </c>
      <c r="AB279" s="31" t="s">
        <v>297</v>
      </c>
      <c r="AD279" s="31">
        <v>15</v>
      </c>
      <c r="AE279" s="31" t="s">
        <v>298</v>
      </c>
      <c r="AF279" s="31" t="s">
        <v>336</v>
      </c>
      <c r="AI279" s="32">
        <v>44086</v>
      </c>
      <c r="AJ279" s="31">
        <v>10</v>
      </c>
      <c r="AK279" s="31">
        <v>1172.9000000000001</v>
      </c>
      <c r="BF279" s="31" t="s">
        <v>332</v>
      </c>
      <c r="BK279" s="31" t="s">
        <v>50</v>
      </c>
      <c r="BL279" s="31" t="s">
        <v>242</v>
      </c>
      <c r="BM279" s="31" t="s">
        <v>243</v>
      </c>
      <c r="BN279" s="33">
        <v>44218.690678101855</v>
      </c>
      <c r="BR279" s="31" t="s">
        <v>257</v>
      </c>
      <c r="BS279" s="31">
        <v>4.1216202019742802E+18</v>
      </c>
      <c r="BT279" s="31" t="s">
        <v>245</v>
      </c>
      <c r="BU279" s="31" t="s">
        <v>337</v>
      </c>
      <c r="BV279" s="31">
        <v>2020</v>
      </c>
      <c r="BW279" s="31" t="s">
        <v>246</v>
      </c>
      <c r="BY279" s="31">
        <v>4.0121202121042499E+18</v>
      </c>
      <c r="BZ279" s="31" t="s">
        <v>860</v>
      </c>
      <c r="CA279" s="31" t="s">
        <v>248</v>
      </c>
    </row>
    <row r="280" spans="1:79" x14ac:dyDescent="0.2">
      <c r="A280" s="31" t="s">
        <v>316</v>
      </c>
      <c r="B280" s="31" t="s">
        <v>325</v>
      </c>
      <c r="C280" s="31">
        <v>2020</v>
      </c>
      <c r="D280" s="31" t="s">
        <v>310</v>
      </c>
      <c r="E280" s="31">
        <v>2.0201214937663398E+17</v>
      </c>
      <c r="F280" s="31" t="s">
        <v>225</v>
      </c>
      <c r="G280" s="31" t="s">
        <v>862</v>
      </c>
      <c r="H280" s="31">
        <v>1482832</v>
      </c>
      <c r="J280" s="31" t="s">
        <v>227</v>
      </c>
      <c r="K280" s="31" t="s">
        <v>228</v>
      </c>
      <c r="N280" s="31" t="s">
        <v>290</v>
      </c>
      <c r="O280" s="31" t="s">
        <v>254</v>
      </c>
      <c r="Q280" s="31" t="s">
        <v>255</v>
      </c>
      <c r="R280" s="31" t="s">
        <v>291</v>
      </c>
      <c r="T280" s="31" t="s">
        <v>292</v>
      </c>
      <c r="V280" s="31" t="s">
        <v>327</v>
      </c>
      <c r="X280" s="31" t="s">
        <v>294</v>
      </c>
      <c r="Y280" s="31" t="s">
        <v>295</v>
      </c>
      <c r="Z280" s="31">
        <v>30312</v>
      </c>
      <c r="AA280" s="31" t="s">
        <v>328</v>
      </c>
      <c r="AB280" s="31" t="s">
        <v>297</v>
      </c>
      <c r="AD280" s="31">
        <v>15</v>
      </c>
      <c r="AE280" s="31" t="s">
        <v>298</v>
      </c>
      <c r="AF280" s="31" t="s">
        <v>336</v>
      </c>
      <c r="AI280" s="32">
        <v>44088</v>
      </c>
      <c r="AJ280" s="31">
        <v>25</v>
      </c>
      <c r="AK280" s="31">
        <v>1172.9000000000001</v>
      </c>
      <c r="BF280" s="31" t="s">
        <v>332</v>
      </c>
      <c r="BK280" s="31" t="s">
        <v>50</v>
      </c>
      <c r="BL280" s="31" t="s">
        <v>242</v>
      </c>
      <c r="BM280" s="31" t="s">
        <v>243</v>
      </c>
      <c r="BN280" s="33">
        <v>44218.712773912041</v>
      </c>
      <c r="BR280" s="31" t="s">
        <v>257</v>
      </c>
      <c r="BS280" s="31">
        <v>4.1216202019742802E+18</v>
      </c>
      <c r="BT280" s="31" t="s">
        <v>245</v>
      </c>
      <c r="BU280" s="31" t="s">
        <v>337</v>
      </c>
      <c r="BV280" s="31">
        <v>2020</v>
      </c>
      <c r="BW280" s="31" t="s">
        <v>246</v>
      </c>
      <c r="BY280" s="31">
        <v>4.0121202121053E+18</v>
      </c>
      <c r="BZ280" s="31" t="s">
        <v>863</v>
      </c>
      <c r="CA280" s="31" t="s">
        <v>248</v>
      </c>
    </row>
    <row r="281" spans="1:79" x14ac:dyDescent="0.2">
      <c r="A281" s="31" t="s">
        <v>316</v>
      </c>
      <c r="B281" s="31" t="s">
        <v>325</v>
      </c>
      <c r="C281" s="31">
        <v>2020</v>
      </c>
      <c r="D281" s="31" t="s">
        <v>310</v>
      </c>
      <c r="E281" s="31">
        <v>2.0201214937663398E+17</v>
      </c>
      <c r="F281" s="31" t="s">
        <v>225</v>
      </c>
      <c r="G281" s="31" t="s">
        <v>864</v>
      </c>
      <c r="H281" s="31">
        <v>1482832</v>
      </c>
      <c r="J281" s="31" t="s">
        <v>227</v>
      </c>
      <c r="K281" s="31" t="s">
        <v>228</v>
      </c>
      <c r="N281" s="31" t="s">
        <v>290</v>
      </c>
      <c r="O281" s="31" t="s">
        <v>254</v>
      </c>
      <c r="Q281" s="31" t="s">
        <v>255</v>
      </c>
      <c r="R281" s="31" t="s">
        <v>291</v>
      </c>
      <c r="T281" s="31" t="s">
        <v>292</v>
      </c>
      <c r="V281" s="31" t="s">
        <v>327</v>
      </c>
      <c r="X281" s="31" t="s">
        <v>294</v>
      </c>
      <c r="Y281" s="31" t="s">
        <v>295</v>
      </c>
      <c r="Z281" s="31">
        <v>30312</v>
      </c>
      <c r="AA281" s="31" t="s">
        <v>328</v>
      </c>
      <c r="AB281" s="31" t="s">
        <v>297</v>
      </c>
      <c r="AD281" s="31">
        <v>15</v>
      </c>
      <c r="AE281" s="31" t="s">
        <v>298</v>
      </c>
      <c r="AF281" s="31" t="s">
        <v>336</v>
      </c>
      <c r="AI281" s="32">
        <v>44088</v>
      </c>
      <c r="AJ281" s="31">
        <v>50</v>
      </c>
      <c r="AK281" s="31">
        <v>1172.9000000000001</v>
      </c>
      <c r="BF281" s="31" t="s">
        <v>332</v>
      </c>
      <c r="BK281" s="31" t="s">
        <v>50</v>
      </c>
      <c r="BL281" s="31" t="s">
        <v>242</v>
      </c>
      <c r="BM281" s="31" t="s">
        <v>243</v>
      </c>
      <c r="BN281" s="33">
        <v>44218.713323344906</v>
      </c>
      <c r="BR281" s="31" t="s">
        <v>257</v>
      </c>
      <c r="BS281" s="31">
        <v>4.1216202019742802E+18</v>
      </c>
      <c r="BT281" s="31" t="s">
        <v>245</v>
      </c>
      <c r="BU281" s="31" t="s">
        <v>337</v>
      </c>
      <c r="BV281" s="31">
        <v>2020</v>
      </c>
      <c r="BW281" s="31" t="s">
        <v>246</v>
      </c>
      <c r="BY281" s="31">
        <v>4.0121202121053102E+18</v>
      </c>
      <c r="BZ281" s="31" t="s">
        <v>857</v>
      </c>
      <c r="CA281" s="31" t="s">
        <v>248</v>
      </c>
    </row>
    <row r="282" spans="1:79" x14ac:dyDescent="0.2">
      <c r="A282" s="31" t="s">
        <v>316</v>
      </c>
      <c r="B282" s="31" t="s">
        <v>325</v>
      </c>
      <c r="C282" s="31">
        <v>2020</v>
      </c>
      <c r="D282" s="31" t="s">
        <v>310</v>
      </c>
      <c r="E282" s="31">
        <v>2.0201214937663398E+17</v>
      </c>
      <c r="F282" s="31" t="s">
        <v>225</v>
      </c>
      <c r="G282" s="31" t="s">
        <v>865</v>
      </c>
      <c r="H282" s="31">
        <v>1482832</v>
      </c>
      <c r="J282" s="31" t="s">
        <v>227</v>
      </c>
      <c r="K282" s="31" t="s">
        <v>228</v>
      </c>
      <c r="N282" s="31" t="s">
        <v>290</v>
      </c>
      <c r="O282" s="31" t="s">
        <v>254</v>
      </c>
      <c r="Q282" s="31" t="s">
        <v>255</v>
      </c>
      <c r="R282" s="31" t="s">
        <v>291</v>
      </c>
      <c r="T282" s="31" t="s">
        <v>292</v>
      </c>
      <c r="V282" s="31" t="s">
        <v>327</v>
      </c>
      <c r="X282" s="31" t="s">
        <v>294</v>
      </c>
      <c r="Y282" s="31" t="s">
        <v>295</v>
      </c>
      <c r="Z282" s="31">
        <v>30312</v>
      </c>
      <c r="AA282" s="31" t="s">
        <v>328</v>
      </c>
      <c r="AB282" s="31" t="s">
        <v>297</v>
      </c>
      <c r="AF282" s="31" t="s">
        <v>331</v>
      </c>
      <c r="AI282" s="32">
        <v>44102</v>
      </c>
      <c r="AJ282" s="31">
        <v>50</v>
      </c>
      <c r="AK282" s="31">
        <v>50</v>
      </c>
      <c r="BF282" s="31" t="s">
        <v>332</v>
      </c>
      <c r="BK282" s="31" t="s">
        <v>50</v>
      </c>
      <c r="BL282" s="31" t="s">
        <v>242</v>
      </c>
      <c r="BM282" s="31" t="s">
        <v>243</v>
      </c>
      <c r="BN282" s="33">
        <v>44218.721621863428</v>
      </c>
      <c r="BR282" s="31" t="s">
        <v>257</v>
      </c>
      <c r="BS282" s="31">
        <v>4.1216202019742802E+18</v>
      </c>
      <c r="BT282" s="31" t="s">
        <v>245</v>
      </c>
      <c r="BU282" s="31" t="s">
        <v>709</v>
      </c>
      <c r="BV282" s="31">
        <v>2020</v>
      </c>
      <c r="BW282" s="31" t="s">
        <v>246</v>
      </c>
      <c r="BY282" s="31">
        <v>4.0121202121302999E+18</v>
      </c>
      <c r="BZ282" s="31" t="s">
        <v>866</v>
      </c>
      <c r="CA282" s="31" t="s">
        <v>248</v>
      </c>
    </row>
    <row r="283" spans="1:79" x14ac:dyDescent="0.2">
      <c r="A283" s="31" t="s">
        <v>316</v>
      </c>
      <c r="B283" s="31" t="s">
        <v>325</v>
      </c>
      <c r="C283" s="31">
        <v>2020</v>
      </c>
      <c r="D283" s="31" t="s">
        <v>310</v>
      </c>
      <c r="E283" s="31">
        <v>2.0201214937663398E+17</v>
      </c>
      <c r="F283" s="31" t="s">
        <v>225</v>
      </c>
      <c r="G283" s="31" t="s">
        <v>867</v>
      </c>
      <c r="H283" s="31">
        <v>1482832</v>
      </c>
      <c r="J283" s="31" t="s">
        <v>227</v>
      </c>
      <c r="K283" s="31" t="s">
        <v>228</v>
      </c>
      <c r="N283" s="31" t="s">
        <v>290</v>
      </c>
      <c r="O283" s="31" t="s">
        <v>254</v>
      </c>
      <c r="Q283" s="31" t="s">
        <v>255</v>
      </c>
      <c r="R283" s="31" t="s">
        <v>291</v>
      </c>
      <c r="T283" s="31" t="s">
        <v>292</v>
      </c>
      <c r="V283" s="31" t="s">
        <v>327</v>
      </c>
      <c r="X283" s="31" t="s">
        <v>294</v>
      </c>
      <c r="Y283" s="31" t="s">
        <v>295</v>
      </c>
      <c r="Z283" s="31">
        <v>30312</v>
      </c>
      <c r="AA283" s="31" t="s">
        <v>328</v>
      </c>
      <c r="AB283" s="31" t="s">
        <v>297</v>
      </c>
      <c r="AD283" s="31">
        <v>15</v>
      </c>
      <c r="AE283" s="31" t="s">
        <v>298</v>
      </c>
      <c r="AF283" s="31" t="s">
        <v>336</v>
      </c>
      <c r="AI283" s="32">
        <v>44102</v>
      </c>
      <c r="AJ283" s="31">
        <v>20</v>
      </c>
      <c r="AK283" s="31">
        <v>1172.9000000000001</v>
      </c>
      <c r="BF283" s="31" t="s">
        <v>332</v>
      </c>
      <c r="BK283" s="31" t="s">
        <v>50</v>
      </c>
      <c r="BL283" s="31" t="s">
        <v>242</v>
      </c>
      <c r="BM283" s="31" t="s">
        <v>243</v>
      </c>
      <c r="BN283" s="33">
        <v>44218.722194652779</v>
      </c>
      <c r="BR283" s="31" t="s">
        <v>257</v>
      </c>
      <c r="BS283" s="31">
        <v>4.1216202019742802E+18</v>
      </c>
      <c r="BT283" s="31" t="s">
        <v>245</v>
      </c>
      <c r="BU283" s="31" t="s">
        <v>337</v>
      </c>
      <c r="BV283" s="31">
        <v>2020</v>
      </c>
      <c r="BW283" s="31" t="s">
        <v>246</v>
      </c>
      <c r="BY283" s="31">
        <v>4.0121202121294602E+18</v>
      </c>
      <c r="BZ283" s="31" t="s">
        <v>868</v>
      </c>
      <c r="CA283" s="31" t="s">
        <v>248</v>
      </c>
    </row>
    <row r="284" spans="1:79" x14ac:dyDescent="0.2">
      <c r="A284" s="31" t="s">
        <v>316</v>
      </c>
      <c r="B284" s="31" t="s">
        <v>325</v>
      </c>
      <c r="C284" s="31">
        <v>2020</v>
      </c>
      <c r="D284" s="31" t="s">
        <v>310</v>
      </c>
      <c r="E284" s="31">
        <v>2.0201214937663398E+17</v>
      </c>
      <c r="F284" s="31" t="s">
        <v>225</v>
      </c>
      <c r="G284" s="31" t="s">
        <v>869</v>
      </c>
      <c r="H284" s="31">
        <v>1482832</v>
      </c>
      <c r="J284" s="31" t="s">
        <v>227</v>
      </c>
      <c r="K284" s="31" t="s">
        <v>228</v>
      </c>
      <c r="N284" s="31" t="s">
        <v>290</v>
      </c>
      <c r="O284" s="31" t="s">
        <v>254</v>
      </c>
      <c r="Q284" s="31" t="s">
        <v>255</v>
      </c>
      <c r="R284" s="31" t="s">
        <v>291</v>
      </c>
      <c r="T284" s="31" t="s">
        <v>292</v>
      </c>
      <c r="V284" s="31" t="s">
        <v>327</v>
      </c>
      <c r="X284" s="31" t="s">
        <v>294</v>
      </c>
      <c r="Y284" s="31" t="s">
        <v>295</v>
      </c>
      <c r="Z284" s="31">
        <v>30312</v>
      </c>
      <c r="AA284" s="31" t="s">
        <v>328</v>
      </c>
      <c r="AB284" s="31" t="s">
        <v>297</v>
      </c>
      <c r="AD284" s="31">
        <v>15</v>
      </c>
      <c r="AE284" s="31" t="s">
        <v>298</v>
      </c>
      <c r="AF284" s="31" t="s">
        <v>336</v>
      </c>
      <c r="AI284" s="32">
        <v>44102</v>
      </c>
      <c r="AJ284" s="31">
        <v>5</v>
      </c>
      <c r="AK284" s="31">
        <v>1172.9000000000001</v>
      </c>
      <c r="BF284" s="31" t="s">
        <v>332</v>
      </c>
      <c r="BK284" s="31" t="s">
        <v>50</v>
      </c>
      <c r="BL284" s="31" t="s">
        <v>242</v>
      </c>
      <c r="BM284" s="31" t="s">
        <v>243</v>
      </c>
      <c r="BN284" s="33">
        <v>44218.722594328705</v>
      </c>
      <c r="BR284" s="31" t="s">
        <v>257</v>
      </c>
      <c r="BS284" s="31">
        <v>4.1216202019742802E+18</v>
      </c>
      <c r="BT284" s="31" t="s">
        <v>245</v>
      </c>
      <c r="BU284" s="31" t="s">
        <v>337</v>
      </c>
      <c r="BV284" s="31">
        <v>2020</v>
      </c>
      <c r="BW284" s="31" t="s">
        <v>246</v>
      </c>
      <c r="BY284" s="31">
        <v>4.0121202121302999E+18</v>
      </c>
      <c r="BZ284" s="31" t="s">
        <v>866</v>
      </c>
      <c r="CA284" s="31" t="s">
        <v>248</v>
      </c>
    </row>
    <row r="285" spans="1:79" x14ac:dyDescent="0.2">
      <c r="A285" s="31" t="s">
        <v>316</v>
      </c>
      <c r="B285" s="31" t="s">
        <v>325</v>
      </c>
      <c r="C285" s="31">
        <v>2020</v>
      </c>
      <c r="D285" s="31" t="s">
        <v>310</v>
      </c>
      <c r="E285" s="31">
        <v>2.0201214937663398E+17</v>
      </c>
      <c r="F285" s="31" t="s">
        <v>225</v>
      </c>
      <c r="G285" s="31" t="s">
        <v>870</v>
      </c>
      <c r="H285" s="31">
        <v>1482832</v>
      </c>
      <c r="J285" s="31" t="s">
        <v>227</v>
      </c>
      <c r="K285" s="31" t="s">
        <v>228</v>
      </c>
      <c r="L285" s="31" t="s">
        <v>404</v>
      </c>
      <c r="N285" s="31" t="s">
        <v>290</v>
      </c>
      <c r="O285" s="31" t="s">
        <v>254</v>
      </c>
      <c r="Q285" s="31" t="s">
        <v>255</v>
      </c>
      <c r="R285" s="31" t="s">
        <v>291</v>
      </c>
      <c r="T285" s="31" t="s">
        <v>292</v>
      </c>
      <c r="V285" s="31" t="s">
        <v>327</v>
      </c>
      <c r="X285" s="31" t="s">
        <v>294</v>
      </c>
      <c r="Y285" s="31" t="s">
        <v>295</v>
      </c>
      <c r="Z285" s="31">
        <v>30312</v>
      </c>
      <c r="AA285" s="31" t="s">
        <v>328</v>
      </c>
      <c r="AB285" s="31" t="s">
        <v>297</v>
      </c>
      <c r="AC285" s="31" t="s">
        <v>404</v>
      </c>
      <c r="AD285" s="31" t="s">
        <v>329</v>
      </c>
      <c r="AE285" s="31" t="s">
        <v>330</v>
      </c>
      <c r="AF285" s="31" t="s">
        <v>331</v>
      </c>
      <c r="AI285" s="32">
        <v>44079</v>
      </c>
      <c r="AJ285" s="31">
        <v>5</v>
      </c>
      <c r="AK285" s="31">
        <v>2675</v>
      </c>
      <c r="AL285" s="31" t="s">
        <v>405</v>
      </c>
      <c r="BF285" s="31" t="s">
        <v>332</v>
      </c>
      <c r="BK285" s="31" t="s">
        <v>50</v>
      </c>
      <c r="BL285" s="31" t="s">
        <v>242</v>
      </c>
      <c r="BM285" s="31" t="s">
        <v>243</v>
      </c>
      <c r="BN285" s="33">
        <v>44218.734030983796</v>
      </c>
      <c r="BR285" s="31" t="s">
        <v>257</v>
      </c>
      <c r="BS285" s="31">
        <v>4.1216202019742802E+18</v>
      </c>
      <c r="BT285" s="31" t="s">
        <v>245</v>
      </c>
      <c r="BU285" s="31" t="s">
        <v>385</v>
      </c>
      <c r="BV285" s="31">
        <v>2020</v>
      </c>
      <c r="BW285" s="31" t="s">
        <v>246</v>
      </c>
      <c r="BY285" s="31">
        <v>4.01212021209871E+18</v>
      </c>
      <c r="BZ285" s="31" t="s">
        <v>871</v>
      </c>
      <c r="CA285" s="31" t="s">
        <v>248</v>
      </c>
    </row>
    <row r="286" spans="1:79" x14ac:dyDescent="0.2">
      <c r="A286" s="31" t="s">
        <v>316</v>
      </c>
      <c r="B286" s="31" t="s">
        <v>325</v>
      </c>
      <c r="C286" s="31">
        <v>2020</v>
      </c>
      <c r="D286" s="31" t="s">
        <v>310</v>
      </c>
      <c r="E286" s="31">
        <v>2.0201214937663398E+17</v>
      </c>
      <c r="F286" s="31" t="s">
        <v>225</v>
      </c>
      <c r="G286" s="31" t="s">
        <v>872</v>
      </c>
      <c r="H286" s="31">
        <v>1482832</v>
      </c>
      <c r="J286" s="31" t="s">
        <v>227</v>
      </c>
      <c r="K286" s="31" t="s">
        <v>228</v>
      </c>
      <c r="N286" s="31" t="s">
        <v>290</v>
      </c>
      <c r="O286" s="31" t="s">
        <v>254</v>
      </c>
      <c r="Q286" s="31" t="s">
        <v>255</v>
      </c>
      <c r="R286" s="31" t="s">
        <v>291</v>
      </c>
      <c r="T286" s="31" t="s">
        <v>292</v>
      </c>
      <c r="V286" s="31" t="s">
        <v>327</v>
      </c>
      <c r="X286" s="31" t="s">
        <v>294</v>
      </c>
      <c r="Y286" s="31" t="s">
        <v>295</v>
      </c>
      <c r="Z286" s="31">
        <v>30312</v>
      </c>
      <c r="AA286" s="31" t="s">
        <v>328</v>
      </c>
      <c r="AB286" s="31" t="s">
        <v>297</v>
      </c>
      <c r="AD286" s="31">
        <v>15</v>
      </c>
      <c r="AE286" s="31" t="s">
        <v>298</v>
      </c>
      <c r="AF286" s="31" t="s">
        <v>336</v>
      </c>
      <c r="AI286" s="32">
        <v>44082</v>
      </c>
      <c r="AJ286" s="31">
        <v>25</v>
      </c>
      <c r="AK286" s="31">
        <v>1172.9000000000001</v>
      </c>
      <c r="BF286" s="31" t="s">
        <v>332</v>
      </c>
      <c r="BK286" s="31" t="s">
        <v>50</v>
      </c>
      <c r="BL286" s="31" t="s">
        <v>242</v>
      </c>
      <c r="BM286" s="31" t="s">
        <v>243</v>
      </c>
      <c r="BN286" s="33">
        <v>44218.742182928239</v>
      </c>
      <c r="BR286" s="31" t="s">
        <v>257</v>
      </c>
      <c r="BS286" s="31">
        <v>4.1216202019742802E+18</v>
      </c>
      <c r="BT286" s="31" t="s">
        <v>245</v>
      </c>
      <c r="BU286" s="31" t="s">
        <v>337</v>
      </c>
      <c r="BV286" s="31">
        <v>2020</v>
      </c>
      <c r="BW286" s="31" t="s">
        <v>246</v>
      </c>
      <c r="BY286" s="31">
        <v>4.0121202121011599E+18</v>
      </c>
      <c r="BZ286" s="31" t="s">
        <v>871</v>
      </c>
      <c r="CA286" s="31" t="s">
        <v>248</v>
      </c>
    </row>
    <row r="287" spans="1:79" x14ac:dyDescent="0.2">
      <c r="A287" s="31" t="s">
        <v>316</v>
      </c>
      <c r="B287" s="31" t="s">
        <v>325</v>
      </c>
      <c r="C287" s="31">
        <v>2020</v>
      </c>
      <c r="D287" s="31" t="s">
        <v>310</v>
      </c>
      <c r="E287" s="31">
        <v>2.0201214937663398E+17</v>
      </c>
      <c r="F287" s="31" t="s">
        <v>225</v>
      </c>
      <c r="G287" s="31" t="s">
        <v>873</v>
      </c>
      <c r="H287" s="31">
        <v>1482832</v>
      </c>
      <c r="J287" s="31" t="s">
        <v>227</v>
      </c>
      <c r="K287" s="31" t="s">
        <v>228</v>
      </c>
      <c r="L287" s="31" t="s">
        <v>286</v>
      </c>
      <c r="N287" s="31" t="s">
        <v>290</v>
      </c>
      <c r="O287" s="31" t="s">
        <v>254</v>
      </c>
      <c r="Q287" s="31" t="s">
        <v>255</v>
      </c>
      <c r="R287" s="31" t="s">
        <v>291</v>
      </c>
      <c r="T287" s="31" t="s">
        <v>292</v>
      </c>
      <c r="V287" s="31" t="s">
        <v>327</v>
      </c>
      <c r="X287" s="31" t="s">
        <v>294</v>
      </c>
      <c r="Y287" s="31" t="s">
        <v>295</v>
      </c>
      <c r="Z287" s="31">
        <v>30312</v>
      </c>
      <c r="AA287" s="31" t="s">
        <v>328</v>
      </c>
      <c r="AB287" s="31" t="s">
        <v>297</v>
      </c>
      <c r="AC287" s="31" t="s">
        <v>286</v>
      </c>
      <c r="AD287" s="31" t="s">
        <v>329</v>
      </c>
      <c r="AE287" s="31" t="s">
        <v>330</v>
      </c>
      <c r="AF287" s="31" t="s">
        <v>331</v>
      </c>
      <c r="AI287" s="32">
        <v>44094</v>
      </c>
      <c r="AJ287" s="31">
        <v>100</v>
      </c>
      <c r="AK287" s="31">
        <v>700</v>
      </c>
      <c r="BF287" s="31" t="s">
        <v>332</v>
      </c>
      <c r="BK287" s="31" t="s">
        <v>50</v>
      </c>
      <c r="BL287" s="31" t="s">
        <v>242</v>
      </c>
      <c r="BM287" s="31" t="s">
        <v>243</v>
      </c>
      <c r="BN287" s="33">
        <v>44218.749214965275</v>
      </c>
      <c r="BR287" s="31" t="s">
        <v>257</v>
      </c>
      <c r="BS287" s="31">
        <v>4.1216202019742802E+18</v>
      </c>
      <c r="BT287" s="31" t="s">
        <v>245</v>
      </c>
      <c r="BU287" s="31" t="s">
        <v>333</v>
      </c>
      <c r="BV287" s="31">
        <v>2020</v>
      </c>
      <c r="BW287" s="31" t="s">
        <v>246</v>
      </c>
      <c r="BY287" s="31">
        <v>4.01212021211838E+18</v>
      </c>
      <c r="BZ287" s="31" t="s">
        <v>338</v>
      </c>
      <c r="CA287" s="31" t="s">
        <v>248</v>
      </c>
    </row>
    <row r="288" spans="1:79" x14ac:dyDescent="0.2">
      <c r="A288" s="31" t="s">
        <v>316</v>
      </c>
      <c r="B288" s="31" t="s">
        <v>325</v>
      </c>
      <c r="C288" s="31">
        <v>2020</v>
      </c>
      <c r="D288" s="31" t="s">
        <v>310</v>
      </c>
      <c r="E288" s="31">
        <v>2.0201214937663398E+17</v>
      </c>
      <c r="F288" s="31" t="s">
        <v>225</v>
      </c>
      <c r="G288" s="31" t="s">
        <v>874</v>
      </c>
      <c r="H288" s="31">
        <v>1482832</v>
      </c>
      <c r="J288" s="31" t="s">
        <v>227</v>
      </c>
      <c r="K288" s="31" t="s">
        <v>228</v>
      </c>
      <c r="N288" s="31" t="s">
        <v>290</v>
      </c>
      <c r="O288" s="31" t="s">
        <v>254</v>
      </c>
      <c r="Q288" s="31" t="s">
        <v>255</v>
      </c>
      <c r="R288" s="31" t="s">
        <v>291</v>
      </c>
      <c r="T288" s="31" t="s">
        <v>292</v>
      </c>
      <c r="V288" s="31" t="s">
        <v>327</v>
      </c>
      <c r="X288" s="31" t="s">
        <v>294</v>
      </c>
      <c r="Y288" s="31" t="s">
        <v>295</v>
      </c>
      <c r="Z288" s="31">
        <v>30312</v>
      </c>
      <c r="AA288" s="31" t="s">
        <v>328</v>
      </c>
      <c r="AB288" s="31" t="s">
        <v>297</v>
      </c>
      <c r="AD288" s="31">
        <v>15</v>
      </c>
      <c r="AE288" s="31" t="s">
        <v>298</v>
      </c>
      <c r="AF288" s="31" t="s">
        <v>336</v>
      </c>
      <c r="AI288" s="32">
        <v>44103</v>
      </c>
      <c r="AJ288" s="31">
        <v>12.5</v>
      </c>
      <c r="AK288" s="31">
        <v>1172.9000000000001</v>
      </c>
      <c r="BF288" s="31" t="s">
        <v>332</v>
      </c>
      <c r="BK288" s="31" t="s">
        <v>50</v>
      </c>
      <c r="BL288" s="31" t="s">
        <v>242</v>
      </c>
      <c r="BM288" s="31" t="s">
        <v>243</v>
      </c>
      <c r="BN288" s="33">
        <v>44218.757735115738</v>
      </c>
      <c r="BR288" s="31" t="s">
        <v>257</v>
      </c>
      <c r="BS288" s="31">
        <v>4.1216202019742802E+18</v>
      </c>
      <c r="BT288" s="31" t="s">
        <v>245</v>
      </c>
      <c r="BU288" s="31" t="s">
        <v>337</v>
      </c>
      <c r="BV288" s="31">
        <v>2020</v>
      </c>
      <c r="BW288" s="31" t="s">
        <v>246</v>
      </c>
      <c r="BY288" s="31">
        <v>4.0121202121311698E+18</v>
      </c>
      <c r="BZ288" s="31" t="s">
        <v>566</v>
      </c>
      <c r="CA288" s="31" t="s">
        <v>248</v>
      </c>
    </row>
    <row r="289" spans="1:79" x14ac:dyDescent="0.2">
      <c r="A289" s="31" t="s">
        <v>316</v>
      </c>
      <c r="B289" s="31" t="s">
        <v>325</v>
      </c>
      <c r="C289" s="31">
        <v>2020</v>
      </c>
      <c r="D289" s="31" t="s">
        <v>310</v>
      </c>
      <c r="E289" s="31">
        <v>2.0201214937663398E+17</v>
      </c>
      <c r="F289" s="31" t="s">
        <v>225</v>
      </c>
      <c r="G289" s="31" t="s">
        <v>875</v>
      </c>
      <c r="H289" s="31">
        <v>1482832</v>
      </c>
      <c r="J289" s="31" t="s">
        <v>227</v>
      </c>
      <c r="K289" s="31" t="s">
        <v>228</v>
      </c>
      <c r="L289" s="31" t="s">
        <v>320</v>
      </c>
      <c r="N289" s="31" t="s">
        <v>290</v>
      </c>
      <c r="O289" s="31" t="s">
        <v>254</v>
      </c>
      <c r="Q289" s="31" t="s">
        <v>255</v>
      </c>
      <c r="R289" s="31" t="s">
        <v>291</v>
      </c>
      <c r="T289" s="31" t="s">
        <v>292</v>
      </c>
      <c r="V289" s="31" t="s">
        <v>327</v>
      </c>
      <c r="X289" s="31" t="s">
        <v>294</v>
      </c>
      <c r="Y289" s="31" t="s">
        <v>295</v>
      </c>
      <c r="Z289" s="31">
        <v>30312</v>
      </c>
      <c r="AA289" s="31" t="s">
        <v>328</v>
      </c>
      <c r="AB289" s="31" t="s">
        <v>297</v>
      </c>
      <c r="AC289" s="31" t="s">
        <v>320</v>
      </c>
      <c r="AD289" s="31" t="s">
        <v>329</v>
      </c>
      <c r="AE289" s="31" t="s">
        <v>330</v>
      </c>
      <c r="AF289" s="31" t="s">
        <v>331</v>
      </c>
      <c r="AI289" s="32">
        <v>44103</v>
      </c>
      <c r="AJ289" s="31">
        <v>125</v>
      </c>
      <c r="AK289" s="31">
        <v>1479</v>
      </c>
      <c r="BF289" s="31" t="s">
        <v>332</v>
      </c>
      <c r="BK289" s="31" t="s">
        <v>50</v>
      </c>
      <c r="BL289" s="31" t="s">
        <v>242</v>
      </c>
      <c r="BM289" s="31" t="s">
        <v>243</v>
      </c>
      <c r="BN289" s="33">
        <v>44218.757903344907</v>
      </c>
      <c r="BR289" s="31" t="s">
        <v>257</v>
      </c>
      <c r="BS289" s="31">
        <v>4.1216202019742802E+18</v>
      </c>
      <c r="BT289" s="31" t="s">
        <v>245</v>
      </c>
      <c r="BU289" s="31" t="s">
        <v>354</v>
      </c>
      <c r="BV289" s="31">
        <v>2020</v>
      </c>
      <c r="BW289" s="31" t="s">
        <v>246</v>
      </c>
      <c r="BY289" s="31">
        <v>4.01212021213118E+18</v>
      </c>
      <c r="BZ289" s="31" t="s">
        <v>868</v>
      </c>
      <c r="CA289" s="31" t="s">
        <v>248</v>
      </c>
    </row>
    <row r="290" spans="1:79" x14ac:dyDescent="0.2">
      <c r="A290" s="31" t="s">
        <v>404</v>
      </c>
      <c r="B290" s="31" t="s">
        <v>424</v>
      </c>
      <c r="C290" s="31">
        <v>2020</v>
      </c>
      <c r="D290" s="31" t="s">
        <v>750</v>
      </c>
      <c r="E290" s="31">
        <v>2.020122493941E+17</v>
      </c>
      <c r="F290" s="31" t="s">
        <v>225</v>
      </c>
      <c r="G290" s="31">
        <v>9139090</v>
      </c>
      <c r="H290" s="31">
        <v>1484293</v>
      </c>
      <c r="J290" s="31" t="s">
        <v>227</v>
      </c>
      <c r="K290" s="31" t="s">
        <v>228</v>
      </c>
      <c r="L290" s="31" t="s">
        <v>316</v>
      </c>
      <c r="N290" s="31" t="s">
        <v>290</v>
      </c>
      <c r="O290" s="31" t="s">
        <v>39</v>
      </c>
      <c r="Q290" s="31" t="s">
        <v>28</v>
      </c>
      <c r="R290" s="31" t="s">
        <v>291</v>
      </c>
      <c r="T290" s="31" t="s">
        <v>292</v>
      </c>
      <c r="V290" s="31" t="s">
        <v>293</v>
      </c>
      <c r="X290" s="31" t="s">
        <v>294</v>
      </c>
      <c r="Y290" s="31" t="s">
        <v>295</v>
      </c>
      <c r="Z290" s="31">
        <v>303121941</v>
      </c>
      <c r="AA290" s="31" t="s">
        <v>328</v>
      </c>
      <c r="AB290" s="31" t="s">
        <v>297</v>
      </c>
      <c r="AC290" s="31" t="s">
        <v>316</v>
      </c>
      <c r="AD290" s="31" t="s">
        <v>237</v>
      </c>
      <c r="AE290" s="31" t="s">
        <v>238</v>
      </c>
      <c r="AI290" s="32">
        <v>44140</v>
      </c>
      <c r="AJ290" s="31">
        <v>5</v>
      </c>
      <c r="AK290" s="31">
        <v>1935.79</v>
      </c>
      <c r="BG290" s="31" t="s">
        <v>876</v>
      </c>
      <c r="BH290" s="31" t="s">
        <v>753</v>
      </c>
      <c r="BI290" s="31" t="s">
        <v>877</v>
      </c>
      <c r="BJ290" s="31">
        <v>2020</v>
      </c>
      <c r="BK290" s="31" t="s">
        <v>50</v>
      </c>
      <c r="BL290" s="31" t="s">
        <v>242</v>
      </c>
      <c r="BM290" s="31" t="s">
        <v>243</v>
      </c>
      <c r="BN290" s="33">
        <v>44219.469052233799</v>
      </c>
      <c r="BP290" s="31" t="s">
        <v>878</v>
      </c>
      <c r="BQ290" s="31" t="s">
        <v>318</v>
      </c>
      <c r="BR290" s="31" t="s">
        <v>244</v>
      </c>
      <c r="BS290" s="31">
        <v>4.12262020198637E+18</v>
      </c>
      <c r="BT290" s="31" t="s">
        <v>245</v>
      </c>
      <c r="BU290" s="31" t="s">
        <v>283</v>
      </c>
      <c r="BV290" s="31">
        <v>2020</v>
      </c>
      <c r="BW290" s="31" t="s">
        <v>246</v>
      </c>
      <c r="BY290" s="31">
        <v>4.0123202121360701E+18</v>
      </c>
      <c r="BZ290" s="31" t="s">
        <v>879</v>
      </c>
      <c r="CA290" s="31" t="s">
        <v>248</v>
      </c>
    </row>
    <row r="291" spans="1:79" x14ac:dyDescent="0.2">
      <c r="A291" s="31" t="s">
        <v>404</v>
      </c>
      <c r="B291" s="31" t="s">
        <v>424</v>
      </c>
      <c r="C291" s="31">
        <v>2020</v>
      </c>
      <c r="D291" s="31" t="s">
        <v>750</v>
      </c>
      <c r="E291" s="31">
        <v>2.0201224939415501E+17</v>
      </c>
      <c r="F291" s="31" t="s">
        <v>225</v>
      </c>
      <c r="G291" s="31">
        <v>11079693</v>
      </c>
      <c r="H291" s="31">
        <v>1484293</v>
      </c>
      <c r="J291" s="31" t="s">
        <v>227</v>
      </c>
      <c r="K291" s="31" t="s">
        <v>228</v>
      </c>
      <c r="L291" s="31" t="s">
        <v>316</v>
      </c>
      <c r="N291" s="31" t="s">
        <v>290</v>
      </c>
      <c r="O291" s="31" t="s">
        <v>39</v>
      </c>
      <c r="Q291" s="31" t="s">
        <v>28</v>
      </c>
      <c r="R291" s="31" t="s">
        <v>291</v>
      </c>
      <c r="T291" s="31" t="s">
        <v>292</v>
      </c>
      <c r="V291" s="31" t="s">
        <v>293</v>
      </c>
      <c r="X291" s="31" t="s">
        <v>294</v>
      </c>
      <c r="Y291" s="31" t="s">
        <v>295</v>
      </c>
      <c r="Z291" s="31">
        <v>303121941</v>
      </c>
      <c r="AA291" s="31" t="s">
        <v>328</v>
      </c>
      <c r="AB291" s="31" t="s">
        <v>297</v>
      </c>
      <c r="AC291" s="31" t="s">
        <v>316</v>
      </c>
      <c r="AD291" s="31" t="s">
        <v>237</v>
      </c>
      <c r="AE291" s="31" t="s">
        <v>238</v>
      </c>
      <c r="AI291" s="32">
        <v>44170</v>
      </c>
      <c r="AJ291" s="31">
        <v>5</v>
      </c>
      <c r="AK291" s="31">
        <v>1935.79</v>
      </c>
      <c r="BG291" s="31" t="s">
        <v>876</v>
      </c>
      <c r="BH291" s="31" t="s">
        <v>753</v>
      </c>
      <c r="BI291" s="31" t="s">
        <v>877</v>
      </c>
      <c r="BJ291" s="31">
        <v>2020</v>
      </c>
      <c r="BK291" s="31" t="s">
        <v>50</v>
      </c>
      <c r="BL291" s="31" t="s">
        <v>242</v>
      </c>
      <c r="BM291" s="31" t="s">
        <v>243</v>
      </c>
      <c r="BN291" s="33">
        <v>44219.472257615744</v>
      </c>
      <c r="BP291" s="31" t="s">
        <v>880</v>
      </c>
      <c r="BQ291" s="31" t="s">
        <v>318</v>
      </c>
      <c r="BR291" s="31" t="s">
        <v>244</v>
      </c>
      <c r="BS291" s="31">
        <v>4.12262020198637E+18</v>
      </c>
      <c r="BT291" s="31" t="s">
        <v>245</v>
      </c>
      <c r="BU291" s="31" t="s">
        <v>283</v>
      </c>
      <c r="BV291" s="31">
        <v>2020</v>
      </c>
      <c r="BW291" s="31" t="s">
        <v>246</v>
      </c>
      <c r="BY291" s="31">
        <v>4.0123202121362299E+18</v>
      </c>
      <c r="BZ291" s="31" t="s">
        <v>881</v>
      </c>
      <c r="CA291" s="31" t="s">
        <v>248</v>
      </c>
    </row>
    <row r="292" spans="1:79" x14ac:dyDescent="0.2">
      <c r="A292" s="31" t="s">
        <v>404</v>
      </c>
      <c r="B292" s="31" t="s">
        <v>424</v>
      </c>
      <c r="C292" s="31">
        <v>2020</v>
      </c>
      <c r="D292" s="31" t="s">
        <v>750</v>
      </c>
      <c r="E292" s="31">
        <v>2.0201224939424998E+17</v>
      </c>
      <c r="F292" s="31" t="s">
        <v>225</v>
      </c>
      <c r="G292" s="31">
        <v>8894119</v>
      </c>
      <c r="H292" s="31">
        <v>1484293</v>
      </c>
      <c r="J292" s="31" t="s">
        <v>227</v>
      </c>
      <c r="K292" s="31" t="s">
        <v>228</v>
      </c>
      <c r="L292" s="31" t="s">
        <v>316</v>
      </c>
      <c r="N292" s="31" t="s">
        <v>290</v>
      </c>
      <c r="O292" s="31" t="s">
        <v>39</v>
      </c>
      <c r="Q292" s="31" t="s">
        <v>28</v>
      </c>
      <c r="R292" s="31" t="s">
        <v>291</v>
      </c>
      <c r="T292" s="31" t="s">
        <v>292</v>
      </c>
      <c r="V292" s="31" t="s">
        <v>293</v>
      </c>
      <c r="X292" s="31" t="s">
        <v>294</v>
      </c>
      <c r="Y292" s="31" t="s">
        <v>295</v>
      </c>
      <c r="Z292" s="31">
        <v>303121941</v>
      </c>
      <c r="AA292" s="31" t="s">
        <v>328</v>
      </c>
      <c r="AB292" s="31" t="s">
        <v>297</v>
      </c>
      <c r="AC292" s="31" t="s">
        <v>316</v>
      </c>
      <c r="AD292" s="31" t="s">
        <v>237</v>
      </c>
      <c r="AE292" s="31" t="s">
        <v>238</v>
      </c>
      <c r="AI292" s="32">
        <v>44136</v>
      </c>
      <c r="AJ292" s="31">
        <v>49</v>
      </c>
      <c r="AK292" s="31">
        <v>1935.79</v>
      </c>
      <c r="BG292" s="31" t="s">
        <v>737</v>
      </c>
      <c r="BH292" s="31" t="s">
        <v>753</v>
      </c>
      <c r="BJ292" s="31">
        <v>2020</v>
      </c>
      <c r="BK292" s="31" t="s">
        <v>50</v>
      </c>
      <c r="BL292" s="31" t="s">
        <v>242</v>
      </c>
      <c r="BM292" s="31" t="s">
        <v>243</v>
      </c>
      <c r="BN292" s="33">
        <v>44219.472665486108</v>
      </c>
      <c r="BP292" s="31" t="s">
        <v>882</v>
      </c>
      <c r="BQ292" s="31" t="s">
        <v>318</v>
      </c>
      <c r="BR292" s="31" t="s">
        <v>244</v>
      </c>
      <c r="BS292" s="31">
        <v>4.12262020198637E+18</v>
      </c>
      <c r="BT292" s="31" t="s">
        <v>245</v>
      </c>
      <c r="BU292" s="31" t="s">
        <v>283</v>
      </c>
      <c r="BV292" s="31">
        <v>2020</v>
      </c>
      <c r="BW292" s="31" t="s">
        <v>246</v>
      </c>
      <c r="BY292" s="31">
        <v>4.0123202121365299E+18</v>
      </c>
      <c r="BZ292" s="31" t="s">
        <v>883</v>
      </c>
      <c r="CA292" s="31" t="s">
        <v>248</v>
      </c>
    </row>
    <row r="293" spans="1:79" x14ac:dyDescent="0.2">
      <c r="A293" s="31" t="s">
        <v>404</v>
      </c>
      <c r="B293" s="31" t="s">
        <v>424</v>
      </c>
      <c r="C293" s="31">
        <v>2020</v>
      </c>
      <c r="D293" s="31" t="s">
        <v>750</v>
      </c>
      <c r="E293" s="31">
        <v>2.0201224939417501E+17</v>
      </c>
      <c r="F293" s="31" t="s">
        <v>225</v>
      </c>
      <c r="G293" s="31">
        <v>11312305</v>
      </c>
      <c r="H293" s="31">
        <v>1484293</v>
      </c>
      <c r="J293" s="31" t="s">
        <v>227</v>
      </c>
      <c r="K293" s="31" t="s">
        <v>228</v>
      </c>
      <c r="L293" s="31" t="s">
        <v>316</v>
      </c>
      <c r="N293" s="31" t="s">
        <v>290</v>
      </c>
      <c r="O293" s="31" t="s">
        <v>39</v>
      </c>
      <c r="Q293" s="31" t="s">
        <v>28</v>
      </c>
      <c r="R293" s="31" t="s">
        <v>291</v>
      </c>
      <c r="T293" s="31" t="s">
        <v>292</v>
      </c>
      <c r="V293" s="31" t="s">
        <v>293</v>
      </c>
      <c r="X293" s="31" t="s">
        <v>294</v>
      </c>
      <c r="Y293" s="31" t="s">
        <v>295</v>
      </c>
      <c r="Z293" s="31">
        <v>303121941</v>
      </c>
      <c r="AA293" s="31" t="s">
        <v>328</v>
      </c>
      <c r="AB293" s="31" t="s">
        <v>297</v>
      </c>
      <c r="AC293" s="31" t="s">
        <v>316</v>
      </c>
      <c r="AD293" s="31" t="s">
        <v>237</v>
      </c>
      <c r="AE293" s="31" t="s">
        <v>238</v>
      </c>
      <c r="AI293" s="32">
        <v>44178</v>
      </c>
      <c r="AJ293" s="31">
        <v>25</v>
      </c>
      <c r="AK293" s="31">
        <v>1935.79</v>
      </c>
      <c r="BG293" s="31" t="s">
        <v>876</v>
      </c>
      <c r="BH293" s="31" t="s">
        <v>753</v>
      </c>
      <c r="BI293" s="31" t="s">
        <v>877</v>
      </c>
      <c r="BJ293" s="31">
        <v>2020</v>
      </c>
      <c r="BK293" s="31" t="s">
        <v>50</v>
      </c>
      <c r="BL293" s="31" t="s">
        <v>242</v>
      </c>
      <c r="BM293" s="31" t="s">
        <v>243</v>
      </c>
      <c r="BN293" s="33">
        <v>44219.474248923609</v>
      </c>
      <c r="BP293" s="31" t="s">
        <v>884</v>
      </c>
      <c r="BQ293" s="31" t="s">
        <v>318</v>
      </c>
      <c r="BR293" s="31" t="s">
        <v>244</v>
      </c>
      <c r="BS293" s="31">
        <v>4.12262020198637E+18</v>
      </c>
      <c r="BT293" s="31" t="s">
        <v>245</v>
      </c>
      <c r="BU293" s="31" t="s">
        <v>283</v>
      </c>
      <c r="BV293" s="31">
        <v>2020</v>
      </c>
      <c r="BW293" s="31" t="s">
        <v>246</v>
      </c>
      <c r="BY293" s="31">
        <v>4.0123202121363098E+18</v>
      </c>
      <c r="BZ293" s="31" t="s">
        <v>885</v>
      </c>
      <c r="CA293" s="31" t="s">
        <v>248</v>
      </c>
    </row>
    <row r="294" spans="1:79" x14ac:dyDescent="0.2">
      <c r="A294" s="31" t="s">
        <v>404</v>
      </c>
      <c r="B294" s="31" t="s">
        <v>424</v>
      </c>
      <c r="C294" s="31">
        <v>2020</v>
      </c>
      <c r="D294" s="31" t="s">
        <v>750</v>
      </c>
      <c r="E294" s="31">
        <v>2.02012249394176E+17</v>
      </c>
      <c r="F294" s="31" t="s">
        <v>225</v>
      </c>
      <c r="G294" s="31">
        <v>10741415</v>
      </c>
      <c r="H294" s="31">
        <v>1484293</v>
      </c>
      <c r="J294" s="31" t="s">
        <v>227</v>
      </c>
      <c r="K294" s="31" t="s">
        <v>228</v>
      </c>
      <c r="L294" s="31" t="s">
        <v>316</v>
      </c>
      <c r="N294" s="31" t="s">
        <v>290</v>
      </c>
      <c r="O294" s="31" t="s">
        <v>39</v>
      </c>
      <c r="Q294" s="31" t="s">
        <v>28</v>
      </c>
      <c r="R294" s="31" t="s">
        <v>291</v>
      </c>
      <c r="T294" s="31" t="s">
        <v>292</v>
      </c>
      <c r="V294" s="31" t="s">
        <v>293</v>
      </c>
      <c r="X294" s="31" t="s">
        <v>294</v>
      </c>
      <c r="Y294" s="31" t="s">
        <v>295</v>
      </c>
      <c r="Z294" s="31">
        <v>303121941</v>
      </c>
      <c r="AA294" s="31" t="s">
        <v>328</v>
      </c>
      <c r="AB294" s="31" t="s">
        <v>297</v>
      </c>
      <c r="AC294" s="31" t="s">
        <v>316</v>
      </c>
      <c r="AD294" s="31" t="s">
        <v>237</v>
      </c>
      <c r="AE294" s="31" t="s">
        <v>238</v>
      </c>
      <c r="AI294" s="32">
        <v>44164</v>
      </c>
      <c r="AJ294" s="31">
        <v>50</v>
      </c>
      <c r="AK294" s="31">
        <v>1935.79</v>
      </c>
      <c r="BG294" s="31" t="s">
        <v>876</v>
      </c>
      <c r="BH294" s="31" t="s">
        <v>753</v>
      </c>
      <c r="BI294" s="31" t="s">
        <v>877</v>
      </c>
      <c r="BJ294" s="31">
        <v>2020</v>
      </c>
      <c r="BK294" s="31" t="s">
        <v>50</v>
      </c>
      <c r="BL294" s="31" t="s">
        <v>242</v>
      </c>
      <c r="BM294" s="31" t="s">
        <v>243</v>
      </c>
      <c r="BN294" s="33">
        <v>44219.474369201387</v>
      </c>
      <c r="BP294" s="31" t="s">
        <v>886</v>
      </c>
      <c r="BQ294" s="31" t="s">
        <v>318</v>
      </c>
      <c r="BR294" s="31" t="s">
        <v>244</v>
      </c>
      <c r="BS294" s="31">
        <v>4.12262020198637E+18</v>
      </c>
      <c r="BT294" s="31" t="s">
        <v>245</v>
      </c>
      <c r="BU294" s="31" t="s">
        <v>283</v>
      </c>
      <c r="BV294" s="31">
        <v>2020</v>
      </c>
      <c r="BW294" s="31" t="s">
        <v>246</v>
      </c>
      <c r="BY294" s="31">
        <v>4.0123202121363098E+18</v>
      </c>
      <c r="BZ294" s="31" t="s">
        <v>887</v>
      </c>
      <c r="CA294" s="31" t="s">
        <v>248</v>
      </c>
    </row>
    <row r="295" spans="1:79" x14ac:dyDescent="0.2">
      <c r="A295" s="31" t="s">
        <v>404</v>
      </c>
      <c r="B295" s="31" t="s">
        <v>424</v>
      </c>
      <c r="C295" s="31">
        <v>2020</v>
      </c>
      <c r="D295" s="31" t="s">
        <v>750</v>
      </c>
      <c r="E295" s="31">
        <v>2.0201224939419398E+17</v>
      </c>
      <c r="F295" s="31" t="s">
        <v>225</v>
      </c>
      <c r="G295" s="31">
        <v>9097706</v>
      </c>
      <c r="H295" s="31">
        <v>1484293</v>
      </c>
      <c r="J295" s="31" t="s">
        <v>227</v>
      </c>
      <c r="K295" s="31" t="s">
        <v>228</v>
      </c>
      <c r="N295" s="31" t="s">
        <v>290</v>
      </c>
      <c r="O295" s="31" t="s">
        <v>39</v>
      </c>
      <c r="Q295" s="31" t="s">
        <v>28</v>
      </c>
      <c r="R295" s="31" t="s">
        <v>291</v>
      </c>
      <c r="T295" s="31" t="s">
        <v>292</v>
      </c>
      <c r="V295" s="31" t="s">
        <v>293</v>
      </c>
      <c r="X295" s="31" t="s">
        <v>294</v>
      </c>
      <c r="Y295" s="31" t="s">
        <v>295</v>
      </c>
      <c r="Z295" s="31">
        <v>303121941</v>
      </c>
      <c r="AA295" s="31" t="s">
        <v>328</v>
      </c>
      <c r="AB295" s="31" t="s">
        <v>297</v>
      </c>
      <c r="AD295" s="31">
        <v>15</v>
      </c>
      <c r="AE295" s="31" t="s">
        <v>298</v>
      </c>
      <c r="AI295" s="32">
        <v>44139</v>
      </c>
      <c r="AJ295" s="31">
        <v>500</v>
      </c>
      <c r="AK295" s="31">
        <v>1935.79</v>
      </c>
      <c r="BG295" s="31" t="s">
        <v>876</v>
      </c>
      <c r="BH295" s="31" t="s">
        <v>753</v>
      </c>
      <c r="BI295" s="31" t="s">
        <v>877</v>
      </c>
      <c r="BJ295" s="31">
        <v>2020</v>
      </c>
      <c r="BK295" s="31" t="s">
        <v>50</v>
      </c>
      <c r="BL295" s="31" t="s">
        <v>242</v>
      </c>
      <c r="BM295" s="31" t="s">
        <v>243</v>
      </c>
      <c r="BN295" s="33">
        <v>44219.475692569446</v>
      </c>
      <c r="BR295" s="31" t="s">
        <v>244</v>
      </c>
      <c r="BS295" s="31">
        <v>4.12262020198637E+18</v>
      </c>
      <c r="BT295" s="31" t="s">
        <v>245</v>
      </c>
      <c r="BV295" s="31">
        <v>2020</v>
      </c>
      <c r="BW295" s="31" t="s">
        <v>246</v>
      </c>
      <c r="BY295" s="31">
        <v>4.0123202121363599E+18</v>
      </c>
      <c r="BZ295" s="31" t="s">
        <v>888</v>
      </c>
      <c r="CA295" s="31" t="s">
        <v>248</v>
      </c>
    </row>
    <row r="296" spans="1:79" x14ac:dyDescent="0.2">
      <c r="A296" s="31" t="s">
        <v>404</v>
      </c>
      <c r="B296" s="31" t="s">
        <v>424</v>
      </c>
      <c r="C296" s="31">
        <v>2020</v>
      </c>
      <c r="D296" s="31" t="s">
        <v>750</v>
      </c>
      <c r="E296" s="31">
        <v>2.0201224939419699E+17</v>
      </c>
      <c r="F296" s="31" t="s">
        <v>225</v>
      </c>
      <c r="G296" s="31">
        <v>10486326</v>
      </c>
      <c r="H296" s="31">
        <v>1484293</v>
      </c>
      <c r="J296" s="31" t="s">
        <v>227</v>
      </c>
      <c r="K296" s="31" t="s">
        <v>228</v>
      </c>
      <c r="L296" s="31" t="s">
        <v>316</v>
      </c>
      <c r="N296" s="31" t="s">
        <v>290</v>
      </c>
      <c r="O296" s="31" t="s">
        <v>39</v>
      </c>
      <c r="Q296" s="31" t="s">
        <v>28</v>
      </c>
      <c r="R296" s="31" t="s">
        <v>291</v>
      </c>
      <c r="T296" s="31" t="s">
        <v>292</v>
      </c>
      <c r="V296" s="31" t="s">
        <v>293</v>
      </c>
      <c r="X296" s="31" t="s">
        <v>294</v>
      </c>
      <c r="Y296" s="31" t="s">
        <v>295</v>
      </c>
      <c r="Z296" s="31">
        <v>303121941</v>
      </c>
      <c r="AA296" s="31" t="s">
        <v>328</v>
      </c>
      <c r="AB296" s="31" t="s">
        <v>297</v>
      </c>
      <c r="AC296" s="31" t="s">
        <v>316</v>
      </c>
      <c r="AD296" s="31" t="s">
        <v>237</v>
      </c>
      <c r="AE296" s="31" t="s">
        <v>238</v>
      </c>
      <c r="AI296" s="32">
        <v>44157</v>
      </c>
      <c r="AJ296" s="31">
        <v>25</v>
      </c>
      <c r="AK296" s="31">
        <v>1935.79</v>
      </c>
      <c r="BG296" s="31" t="s">
        <v>876</v>
      </c>
      <c r="BH296" s="31" t="s">
        <v>753</v>
      </c>
      <c r="BI296" s="31" t="s">
        <v>877</v>
      </c>
      <c r="BJ296" s="31">
        <v>2020</v>
      </c>
      <c r="BK296" s="31" t="s">
        <v>50</v>
      </c>
      <c r="BL296" s="31" t="s">
        <v>242</v>
      </c>
      <c r="BM296" s="31" t="s">
        <v>243</v>
      </c>
      <c r="BN296" s="33">
        <v>44219.475936875002</v>
      </c>
      <c r="BP296" s="31" t="s">
        <v>889</v>
      </c>
      <c r="BQ296" s="31" t="s">
        <v>318</v>
      </c>
      <c r="BR296" s="31" t="s">
        <v>244</v>
      </c>
      <c r="BS296" s="31">
        <v>4.12262020198637E+18</v>
      </c>
      <c r="BT296" s="31" t="s">
        <v>245</v>
      </c>
      <c r="BU296" s="31" t="s">
        <v>283</v>
      </c>
      <c r="BV296" s="31">
        <v>2020</v>
      </c>
      <c r="BW296" s="31" t="s">
        <v>246</v>
      </c>
      <c r="BY296" s="31">
        <v>4.0123202121363702E+18</v>
      </c>
      <c r="BZ296" s="31" t="s">
        <v>890</v>
      </c>
      <c r="CA296" s="31" t="s">
        <v>248</v>
      </c>
    </row>
    <row r="297" spans="1:79" x14ac:dyDescent="0.2">
      <c r="A297" s="31" t="s">
        <v>404</v>
      </c>
      <c r="B297" s="31" t="s">
        <v>424</v>
      </c>
      <c r="C297" s="31">
        <v>2020</v>
      </c>
      <c r="D297" s="31" t="s">
        <v>750</v>
      </c>
      <c r="E297" s="31">
        <v>2.0201224939420198E+17</v>
      </c>
      <c r="F297" s="31" t="s">
        <v>225</v>
      </c>
      <c r="G297" s="31">
        <v>11065946</v>
      </c>
      <c r="H297" s="31">
        <v>1484293</v>
      </c>
      <c r="J297" s="31" t="s">
        <v>227</v>
      </c>
      <c r="K297" s="31" t="s">
        <v>228</v>
      </c>
      <c r="L297" s="31" t="s">
        <v>316</v>
      </c>
      <c r="N297" s="31" t="s">
        <v>290</v>
      </c>
      <c r="O297" s="31" t="s">
        <v>39</v>
      </c>
      <c r="Q297" s="31" t="s">
        <v>28</v>
      </c>
      <c r="R297" s="31" t="s">
        <v>291</v>
      </c>
      <c r="T297" s="31" t="s">
        <v>292</v>
      </c>
      <c r="V297" s="31" t="s">
        <v>293</v>
      </c>
      <c r="X297" s="31" t="s">
        <v>294</v>
      </c>
      <c r="Y297" s="31" t="s">
        <v>295</v>
      </c>
      <c r="Z297" s="31">
        <v>303121941</v>
      </c>
      <c r="AA297" s="31" t="s">
        <v>328</v>
      </c>
      <c r="AB297" s="31" t="s">
        <v>297</v>
      </c>
      <c r="AC297" s="31" t="s">
        <v>316</v>
      </c>
      <c r="AD297" s="31" t="s">
        <v>237</v>
      </c>
      <c r="AE297" s="31" t="s">
        <v>238</v>
      </c>
      <c r="AI297" s="32">
        <v>44171</v>
      </c>
      <c r="AJ297" s="31">
        <v>25</v>
      </c>
      <c r="AK297" s="31">
        <v>1935.79</v>
      </c>
      <c r="BG297" s="31" t="s">
        <v>876</v>
      </c>
      <c r="BH297" s="31" t="s">
        <v>753</v>
      </c>
      <c r="BI297" s="31" t="s">
        <v>877</v>
      </c>
      <c r="BJ297" s="31">
        <v>2020</v>
      </c>
      <c r="BK297" s="31" t="s">
        <v>50</v>
      </c>
      <c r="BL297" s="31" t="s">
        <v>242</v>
      </c>
      <c r="BM297" s="31" t="s">
        <v>243</v>
      </c>
      <c r="BN297" s="33">
        <v>44219.476314120373</v>
      </c>
      <c r="BP297" s="31" t="s">
        <v>891</v>
      </c>
      <c r="BQ297" s="31" t="s">
        <v>318</v>
      </c>
      <c r="BR297" s="31" t="s">
        <v>244</v>
      </c>
      <c r="BS297" s="31">
        <v>4.12262020198637E+18</v>
      </c>
      <c r="BT297" s="31" t="s">
        <v>245</v>
      </c>
      <c r="BU297" s="31" t="s">
        <v>283</v>
      </c>
      <c r="BV297" s="31">
        <v>2020</v>
      </c>
      <c r="BW297" s="31" t="s">
        <v>246</v>
      </c>
      <c r="BY297" s="31">
        <v>4.0123202121363901E+18</v>
      </c>
      <c r="BZ297" s="31" t="s">
        <v>892</v>
      </c>
      <c r="CA297" s="31" t="s">
        <v>248</v>
      </c>
    </row>
    <row r="298" spans="1:79" x14ac:dyDescent="0.2">
      <c r="A298" s="31" t="s">
        <v>404</v>
      </c>
      <c r="B298" s="31" t="s">
        <v>424</v>
      </c>
      <c r="C298" s="31">
        <v>2020</v>
      </c>
      <c r="D298" s="31" t="s">
        <v>750</v>
      </c>
      <c r="E298" s="31">
        <v>2.02012249394216E+17</v>
      </c>
      <c r="F298" s="31" t="s">
        <v>225</v>
      </c>
      <c r="G298" s="31">
        <v>9877727</v>
      </c>
      <c r="H298" s="31">
        <v>1484293</v>
      </c>
      <c r="J298" s="31" t="s">
        <v>227</v>
      </c>
      <c r="K298" s="31" t="s">
        <v>228</v>
      </c>
      <c r="L298" s="31" t="s">
        <v>316</v>
      </c>
      <c r="N298" s="31" t="s">
        <v>290</v>
      </c>
      <c r="O298" s="31" t="s">
        <v>39</v>
      </c>
      <c r="Q298" s="31" t="s">
        <v>28</v>
      </c>
      <c r="R298" s="31" t="s">
        <v>291</v>
      </c>
      <c r="T298" s="31" t="s">
        <v>292</v>
      </c>
      <c r="V298" s="31" t="s">
        <v>293</v>
      </c>
      <c r="X298" s="31" t="s">
        <v>294</v>
      </c>
      <c r="Y298" s="31" t="s">
        <v>295</v>
      </c>
      <c r="Z298" s="31">
        <v>303121941</v>
      </c>
      <c r="AA298" s="31" t="s">
        <v>328</v>
      </c>
      <c r="AB298" s="31" t="s">
        <v>297</v>
      </c>
      <c r="AC298" s="31" t="s">
        <v>316</v>
      </c>
      <c r="AD298" s="31" t="s">
        <v>237</v>
      </c>
      <c r="AE298" s="31" t="s">
        <v>238</v>
      </c>
      <c r="AI298" s="32">
        <v>44150</v>
      </c>
      <c r="AJ298" s="31">
        <v>250</v>
      </c>
      <c r="AK298" s="31">
        <v>1935.79</v>
      </c>
      <c r="BG298" s="31" t="s">
        <v>876</v>
      </c>
      <c r="BH298" s="31" t="s">
        <v>753</v>
      </c>
      <c r="BI298" s="31" t="s">
        <v>877</v>
      </c>
      <c r="BJ298" s="31">
        <v>2020</v>
      </c>
      <c r="BK298" s="31" t="s">
        <v>50</v>
      </c>
      <c r="BL298" s="31" t="s">
        <v>242</v>
      </c>
      <c r="BM298" s="31" t="s">
        <v>243</v>
      </c>
      <c r="BN298" s="33">
        <v>44219.476812210647</v>
      </c>
      <c r="BP298" s="31" t="s">
        <v>893</v>
      </c>
      <c r="BQ298" s="31" t="s">
        <v>318</v>
      </c>
      <c r="BR298" s="31" t="s">
        <v>244</v>
      </c>
      <c r="BS298" s="31">
        <v>4.12262020198637E+18</v>
      </c>
      <c r="BT298" s="31" t="s">
        <v>245</v>
      </c>
      <c r="BU298" s="31" t="s">
        <v>283</v>
      </c>
      <c r="BV298" s="31">
        <v>2020</v>
      </c>
      <c r="BW298" s="31" t="s">
        <v>246</v>
      </c>
      <c r="BY298" s="31">
        <v>4.0123202121364301E+18</v>
      </c>
      <c r="BZ298" s="31" t="s">
        <v>894</v>
      </c>
      <c r="CA298" s="31" t="s">
        <v>248</v>
      </c>
    </row>
    <row r="299" spans="1:79" x14ac:dyDescent="0.2">
      <c r="A299" s="31" t="s">
        <v>404</v>
      </c>
      <c r="B299" s="31" t="s">
        <v>424</v>
      </c>
      <c r="C299" s="31">
        <v>2020</v>
      </c>
      <c r="D299" s="31" t="s">
        <v>750</v>
      </c>
      <c r="E299" s="31">
        <v>2.0201224939421901E+17</v>
      </c>
      <c r="F299" s="31" t="s">
        <v>225</v>
      </c>
      <c r="G299" s="31">
        <v>10781647</v>
      </c>
      <c r="H299" s="31">
        <v>1484293</v>
      </c>
      <c r="J299" s="31" t="s">
        <v>227</v>
      </c>
      <c r="K299" s="31" t="s">
        <v>228</v>
      </c>
      <c r="L299" s="31" t="s">
        <v>316</v>
      </c>
      <c r="N299" s="31" t="s">
        <v>290</v>
      </c>
      <c r="O299" s="31" t="s">
        <v>39</v>
      </c>
      <c r="Q299" s="31" t="s">
        <v>28</v>
      </c>
      <c r="R299" s="31" t="s">
        <v>291</v>
      </c>
      <c r="T299" s="31" t="s">
        <v>292</v>
      </c>
      <c r="V299" s="31" t="s">
        <v>293</v>
      </c>
      <c r="X299" s="31" t="s">
        <v>294</v>
      </c>
      <c r="Y299" s="31" t="s">
        <v>295</v>
      </c>
      <c r="Z299" s="31">
        <v>303121941</v>
      </c>
      <c r="AA299" s="31" t="s">
        <v>328</v>
      </c>
      <c r="AB299" s="31" t="s">
        <v>297</v>
      </c>
      <c r="AC299" s="31" t="s">
        <v>316</v>
      </c>
      <c r="AD299" s="31" t="s">
        <v>237</v>
      </c>
      <c r="AE299" s="31" t="s">
        <v>238</v>
      </c>
      <c r="AI299" s="32">
        <v>44164</v>
      </c>
      <c r="AJ299" s="31">
        <v>25</v>
      </c>
      <c r="AK299" s="31">
        <v>1935.79</v>
      </c>
      <c r="BG299" s="31" t="s">
        <v>876</v>
      </c>
      <c r="BH299" s="31" t="s">
        <v>753</v>
      </c>
      <c r="BI299" s="31" t="s">
        <v>877</v>
      </c>
      <c r="BJ299" s="31">
        <v>2020</v>
      </c>
      <c r="BK299" s="31" t="s">
        <v>50</v>
      </c>
      <c r="BL299" s="31" t="s">
        <v>242</v>
      </c>
      <c r="BM299" s="31" t="s">
        <v>243</v>
      </c>
      <c r="BN299" s="33">
        <v>44219.476964351852</v>
      </c>
      <c r="BP299" s="31" t="s">
        <v>895</v>
      </c>
      <c r="BQ299" s="31" t="s">
        <v>318</v>
      </c>
      <c r="BR299" s="31" t="s">
        <v>244</v>
      </c>
      <c r="BS299" s="31">
        <v>4.12262020198637E+18</v>
      </c>
      <c r="BT299" s="31" t="s">
        <v>245</v>
      </c>
      <c r="BU299" s="31" t="s">
        <v>283</v>
      </c>
      <c r="BV299" s="31">
        <v>2020</v>
      </c>
      <c r="BW299" s="31" t="s">
        <v>246</v>
      </c>
      <c r="BY299" s="31">
        <v>4.0123202121364398E+18</v>
      </c>
      <c r="BZ299" s="31" t="s">
        <v>896</v>
      </c>
      <c r="CA299" s="31" t="s">
        <v>248</v>
      </c>
    </row>
    <row r="300" spans="1:79" x14ac:dyDescent="0.2">
      <c r="A300" s="31" t="s">
        <v>404</v>
      </c>
      <c r="B300" s="31" t="s">
        <v>424</v>
      </c>
      <c r="C300" s="31">
        <v>2020</v>
      </c>
      <c r="D300" s="31" t="s">
        <v>750</v>
      </c>
      <c r="E300" s="31">
        <v>2.0201224939411802E+17</v>
      </c>
      <c r="F300" s="31" t="s">
        <v>225</v>
      </c>
      <c r="G300" s="31">
        <v>8365691</v>
      </c>
      <c r="H300" s="31">
        <v>1484293</v>
      </c>
      <c r="J300" s="31" t="s">
        <v>227</v>
      </c>
      <c r="K300" s="31" t="s">
        <v>228</v>
      </c>
      <c r="L300" s="31" t="s">
        <v>316</v>
      </c>
      <c r="N300" s="31" t="s">
        <v>290</v>
      </c>
      <c r="O300" s="31" t="s">
        <v>39</v>
      </c>
      <c r="Q300" s="31" t="s">
        <v>28</v>
      </c>
      <c r="R300" s="31" t="s">
        <v>291</v>
      </c>
      <c r="T300" s="31" t="s">
        <v>292</v>
      </c>
      <c r="V300" s="31" t="s">
        <v>293</v>
      </c>
      <c r="X300" s="31" t="s">
        <v>294</v>
      </c>
      <c r="Y300" s="31" t="s">
        <v>295</v>
      </c>
      <c r="Z300" s="31">
        <v>303121941</v>
      </c>
      <c r="AA300" s="31" t="s">
        <v>328</v>
      </c>
      <c r="AB300" s="31" t="s">
        <v>297</v>
      </c>
      <c r="AC300" s="31" t="s">
        <v>316</v>
      </c>
      <c r="AD300" s="31" t="s">
        <v>237</v>
      </c>
      <c r="AE300" s="31" t="s">
        <v>238</v>
      </c>
      <c r="AI300" s="32">
        <v>44124</v>
      </c>
      <c r="AJ300" s="31">
        <v>100</v>
      </c>
      <c r="AK300" s="31">
        <v>1935.79</v>
      </c>
      <c r="BG300" s="31" t="s">
        <v>876</v>
      </c>
      <c r="BH300" s="31" t="s">
        <v>753</v>
      </c>
      <c r="BI300" s="31" t="s">
        <v>877</v>
      </c>
      <c r="BJ300" s="31">
        <v>2020</v>
      </c>
      <c r="BK300" s="31" t="s">
        <v>50</v>
      </c>
      <c r="BL300" s="31" t="s">
        <v>242</v>
      </c>
      <c r="BM300" s="31" t="s">
        <v>243</v>
      </c>
      <c r="BN300" s="33">
        <v>44219.477265266207</v>
      </c>
      <c r="BP300" s="31" t="s">
        <v>897</v>
      </c>
      <c r="BQ300" s="31" t="s">
        <v>318</v>
      </c>
      <c r="BR300" s="31" t="s">
        <v>244</v>
      </c>
      <c r="BS300" s="31">
        <v>4.12262020198637E+18</v>
      </c>
      <c r="BT300" s="31" t="s">
        <v>245</v>
      </c>
      <c r="BU300" s="31" t="s">
        <v>283</v>
      </c>
      <c r="BV300" s="31">
        <v>2020</v>
      </c>
      <c r="BW300" s="31" t="s">
        <v>246</v>
      </c>
      <c r="BY300" s="31">
        <v>4.0123202121361198E+18</v>
      </c>
      <c r="BZ300" s="31" t="s">
        <v>898</v>
      </c>
      <c r="CA300" s="31" t="s">
        <v>248</v>
      </c>
    </row>
    <row r="301" spans="1:79" x14ac:dyDescent="0.2">
      <c r="A301" s="31" t="s">
        <v>404</v>
      </c>
      <c r="B301" s="31" t="s">
        <v>424</v>
      </c>
      <c r="C301" s="31">
        <v>2020</v>
      </c>
      <c r="D301" s="31" t="s">
        <v>750</v>
      </c>
      <c r="E301" s="31">
        <v>2.0201224939411802E+17</v>
      </c>
      <c r="F301" s="31" t="s">
        <v>225</v>
      </c>
      <c r="G301" s="31">
        <v>9907091</v>
      </c>
      <c r="H301" s="31">
        <v>1484293</v>
      </c>
      <c r="J301" s="31" t="s">
        <v>227</v>
      </c>
      <c r="K301" s="31" t="s">
        <v>228</v>
      </c>
      <c r="L301" s="31" t="s">
        <v>316</v>
      </c>
      <c r="N301" s="31" t="s">
        <v>290</v>
      </c>
      <c r="O301" s="31" t="s">
        <v>39</v>
      </c>
      <c r="Q301" s="31" t="s">
        <v>28</v>
      </c>
      <c r="R301" s="31" t="s">
        <v>291</v>
      </c>
      <c r="T301" s="31" t="s">
        <v>292</v>
      </c>
      <c r="V301" s="31" t="s">
        <v>293</v>
      </c>
      <c r="X301" s="31" t="s">
        <v>294</v>
      </c>
      <c r="Y301" s="31" t="s">
        <v>295</v>
      </c>
      <c r="Z301" s="31">
        <v>303121941</v>
      </c>
      <c r="AA301" s="31" t="s">
        <v>328</v>
      </c>
      <c r="AB301" s="31" t="s">
        <v>297</v>
      </c>
      <c r="AC301" s="31" t="s">
        <v>316</v>
      </c>
      <c r="AD301" s="31" t="s">
        <v>237</v>
      </c>
      <c r="AE301" s="31" t="s">
        <v>238</v>
      </c>
      <c r="AI301" s="32">
        <v>44150</v>
      </c>
      <c r="AJ301" s="31">
        <v>25</v>
      </c>
      <c r="AK301" s="31">
        <v>1935.79</v>
      </c>
      <c r="BG301" s="31" t="s">
        <v>876</v>
      </c>
      <c r="BH301" s="31" t="s">
        <v>753</v>
      </c>
      <c r="BI301" s="31" t="s">
        <v>877</v>
      </c>
      <c r="BJ301" s="31">
        <v>2020</v>
      </c>
      <c r="BK301" s="31" t="s">
        <v>50</v>
      </c>
      <c r="BL301" s="31" t="s">
        <v>242</v>
      </c>
      <c r="BM301" s="31" t="s">
        <v>243</v>
      </c>
      <c r="BN301" s="33">
        <v>44219.477338344906</v>
      </c>
      <c r="BP301" s="31" t="s">
        <v>899</v>
      </c>
      <c r="BQ301" s="31" t="s">
        <v>318</v>
      </c>
      <c r="BR301" s="31" t="s">
        <v>244</v>
      </c>
      <c r="BS301" s="31">
        <v>4.12262020198637E+18</v>
      </c>
      <c r="BT301" s="31" t="s">
        <v>245</v>
      </c>
      <c r="BU301" s="31" t="s">
        <v>283</v>
      </c>
      <c r="BV301" s="31">
        <v>2020</v>
      </c>
      <c r="BW301" s="31" t="s">
        <v>246</v>
      </c>
      <c r="BY301" s="31">
        <v>4.0123202121361198E+18</v>
      </c>
      <c r="BZ301" s="31" t="s">
        <v>900</v>
      </c>
      <c r="CA301" s="31" t="s">
        <v>248</v>
      </c>
    </row>
    <row r="302" spans="1:79" x14ac:dyDescent="0.2">
      <c r="A302" s="31" t="s">
        <v>404</v>
      </c>
      <c r="B302" s="31" t="s">
        <v>424</v>
      </c>
      <c r="C302" s="31">
        <v>2020</v>
      </c>
      <c r="D302" s="31" t="s">
        <v>750</v>
      </c>
      <c r="E302" s="31">
        <v>2.02012249394268E+17</v>
      </c>
      <c r="F302" s="31">
        <v>12</v>
      </c>
      <c r="G302" s="31">
        <v>11114116</v>
      </c>
      <c r="H302" s="31">
        <v>1484293</v>
      </c>
      <c r="J302" s="31" t="s">
        <v>227</v>
      </c>
      <c r="K302" s="31" t="s">
        <v>228</v>
      </c>
      <c r="N302" s="31" t="s">
        <v>290</v>
      </c>
      <c r="O302" s="31" t="s">
        <v>39</v>
      </c>
      <c r="Q302" s="31" t="s">
        <v>28</v>
      </c>
      <c r="R302" s="31" t="s">
        <v>291</v>
      </c>
      <c r="T302" s="31" t="s">
        <v>292</v>
      </c>
      <c r="V302" s="31" t="s">
        <v>293</v>
      </c>
      <c r="X302" s="31" t="s">
        <v>294</v>
      </c>
      <c r="Y302" s="31" t="s">
        <v>295</v>
      </c>
      <c r="Z302" s="31">
        <v>303121941</v>
      </c>
      <c r="AA302" s="31" t="s">
        <v>328</v>
      </c>
      <c r="AB302" s="31" t="s">
        <v>297</v>
      </c>
      <c r="AD302" s="31" t="s">
        <v>545</v>
      </c>
      <c r="AE302" s="31" t="s">
        <v>546</v>
      </c>
      <c r="AG302" s="31" t="s">
        <v>415</v>
      </c>
      <c r="AI302" s="32">
        <v>44166</v>
      </c>
      <c r="AJ302" s="31">
        <v>250</v>
      </c>
      <c r="AK302" s="31">
        <v>1935.79</v>
      </c>
      <c r="BG302" s="31" t="s">
        <v>240</v>
      </c>
      <c r="BH302" s="31" t="s">
        <v>753</v>
      </c>
      <c r="BI302" s="31" t="s">
        <v>241</v>
      </c>
      <c r="BJ302" s="31">
        <v>2020</v>
      </c>
      <c r="BK302" s="31" t="s">
        <v>50</v>
      </c>
      <c r="BL302" s="31" t="s">
        <v>242</v>
      </c>
      <c r="BM302" s="31" t="s">
        <v>243</v>
      </c>
      <c r="BN302" s="33">
        <v>44219.477338993056</v>
      </c>
      <c r="BP302" s="31">
        <v>11113724</v>
      </c>
      <c r="BQ302" s="31" t="s">
        <v>547</v>
      </c>
      <c r="BR302" s="31" t="s">
        <v>244</v>
      </c>
      <c r="BS302" s="31">
        <v>4.12262020198637E+18</v>
      </c>
      <c r="BT302" s="31" t="s">
        <v>245</v>
      </c>
      <c r="BV302" s="31">
        <v>2020</v>
      </c>
      <c r="BW302" s="31" t="s">
        <v>246</v>
      </c>
      <c r="BY302" s="31">
        <v>4.0123202121365801E+18</v>
      </c>
      <c r="BZ302" s="31" t="s">
        <v>901</v>
      </c>
      <c r="CA302" s="31" t="s">
        <v>770</v>
      </c>
    </row>
    <row r="303" spans="1:79" x14ac:dyDescent="0.2">
      <c r="A303" s="31" t="s">
        <v>404</v>
      </c>
      <c r="B303" s="31" t="s">
        <v>424</v>
      </c>
      <c r="C303" s="31">
        <v>2020</v>
      </c>
      <c r="D303" s="31" t="s">
        <v>750</v>
      </c>
      <c r="E303" s="31">
        <v>2.0201224939412E+17</v>
      </c>
      <c r="F303" s="31" t="s">
        <v>225</v>
      </c>
      <c r="G303" s="31">
        <v>9472202</v>
      </c>
      <c r="H303" s="31">
        <v>1484293</v>
      </c>
      <c r="J303" s="31" t="s">
        <v>227</v>
      </c>
      <c r="K303" s="31" t="s">
        <v>228</v>
      </c>
      <c r="N303" s="31" t="s">
        <v>290</v>
      </c>
      <c r="O303" s="31" t="s">
        <v>39</v>
      </c>
      <c r="Q303" s="31" t="s">
        <v>28</v>
      </c>
      <c r="R303" s="31" t="s">
        <v>291</v>
      </c>
      <c r="T303" s="31" t="s">
        <v>292</v>
      </c>
      <c r="V303" s="31" t="s">
        <v>293</v>
      </c>
      <c r="X303" s="31" t="s">
        <v>294</v>
      </c>
      <c r="Y303" s="31" t="s">
        <v>295</v>
      </c>
      <c r="Z303" s="31">
        <v>303121941</v>
      </c>
      <c r="AA303" s="31" t="s">
        <v>328</v>
      </c>
      <c r="AB303" s="31" t="s">
        <v>297</v>
      </c>
      <c r="AD303" s="31">
        <v>15</v>
      </c>
      <c r="AE303" s="31" t="s">
        <v>298</v>
      </c>
      <c r="AI303" s="32">
        <v>44148</v>
      </c>
      <c r="AJ303" s="31">
        <v>65.36</v>
      </c>
      <c r="AK303" s="31">
        <v>1935.79</v>
      </c>
      <c r="BG303" s="31" t="s">
        <v>737</v>
      </c>
      <c r="BH303" s="31" t="s">
        <v>753</v>
      </c>
      <c r="BJ303" s="31">
        <v>2020</v>
      </c>
      <c r="BK303" s="31" t="s">
        <v>50</v>
      </c>
      <c r="BL303" s="31" t="s">
        <v>242</v>
      </c>
      <c r="BM303" s="31" t="s">
        <v>243</v>
      </c>
      <c r="BN303" s="33">
        <v>44219.477438368056</v>
      </c>
      <c r="BR303" s="31" t="s">
        <v>244</v>
      </c>
      <c r="BS303" s="31">
        <v>4.12262020198637E+18</v>
      </c>
      <c r="BT303" s="31" t="s">
        <v>245</v>
      </c>
      <c r="BV303" s="31">
        <v>2020</v>
      </c>
      <c r="BW303" s="31" t="s">
        <v>246</v>
      </c>
      <c r="BY303" s="31">
        <v>4.01232021213613E+18</v>
      </c>
      <c r="BZ303" s="31" t="s">
        <v>902</v>
      </c>
      <c r="CA303" s="31" t="s">
        <v>248</v>
      </c>
    </row>
    <row r="304" spans="1:79" x14ac:dyDescent="0.2">
      <c r="A304" s="31" t="s">
        <v>404</v>
      </c>
      <c r="B304" s="31" t="s">
        <v>424</v>
      </c>
      <c r="C304" s="31">
        <v>2020</v>
      </c>
      <c r="D304" s="31" t="s">
        <v>750</v>
      </c>
      <c r="E304" s="31">
        <v>2.02012249394136E+17</v>
      </c>
      <c r="F304" s="31" t="s">
        <v>225</v>
      </c>
      <c r="G304" s="31">
        <v>9478592</v>
      </c>
      <c r="H304" s="31">
        <v>1484293</v>
      </c>
      <c r="J304" s="31" t="s">
        <v>227</v>
      </c>
      <c r="K304" s="31" t="s">
        <v>228</v>
      </c>
      <c r="L304" s="31" t="s">
        <v>316</v>
      </c>
      <c r="N304" s="31" t="s">
        <v>290</v>
      </c>
      <c r="O304" s="31" t="s">
        <v>39</v>
      </c>
      <c r="Q304" s="31" t="s">
        <v>28</v>
      </c>
      <c r="R304" s="31" t="s">
        <v>291</v>
      </c>
      <c r="T304" s="31" t="s">
        <v>292</v>
      </c>
      <c r="V304" s="31" t="s">
        <v>293</v>
      </c>
      <c r="X304" s="31" t="s">
        <v>294</v>
      </c>
      <c r="Y304" s="31" t="s">
        <v>295</v>
      </c>
      <c r="Z304" s="31">
        <v>303121941</v>
      </c>
      <c r="AA304" s="31" t="s">
        <v>328</v>
      </c>
      <c r="AB304" s="31" t="s">
        <v>297</v>
      </c>
      <c r="AC304" s="31" t="s">
        <v>316</v>
      </c>
      <c r="AD304" s="31" t="s">
        <v>237</v>
      </c>
      <c r="AE304" s="31" t="s">
        <v>238</v>
      </c>
      <c r="AI304" s="32">
        <v>44146</v>
      </c>
      <c r="AJ304" s="31">
        <v>250</v>
      </c>
      <c r="AK304" s="31">
        <v>1935.79</v>
      </c>
      <c r="BG304" s="31" t="s">
        <v>737</v>
      </c>
      <c r="BH304" s="31" t="s">
        <v>753</v>
      </c>
      <c r="BJ304" s="31">
        <v>2020</v>
      </c>
      <c r="BK304" s="31" t="s">
        <v>50</v>
      </c>
      <c r="BL304" s="31" t="s">
        <v>242</v>
      </c>
      <c r="BM304" s="31" t="s">
        <v>243</v>
      </c>
      <c r="BN304" s="33">
        <v>44219.478030763887</v>
      </c>
      <c r="BP304" s="31" t="s">
        <v>903</v>
      </c>
      <c r="BQ304" s="31" t="s">
        <v>318</v>
      </c>
      <c r="BR304" s="31" t="s">
        <v>244</v>
      </c>
      <c r="BS304" s="31">
        <v>4.12262020198637E+18</v>
      </c>
      <c r="BT304" s="31" t="s">
        <v>245</v>
      </c>
      <c r="BU304" s="31" t="s">
        <v>283</v>
      </c>
      <c r="BV304" s="31">
        <v>2020</v>
      </c>
      <c r="BW304" s="31" t="s">
        <v>246</v>
      </c>
      <c r="BY304" s="31">
        <v>4.0123202121361802E+18</v>
      </c>
      <c r="BZ304" s="31" t="s">
        <v>904</v>
      </c>
      <c r="CA304" s="31" t="s">
        <v>248</v>
      </c>
    </row>
    <row r="305" spans="1:79" x14ac:dyDescent="0.2">
      <c r="A305" s="31" t="s">
        <v>316</v>
      </c>
      <c r="B305" s="31" t="s">
        <v>325</v>
      </c>
      <c r="C305" s="31">
        <v>2020</v>
      </c>
      <c r="D305" s="31" t="s">
        <v>224</v>
      </c>
      <c r="E305" s="31">
        <v>2.0201204935455299E+17</v>
      </c>
      <c r="F305" s="31" t="s">
        <v>225</v>
      </c>
      <c r="G305" s="31" t="s">
        <v>905</v>
      </c>
      <c r="H305" s="31">
        <v>1481637</v>
      </c>
      <c r="J305" s="31" t="s">
        <v>227</v>
      </c>
      <c r="K305" s="31" t="s">
        <v>228</v>
      </c>
      <c r="L305" s="31" t="s">
        <v>320</v>
      </c>
      <c r="N305" s="31" t="s">
        <v>290</v>
      </c>
      <c r="O305" s="31" t="s">
        <v>254</v>
      </c>
      <c r="Q305" s="31" t="s">
        <v>255</v>
      </c>
      <c r="R305" s="31" t="s">
        <v>291</v>
      </c>
      <c r="T305" s="31" t="s">
        <v>292</v>
      </c>
      <c r="V305" s="31" t="s">
        <v>327</v>
      </c>
      <c r="X305" s="31" t="s">
        <v>294</v>
      </c>
      <c r="Y305" s="31" t="s">
        <v>295</v>
      </c>
      <c r="Z305" s="31">
        <v>30312</v>
      </c>
      <c r="AA305" s="31" t="s">
        <v>328</v>
      </c>
      <c r="AB305" s="31" t="s">
        <v>297</v>
      </c>
      <c r="AC305" s="31" t="s">
        <v>320</v>
      </c>
      <c r="AD305" s="31" t="s">
        <v>329</v>
      </c>
      <c r="AE305" s="31" t="s">
        <v>330</v>
      </c>
      <c r="AF305" s="31" t="s">
        <v>331</v>
      </c>
      <c r="AI305" s="32">
        <v>44132</v>
      </c>
      <c r="AJ305" s="31">
        <v>100</v>
      </c>
      <c r="AK305" s="31">
        <v>1779</v>
      </c>
      <c r="BF305" s="31" t="s">
        <v>332</v>
      </c>
      <c r="BK305" s="31" t="s">
        <v>50</v>
      </c>
      <c r="BL305" s="31" t="s">
        <v>242</v>
      </c>
      <c r="BM305" s="31" t="s">
        <v>243</v>
      </c>
      <c r="BN305" s="33">
        <v>44201.641782777777</v>
      </c>
      <c r="BR305" s="31" t="s">
        <v>257</v>
      </c>
      <c r="BS305" s="31">
        <v>4.1205202019644498E+18</v>
      </c>
      <c r="BT305" s="31" t="s">
        <v>245</v>
      </c>
      <c r="BU305" s="31" t="s">
        <v>354</v>
      </c>
      <c r="BV305" s="31">
        <v>2020</v>
      </c>
      <c r="BW305" s="31" t="s">
        <v>246</v>
      </c>
      <c r="BY305" s="31">
        <v>4.0104202120003502E+18</v>
      </c>
      <c r="BZ305" s="31" t="s">
        <v>906</v>
      </c>
      <c r="CA305" s="31" t="s">
        <v>248</v>
      </c>
    </row>
    <row r="306" spans="1:79" x14ac:dyDescent="0.2">
      <c r="A306" s="31" t="s">
        <v>316</v>
      </c>
      <c r="B306" s="31" t="s">
        <v>325</v>
      </c>
      <c r="C306" s="31">
        <v>2020</v>
      </c>
      <c r="D306" s="31" t="s">
        <v>224</v>
      </c>
      <c r="E306" s="31">
        <v>2.0201204935455299E+17</v>
      </c>
      <c r="F306" s="31" t="s">
        <v>225</v>
      </c>
      <c r="G306" s="31" t="s">
        <v>907</v>
      </c>
      <c r="H306" s="31">
        <v>1481637</v>
      </c>
      <c r="J306" s="31" t="s">
        <v>227</v>
      </c>
      <c r="K306" s="31" t="s">
        <v>228</v>
      </c>
      <c r="N306" s="31" t="s">
        <v>290</v>
      </c>
      <c r="O306" s="31" t="s">
        <v>254</v>
      </c>
      <c r="Q306" s="31" t="s">
        <v>255</v>
      </c>
      <c r="R306" s="31" t="s">
        <v>291</v>
      </c>
      <c r="T306" s="31" t="s">
        <v>292</v>
      </c>
      <c r="V306" s="31" t="s">
        <v>327</v>
      </c>
      <c r="X306" s="31" t="s">
        <v>294</v>
      </c>
      <c r="Y306" s="31" t="s">
        <v>295</v>
      </c>
      <c r="Z306" s="31">
        <v>30312</v>
      </c>
      <c r="AA306" s="31" t="s">
        <v>328</v>
      </c>
      <c r="AB306" s="31" t="s">
        <v>297</v>
      </c>
      <c r="AD306" s="31">
        <v>15</v>
      </c>
      <c r="AE306" s="31" t="s">
        <v>298</v>
      </c>
      <c r="AF306" s="31" t="s">
        <v>336</v>
      </c>
      <c r="AI306" s="32">
        <v>44132</v>
      </c>
      <c r="AJ306" s="31">
        <v>10</v>
      </c>
      <c r="AK306" s="31">
        <v>1512.2</v>
      </c>
      <c r="BF306" s="31" t="s">
        <v>332</v>
      </c>
      <c r="BK306" s="31" t="s">
        <v>50</v>
      </c>
      <c r="BL306" s="31" t="s">
        <v>242</v>
      </c>
      <c r="BM306" s="31" t="s">
        <v>243</v>
      </c>
      <c r="BN306" s="33">
        <v>44201.641831064815</v>
      </c>
      <c r="BR306" s="31" t="s">
        <v>257</v>
      </c>
      <c r="BS306" s="31">
        <v>4.1205202019644498E+18</v>
      </c>
      <c r="BT306" s="31" t="s">
        <v>245</v>
      </c>
      <c r="BU306" s="31" t="s">
        <v>337</v>
      </c>
      <c r="BV306" s="31">
        <v>2020</v>
      </c>
      <c r="BW306" s="31" t="s">
        <v>246</v>
      </c>
      <c r="BY306" s="31">
        <v>4.0104202120003502E+18</v>
      </c>
      <c r="BZ306" s="31" t="s">
        <v>906</v>
      </c>
      <c r="CA306" s="31" t="s">
        <v>248</v>
      </c>
    </row>
    <row r="307" spans="1:79" x14ac:dyDescent="0.2">
      <c r="A307" s="31" t="s">
        <v>316</v>
      </c>
      <c r="B307" s="31" t="s">
        <v>325</v>
      </c>
      <c r="C307" s="31">
        <v>2020</v>
      </c>
      <c r="D307" s="31" t="s">
        <v>224</v>
      </c>
      <c r="E307" s="31">
        <v>2.0201204935455299E+17</v>
      </c>
      <c r="F307" s="31" t="s">
        <v>225</v>
      </c>
      <c r="G307" s="31" t="s">
        <v>908</v>
      </c>
      <c r="H307" s="31">
        <v>1481637</v>
      </c>
      <c r="J307" s="31" t="s">
        <v>227</v>
      </c>
      <c r="K307" s="31" t="s">
        <v>228</v>
      </c>
      <c r="N307" s="31" t="s">
        <v>290</v>
      </c>
      <c r="O307" s="31" t="s">
        <v>254</v>
      </c>
      <c r="Q307" s="31" t="s">
        <v>255</v>
      </c>
      <c r="R307" s="31" t="s">
        <v>291</v>
      </c>
      <c r="T307" s="31" t="s">
        <v>292</v>
      </c>
      <c r="V307" s="31" t="s">
        <v>327</v>
      </c>
      <c r="X307" s="31" t="s">
        <v>294</v>
      </c>
      <c r="Y307" s="31" t="s">
        <v>295</v>
      </c>
      <c r="Z307" s="31">
        <v>30312</v>
      </c>
      <c r="AA307" s="31" t="s">
        <v>328</v>
      </c>
      <c r="AB307" s="31" t="s">
        <v>297</v>
      </c>
      <c r="AD307" s="31">
        <v>15</v>
      </c>
      <c r="AE307" s="31" t="s">
        <v>298</v>
      </c>
      <c r="AF307" s="31" t="s">
        <v>336</v>
      </c>
      <c r="AI307" s="32">
        <v>44157</v>
      </c>
      <c r="AJ307" s="31">
        <v>2.5</v>
      </c>
      <c r="AK307" s="31">
        <v>1512.2</v>
      </c>
      <c r="BF307" s="31" t="s">
        <v>332</v>
      </c>
      <c r="BK307" s="31" t="s">
        <v>50</v>
      </c>
      <c r="BL307" s="31" t="s">
        <v>242</v>
      </c>
      <c r="BM307" s="31" t="s">
        <v>243</v>
      </c>
      <c r="BN307" s="33">
        <v>44201.645004768521</v>
      </c>
      <c r="BR307" s="31" t="s">
        <v>257</v>
      </c>
      <c r="BS307" s="31">
        <v>4.1205202019644498E+18</v>
      </c>
      <c r="BT307" s="31" t="s">
        <v>245</v>
      </c>
      <c r="BU307" s="31" t="s">
        <v>337</v>
      </c>
      <c r="BV307" s="31">
        <v>2020</v>
      </c>
      <c r="BW307" s="31" t="s">
        <v>246</v>
      </c>
      <c r="BY307" s="31">
        <v>4.0104202120121999E+18</v>
      </c>
      <c r="BZ307" s="31" t="s">
        <v>788</v>
      </c>
      <c r="CA307" s="31" t="s">
        <v>248</v>
      </c>
    </row>
    <row r="308" spans="1:79" x14ac:dyDescent="0.2">
      <c r="A308" s="31" t="s">
        <v>316</v>
      </c>
      <c r="B308" s="31" t="s">
        <v>325</v>
      </c>
      <c r="C308" s="31">
        <v>2020</v>
      </c>
      <c r="D308" s="31" t="s">
        <v>224</v>
      </c>
      <c r="E308" s="31">
        <v>2.0201204935455299E+17</v>
      </c>
      <c r="F308" s="31" t="s">
        <v>225</v>
      </c>
      <c r="G308" s="31" t="s">
        <v>909</v>
      </c>
      <c r="H308" s="31">
        <v>1481637</v>
      </c>
      <c r="J308" s="31" t="s">
        <v>227</v>
      </c>
      <c r="K308" s="31" t="s">
        <v>228</v>
      </c>
      <c r="L308" s="31" t="s">
        <v>404</v>
      </c>
      <c r="N308" s="31" t="s">
        <v>290</v>
      </c>
      <c r="O308" s="31" t="s">
        <v>254</v>
      </c>
      <c r="Q308" s="31" t="s">
        <v>255</v>
      </c>
      <c r="R308" s="31" t="s">
        <v>291</v>
      </c>
      <c r="T308" s="31" t="s">
        <v>292</v>
      </c>
      <c r="V308" s="31" t="s">
        <v>327</v>
      </c>
      <c r="X308" s="31" t="s">
        <v>294</v>
      </c>
      <c r="Y308" s="31" t="s">
        <v>295</v>
      </c>
      <c r="Z308" s="31">
        <v>30312</v>
      </c>
      <c r="AA308" s="31" t="s">
        <v>328</v>
      </c>
      <c r="AB308" s="31" t="s">
        <v>297</v>
      </c>
      <c r="AC308" s="31" t="s">
        <v>404</v>
      </c>
      <c r="AD308" s="31" t="s">
        <v>329</v>
      </c>
      <c r="AE308" s="31" t="s">
        <v>330</v>
      </c>
      <c r="AF308" s="31" t="s">
        <v>331</v>
      </c>
      <c r="AI308" s="32">
        <v>44157</v>
      </c>
      <c r="AJ308" s="31">
        <v>25</v>
      </c>
      <c r="AK308" s="31">
        <v>3634</v>
      </c>
      <c r="AL308" s="31" t="s">
        <v>405</v>
      </c>
      <c r="BF308" s="31" t="s">
        <v>332</v>
      </c>
      <c r="BK308" s="31" t="s">
        <v>50</v>
      </c>
      <c r="BL308" s="31" t="s">
        <v>242</v>
      </c>
      <c r="BM308" s="31" t="s">
        <v>243</v>
      </c>
      <c r="BN308" s="33">
        <v>44201.645004768521</v>
      </c>
      <c r="BR308" s="31" t="s">
        <v>257</v>
      </c>
      <c r="BS308" s="31">
        <v>4.1205202019644498E+18</v>
      </c>
      <c r="BT308" s="31" t="s">
        <v>245</v>
      </c>
      <c r="BU308" s="31" t="s">
        <v>385</v>
      </c>
      <c r="BV308" s="31">
        <v>2020</v>
      </c>
      <c r="BW308" s="31" t="s">
        <v>246</v>
      </c>
      <c r="BY308" s="31">
        <v>4.0104202120121999E+18</v>
      </c>
      <c r="BZ308" s="31" t="s">
        <v>788</v>
      </c>
      <c r="CA308" s="31" t="s">
        <v>248</v>
      </c>
    </row>
    <row r="309" spans="1:79" x14ac:dyDescent="0.2">
      <c r="A309" s="31" t="s">
        <v>316</v>
      </c>
      <c r="B309" s="31" t="s">
        <v>325</v>
      </c>
      <c r="C309" s="31">
        <v>2020</v>
      </c>
      <c r="D309" s="31" t="s">
        <v>268</v>
      </c>
      <c r="E309" s="31">
        <v>2.0210131941958E+17</v>
      </c>
      <c r="F309" s="31" t="s">
        <v>225</v>
      </c>
      <c r="G309" s="31" t="s">
        <v>910</v>
      </c>
      <c r="H309" s="31">
        <v>1496802</v>
      </c>
      <c r="J309" s="31" t="s">
        <v>227</v>
      </c>
      <c r="K309" s="31" t="s">
        <v>228</v>
      </c>
      <c r="L309" s="31" t="s">
        <v>459</v>
      </c>
      <c r="N309" s="31" t="s">
        <v>290</v>
      </c>
      <c r="O309" s="31" t="s">
        <v>254</v>
      </c>
      <c r="Q309" s="31" t="s">
        <v>255</v>
      </c>
      <c r="R309" s="31" t="s">
        <v>291</v>
      </c>
      <c r="T309" s="31" t="s">
        <v>292</v>
      </c>
      <c r="V309" s="31" t="s">
        <v>327</v>
      </c>
      <c r="X309" s="31" t="s">
        <v>294</v>
      </c>
      <c r="Y309" s="31" t="s">
        <v>295</v>
      </c>
      <c r="Z309" s="31">
        <v>30312</v>
      </c>
      <c r="AA309" s="31" t="s">
        <v>328</v>
      </c>
      <c r="AB309" s="31" t="s">
        <v>297</v>
      </c>
      <c r="AC309" s="31" t="s">
        <v>459</v>
      </c>
      <c r="AD309" s="31" t="s">
        <v>329</v>
      </c>
      <c r="AE309" s="31" t="s">
        <v>330</v>
      </c>
      <c r="AF309" s="31" t="s">
        <v>331</v>
      </c>
      <c r="AI309" s="32">
        <v>44194</v>
      </c>
      <c r="AJ309" s="31">
        <v>15</v>
      </c>
      <c r="AK309" s="31">
        <v>1015</v>
      </c>
      <c r="BF309" s="31" t="s">
        <v>332</v>
      </c>
      <c r="BK309" s="31" t="s">
        <v>50</v>
      </c>
      <c r="BL309" s="31" t="s">
        <v>242</v>
      </c>
      <c r="BM309" s="31" t="s">
        <v>243</v>
      </c>
      <c r="BN309" s="32">
        <v>44267.183657407404</v>
      </c>
      <c r="BR309" s="31" t="s">
        <v>257</v>
      </c>
      <c r="BS309" s="31">
        <v>4.0201202121400402E+18</v>
      </c>
      <c r="BT309" s="31" t="s">
        <v>245</v>
      </c>
      <c r="BU309" s="31" t="s">
        <v>911</v>
      </c>
      <c r="BV309" s="31">
        <v>2020</v>
      </c>
      <c r="BW309" s="31" t="s">
        <v>246</v>
      </c>
      <c r="BY309" s="31">
        <v>4.03112021125344E+18</v>
      </c>
      <c r="BZ309" s="31" t="s">
        <v>912</v>
      </c>
      <c r="CA309" s="31" t="s">
        <v>248</v>
      </c>
    </row>
    <row r="310" spans="1:79" x14ac:dyDescent="0.2">
      <c r="A310" s="31" t="s">
        <v>316</v>
      </c>
      <c r="B310" s="31" t="s">
        <v>325</v>
      </c>
      <c r="C310" s="31">
        <v>2020</v>
      </c>
      <c r="D310" s="31" t="s">
        <v>268</v>
      </c>
      <c r="E310" s="31">
        <v>2.0210131941958E+17</v>
      </c>
      <c r="F310" s="31" t="s">
        <v>225</v>
      </c>
      <c r="G310" s="31" t="s">
        <v>913</v>
      </c>
      <c r="H310" s="31">
        <v>1496802</v>
      </c>
      <c r="J310" s="31" t="s">
        <v>227</v>
      </c>
      <c r="K310" s="31" t="s">
        <v>228</v>
      </c>
      <c r="N310" s="31" t="s">
        <v>290</v>
      </c>
      <c r="O310" s="31" t="s">
        <v>254</v>
      </c>
      <c r="Q310" s="31" t="s">
        <v>255</v>
      </c>
      <c r="R310" s="31" t="s">
        <v>291</v>
      </c>
      <c r="T310" s="31" t="s">
        <v>292</v>
      </c>
      <c r="V310" s="31" t="s">
        <v>327</v>
      </c>
      <c r="X310" s="31" t="s">
        <v>294</v>
      </c>
      <c r="Y310" s="31" t="s">
        <v>295</v>
      </c>
      <c r="Z310" s="31">
        <v>30312</v>
      </c>
      <c r="AA310" s="31" t="s">
        <v>328</v>
      </c>
      <c r="AB310" s="31" t="s">
        <v>297</v>
      </c>
      <c r="AD310" s="31">
        <v>15</v>
      </c>
      <c r="AE310" s="31" t="s">
        <v>298</v>
      </c>
      <c r="AF310" s="31" t="s">
        <v>336</v>
      </c>
      <c r="AI310" s="32">
        <v>44194</v>
      </c>
      <c r="AJ310" s="31">
        <v>1.5</v>
      </c>
      <c r="AK310" s="31">
        <v>1661.2</v>
      </c>
      <c r="BF310" s="31" t="s">
        <v>332</v>
      </c>
      <c r="BK310" s="31" t="s">
        <v>50</v>
      </c>
      <c r="BL310" s="31" t="s">
        <v>242</v>
      </c>
      <c r="BM310" s="31" t="s">
        <v>243</v>
      </c>
      <c r="BN310" s="33">
        <v>44267.183752222219</v>
      </c>
      <c r="BR310" s="31" t="s">
        <v>257</v>
      </c>
      <c r="BS310" s="31">
        <v>4.0201202121400402E+18</v>
      </c>
      <c r="BT310" s="31" t="s">
        <v>245</v>
      </c>
      <c r="BU310" s="31" t="s">
        <v>337</v>
      </c>
      <c r="BV310" s="31">
        <v>2020</v>
      </c>
      <c r="BW310" s="31" t="s">
        <v>246</v>
      </c>
      <c r="BY310" s="31">
        <v>4.03112021125344E+18</v>
      </c>
      <c r="BZ310" s="31" t="s">
        <v>914</v>
      </c>
      <c r="CA310" s="31" t="s">
        <v>248</v>
      </c>
    </row>
    <row r="311" spans="1:79" x14ac:dyDescent="0.2">
      <c r="A311" s="31" t="s">
        <v>316</v>
      </c>
      <c r="B311" s="31" t="s">
        <v>325</v>
      </c>
      <c r="C311" s="31">
        <v>2020</v>
      </c>
      <c r="D311" s="31" t="s">
        <v>268</v>
      </c>
      <c r="E311" s="31">
        <v>2.0210131941958E+17</v>
      </c>
      <c r="F311" s="31" t="s">
        <v>225</v>
      </c>
      <c r="G311" s="31" t="s">
        <v>915</v>
      </c>
      <c r="H311" s="31">
        <v>1496802</v>
      </c>
      <c r="J311" s="31" t="s">
        <v>227</v>
      </c>
      <c r="K311" s="31" t="s">
        <v>228</v>
      </c>
      <c r="N311" s="31" t="s">
        <v>290</v>
      </c>
      <c r="O311" s="31" t="s">
        <v>254</v>
      </c>
      <c r="Q311" s="31" t="s">
        <v>255</v>
      </c>
      <c r="R311" s="31" t="s">
        <v>291</v>
      </c>
      <c r="T311" s="31" t="s">
        <v>292</v>
      </c>
      <c r="V311" s="31" t="s">
        <v>327</v>
      </c>
      <c r="X311" s="31" t="s">
        <v>294</v>
      </c>
      <c r="Y311" s="31" t="s">
        <v>295</v>
      </c>
      <c r="Z311" s="31">
        <v>30312</v>
      </c>
      <c r="AA311" s="31" t="s">
        <v>328</v>
      </c>
      <c r="AB311" s="31" t="s">
        <v>297</v>
      </c>
      <c r="AD311" s="31">
        <v>15</v>
      </c>
      <c r="AE311" s="31" t="s">
        <v>298</v>
      </c>
      <c r="AF311" s="31" t="s">
        <v>336</v>
      </c>
      <c r="AI311" s="32">
        <v>44194</v>
      </c>
      <c r="AJ311" s="31">
        <v>20</v>
      </c>
      <c r="AK311" s="31">
        <v>1661.2</v>
      </c>
      <c r="BF311" s="31" t="s">
        <v>332</v>
      </c>
      <c r="BK311" s="31" t="s">
        <v>50</v>
      </c>
      <c r="BL311" s="31" t="s">
        <v>242</v>
      </c>
      <c r="BM311" s="31" t="s">
        <v>243</v>
      </c>
      <c r="BN311" s="33">
        <v>44267.183783368055</v>
      </c>
      <c r="BR311" s="31" t="s">
        <v>257</v>
      </c>
      <c r="BS311" s="31">
        <v>4.0201202121400402E+18</v>
      </c>
      <c r="BT311" s="31" t="s">
        <v>245</v>
      </c>
      <c r="BU311" s="31" t="s">
        <v>337</v>
      </c>
      <c r="BV311" s="31">
        <v>2020</v>
      </c>
      <c r="BW311" s="31" t="s">
        <v>246</v>
      </c>
      <c r="BY311" s="31">
        <v>4.03112021125344E+18</v>
      </c>
      <c r="BZ311" s="31" t="s">
        <v>912</v>
      </c>
      <c r="CA311" s="31" t="s">
        <v>248</v>
      </c>
    </row>
    <row r="312" spans="1:79" x14ac:dyDescent="0.2">
      <c r="A312" s="31" t="s">
        <v>316</v>
      </c>
      <c r="B312" s="31" t="s">
        <v>325</v>
      </c>
      <c r="C312" s="31">
        <v>2020</v>
      </c>
      <c r="D312" s="31" t="s">
        <v>268</v>
      </c>
      <c r="E312" s="31">
        <v>2.0210131941958E+17</v>
      </c>
      <c r="F312" s="31" t="s">
        <v>225</v>
      </c>
      <c r="G312" s="31" t="s">
        <v>916</v>
      </c>
      <c r="H312" s="31">
        <v>1496802</v>
      </c>
      <c r="J312" s="31" t="s">
        <v>227</v>
      </c>
      <c r="K312" s="31" t="s">
        <v>228</v>
      </c>
      <c r="N312" s="31" t="s">
        <v>290</v>
      </c>
      <c r="O312" s="31" t="s">
        <v>254</v>
      </c>
      <c r="Q312" s="31" t="s">
        <v>255</v>
      </c>
      <c r="R312" s="31" t="s">
        <v>291</v>
      </c>
      <c r="T312" s="31" t="s">
        <v>292</v>
      </c>
      <c r="V312" s="31" t="s">
        <v>327</v>
      </c>
      <c r="X312" s="31" t="s">
        <v>294</v>
      </c>
      <c r="Y312" s="31" t="s">
        <v>295</v>
      </c>
      <c r="Z312" s="31">
        <v>30312</v>
      </c>
      <c r="AA312" s="31" t="s">
        <v>328</v>
      </c>
      <c r="AB312" s="31" t="s">
        <v>297</v>
      </c>
      <c r="AD312" s="31">
        <v>15</v>
      </c>
      <c r="AE312" s="31" t="s">
        <v>298</v>
      </c>
      <c r="AF312" s="31" t="s">
        <v>336</v>
      </c>
      <c r="AI312" s="32">
        <v>44164</v>
      </c>
      <c r="AJ312" s="31">
        <v>2.5</v>
      </c>
      <c r="AK312" s="31">
        <v>1661.2</v>
      </c>
      <c r="BF312" s="31" t="s">
        <v>332</v>
      </c>
      <c r="BK312" s="31" t="s">
        <v>50</v>
      </c>
      <c r="BL312" s="31" t="s">
        <v>242</v>
      </c>
      <c r="BM312" s="31" t="s">
        <v>243</v>
      </c>
      <c r="BN312" s="33">
        <v>44267.183920081021</v>
      </c>
      <c r="BR312" s="31" t="s">
        <v>257</v>
      </c>
      <c r="BS312" s="31">
        <v>4.0201202121400402E+18</v>
      </c>
      <c r="BT312" s="31" t="s">
        <v>245</v>
      </c>
      <c r="BU312" s="31" t="s">
        <v>337</v>
      </c>
      <c r="BV312" s="31">
        <v>2020</v>
      </c>
      <c r="BW312" s="31" t="s">
        <v>246</v>
      </c>
      <c r="BY312" s="31">
        <v>4.0311202112471301E+18</v>
      </c>
      <c r="BZ312" s="31" t="s">
        <v>917</v>
      </c>
      <c r="CA312" s="31" t="s">
        <v>248</v>
      </c>
    </row>
    <row r="313" spans="1:79" x14ac:dyDescent="0.2">
      <c r="A313" s="31" t="s">
        <v>316</v>
      </c>
      <c r="B313" s="31" t="s">
        <v>325</v>
      </c>
      <c r="C313" s="31">
        <v>2020</v>
      </c>
      <c r="D313" s="31" t="s">
        <v>268</v>
      </c>
      <c r="E313" s="31">
        <v>2.0210131941958E+17</v>
      </c>
      <c r="F313" s="31" t="s">
        <v>225</v>
      </c>
      <c r="G313" s="31" t="s">
        <v>918</v>
      </c>
      <c r="H313" s="31">
        <v>1496802</v>
      </c>
      <c r="J313" s="31" t="s">
        <v>227</v>
      </c>
      <c r="K313" s="31" t="s">
        <v>228</v>
      </c>
      <c r="L313" s="31" t="s">
        <v>404</v>
      </c>
      <c r="N313" s="31" t="s">
        <v>290</v>
      </c>
      <c r="O313" s="31" t="s">
        <v>254</v>
      </c>
      <c r="Q313" s="31" t="s">
        <v>255</v>
      </c>
      <c r="R313" s="31" t="s">
        <v>291</v>
      </c>
      <c r="T313" s="31" t="s">
        <v>292</v>
      </c>
      <c r="V313" s="31" t="s">
        <v>327</v>
      </c>
      <c r="X313" s="31" t="s">
        <v>294</v>
      </c>
      <c r="Y313" s="31" t="s">
        <v>295</v>
      </c>
      <c r="Z313" s="31">
        <v>30312</v>
      </c>
      <c r="AA313" s="31" t="s">
        <v>328</v>
      </c>
      <c r="AB313" s="31" t="s">
        <v>297</v>
      </c>
      <c r="AC313" s="31" t="s">
        <v>404</v>
      </c>
      <c r="AD313" s="31" t="s">
        <v>329</v>
      </c>
      <c r="AE313" s="31" t="s">
        <v>330</v>
      </c>
      <c r="AF313" s="31" t="s">
        <v>331</v>
      </c>
      <c r="AI313" s="32">
        <v>44164</v>
      </c>
      <c r="AJ313" s="31">
        <v>25</v>
      </c>
      <c r="AK313" s="31">
        <v>3814</v>
      </c>
      <c r="AL313" s="31" t="s">
        <v>405</v>
      </c>
      <c r="BF313" s="31" t="s">
        <v>332</v>
      </c>
      <c r="BK313" s="31" t="s">
        <v>50</v>
      </c>
      <c r="BL313" s="31" t="s">
        <v>242</v>
      </c>
      <c r="BM313" s="31" t="s">
        <v>243</v>
      </c>
      <c r="BN313" s="33">
        <v>44267.183920081021</v>
      </c>
      <c r="BR313" s="31" t="s">
        <v>257</v>
      </c>
      <c r="BS313" s="31">
        <v>4.0201202121400402E+18</v>
      </c>
      <c r="BT313" s="31" t="s">
        <v>245</v>
      </c>
      <c r="BU313" s="31" t="s">
        <v>385</v>
      </c>
      <c r="BV313" s="31">
        <v>2020</v>
      </c>
      <c r="BW313" s="31" t="s">
        <v>246</v>
      </c>
      <c r="BY313" s="31">
        <v>4.0311202112471301E+18</v>
      </c>
      <c r="BZ313" s="31" t="s">
        <v>917</v>
      </c>
      <c r="CA313" s="31" t="s">
        <v>248</v>
      </c>
    </row>
    <row r="314" spans="1:79" x14ac:dyDescent="0.2">
      <c r="A314" s="31" t="s">
        <v>316</v>
      </c>
      <c r="B314" s="31" t="s">
        <v>325</v>
      </c>
      <c r="C314" s="31">
        <v>2020</v>
      </c>
      <c r="D314" s="31" t="s">
        <v>268</v>
      </c>
      <c r="E314" s="31">
        <v>2.0210131941958E+17</v>
      </c>
      <c r="F314" s="31" t="s">
        <v>225</v>
      </c>
      <c r="G314" s="31" t="s">
        <v>919</v>
      </c>
      <c r="H314" s="31">
        <v>1496802</v>
      </c>
      <c r="J314" s="31" t="s">
        <v>227</v>
      </c>
      <c r="K314" s="31" t="s">
        <v>228</v>
      </c>
      <c r="L314" s="31" t="s">
        <v>404</v>
      </c>
      <c r="N314" s="31" t="s">
        <v>290</v>
      </c>
      <c r="O314" s="31" t="s">
        <v>254</v>
      </c>
      <c r="Q314" s="31" t="s">
        <v>255</v>
      </c>
      <c r="R314" s="31" t="s">
        <v>291</v>
      </c>
      <c r="T314" s="31" t="s">
        <v>292</v>
      </c>
      <c r="V314" s="31" t="s">
        <v>327</v>
      </c>
      <c r="X314" s="31" t="s">
        <v>294</v>
      </c>
      <c r="Y314" s="31" t="s">
        <v>295</v>
      </c>
      <c r="Z314" s="31">
        <v>30312</v>
      </c>
      <c r="AA314" s="31" t="s">
        <v>328</v>
      </c>
      <c r="AB314" s="31" t="s">
        <v>297</v>
      </c>
      <c r="AC314" s="31" t="s">
        <v>404</v>
      </c>
      <c r="AD314" s="31" t="s">
        <v>329</v>
      </c>
      <c r="AE314" s="31" t="s">
        <v>330</v>
      </c>
      <c r="AF314" s="31" t="s">
        <v>331</v>
      </c>
      <c r="AI314" s="32">
        <v>44185</v>
      </c>
      <c r="AJ314" s="31">
        <v>25</v>
      </c>
      <c r="AK314" s="31">
        <v>3814</v>
      </c>
      <c r="AL314" s="31" t="s">
        <v>405</v>
      </c>
      <c r="BF314" s="31" t="s">
        <v>332</v>
      </c>
      <c r="BK314" s="31" t="s">
        <v>50</v>
      </c>
      <c r="BL314" s="31" t="s">
        <v>242</v>
      </c>
      <c r="BM314" s="31" t="s">
        <v>243</v>
      </c>
      <c r="BN314" s="33">
        <v>44267.185491550925</v>
      </c>
      <c r="BR314" s="31" t="s">
        <v>257</v>
      </c>
      <c r="BS314" s="31">
        <v>4.0201202121400402E+18</v>
      </c>
      <c r="BT314" s="31" t="s">
        <v>245</v>
      </c>
      <c r="BU314" s="31" t="s">
        <v>385</v>
      </c>
      <c r="BV314" s="31">
        <v>2020</v>
      </c>
      <c r="BW314" s="31" t="s">
        <v>246</v>
      </c>
      <c r="BY314" s="31">
        <v>4.0311202112519398E+18</v>
      </c>
      <c r="BZ314" s="31" t="s">
        <v>920</v>
      </c>
      <c r="CA314" s="31" t="s">
        <v>248</v>
      </c>
    </row>
    <row r="315" spans="1:79" x14ac:dyDescent="0.2">
      <c r="A315" s="31" t="s">
        <v>316</v>
      </c>
      <c r="B315" s="31" t="s">
        <v>325</v>
      </c>
      <c r="C315" s="31">
        <v>2020</v>
      </c>
      <c r="D315" s="31" t="s">
        <v>268</v>
      </c>
      <c r="E315" s="31">
        <v>2.0210131941958E+17</v>
      </c>
      <c r="F315" s="31" t="s">
        <v>225</v>
      </c>
      <c r="G315" s="31" t="s">
        <v>921</v>
      </c>
      <c r="H315" s="31">
        <v>1496802</v>
      </c>
      <c r="J315" s="31" t="s">
        <v>227</v>
      </c>
      <c r="K315" s="31" t="s">
        <v>228</v>
      </c>
      <c r="N315" s="31" t="s">
        <v>290</v>
      </c>
      <c r="O315" s="31" t="s">
        <v>254</v>
      </c>
      <c r="Q315" s="31" t="s">
        <v>255</v>
      </c>
      <c r="R315" s="31" t="s">
        <v>291</v>
      </c>
      <c r="T315" s="31" t="s">
        <v>292</v>
      </c>
      <c r="V315" s="31" t="s">
        <v>327</v>
      </c>
      <c r="X315" s="31" t="s">
        <v>294</v>
      </c>
      <c r="Y315" s="31" t="s">
        <v>295</v>
      </c>
      <c r="Z315" s="31">
        <v>30312</v>
      </c>
      <c r="AA315" s="31" t="s">
        <v>328</v>
      </c>
      <c r="AB315" s="31" t="s">
        <v>297</v>
      </c>
      <c r="AD315" s="31">
        <v>15</v>
      </c>
      <c r="AE315" s="31" t="s">
        <v>298</v>
      </c>
      <c r="AF315" s="31" t="s">
        <v>336</v>
      </c>
      <c r="AI315" s="32">
        <v>44185</v>
      </c>
      <c r="AJ315" s="31">
        <v>2.5</v>
      </c>
      <c r="AK315" s="31">
        <v>1661.2</v>
      </c>
      <c r="BF315" s="31" t="s">
        <v>332</v>
      </c>
      <c r="BK315" s="31" t="s">
        <v>50</v>
      </c>
      <c r="BL315" s="31" t="s">
        <v>242</v>
      </c>
      <c r="BM315" s="31" t="s">
        <v>243</v>
      </c>
      <c r="BN315" s="33">
        <v>44267.185491550925</v>
      </c>
      <c r="BR315" s="31" t="s">
        <v>257</v>
      </c>
      <c r="BS315" s="31">
        <v>4.0201202121400402E+18</v>
      </c>
      <c r="BT315" s="31" t="s">
        <v>245</v>
      </c>
      <c r="BU315" s="31" t="s">
        <v>337</v>
      </c>
      <c r="BV315" s="31">
        <v>2020</v>
      </c>
      <c r="BW315" s="31" t="s">
        <v>246</v>
      </c>
      <c r="BY315" s="31">
        <v>4.0311202112519398E+18</v>
      </c>
      <c r="BZ315" s="31" t="s">
        <v>920</v>
      </c>
      <c r="CA315" s="31" t="s">
        <v>248</v>
      </c>
    </row>
    <row r="316" spans="1:79" x14ac:dyDescent="0.2">
      <c r="A316" s="31" t="s">
        <v>316</v>
      </c>
      <c r="B316" s="31" t="s">
        <v>325</v>
      </c>
      <c r="C316" s="31">
        <v>2020</v>
      </c>
      <c r="D316" s="31" t="s">
        <v>268</v>
      </c>
      <c r="E316" s="31">
        <v>2.0210131941958E+17</v>
      </c>
      <c r="F316" s="31" t="s">
        <v>225</v>
      </c>
      <c r="G316" s="31" t="s">
        <v>922</v>
      </c>
      <c r="H316" s="31">
        <v>1496802</v>
      </c>
      <c r="J316" s="31" t="s">
        <v>227</v>
      </c>
      <c r="K316" s="31" t="s">
        <v>228</v>
      </c>
      <c r="N316" s="31" t="s">
        <v>290</v>
      </c>
      <c r="O316" s="31" t="s">
        <v>254</v>
      </c>
      <c r="Q316" s="31" t="s">
        <v>255</v>
      </c>
      <c r="R316" s="31" t="s">
        <v>291</v>
      </c>
      <c r="T316" s="31" t="s">
        <v>292</v>
      </c>
      <c r="V316" s="31" t="s">
        <v>327</v>
      </c>
      <c r="X316" s="31" t="s">
        <v>294</v>
      </c>
      <c r="Y316" s="31" t="s">
        <v>295</v>
      </c>
      <c r="Z316" s="31">
        <v>30312</v>
      </c>
      <c r="AA316" s="31" t="s">
        <v>328</v>
      </c>
      <c r="AB316" s="31" t="s">
        <v>297</v>
      </c>
      <c r="AD316" s="31">
        <v>15</v>
      </c>
      <c r="AE316" s="31" t="s">
        <v>298</v>
      </c>
      <c r="AF316" s="31" t="s">
        <v>336</v>
      </c>
      <c r="AI316" s="32">
        <v>44166</v>
      </c>
      <c r="AJ316" s="31">
        <v>50</v>
      </c>
      <c r="AK316" s="31">
        <v>1661.2</v>
      </c>
      <c r="BF316" s="31" t="s">
        <v>332</v>
      </c>
      <c r="BK316" s="31" t="s">
        <v>50</v>
      </c>
      <c r="BL316" s="31" t="s">
        <v>242</v>
      </c>
      <c r="BM316" s="31" t="s">
        <v>243</v>
      </c>
      <c r="BN316" s="33">
        <v>44267.186202511577</v>
      </c>
      <c r="BR316" s="31" t="s">
        <v>257</v>
      </c>
      <c r="BS316" s="31">
        <v>4.0201202121400402E+18</v>
      </c>
      <c r="BT316" s="31" t="s">
        <v>245</v>
      </c>
      <c r="BU316" s="31" t="s">
        <v>337</v>
      </c>
      <c r="BV316" s="31">
        <v>2020</v>
      </c>
      <c r="BW316" s="31" t="s">
        <v>246</v>
      </c>
      <c r="BY316" s="31">
        <v>4.0311202112477998E+18</v>
      </c>
      <c r="BZ316" s="31" t="s">
        <v>923</v>
      </c>
      <c r="CA316" s="31" t="s">
        <v>248</v>
      </c>
    </row>
    <row r="317" spans="1:79" x14ac:dyDescent="0.2">
      <c r="A317" s="31" t="s">
        <v>316</v>
      </c>
      <c r="B317" s="31" t="s">
        <v>325</v>
      </c>
      <c r="C317" s="31">
        <v>2020</v>
      </c>
      <c r="D317" s="31" t="s">
        <v>268</v>
      </c>
      <c r="E317" s="31">
        <v>2.0210131941958E+17</v>
      </c>
      <c r="F317" s="31" t="s">
        <v>225</v>
      </c>
      <c r="G317" s="31" t="s">
        <v>924</v>
      </c>
      <c r="H317" s="31">
        <v>1496802</v>
      </c>
      <c r="J317" s="31" t="s">
        <v>227</v>
      </c>
      <c r="K317" s="31" t="s">
        <v>228</v>
      </c>
      <c r="N317" s="31" t="s">
        <v>290</v>
      </c>
      <c r="O317" s="31" t="s">
        <v>254</v>
      </c>
      <c r="Q317" s="31" t="s">
        <v>255</v>
      </c>
      <c r="R317" s="31" t="s">
        <v>291</v>
      </c>
      <c r="T317" s="31" t="s">
        <v>292</v>
      </c>
      <c r="V317" s="31" t="s">
        <v>327</v>
      </c>
      <c r="X317" s="31" t="s">
        <v>294</v>
      </c>
      <c r="Y317" s="31" t="s">
        <v>295</v>
      </c>
      <c r="Z317" s="31">
        <v>30312</v>
      </c>
      <c r="AA317" s="31" t="s">
        <v>328</v>
      </c>
      <c r="AB317" s="31" t="s">
        <v>297</v>
      </c>
      <c r="AD317" s="31">
        <v>15</v>
      </c>
      <c r="AE317" s="31" t="s">
        <v>298</v>
      </c>
      <c r="AF317" s="31" t="s">
        <v>336</v>
      </c>
      <c r="AI317" s="32">
        <v>44186</v>
      </c>
      <c r="AJ317" s="31">
        <v>10</v>
      </c>
      <c r="AK317" s="31">
        <v>1661.2</v>
      </c>
      <c r="BF317" s="31" t="s">
        <v>332</v>
      </c>
      <c r="BK317" s="31" t="s">
        <v>50</v>
      </c>
      <c r="BL317" s="31" t="s">
        <v>242</v>
      </c>
      <c r="BM317" s="31" t="s">
        <v>243</v>
      </c>
      <c r="BN317" s="33">
        <v>44267.18757790509</v>
      </c>
      <c r="BR317" s="31" t="s">
        <v>257</v>
      </c>
      <c r="BS317" s="31">
        <v>4.0201202121400402E+18</v>
      </c>
      <c r="BT317" s="31" t="s">
        <v>245</v>
      </c>
      <c r="BU317" s="31" t="s">
        <v>337</v>
      </c>
      <c r="BV317" s="31">
        <v>2020</v>
      </c>
      <c r="BW317" s="31" t="s">
        <v>246</v>
      </c>
      <c r="BY317" s="31">
        <v>4.0311202112519997E+18</v>
      </c>
      <c r="BZ317" s="31" t="s">
        <v>925</v>
      </c>
      <c r="CA317" s="31" t="s">
        <v>248</v>
      </c>
    </row>
    <row r="318" spans="1:79" x14ac:dyDescent="0.2">
      <c r="A318" s="31" t="s">
        <v>316</v>
      </c>
      <c r="B318" s="31" t="s">
        <v>325</v>
      </c>
      <c r="C318" s="31">
        <v>2020</v>
      </c>
      <c r="D318" s="31" t="s">
        <v>268</v>
      </c>
      <c r="E318" s="31">
        <v>2.0210131941958E+17</v>
      </c>
      <c r="F318" s="31" t="s">
        <v>225</v>
      </c>
      <c r="G318" s="31" t="s">
        <v>926</v>
      </c>
      <c r="H318" s="31">
        <v>1496802</v>
      </c>
      <c r="J318" s="31" t="s">
        <v>227</v>
      </c>
      <c r="K318" s="31" t="s">
        <v>228</v>
      </c>
      <c r="N318" s="31" t="s">
        <v>290</v>
      </c>
      <c r="O318" s="31" t="s">
        <v>254</v>
      </c>
      <c r="Q318" s="31" t="s">
        <v>255</v>
      </c>
      <c r="R318" s="31" t="s">
        <v>291</v>
      </c>
      <c r="T318" s="31" t="s">
        <v>292</v>
      </c>
      <c r="V318" s="31" t="s">
        <v>327</v>
      </c>
      <c r="X318" s="31" t="s">
        <v>294</v>
      </c>
      <c r="Y318" s="31" t="s">
        <v>295</v>
      </c>
      <c r="Z318" s="31">
        <v>30312</v>
      </c>
      <c r="AA318" s="31" t="s">
        <v>328</v>
      </c>
      <c r="AB318" s="31" t="s">
        <v>297</v>
      </c>
      <c r="AD318" s="31">
        <v>15</v>
      </c>
      <c r="AE318" s="31" t="s">
        <v>298</v>
      </c>
      <c r="AF318" s="31" t="s">
        <v>336</v>
      </c>
      <c r="AI318" s="32">
        <v>44171</v>
      </c>
      <c r="AJ318" s="31">
        <v>2.5</v>
      </c>
      <c r="AK318" s="31">
        <v>1661.2</v>
      </c>
      <c r="BF318" s="31" t="s">
        <v>332</v>
      </c>
      <c r="BK318" s="31" t="s">
        <v>50</v>
      </c>
      <c r="BL318" s="31" t="s">
        <v>242</v>
      </c>
      <c r="BM318" s="31" t="s">
        <v>243</v>
      </c>
      <c r="BN318" s="33">
        <v>44267.193901689818</v>
      </c>
      <c r="BR318" s="31" t="s">
        <v>257</v>
      </c>
      <c r="BS318" s="31">
        <v>4.0201202121400402E+18</v>
      </c>
      <c r="BT318" s="31" t="s">
        <v>245</v>
      </c>
      <c r="BU318" s="31" t="s">
        <v>337</v>
      </c>
      <c r="BV318" s="31">
        <v>2020</v>
      </c>
      <c r="BW318" s="31" t="s">
        <v>246</v>
      </c>
      <c r="BY318" s="31">
        <v>4.0311202112486799E+18</v>
      </c>
      <c r="BZ318" s="31" t="s">
        <v>927</v>
      </c>
      <c r="CA318" s="31" t="s">
        <v>248</v>
      </c>
    </row>
    <row r="319" spans="1:79" x14ac:dyDescent="0.2">
      <c r="A319" s="31" t="s">
        <v>316</v>
      </c>
      <c r="B319" s="31" t="s">
        <v>325</v>
      </c>
      <c r="C319" s="31">
        <v>2020</v>
      </c>
      <c r="D319" s="31" t="s">
        <v>268</v>
      </c>
      <c r="E319" s="31">
        <v>2.0210131941958E+17</v>
      </c>
      <c r="F319" s="31" t="s">
        <v>225</v>
      </c>
      <c r="G319" s="31" t="s">
        <v>928</v>
      </c>
      <c r="H319" s="31">
        <v>1496802</v>
      </c>
      <c r="J319" s="31" t="s">
        <v>227</v>
      </c>
      <c r="K319" s="31" t="s">
        <v>228</v>
      </c>
      <c r="L319" s="31" t="s">
        <v>404</v>
      </c>
      <c r="N319" s="31" t="s">
        <v>290</v>
      </c>
      <c r="O319" s="31" t="s">
        <v>254</v>
      </c>
      <c r="Q319" s="31" t="s">
        <v>255</v>
      </c>
      <c r="R319" s="31" t="s">
        <v>291</v>
      </c>
      <c r="T319" s="31" t="s">
        <v>292</v>
      </c>
      <c r="V319" s="31" t="s">
        <v>327</v>
      </c>
      <c r="X319" s="31" t="s">
        <v>294</v>
      </c>
      <c r="Y319" s="31" t="s">
        <v>295</v>
      </c>
      <c r="Z319" s="31">
        <v>30312</v>
      </c>
      <c r="AA319" s="31" t="s">
        <v>328</v>
      </c>
      <c r="AB319" s="31" t="s">
        <v>297</v>
      </c>
      <c r="AC319" s="31" t="s">
        <v>404</v>
      </c>
      <c r="AD319" s="31" t="s">
        <v>329</v>
      </c>
      <c r="AE319" s="31" t="s">
        <v>330</v>
      </c>
      <c r="AF319" s="31" t="s">
        <v>331</v>
      </c>
      <c r="AI319" s="32">
        <v>44171</v>
      </c>
      <c r="AJ319" s="31">
        <v>25</v>
      </c>
      <c r="AK319" s="31">
        <v>3814</v>
      </c>
      <c r="AL319" s="31" t="s">
        <v>405</v>
      </c>
      <c r="BF319" s="31" t="s">
        <v>332</v>
      </c>
      <c r="BK319" s="31" t="s">
        <v>50</v>
      </c>
      <c r="BL319" s="31" t="s">
        <v>242</v>
      </c>
      <c r="BM319" s="31" t="s">
        <v>243</v>
      </c>
      <c r="BN319" s="33">
        <v>44267.193932037037</v>
      </c>
      <c r="BR319" s="31" t="s">
        <v>257</v>
      </c>
      <c r="BS319" s="31">
        <v>4.0201202121400402E+18</v>
      </c>
      <c r="BT319" s="31" t="s">
        <v>245</v>
      </c>
      <c r="BU319" s="31" t="s">
        <v>385</v>
      </c>
      <c r="BV319" s="31">
        <v>2020</v>
      </c>
      <c r="BW319" s="31" t="s">
        <v>246</v>
      </c>
      <c r="BY319" s="31">
        <v>4.0311202112486799E+18</v>
      </c>
      <c r="BZ319" s="31" t="s">
        <v>927</v>
      </c>
      <c r="CA319" s="31" t="s">
        <v>248</v>
      </c>
    </row>
    <row r="320" spans="1:79" x14ac:dyDescent="0.2">
      <c r="A320" s="31" t="s">
        <v>316</v>
      </c>
      <c r="B320" s="31" t="s">
        <v>325</v>
      </c>
      <c r="C320" s="31">
        <v>2020</v>
      </c>
      <c r="D320" s="31" t="s">
        <v>268</v>
      </c>
      <c r="E320" s="31">
        <v>2.0210131941958E+17</v>
      </c>
      <c r="F320" s="31" t="s">
        <v>225</v>
      </c>
      <c r="G320" s="31" t="s">
        <v>929</v>
      </c>
      <c r="H320" s="31">
        <v>1496802</v>
      </c>
      <c r="J320" s="31" t="s">
        <v>227</v>
      </c>
      <c r="K320" s="31" t="s">
        <v>228</v>
      </c>
      <c r="L320" s="31" t="s">
        <v>622</v>
      </c>
      <c r="N320" s="31" t="s">
        <v>290</v>
      </c>
      <c r="O320" s="31" t="s">
        <v>254</v>
      </c>
      <c r="Q320" s="31" t="s">
        <v>255</v>
      </c>
      <c r="R320" s="31" t="s">
        <v>291</v>
      </c>
      <c r="T320" s="31" t="s">
        <v>292</v>
      </c>
      <c r="V320" s="31" t="s">
        <v>327</v>
      </c>
      <c r="X320" s="31" t="s">
        <v>294</v>
      </c>
      <c r="Y320" s="31" t="s">
        <v>295</v>
      </c>
      <c r="Z320" s="31">
        <v>30312</v>
      </c>
      <c r="AA320" s="31" t="s">
        <v>328</v>
      </c>
      <c r="AB320" s="31" t="s">
        <v>297</v>
      </c>
      <c r="AC320" s="31" t="s">
        <v>622</v>
      </c>
      <c r="AD320" s="31" t="s">
        <v>329</v>
      </c>
      <c r="AE320" s="31" t="s">
        <v>330</v>
      </c>
      <c r="AF320" s="31" t="s">
        <v>331</v>
      </c>
      <c r="AI320" s="32">
        <v>44164</v>
      </c>
      <c r="AJ320" s="31">
        <v>50</v>
      </c>
      <c r="AK320" s="31">
        <v>650</v>
      </c>
      <c r="AL320" s="31" t="s">
        <v>804</v>
      </c>
      <c r="BF320" s="31" t="s">
        <v>332</v>
      </c>
      <c r="BK320" s="31" t="s">
        <v>50</v>
      </c>
      <c r="BL320" s="31" t="s">
        <v>242</v>
      </c>
      <c r="BM320" s="31" t="s">
        <v>243</v>
      </c>
      <c r="BN320" s="33">
        <v>44267.196159710649</v>
      </c>
      <c r="BR320" s="31" t="s">
        <v>257</v>
      </c>
      <c r="BS320" s="31">
        <v>4.0201202121400402E+18</v>
      </c>
      <c r="BT320" s="31" t="s">
        <v>245</v>
      </c>
      <c r="BU320" s="31" t="s">
        <v>805</v>
      </c>
      <c r="BV320" s="31">
        <v>2020</v>
      </c>
      <c r="BW320" s="31" t="s">
        <v>246</v>
      </c>
      <c r="BY320" s="31">
        <v>4.0311202112472602E+18</v>
      </c>
      <c r="BZ320" s="31" t="s">
        <v>930</v>
      </c>
      <c r="CA320" s="31" t="s">
        <v>248</v>
      </c>
    </row>
    <row r="321" spans="1:79" x14ac:dyDescent="0.2">
      <c r="A321" s="31" t="s">
        <v>316</v>
      </c>
      <c r="B321" s="31" t="s">
        <v>325</v>
      </c>
      <c r="C321" s="31">
        <v>2020</v>
      </c>
      <c r="D321" s="31" t="s">
        <v>268</v>
      </c>
      <c r="E321" s="31">
        <v>2.0210131941958E+17</v>
      </c>
      <c r="F321" s="31" t="s">
        <v>225</v>
      </c>
      <c r="G321" s="31" t="s">
        <v>931</v>
      </c>
      <c r="H321" s="31">
        <v>1496802</v>
      </c>
      <c r="J321" s="31" t="s">
        <v>227</v>
      </c>
      <c r="K321" s="31" t="s">
        <v>228</v>
      </c>
      <c r="L321" s="31" t="s">
        <v>286</v>
      </c>
      <c r="N321" s="31" t="s">
        <v>290</v>
      </c>
      <c r="O321" s="31" t="s">
        <v>254</v>
      </c>
      <c r="Q321" s="31" t="s">
        <v>255</v>
      </c>
      <c r="R321" s="31" t="s">
        <v>291</v>
      </c>
      <c r="T321" s="31" t="s">
        <v>292</v>
      </c>
      <c r="V321" s="31" t="s">
        <v>327</v>
      </c>
      <c r="X321" s="31" t="s">
        <v>294</v>
      </c>
      <c r="Y321" s="31" t="s">
        <v>295</v>
      </c>
      <c r="Z321" s="31">
        <v>30312</v>
      </c>
      <c r="AA321" s="31" t="s">
        <v>328</v>
      </c>
      <c r="AB321" s="31" t="s">
        <v>297</v>
      </c>
      <c r="AC321" s="31" t="s">
        <v>286</v>
      </c>
      <c r="AD321" s="31" t="s">
        <v>329</v>
      </c>
      <c r="AE321" s="31" t="s">
        <v>330</v>
      </c>
      <c r="AF321" s="31" t="s">
        <v>331</v>
      </c>
      <c r="AI321" s="32">
        <v>44164</v>
      </c>
      <c r="AJ321" s="31">
        <v>50</v>
      </c>
      <c r="AK321" s="31">
        <v>750</v>
      </c>
      <c r="BF321" s="31" t="s">
        <v>332</v>
      </c>
      <c r="BK321" s="31" t="s">
        <v>50</v>
      </c>
      <c r="BL321" s="31" t="s">
        <v>242</v>
      </c>
      <c r="BM321" s="31" t="s">
        <v>243</v>
      </c>
      <c r="BN321" s="33">
        <v>44267.197949768517</v>
      </c>
      <c r="BR321" s="31" t="s">
        <v>257</v>
      </c>
      <c r="BS321" s="31">
        <v>4.0201202121400402E+18</v>
      </c>
      <c r="BT321" s="31" t="s">
        <v>245</v>
      </c>
      <c r="BU321" s="31" t="s">
        <v>333</v>
      </c>
      <c r="BV321" s="31">
        <v>2020</v>
      </c>
      <c r="BW321" s="31" t="s">
        <v>246</v>
      </c>
      <c r="BY321" s="31">
        <v>4.03112021124721E+18</v>
      </c>
      <c r="BZ321" s="31" t="s">
        <v>932</v>
      </c>
      <c r="CA321" s="31" t="s">
        <v>248</v>
      </c>
    </row>
    <row r="322" spans="1:79" x14ac:dyDescent="0.2">
      <c r="A322" s="31" t="s">
        <v>316</v>
      </c>
      <c r="B322" s="31" t="s">
        <v>325</v>
      </c>
      <c r="C322" s="31">
        <v>2020</v>
      </c>
      <c r="D322" s="31" t="s">
        <v>268</v>
      </c>
      <c r="E322" s="31">
        <v>2.0210131941958E+17</v>
      </c>
      <c r="F322" s="31" t="s">
        <v>225</v>
      </c>
      <c r="G322" s="31" t="s">
        <v>933</v>
      </c>
      <c r="H322" s="31">
        <v>1496802</v>
      </c>
      <c r="J322" s="31" t="s">
        <v>227</v>
      </c>
      <c r="K322" s="31" t="s">
        <v>228</v>
      </c>
      <c r="N322" s="31" t="s">
        <v>290</v>
      </c>
      <c r="O322" s="31" t="s">
        <v>254</v>
      </c>
      <c r="Q322" s="31" t="s">
        <v>255</v>
      </c>
      <c r="R322" s="31" t="s">
        <v>291</v>
      </c>
      <c r="T322" s="31" t="s">
        <v>292</v>
      </c>
      <c r="V322" s="31" t="s">
        <v>327</v>
      </c>
      <c r="X322" s="31" t="s">
        <v>294</v>
      </c>
      <c r="Y322" s="31" t="s">
        <v>295</v>
      </c>
      <c r="Z322" s="31">
        <v>30312</v>
      </c>
      <c r="AA322" s="31" t="s">
        <v>328</v>
      </c>
      <c r="AB322" s="31" t="s">
        <v>297</v>
      </c>
      <c r="AD322" s="31">
        <v>15</v>
      </c>
      <c r="AE322" s="31" t="s">
        <v>298</v>
      </c>
      <c r="AF322" s="31" t="s">
        <v>336</v>
      </c>
      <c r="AI322" s="32">
        <v>44164</v>
      </c>
      <c r="AJ322" s="31">
        <v>10</v>
      </c>
      <c r="AK322" s="31">
        <v>1661.2</v>
      </c>
      <c r="BF322" s="31" t="s">
        <v>332</v>
      </c>
      <c r="BK322" s="31" t="s">
        <v>50</v>
      </c>
      <c r="BL322" s="31" t="s">
        <v>242</v>
      </c>
      <c r="BM322" s="31" t="s">
        <v>243</v>
      </c>
      <c r="BN322" s="33">
        <v>44267.197984166669</v>
      </c>
      <c r="BR322" s="31" t="s">
        <v>257</v>
      </c>
      <c r="BS322" s="31">
        <v>4.0201202121400402E+18</v>
      </c>
      <c r="BT322" s="31" t="s">
        <v>245</v>
      </c>
      <c r="BU322" s="31" t="s">
        <v>337</v>
      </c>
      <c r="BV322" s="31">
        <v>2020</v>
      </c>
      <c r="BW322" s="31" t="s">
        <v>246</v>
      </c>
      <c r="BY322" s="31">
        <v>4.0311202112472202E+18</v>
      </c>
      <c r="BZ322" s="31" t="s">
        <v>932</v>
      </c>
      <c r="CA322" s="31" t="s">
        <v>248</v>
      </c>
    </row>
    <row r="323" spans="1:79" x14ac:dyDescent="0.2">
      <c r="A323" s="31" t="s">
        <v>316</v>
      </c>
      <c r="B323" s="31" t="s">
        <v>325</v>
      </c>
      <c r="C323" s="31">
        <v>2020</v>
      </c>
      <c r="D323" s="31" t="s">
        <v>268</v>
      </c>
      <c r="E323" s="31">
        <v>2.0210131941958E+17</v>
      </c>
      <c r="F323" s="31" t="s">
        <v>225</v>
      </c>
      <c r="G323" s="31" t="s">
        <v>934</v>
      </c>
      <c r="H323" s="31">
        <v>1496802</v>
      </c>
      <c r="J323" s="31" t="s">
        <v>227</v>
      </c>
      <c r="K323" s="31" t="s">
        <v>228</v>
      </c>
      <c r="L323" s="31" t="s">
        <v>404</v>
      </c>
      <c r="N323" s="31" t="s">
        <v>290</v>
      </c>
      <c r="O323" s="31" t="s">
        <v>254</v>
      </c>
      <c r="Q323" s="31" t="s">
        <v>255</v>
      </c>
      <c r="R323" s="31" t="s">
        <v>291</v>
      </c>
      <c r="T323" s="31" t="s">
        <v>292</v>
      </c>
      <c r="V323" s="31" t="s">
        <v>327</v>
      </c>
      <c r="X323" s="31" t="s">
        <v>294</v>
      </c>
      <c r="Y323" s="31" t="s">
        <v>295</v>
      </c>
      <c r="Z323" s="31">
        <v>30312</v>
      </c>
      <c r="AA323" s="31" t="s">
        <v>328</v>
      </c>
      <c r="AB323" s="31" t="s">
        <v>297</v>
      </c>
      <c r="AC323" s="31" t="s">
        <v>404</v>
      </c>
      <c r="AD323" s="31" t="s">
        <v>329</v>
      </c>
      <c r="AE323" s="31" t="s">
        <v>330</v>
      </c>
      <c r="AF323" s="31" t="s">
        <v>331</v>
      </c>
      <c r="AI323" s="32">
        <v>44164</v>
      </c>
      <c r="AJ323" s="31">
        <v>50</v>
      </c>
      <c r="AK323" s="31">
        <v>3814</v>
      </c>
      <c r="AL323" s="31" t="s">
        <v>405</v>
      </c>
      <c r="BF323" s="31" t="s">
        <v>332</v>
      </c>
      <c r="BK323" s="31" t="s">
        <v>50</v>
      </c>
      <c r="BL323" s="31" t="s">
        <v>242</v>
      </c>
      <c r="BM323" s="31" t="s">
        <v>243</v>
      </c>
      <c r="BN323" s="33">
        <v>44267.199268576391</v>
      </c>
      <c r="BR323" s="31" t="s">
        <v>257</v>
      </c>
      <c r="BS323" s="31">
        <v>4.0201202121400402E+18</v>
      </c>
      <c r="BT323" s="31" t="s">
        <v>245</v>
      </c>
      <c r="BU323" s="31" t="s">
        <v>385</v>
      </c>
      <c r="BV323" s="31">
        <v>2020</v>
      </c>
      <c r="BW323" s="31" t="s">
        <v>246</v>
      </c>
      <c r="BY323" s="31">
        <v>4.0311202112472499E+18</v>
      </c>
      <c r="BZ323" s="31" t="s">
        <v>923</v>
      </c>
      <c r="CA323" s="31" t="s">
        <v>248</v>
      </c>
    </row>
    <row r="324" spans="1:79" x14ac:dyDescent="0.2">
      <c r="A324" s="31" t="s">
        <v>316</v>
      </c>
      <c r="B324" s="31" t="s">
        <v>325</v>
      </c>
      <c r="C324" s="31">
        <v>2020</v>
      </c>
      <c r="D324" s="31" t="s">
        <v>268</v>
      </c>
      <c r="E324" s="31">
        <v>2.0210131941958E+17</v>
      </c>
      <c r="F324" s="31" t="s">
        <v>225</v>
      </c>
      <c r="G324" s="31" t="s">
        <v>935</v>
      </c>
      <c r="H324" s="31">
        <v>1496802</v>
      </c>
      <c r="J324" s="31" t="s">
        <v>227</v>
      </c>
      <c r="K324" s="31" t="s">
        <v>228</v>
      </c>
      <c r="L324" s="31" t="s">
        <v>341</v>
      </c>
      <c r="N324" s="31" t="s">
        <v>290</v>
      </c>
      <c r="O324" s="31" t="s">
        <v>254</v>
      </c>
      <c r="Q324" s="31" t="s">
        <v>255</v>
      </c>
      <c r="R324" s="31" t="s">
        <v>291</v>
      </c>
      <c r="T324" s="31" t="s">
        <v>292</v>
      </c>
      <c r="V324" s="31" t="s">
        <v>327</v>
      </c>
      <c r="X324" s="31" t="s">
        <v>294</v>
      </c>
      <c r="Y324" s="31" t="s">
        <v>295</v>
      </c>
      <c r="Z324" s="31">
        <v>30312</v>
      </c>
      <c r="AA324" s="31" t="s">
        <v>328</v>
      </c>
      <c r="AB324" s="31" t="s">
        <v>297</v>
      </c>
      <c r="AC324" s="31" t="s">
        <v>341</v>
      </c>
      <c r="AD324" s="31" t="s">
        <v>329</v>
      </c>
      <c r="AE324" s="31" t="s">
        <v>330</v>
      </c>
      <c r="AF324" s="31" t="s">
        <v>331</v>
      </c>
      <c r="AI324" s="32">
        <v>44164</v>
      </c>
      <c r="AJ324" s="31">
        <v>50</v>
      </c>
      <c r="AK324" s="31">
        <v>2249</v>
      </c>
      <c r="BF324" s="31" t="s">
        <v>332</v>
      </c>
      <c r="BK324" s="31" t="s">
        <v>50</v>
      </c>
      <c r="BL324" s="31" t="s">
        <v>242</v>
      </c>
      <c r="BM324" s="31" t="s">
        <v>243</v>
      </c>
      <c r="BN324" s="33">
        <v>44267.199268576391</v>
      </c>
      <c r="BR324" s="31" t="s">
        <v>257</v>
      </c>
      <c r="BS324" s="31">
        <v>4.0201202121400402E+18</v>
      </c>
      <c r="BT324" s="31" t="s">
        <v>245</v>
      </c>
      <c r="BU324" s="31" t="s">
        <v>342</v>
      </c>
      <c r="BV324" s="31">
        <v>2020</v>
      </c>
      <c r="BW324" s="31" t="s">
        <v>246</v>
      </c>
      <c r="BY324" s="31">
        <v>4.0311202112472499E+18</v>
      </c>
      <c r="BZ324" s="31" t="s">
        <v>932</v>
      </c>
      <c r="CA324" s="31" t="s">
        <v>248</v>
      </c>
    </row>
    <row r="325" spans="1:79" x14ac:dyDescent="0.2">
      <c r="A325" s="31" t="s">
        <v>316</v>
      </c>
      <c r="B325" s="31" t="s">
        <v>325</v>
      </c>
      <c r="C325" s="31">
        <v>2020</v>
      </c>
      <c r="D325" s="31" t="s">
        <v>268</v>
      </c>
      <c r="E325" s="31">
        <v>2.0210131941958E+17</v>
      </c>
      <c r="F325" s="31" t="s">
        <v>225</v>
      </c>
      <c r="G325" s="31" t="s">
        <v>936</v>
      </c>
      <c r="H325" s="31">
        <v>1496802</v>
      </c>
      <c r="J325" s="31" t="s">
        <v>227</v>
      </c>
      <c r="K325" s="31" t="s">
        <v>228</v>
      </c>
      <c r="N325" s="31" t="s">
        <v>290</v>
      </c>
      <c r="O325" s="31" t="s">
        <v>254</v>
      </c>
      <c r="Q325" s="31" t="s">
        <v>255</v>
      </c>
      <c r="R325" s="31" t="s">
        <v>291</v>
      </c>
      <c r="T325" s="31" t="s">
        <v>292</v>
      </c>
      <c r="V325" s="31" t="s">
        <v>327</v>
      </c>
      <c r="X325" s="31" t="s">
        <v>294</v>
      </c>
      <c r="Y325" s="31" t="s">
        <v>295</v>
      </c>
      <c r="Z325" s="31">
        <v>30312</v>
      </c>
      <c r="AA325" s="31" t="s">
        <v>328</v>
      </c>
      <c r="AB325" s="31" t="s">
        <v>297</v>
      </c>
      <c r="AD325" s="31">
        <v>15</v>
      </c>
      <c r="AE325" s="31" t="s">
        <v>298</v>
      </c>
      <c r="AF325" s="31" t="s">
        <v>336</v>
      </c>
      <c r="AI325" s="32">
        <v>44164</v>
      </c>
      <c r="AJ325" s="31">
        <v>10</v>
      </c>
      <c r="AK325" s="31">
        <v>1661.2</v>
      </c>
      <c r="BF325" s="31" t="s">
        <v>332</v>
      </c>
      <c r="BK325" s="31" t="s">
        <v>50</v>
      </c>
      <c r="BL325" s="31" t="s">
        <v>242</v>
      </c>
      <c r="BM325" s="31" t="s">
        <v>243</v>
      </c>
      <c r="BN325" s="33">
        <v>44267.19926858796</v>
      </c>
      <c r="BR325" s="31" t="s">
        <v>257</v>
      </c>
      <c r="BS325" s="31">
        <v>4.0201202121400402E+18</v>
      </c>
      <c r="BT325" s="31" t="s">
        <v>245</v>
      </c>
      <c r="BU325" s="31" t="s">
        <v>337</v>
      </c>
      <c r="BV325" s="31">
        <v>2020</v>
      </c>
      <c r="BW325" s="31" t="s">
        <v>246</v>
      </c>
      <c r="BY325" s="31">
        <v>4.0311202112472499E+18</v>
      </c>
      <c r="BZ325" s="31" t="s">
        <v>917</v>
      </c>
      <c r="CA325" s="31" t="s">
        <v>248</v>
      </c>
    </row>
    <row r="326" spans="1:79" x14ac:dyDescent="0.2">
      <c r="A326" s="31" t="s">
        <v>316</v>
      </c>
      <c r="B326" s="31" t="s">
        <v>325</v>
      </c>
      <c r="C326" s="31">
        <v>2020</v>
      </c>
      <c r="D326" s="31" t="s">
        <v>268</v>
      </c>
      <c r="E326" s="31">
        <v>2.0210131941958E+17</v>
      </c>
      <c r="F326" s="31" t="s">
        <v>225</v>
      </c>
      <c r="G326" s="31" t="s">
        <v>937</v>
      </c>
      <c r="H326" s="31">
        <v>1496802</v>
      </c>
      <c r="J326" s="31" t="s">
        <v>227</v>
      </c>
      <c r="K326" s="31" t="s">
        <v>228</v>
      </c>
      <c r="N326" s="31" t="s">
        <v>290</v>
      </c>
      <c r="O326" s="31" t="s">
        <v>254</v>
      </c>
      <c r="Q326" s="31" t="s">
        <v>255</v>
      </c>
      <c r="R326" s="31" t="s">
        <v>291</v>
      </c>
      <c r="T326" s="31" t="s">
        <v>292</v>
      </c>
      <c r="V326" s="31" t="s">
        <v>327</v>
      </c>
      <c r="X326" s="31" t="s">
        <v>294</v>
      </c>
      <c r="Y326" s="31" t="s">
        <v>295</v>
      </c>
      <c r="Z326" s="31">
        <v>30312</v>
      </c>
      <c r="AA326" s="31" t="s">
        <v>328</v>
      </c>
      <c r="AB326" s="31" t="s">
        <v>297</v>
      </c>
      <c r="AD326" s="31">
        <v>15</v>
      </c>
      <c r="AE326" s="31" t="s">
        <v>298</v>
      </c>
      <c r="AF326" s="31" t="s">
        <v>336</v>
      </c>
      <c r="AI326" s="32">
        <v>44180</v>
      </c>
      <c r="AJ326" s="31">
        <v>10</v>
      </c>
      <c r="AK326" s="31">
        <v>1661.2</v>
      </c>
      <c r="BF326" s="31" t="s">
        <v>332</v>
      </c>
      <c r="BK326" s="31" t="s">
        <v>50</v>
      </c>
      <c r="BL326" s="31" t="s">
        <v>242</v>
      </c>
      <c r="BM326" s="31" t="s">
        <v>243</v>
      </c>
      <c r="BN326" s="33">
        <v>44267.202427708333</v>
      </c>
      <c r="BR326" s="31" t="s">
        <v>257</v>
      </c>
      <c r="BS326" s="31">
        <v>4.0201202121400402E+18</v>
      </c>
      <c r="BT326" s="31" t="s">
        <v>245</v>
      </c>
      <c r="BU326" s="31" t="s">
        <v>337</v>
      </c>
      <c r="BV326" s="31">
        <v>2020</v>
      </c>
      <c r="BW326" s="31" t="s">
        <v>246</v>
      </c>
      <c r="BY326" s="31">
        <v>4.0311202112506199E+18</v>
      </c>
      <c r="BZ326" s="31" t="s">
        <v>938</v>
      </c>
      <c r="CA326" s="31" t="s">
        <v>248</v>
      </c>
    </row>
    <row r="327" spans="1:79" x14ac:dyDescent="0.2">
      <c r="A327" s="31" t="s">
        <v>316</v>
      </c>
      <c r="B327" s="31" t="s">
        <v>325</v>
      </c>
      <c r="C327" s="31">
        <v>2020</v>
      </c>
      <c r="D327" s="31" t="s">
        <v>268</v>
      </c>
      <c r="E327" s="31">
        <v>2.0210131941958E+17</v>
      </c>
      <c r="F327" s="31" t="s">
        <v>225</v>
      </c>
      <c r="G327" s="31" t="s">
        <v>939</v>
      </c>
      <c r="H327" s="31">
        <v>1496802</v>
      </c>
      <c r="J327" s="31" t="s">
        <v>227</v>
      </c>
      <c r="K327" s="31" t="s">
        <v>228</v>
      </c>
      <c r="L327" s="31" t="s">
        <v>614</v>
      </c>
      <c r="N327" s="31" t="s">
        <v>290</v>
      </c>
      <c r="O327" s="31" t="s">
        <v>254</v>
      </c>
      <c r="Q327" s="31" t="s">
        <v>255</v>
      </c>
      <c r="R327" s="31" t="s">
        <v>291</v>
      </c>
      <c r="T327" s="31" t="s">
        <v>292</v>
      </c>
      <c r="V327" s="31" t="s">
        <v>327</v>
      </c>
      <c r="X327" s="31" t="s">
        <v>294</v>
      </c>
      <c r="Y327" s="31" t="s">
        <v>295</v>
      </c>
      <c r="Z327" s="31">
        <v>30312</v>
      </c>
      <c r="AA327" s="31" t="s">
        <v>328</v>
      </c>
      <c r="AB327" s="31" t="s">
        <v>297</v>
      </c>
      <c r="AC327" s="31" t="s">
        <v>614</v>
      </c>
      <c r="AD327" s="31" t="s">
        <v>329</v>
      </c>
      <c r="AE327" s="31" t="s">
        <v>330</v>
      </c>
      <c r="AF327" s="31" t="s">
        <v>331</v>
      </c>
      <c r="AI327" s="32">
        <v>44180</v>
      </c>
      <c r="AJ327" s="31">
        <v>50</v>
      </c>
      <c r="AK327" s="31">
        <v>470</v>
      </c>
      <c r="BF327" s="31" t="s">
        <v>332</v>
      </c>
      <c r="BK327" s="31" t="s">
        <v>50</v>
      </c>
      <c r="BL327" s="31" t="s">
        <v>242</v>
      </c>
      <c r="BM327" s="31" t="s">
        <v>243</v>
      </c>
      <c r="BN327" s="33">
        <v>44267.202427708333</v>
      </c>
      <c r="BR327" s="31" t="s">
        <v>257</v>
      </c>
      <c r="BS327" s="31">
        <v>4.0201202121400402E+18</v>
      </c>
      <c r="BT327" s="31" t="s">
        <v>245</v>
      </c>
      <c r="BU327" s="31" t="s">
        <v>719</v>
      </c>
      <c r="BV327" s="31">
        <v>2020</v>
      </c>
      <c r="BW327" s="31" t="s">
        <v>246</v>
      </c>
      <c r="BY327" s="31">
        <v>4.0311202112506199E+18</v>
      </c>
      <c r="BZ327" s="31" t="s">
        <v>940</v>
      </c>
      <c r="CA327" s="31" t="s">
        <v>248</v>
      </c>
    </row>
    <row r="328" spans="1:79" x14ac:dyDescent="0.2">
      <c r="A328" s="31" t="s">
        <v>316</v>
      </c>
      <c r="B328" s="31" t="s">
        <v>325</v>
      </c>
      <c r="C328" s="31">
        <v>2020</v>
      </c>
      <c r="D328" s="31" t="s">
        <v>268</v>
      </c>
      <c r="E328" s="31">
        <v>2.0210131941958E+17</v>
      </c>
      <c r="F328" s="31" t="s">
        <v>225</v>
      </c>
      <c r="G328" s="31" t="s">
        <v>941</v>
      </c>
      <c r="H328" s="31">
        <v>1496802</v>
      </c>
      <c r="J328" s="31" t="s">
        <v>227</v>
      </c>
      <c r="K328" s="31" t="s">
        <v>228</v>
      </c>
      <c r="L328" s="31" t="s">
        <v>622</v>
      </c>
      <c r="N328" s="31" t="s">
        <v>290</v>
      </c>
      <c r="O328" s="31" t="s">
        <v>254</v>
      </c>
      <c r="Q328" s="31" t="s">
        <v>255</v>
      </c>
      <c r="R328" s="31" t="s">
        <v>291</v>
      </c>
      <c r="T328" s="31" t="s">
        <v>292</v>
      </c>
      <c r="V328" s="31" t="s">
        <v>327</v>
      </c>
      <c r="X328" s="31" t="s">
        <v>294</v>
      </c>
      <c r="Y328" s="31" t="s">
        <v>295</v>
      </c>
      <c r="Z328" s="31">
        <v>30312</v>
      </c>
      <c r="AA328" s="31" t="s">
        <v>328</v>
      </c>
      <c r="AB328" s="31" t="s">
        <v>297</v>
      </c>
      <c r="AC328" s="31" t="s">
        <v>622</v>
      </c>
      <c r="AD328" s="31" t="s">
        <v>329</v>
      </c>
      <c r="AE328" s="31" t="s">
        <v>330</v>
      </c>
      <c r="AF328" s="31" t="s">
        <v>331</v>
      </c>
      <c r="AI328" s="32">
        <v>44180</v>
      </c>
      <c r="AJ328" s="31">
        <v>50</v>
      </c>
      <c r="AK328" s="31">
        <v>650</v>
      </c>
      <c r="AL328" s="31" t="s">
        <v>804</v>
      </c>
      <c r="BF328" s="31" t="s">
        <v>332</v>
      </c>
      <c r="BK328" s="31" t="s">
        <v>50</v>
      </c>
      <c r="BL328" s="31" t="s">
        <v>242</v>
      </c>
      <c r="BM328" s="31" t="s">
        <v>243</v>
      </c>
      <c r="BN328" s="33">
        <v>44267.202427719909</v>
      </c>
      <c r="BR328" s="31" t="s">
        <v>257</v>
      </c>
      <c r="BS328" s="31">
        <v>4.0201202121400402E+18</v>
      </c>
      <c r="BT328" s="31" t="s">
        <v>245</v>
      </c>
      <c r="BU328" s="31" t="s">
        <v>805</v>
      </c>
      <c r="BV328" s="31">
        <v>2020</v>
      </c>
      <c r="BW328" s="31" t="s">
        <v>246</v>
      </c>
      <c r="BY328" s="31">
        <v>4.0311202112506199E+18</v>
      </c>
      <c r="BZ328" s="31" t="s">
        <v>940</v>
      </c>
      <c r="CA328" s="31" t="s">
        <v>248</v>
      </c>
    </row>
    <row r="329" spans="1:79" x14ac:dyDescent="0.2">
      <c r="A329" s="31" t="s">
        <v>316</v>
      </c>
      <c r="B329" s="31" t="s">
        <v>325</v>
      </c>
      <c r="C329" s="31">
        <v>2020</v>
      </c>
      <c r="D329" s="31" t="s">
        <v>268</v>
      </c>
      <c r="E329" s="31">
        <v>2.0210131941958E+17</v>
      </c>
      <c r="F329" s="31" t="s">
        <v>225</v>
      </c>
      <c r="G329" s="31" t="s">
        <v>942</v>
      </c>
      <c r="H329" s="31">
        <v>1496802</v>
      </c>
      <c r="J329" s="31" t="s">
        <v>227</v>
      </c>
      <c r="K329" s="31" t="s">
        <v>228</v>
      </c>
      <c r="N329" s="31" t="s">
        <v>290</v>
      </c>
      <c r="O329" s="31" t="s">
        <v>254</v>
      </c>
      <c r="Q329" s="31" t="s">
        <v>255</v>
      </c>
      <c r="R329" s="31" t="s">
        <v>291</v>
      </c>
      <c r="T329" s="31" t="s">
        <v>292</v>
      </c>
      <c r="V329" s="31" t="s">
        <v>327</v>
      </c>
      <c r="X329" s="31" t="s">
        <v>294</v>
      </c>
      <c r="Y329" s="31" t="s">
        <v>295</v>
      </c>
      <c r="Z329" s="31">
        <v>30312</v>
      </c>
      <c r="AA329" s="31" t="s">
        <v>328</v>
      </c>
      <c r="AB329" s="31" t="s">
        <v>297</v>
      </c>
      <c r="AD329" s="31">
        <v>15</v>
      </c>
      <c r="AE329" s="31" t="s">
        <v>298</v>
      </c>
      <c r="AF329" s="31" t="s">
        <v>336</v>
      </c>
      <c r="AI329" s="32">
        <v>44178</v>
      </c>
      <c r="AJ329" s="31">
        <v>2.5</v>
      </c>
      <c r="AK329" s="31">
        <v>1661.2</v>
      </c>
      <c r="BF329" s="31" t="s">
        <v>332</v>
      </c>
      <c r="BK329" s="31" t="s">
        <v>50</v>
      </c>
      <c r="BL329" s="31" t="s">
        <v>242</v>
      </c>
      <c r="BM329" s="31" t="s">
        <v>243</v>
      </c>
      <c r="BN329" s="33">
        <v>44267.204001157406</v>
      </c>
      <c r="BR329" s="31" t="s">
        <v>257</v>
      </c>
      <c r="BS329" s="31">
        <v>4.0201202121400402E+18</v>
      </c>
      <c r="BT329" s="31" t="s">
        <v>245</v>
      </c>
      <c r="BU329" s="31" t="s">
        <v>337</v>
      </c>
      <c r="BV329" s="31">
        <v>2020</v>
      </c>
      <c r="BW329" s="31" t="s">
        <v>246</v>
      </c>
      <c r="BY329" s="31">
        <v>4.0311202112503301E+18</v>
      </c>
      <c r="BZ329" s="31" t="s">
        <v>938</v>
      </c>
      <c r="CA329" s="31" t="s">
        <v>248</v>
      </c>
    </row>
    <row r="330" spans="1:79" x14ac:dyDescent="0.2">
      <c r="A330" s="31" t="s">
        <v>316</v>
      </c>
      <c r="B330" s="31" t="s">
        <v>325</v>
      </c>
      <c r="C330" s="31">
        <v>2020</v>
      </c>
      <c r="D330" s="31" t="s">
        <v>268</v>
      </c>
      <c r="E330" s="31">
        <v>2.0210131941958E+17</v>
      </c>
      <c r="F330" s="31" t="s">
        <v>225</v>
      </c>
      <c r="G330" s="31" t="s">
        <v>943</v>
      </c>
      <c r="H330" s="31">
        <v>1496802</v>
      </c>
      <c r="J330" s="31" t="s">
        <v>227</v>
      </c>
      <c r="K330" s="31" t="s">
        <v>228</v>
      </c>
      <c r="L330" s="31" t="s">
        <v>404</v>
      </c>
      <c r="N330" s="31" t="s">
        <v>290</v>
      </c>
      <c r="O330" s="31" t="s">
        <v>254</v>
      </c>
      <c r="Q330" s="31" t="s">
        <v>255</v>
      </c>
      <c r="R330" s="31" t="s">
        <v>291</v>
      </c>
      <c r="T330" s="31" t="s">
        <v>292</v>
      </c>
      <c r="V330" s="31" t="s">
        <v>327</v>
      </c>
      <c r="X330" s="31" t="s">
        <v>294</v>
      </c>
      <c r="Y330" s="31" t="s">
        <v>295</v>
      </c>
      <c r="Z330" s="31">
        <v>30312</v>
      </c>
      <c r="AA330" s="31" t="s">
        <v>328</v>
      </c>
      <c r="AB330" s="31" t="s">
        <v>297</v>
      </c>
      <c r="AC330" s="31" t="s">
        <v>404</v>
      </c>
      <c r="AD330" s="31" t="s">
        <v>329</v>
      </c>
      <c r="AE330" s="31" t="s">
        <v>330</v>
      </c>
      <c r="AF330" s="31" t="s">
        <v>331</v>
      </c>
      <c r="AI330" s="32">
        <v>44178</v>
      </c>
      <c r="AJ330" s="31">
        <v>25</v>
      </c>
      <c r="AK330" s="31">
        <v>3814</v>
      </c>
      <c r="AL330" s="31" t="s">
        <v>405</v>
      </c>
      <c r="BF330" s="31" t="s">
        <v>332</v>
      </c>
      <c r="BK330" s="31" t="s">
        <v>50</v>
      </c>
      <c r="BL330" s="31" t="s">
        <v>242</v>
      </c>
      <c r="BM330" s="31" t="s">
        <v>243</v>
      </c>
      <c r="BN330" s="33">
        <v>44267.204001157406</v>
      </c>
      <c r="BR330" s="31" t="s">
        <v>257</v>
      </c>
      <c r="BS330" s="31">
        <v>4.0201202121400402E+18</v>
      </c>
      <c r="BT330" s="31" t="s">
        <v>245</v>
      </c>
      <c r="BU330" s="31" t="s">
        <v>385</v>
      </c>
      <c r="BV330" s="31">
        <v>2020</v>
      </c>
      <c r="BW330" s="31" t="s">
        <v>246</v>
      </c>
      <c r="BY330" s="31">
        <v>4.0311202112503301E+18</v>
      </c>
      <c r="BZ330" s="31" t="s">
        <v>938</v>
      </c>
      <c r="CA330" s="31" t="s">
        <v>248</v>
      </c>
    </row>
    <row r="331" spans="1:79" x14ac:dyDescent="0.2">
      <c r="A331" s="31" t="s">
        <v>316</v>
      </c>
      <c r="B331" s="31" t="s">
        <v>325</v>
      </c>
      <c r="C331" s="31">
        <v>2020</v>
      </c>
      <c r="D331" s="31" t="s">
        <v>268</v>
      </c>
      <c r="E331" s="31">
        <v>2.0210131941958E+17</v>
      </c>
      <c r="F331" s="31" t="s">
        <v>225</v>
      </c>
      <c r="G331" s="31" t="s">
        <v>944</v>
      </c>
      <c r="H331" s="31">
        <v>1496802</v>
      </c>
      <c r="J331" s="31" t="s">
        <v>227</v>
      </c>
      <c r="K331" s="31" t="s">
        <v>228</v>
      </c>
      <c r="L331" s="31" t="s">
        <v>404</v>
      </c>
      <c r="N331" s="31" t="s">
        <v>290</v>
      </c>
      <c r="O331" s="31" t="s">
        <v>254</v>
      </c>
      <c r="Q331" s="31" t="s">
        <v>255</v>
      </c>
      <c r="R331" s="31" t="s">
        <v>291</v>
      </c>
      <c r="T331" s="31" t="s">
        <v>292</v>
      </c>
      <c r="V331" s="31" t="s">
        <v>327</v>
      </c>
      <c r="X331" s="31" t="s">
        <v>294</v>
      </c>
      <c r="Y331" s="31" t="s">
        <v>295</v>
      </c>
      <c r="Z331" s="31">
        <v>30312</v>
      </c>
      <c r="AA331" s="31" t="s">
        <v>328</v>
      </c>
      <c r="AB331" s="31" t="s">
        <v>297</v>
      </c>
      <c r="AC331" s="31" t="s">
        <v>404</v>
      </c>
      <c r="AD331" s="31" t="s">
        <v>329</v>
      </c>
      <c r="AE331" s="31" t="s">
        <v>330</v>
      </c>
      <c r="AF331" s="31" t="s">
        <v>331</v>
      </c>
      <c r="AI331" s="32">
        <v>44170</v>
      </c>
      <c r="AJ331" s="31">
        <v>5</v>
      </c>
      <c r="AK331" s="31">
        <v>3814</v>
      </c>
      <c r="AL331" s="31" t="s">
        <v>405</v>
      </c>
      <c r="BF331" s="31" t="s">
        <v>332</v>
      </c>
      <c r="BK331" s="31" t="s">
        <v>50</v>
      </c>
      <c r="BL331" s="31" t="s">
        <v>242</v>
      </c>
      <c r="BM331" s="31" t="s">
        <v>243</v>
      </c>
      <c r="BN331" s="33">
        <v>44267.206903368053</v>
      </c>
      <c r="BR331" s="31" t="s">
        <v>257</v>
      </c>
      <c r="BS331" s="31">
        <v>4.0201202121400402E+18</v>
      </c>
      <c r="BT331" s="31" t="s">
        <v>245</v>
      </c>
      <c r="BU331" s="31" t="s">
        <v>385</v>
      </c>
      <c r="BV331" s="31">
        <v>2020</v>
      </c>
      <c r="BW331" s="31" t="s">
        <v>246</v>
      </c>
      <c r="BY331" s="31">
        <v>4.0311202112484301E+18</v>
      </c>
      <c r="BZ331" s="31" t="s">
        <v>945</v>
      </c>
      <c r="CA331" s="31" t="s">
        <v>248</v>
      </c>
    </row>
    <row r="332" spans="1:79" x14ac:dyDescent="0.2">
      <c r="A332" s="31" t="s">
        <v>316</v>
      </c>
      <c r="B332" s="31" t="s">
        <v>325</v>
      </c>
      <c r="C332" s="31">
        <v>2020</v>
      </c>
      <c r="D332" s="31" t="s">
        <v>268</v>
      </c>
      <c r="E332" s="31">
        <v>2.0210131941958E+17</v>
      </c>
      <c r="F332" s="31" t="s">
        <v>225</v>
      </c>
      <c r="G332" s="31" t="s">
        <v>946</v>
      </c>
      <c r="H332" s="31">
        <v>1496802</v>
      </c>
      <c r="J332" s="31" t="s">
        <v>227</v>
      </c>
      <c r="K332" s="31" t="s">
        <v>228</v>
      </c>
      <c r="N332" s="31" t="s">
        <v>290</v>
      </c>
      <c r="O332" s="31" t="s">
        <v>254</v>
      </c>
      <c r="Q332" s="31" t="s">
        <v>255</v>
      </c>
      <c r="R332" s="31" t="s">
        <v>291</v>
      </c>
      <c r="T332" s="31" t="s">
        <v>292</v>
      </c>
      <c r="V332" s="31" t="s">
        <v>327</v>
      </c>
      <c r="X332" s="31" t="s">
        <v>294</v>
      </c>
      <c r="Y332" s="31" t="s">
        <v>295</v>
      </c>
      <c r="Z332" s="31">
        <v>30312</v>
      </c>
      <c r="AA332" s="31" t="s">
        <v>328</v>
      </c>
      <c r="AB332" s="31" t="s">
        <v>297</v>
      </c>
      <c r="AD332" s="31">
        <v>15</v>
      </c>
      <c r="AE332" s="31" t="s">
        <v>298</v>
      </c>
      <c r="AF332" s="31" t="s">
        <v>336</v>
      </c>
      <c r="AI332" s="32">
        <v>44192</v>
      </c>
      <c r="AJ332" s="31">
        <v>2.5</v>
      </c>
      <c r="AK332" s="31">
        <v>1661.2</v>
      </c>
      <c r="BF332" s="31" t="s">
        <v>332</v>
      </c>
      <c r="BK332" s="31" t="s">
        <v>50</v>
      </c>
      <c r="BL332" s="31" t="s">
        <v>242</v>
      </c>
      <c r="BM332" s="31" t="s">
        <v>243</v>
      </c>
      <c r="BN332" s="33">
        <v>44267.209553229164</v>
      </c>
      <c r="BR332" s="31" t="s">
        <v>257</v>
      </c>
      <c r="BS332" s="31">
        <v>4.0201202121400402E+18</v>
      </c>
      <c r="BT332" s="31" t="s">
        <v>245</v>
      </c>
      <c r="BU332" s="31" t="s">
        <v>337</v>
      </c>
      <c r="BV332" s="31">
        <v>2020</v>
      </c>
      <c r="BW332" s="31" t="s">
        <v>246</v>
      </c>
      <c r="BY332" s="31">
        <v>4.0311202112531302E+18</v>
      </c>
      <c r="BZ332" s="31" t="s">
        <v>912</v>
      </c>
      <c r="CA332" s="31" t="s">
        <v>248</v>
      </c>
    </row>
    <row r="333" spans="1:79" x14ac:dyDescent="0.2">
      <c r="A333" s="31" t="s">
        <v>316</v>
      </c>
      <c r="B333" s="31" t="s">
        <v>325</v>
      </c>
      <c r="C333" s="31">
        <v>2020</v>
      </c>
      <c r="D333" s="31" t="s">
        <v>268</v>
      </c>
      <c r="E333" s="31">
        <v>2.0210131941958E+17</v>
      </c>
      <c r="F333" s="31" t="s">
        <v>225</v>
      </c>
      <c r="G333" s="31" t="s">
        <v>947</v>
      </c>
      <c r="H333" s="31">
        <v>1496802</v>
      </c>
      <c r="J333" s="31" t="s">
        <v>227</v>
      </c>
      <c r="K333" s="31" t="s">
        <v>228</v>
      </c>
      <c r="L333" s="31" t="s">
        <v>404</v>
      </c>
      <c r="N333" s="31" t="s">
        <v>290</v>
      </c>
      <c r="O333" s="31" t="s">
        <v>254</v>
      </c>
      <c r="Q333" s="31" t="s">
        <v>255</v>
      </c>
      <c r="R333" s="31" t="s">
        <v>291</v>
      </c>
      <c r="T333" s="31" t="s">
        <v>292</v>
      </c>
      <c r="V333" s="31" t="s">
        <v>327</v>
      </c>
      <c r="X333" s="31" t="s">
        <v>294</v>
      </c>
      <c r="Y333" s="31" t="s">
        <v>295</v>
      </c>
      <c r="Z333" s="31">
        <v>30312</v>
      </c>
      <c r="AA333" s="31" t="s">
        <v>328</v>
      </c>
      <c r="AB333" s="31" t="s">
        <v>297</v>
      </c>
      <c r="AC333" s="31" t="s">
        <v>404</v>
      </c>
      <c r="AD333" s="31" t="s">
        <v>329</v>
      </c>
      <c r="AE333" s="31" t="s">
        <v>330</v>
      </c>
      <c r="AF333" s="31" t="s">
        <v>331</v>
      </c>
      <c r="AI333" s="32">
        <v>44192</v>
      </c>
      <c r="AJ333" s="31">
        <v>25</v>
      </c>
      <c r="AK333" s="31">
        <v>3814</v>
      </c>
      <c r="AL333" s="31" t="s">
        <v>405</v>
      </c>
      <c r="BF333" s="31" t="s">
        <v>332</v>
      </c>
      <c r="BK333" s="31" t="s">
        <v>50</v>
      </c>
      <c r="BL333" s="31" t="s">
        <v>242</v>
      </c>
      <c r="BM333" s="31" t="s">
        <v>243</v>
      </c>
      <c r="BN333" s="33">
        <v>44267.209553229164</v>
      </c>
      <c r="BR333" s="31" t="s">
        <v>257</v>
      </c>
      <c r="BS333" s="31">
        <v>4.0201202121400402E+18</v>
      </c>
      <c r="BT333" s="31" t="s">
        <v>245</v>
      </c>
      <c r="BU333" s="31" t="s">
        <v>385</v>
      </c>
      <c r="BV333" s="31">
        <v>2020</v>
      </c>
      <c r="BW333" s="31" t="s">
        <v>246</v>
      </c>
      <c r="BY333" s="31">
        <v>4.0311202112531302E+18</v>
      </c>
      <c r="BZ333" s="31" t="s">
        <v>925</v>
      </c>
      <c r="CA333" s="31" t="s">
        <v>248</v>
      </c>
    </row>
    <row r="334" spans="1:79" x14ac:dyDescent="0.2">
      <c r="A334" s="31" t="s">
        <v>948</v>
      </c>
      <c r="B334" s="31" t="s">
        <v>949</v>
      </c>
      <c r="C334" s="31">
        <v>2020</v>
      </c>
      <c r="D334" s="31" t="s">
        <v>648</v>
      </c>
      <c r="E334" s="31">
        <v>2.02012249393804E+17</v>
      </c>
      <c r="F334" s="31" t="s">
        <v>225</v>
      </c>
      <c r="G334" s="31">
        <v>3445816</v>
      </c>
      <c r="H334" s="31">
        <v>1484206</v>
      </c>
      <c r="J334" s="31" t="s">
        <v>227</v>
      </c>
      <c r="K334" s="31" t="s">
        <v>228</v>
      </c>
      <c r="L334" s="31" t="s">
        <v>316</v>
      </c>
      <c r="N334" s="31" t="s">
        <v>290</v>
      </c>
      <c r="O334" s="31" t="s">
        <v>0</v>
      </c>
      <c r="Q334" s="31" t="s">
        <v>60</v>
      </c>
      <c r="R334" s="31" t="s">
        <v>291</v>
      </c>
      <c r="T334" s="31" t="s">
        <v>292</v>
      </c>
      <c r="V334" s="31" t="s">
        <v>293</v>
      </c>
      <c r="X334" s="31" t="s">
        <v>294</v>
      </c>
      <c r="Y334" s="31" t="s">
        <v>295</v>
      </c>
      <c r="Z334" s="31">
        <v>303121941</v>
      </c>
      <c r="AA334" s="31" t="s">
        <v>296</v>
      </c>
      <c r="AB334" s="31" t="s">
        <v>297</v>
      </c>
      <c r="AC334" s="31" t="s">
        <v>316</v>
      </c>
      <c r="AD334" s="31" t="s">
        <v>237</v>
      </c>
      <c r="AE334" s="31" t="s">
        <v>238</v>
      </c>
      <c r="AI334" s="32">
        <v>44166</v>
      </c>
      <c r="AJ334" s="31">
        <v>500</v>
      </c>
      <c r="AK334" s="31">
        <v>500</v>
      </c>
      <c r="BG334" s="31" t="s">
        <v>28</v>
      </c>
      <c r="BI334" s="31" t="s">
        <v>279</v>
      </c>
      <c r="BK334" s="31" t="s">
        <v>50</v>
      </c>
      <c r="BL334" s="31" t="s">
        <v>242</v>
      </c>
      <c r="BM334" s="31" t="s">
        <v>243</v>
      </c>
      <c r="BN334" s="33">
        <v>44203.407604641201</v>
      </c>
      <c r="BP334" s="31" t="s">
        <v>950</v>
      </c>
      <c r="BQ334" s="31" t="s">
        <v>318</v>
      </c>
      <c r="BR334" s="31" t="s">
        <v>257</v>
      </c>
      <c r="BS334" s="31">
        <v>4.1225202019863501E+18</v>
      </c>
      <c r="BT334" s="31" t="s">
        <v>245</v>
      </c>
      <c r="BU334" s="31" t="s">
        <v>283</v>
      </c>
      <c r="BV334" s="31">
        <v>2020</v>
      </c>
      <c r="BW334" s="31" t="s">
        <v>246</v>
      </c>
      <c r="BY334" s="31">
        <v>4.0106202120619802E+18</v>
      </c>
      <c r="BZ334" s="31" t="s">
        <v>951</v>
      </c>
      <c r="CA334" s="31" t="s">
        <v>248</v>
      </c>
    </row>
    <row r="335" spans="1:79" x14ac:dyDescent="0.2">
      <c r="A335" s="31" t="s">
        <v>316</v>
      </c>
      <c r="B335" s="31" t="s">
        <v>325</v>
      </c>
      <c r="C335" s="31">
        <v>2020</v>
      </c>
      <c r="D335" s="31" t="s">
        <v>268</v>
      </c>
      <c r="E335" s="31">
        <v>2.0210131941958E+17</v>
      </c>
      <c r="F335" s="31" t="s">
        <v>225</v>
      </c>
      <c r="G335" s="31" t="s">
        <v>952</v>
      </c>
      <c r="H335" s="31">
        <v>1496802</v>
      </c>
      <c r="J335" s="31" t="s">
        <v>227</v>
      </c>
      <c r="K335" s="31" t="s">
        <v>228</v>
      </c>
      <c r="N335" s="31" t="s">
        <v>290</v>
      </c>
      <c r="O335" s="31" t="s">
        <v>254</v>
      </c>
      <c r="Q335" s="31" t="s">
        <v>255</v>
      </c>
      <c r="R335" s="31" t="s">
        <v>291</v>
      </c>
      <c r="T335" s="31" t="s">
        <v>292</v>
      </c>
      <c r="V335" s="31" t="s">
        <v>327</v>
      </c>
      <c r="X335" s="31" t="s">
        <v>294</v>
      </c>
      <c r="Y335" s="31" t="s">
        <v>295</v>
      </c>
      <c r="Z335" s="31">
        <v>30312</v>
      </c>
      <c r="AA335" s="31" t="s">
        <v>328</v>
      </c>
      <c r="AB335" s="31" t="s">
        <v>297</v>
      </c>
      <c r="AD335" s="31">
        <v>15</v>
      </c>
      <c r="AE335" s="31" t="s">
        <v>298</v>
      </c>
      <c r="AF335" s="31" t="s">
        <v>336</v>
      </c>
      <c r="AI335" s="32">
        <v>44184</v>
      </c>
      <c r="AJ335" s="31">
        <v>20</v>
      </c>
      <c r="AK335" s="31">
        <v>1661.2</v>
      </c>
      <c r="BF335" s="31" t="s">
        <v>332</v>
      </c>
      <c r="BK335" s="31" t="s">
        <v>50</v>
      </c>
      <c r="BL335" s="31" t="s">
        <v>242</v>
      </c>
      <c r="BM335" s="31" t="s">
        <v>243</v>
      </c>
      <c r="BN335" s="33">
        <v>44267.215264143517</v>
      </c>
      <c r="BR335" s="31" t="s">
        <v>257</v>
      </c>
      <c r="BS335" s="31">
        <v>4.0201202121400402E+18</v>
      </c>
      <c r="BT335" s="31" t="s">
        <v>245</v>
      </c>
      <c r="BU335" s="31" t="s">
        <v>337</v>
      </c>
      <c r="BV335" s="31">
        <v>2020</v>
      </c>
      <c r="BW335" s="31" t="s">
        <v>246</v>
      </c>
      <c r="BY335" s="31">
        <v>4.0311202112516803E+18</v>
      </c>
      <c r="BZ335" s="31" t="s">
        <v>940</v>
      </c>
      <c r="CA335" s="31" t="s">
        <v>248</v>
      </c>
    </row>
    <row r="336" spans="1:79" x14ac:dyDescent="0.2">
      <c r="A336" s="31" t="s">
        <v>316</v>
      </c>
      <c r="B336" s="31" t="s">
        <v>325</v>
      </c>
      <c r="C336" s="31">
        <v>2020</v>
      </c>
      <c r="D336" s="31" t="s">
        <v>268</v>
      </c>
      <c r="E336" s="31">
        <v>2.0210131941958E+17</v>
      </c>
      <c r="F336" s="31" t="s">
        <v>225</v>
      </c>
      <c r="G336" s="31" t="s">
        <v>953</v>
      </c>
      <c r="H336" s="31">
        <v>1496802</v>
      </c>
      <c r="J336" s="31" t="s">
        <v>227</v>
      </c>
      <c r="K336" s="31" t="s">
        <v>228</v>
      </c>
      <c r="N336" s="31" t="s">
        <v>290</v>
      </c>
      <c r="O336" s="31" t="s">
        <v>254</v>
      </c>
      <c r="Q336" s="31" t="s">
        <v>255</v>
      </c>
      <c r="R336" s="31" t="s">
        <v>291</v>
      </c>
      <c r="T336" s="31" t="s">
        <v>292</v>
      </c>
      <c r="V336" s="31" t="s">
        <v>327</v>
      </c>
      <c r="X336" s="31" t="s">
        <v>294</v>
      </c>
      <c r="Y336" s="31" t="s">
        <v>295</v>
      </c>
      <c r="Z336" s="31">
        <v>30312</v>
      </c>
      <c r="AA336" s="31" t="s">
        <v>328</v>
      </c>
      <c r="AB336" s="31" t="s">
        <v>297</v>
      </c>
      <c r="AF336" s="31" t="s">
        <v>331</v>
      </c>
      <c r="AI336" s="32">
        <v>44169</v>
      </c>
      <c r="AJ336" s="31">
        <v>50</v>
      </c>
      <c r="AK336" s="31">
        <v>160</v>
      </c>
      <c r="BF336" s="31" t="s">
        <v>332</v>
      </c>
      <c r="BK336" s="31" t="s">
        <v>50</v>
      </c>
      <c r="BL336" s="31" t="s">
        <v>242</v>
      </c>
      <c r="BM336" s="31" t="s">
        <v>243</v>
      </c>
      <c r="BN336" s="33">
        <v>44267.215268715277</v>
      </c>
      <c r="BR336" s="31" t="s">
        <v>257</v>
      </c>
      <c r="BS336" s="31">
        <v>4.0201202121400402E+18</v>
      </c>
      <c r="BT336" s="31" t="s">
        <v>245</v>
      </c>
      <c r="BU336" s="31" t="s">
        <v>709</v>
      </c>
      <c r="BV336" s="31">
        <v>2020</v>
      </c>
      <c r="BW336" s="31" t="s">
        <v>246</v>
      </c>
      <c r="BY336" s="31">
        <v>4.0311202112483702E+18</v>
      </c>
      <c r="BZ336" s="31" t="s">
        <v>945</v>
      </c>
      <c r="CA336" s="31" t="s">
        <v>248</v>
      </c>
    </row>
    <row r="337" spans="1:79" x14ac:dyDescent="0.2">
      <c r="A337" s="31" t="s">
        <v>316</v>
      </c>
      <c r="B337" s="31" t="s">
        <v>325</v>
      </c>
      <c r="C337" s="31">
        <v>2020</v>
      </c>
      <c r="D337" s="31" t="s">
        <v>268</v>
      </c>
      <c r="E337" s="31">
        <v>2.0210131941958E+17</v>
      </c>
      <c r="F337" s="31" t="s">
        <v>225</v>
      </c>
      <c r="G337" s="31" t="s">
        <v>954</v>
      </c>
      <c r="H337" s="31">
        <v>1496802</v>
      </c>
      <c r="J337" s="31" t="s">
        <v>227</v>
      </c>
      <c r="K337" s="31" t="s">
        <v>228</v>
      </c>
      <c r="N337" s="31" t="s">
        <v>290</v>
      </c>
      <c r="O337" s="31" t="s">
        <v>254</v>
      </c>
      <c r="Q337" s="31" t="s">
        <v>255</v>
      </c>
      <c r="R337" s="31" t="s">
        <v>291</v>
      </c>
      <c r="T337" s="31" t="s">
        <v>292</v>
      </c>
      <c r="V337" s="31" t="s">
        <v>327</v>
      </c>
      <c r="X337" s="31" t="s">
        <v>294</v>
      </c>
      <c r="Y337" s="31" t="s">
        <v>295</v>
      </c>
      <c r="Z337" s="31">
        <v>30312</v>
      </c>
      <c r="AA337" s="31" t="s">
        <v>328</v>
      </c>
      <c r="AB337" s="31" t="s">
        <v>297</v>
      </c>
      <c r="AD337" s="31">
        <v>15</v>
      </c>
      <c r="AE337" s="31" t="s">
        <v>298</v>
      </c>
      <c r="AF337" s="31" t="s">
        <v>336</v>
      </c>
      <c r="AI337" s="32">
        <v>44169</v>
      </c>
      <c r="AJ337" s="31">
        <v>5</v>
      </c>
      <c r="AK337" s="31">
        <v>1661.2</v>
      </c>
      <c r="BF337" s="31" t="s">
        <v>332</v>
      </c>
      <c r="BK337" s="31" t="s">
        <v>50</v>
      </c>
      <c r="BL337" s="31" t="s">
        <v>242</v>
      </c>
      <c r="BM337" s="31" t="s">
        <v>243</v>
      </c>
      <c r="BN337" s="33">
        <v>44267.215269097222</v>
      </c>
      <c r="BR337" s="31" t="s">
        <v>257</v>
      </c>
      <c r="BS337" s="31">
        <v>4.0201202121400402E+18</v>
      </c>
      <c r="BT337" s="31" t="s">
        <v>245</v>
      </c>
      <c r="BU337" s="31" t="s">
        <v>337</v>
      </c>
      <c r="BV337" s="31">
        <v>2020</v>
      </c>
      <c r="BW337" s="31" t="s">
        <v>246</v>
      </c>
      <c r="BY337" s="31">
        <v>4.0311202112483702E+18</v>
      </c>
      <c r="BZ337" s="31" t="s">
        <v>945</v>
      </c>
      <c r="CA337" s="31" t="s">
        <v>248</v>
      </c>
    </row>
    <row r="338" spans="1:79" x14ac:dyDescent="0.2">
      <c r="A338" s="31" t="s">
        <v>314</v>
      </c>
      <c r="B338" s="31" t="s">
        <v>315</v>
      </c>
      <c r="C338" s="31">
        <v>2020</v>
      </c>
      <c r="D338" s="31" t="s">
        <v>224</v>
      </c>
      <c r="E338" s="31">
        <v>2.02106189449528E+17</v>
      </c>
      <c r="F338" s="31" t="s">
        <v>225</v>
      </c>
      <c r="G338" s="31">
        <v>16872805</v>
      </c>
      <c r="H338" s="31">
        <v>1520930</v>
      </c>
      <c r="J338" s="31" t="s">
        <v>227</v>
      </c>
      <c r="K338" s="31" t="s">
        <v>228</v>
      </c>
      <c r="N338" s="31" t="s">
        <v>290</v>
      </c>
      <c r="O338" s="31" t="s">
        <v>26</v>
      </c>
      <c r="Q338" s="31" t="s">
        <v>255</v>
      </c>
      <c r="R338" s="31" t="s">
        <v>291</v>
      </c>
      <c r="T338" s="31" t="s">
        <v>292</v>
      </c>
      <c r="V338" s="31" t="s">
        <v>293</v>
      </c>
      <c r="X338" s="31" t="s">
        <v>294</v>
      </c>
      <c r="Y338" s="31" t="s">
        <v>295</v>
      </c>
      <c r="Z338" s="31">
        <v>303121941</v>
      </c>
      <c r="AA338" s="31" t="s">
        <v>296</v>
      </c>
      <c r="AB338" s="31" t="s">
        <v>297</v>
      </c>
      <c r="AD338" s="31" t="s">
        <v>237</v>
      </c>
      <c r="AE338" s="31" t="s">
        <v>238</v>
      </c>
      <c r="AI338" s="32">
        <v>44142</v>
      </c>
      <c r="AJ338" s="31">
        <v>200</v>
      </c>
      <c r="AK338" s="31">
        <v>2410</v>
      </c>
      <c r="BG338" s="31" t="s">
        <v>28</v>
      </c>
      <c r="BI338" s="31" t="s">
        <v>279</v>
      </c>
      <c r="BK338" s="31" t="s">
        <v>50</v>
      </c>
      <c r="BL338" s="31" t="s">
        <v>242</v>
      </c>
      <c r="BM338" s="31" t="s">
        <v>243</v>
      </c>
      <c r="BN338" s="33">
        <v>44377.238505520836</v>
      </c>
      <c r="BP338" s="31" t="s">
        <v>955</v>
      </c>
      <c r="BQ338" s="31" t="s">
        <v>318</v>
      </c>
      <c r="BR338" s="31" t="s">
        <v>257</v>
      </c>
      <c r="BS338" s="31">
        <v>4.0619202113094001E+18</v>
      </c>
      <c r="BT338" s="31" t="s">
        <v>245</v>
      </c>
      <c r="BU338" s="31" t="s">
        <v>283</v>
      </c>
      <c r="BV338" s="31">
        <v>2020</v>
      </c>
      <c r="BW338" s="31" t="s">
        <v>246</v>
      </c>
      <c r="BY338" s="31">
        <v>4.0630202113122099E+18</v>
      </c>
      <c r="BZ338" s="31" t="s">
        <v>956</v>
      </c>
      <c r="CA338" s="31" t="s">
        <v>248</v>
      </c>
    </row>
    <row r="339" spans="1:79" x14ac:dyDescent="0.2">
      <c r="A339" s="31" t="s">
        <v>314</v>
      </c>
      <c r="B339" s="31" t="s">
        <v>315</v>
      </c>
      <c r="C339" s="31">
        <v>2020</v>
      </c>
      <c r="D339" s="31" t="s">
        <v>224</v>
      </c>
      <c r="E339" s="31">
        <v>2.02106189449528E+17</v>
      </c>
      <c r="F339" s="31" t="s">
        <v>225</v>
      </c>
      <c r="G339" s="31">
        <v>16993003</v>
      </c>
      <c r="H339" s="31">
        <v>1520930</v>
      </c>
      <c r="J339" s="31" t="s">
        <v>227</v>
      </c>
      <c r="K339" s="31" t="s">
        <v>228</v>
      </c>
      <c r="N339" s="31" t="s">
        <v>290</v>
      </c>
      <c r="O339" s="31" t="s">
        <v>26</v>
      </c>
      <c r="Q339" s="31" t="s">
        <v>255</v>
      </c>
      <c r="R339" s="31" t="s">
        <v>291</v>
      </c>
      <c r="T339" s="31" t="s">
        <v>292</v>
      </c>
      <c r="V339" s="31" t="s">
        <v>293</v>
      </c>
      <c r="X339" s="31" t="s">
        <v>294</v>
      </c>
      <c r="Y339" s="31" t="s">
        <v>295</v>
      </c>
      <c r="Z339" s="31">
        <v>303121941</v>
      </c>
      <c r="AA339" s="31" t="s">
        <v>296</v>
      </c>
      <c r="AB339" s="31" t="s">
        <v>297</v>
      </c>
      <c r="AD339" s="31" t="s">
        <v>237</v>
      </c>
      <c r="AE339" s="31" t="s">
        <v>238</v>
      </c>
      <c r="AI339" s="32">
        <v>44149</v>
      </c>
      <c r="AJ339" s="31">
        <v>200</v>
      </c>
      <c r="AK339" s="31">
        <v>2610</v>
      </c>
      <c r="BG339" s="31" t="s">
        <v>28</v>
      </c>
      <c r="BI339" s="31" t="s">
        <v>279</v>
      </c>
      <c r="BK339" s="31" t="s">
        <v>50</v>
      </c>
      <c r="BL339" s="31" t="s">
        <v>242</v>
      </c>
      <c r="BM339" s="31" t="s">
        <v>243</v>
      </c>
      <c r="BN339" s="33">
        <v>44377.238505520836</v>
      </c>
      <c r="BP339" s="31" t="s">
        <v>957</v>
      </c>
      <c r="BQ339" s="31" t="s">
        <v>318</v>
      </c>
      <c r="BR339" s="31" t="s">
        <v>257</v>
      </c>
      <c r="BS339" s="31">
        <v>4.0619202113094001E+18</v>
      </c>
      <c r="BT339" s="31" t="s">
        <v>245</v>
      </c>
      <c r="BU339" s="31" t="s">
        <v>283</v>
      </c>
      <c r="BV339" s="31">
        <v>2020</v>
      </c>
      <c r="BW339" s="31" t="s">
        <v>246</v>
      </c>
      <c r="BY339" s="31">
        <v>4.0630202113122099E+18</v>
      </c>
      <c r="BZ339" s="31" t="s">
        <v>958</v>
      </c>
      <c r="CA339" s="31" t="s">
        <v>248</v>
      </c>
    </row>
    <row r="340" spans="1:79" x14ac:dyDescent="0.2">
      <c r="A340" s="31" t="s">
        <v>314</v>
      </c>
      <c r="B340" s="31" t="s">
        <v>315</v>
      </c>
      <c r="C340" s="31">
        <v>2020</v>
      </c>
      <c r="D340" s="31" t="s">
        <v>224</v>
      </c>
      <c r="E340" s="31">
        <v>2.02106189449528E+17</v>
      </c>
      <c r="F340" s="31" t="s">
        <v>225</v>
      </c>
      <c r="G340" s="31">
        <v>17052895</v>
      </c>
      <c r="H340" s="31">
        <v>1520930</v>
      </c>
      <c r="J340" s="31" t="s">
        <v>227</v>
      </c>
      <c r="K340" s="31" t="s">
        <v>228</v>
      </c>
      <c r="N340" s="31" t="s">
        <v>290</v>
      </c>
      <c r="O340" s="31" t="s">
        <v>26</v>
      </c>
      <c r="Q340" s="31" t="s">
        <v>255</v>
      </c>
      <c r="R340" s="31" t="s">
        <v>291</v>
      </c>
      <c r="T340" s="31" t="s">
        <v>292</v>
      </c>
      <c r="V340" s="31" t="s">
        <v>293</v>
      </c>
      <c r="X340" s="31" t="s">
        <v>294</v>
      </c>
      <c r="Y340" s="31" t="s">
        <v>295</v>
      </c>
      <c r="Z340" s="31">
        <v>303121941</v>
      </c>
      <c r="AA340" s="31" t="s">
        <v>296</v>
      </c>
      <c r="AB340" s="31" t="s">
        <v>297</v>
      </c>
      <c r="AD340" s="31" t="s">
        <v>237</v>
      </c>
      <c r="AE340" s="31" t="s">
        <v>238</v>
      </c>
      <c r="AI340" s="32">
        <v>44155</v>
      </c>
      <c r="AJ340" s="31">
        <v>200</v>
      </c>
      <c r="AK340" s="31">
        <v>3010</v>
      </c>
      <c r="BG340" s="31" t="s">
        <v>28</v>
      </c>
      <c r="BI340" s="31" t="s">
        <v>279</v>
      </c>
      <c r="BK340" s="31" t="s">
        <v>50</v>
      </c>
      <c r="BL340" s="31" t="s">
        <v>242</v>
      </c>
      <c r="BM340" s="31" t="s">
        <v>243</v>
      </c>
      <c r="BN340" s="33">
        <v>44377.238505520836</v>
      </c>
      <c r="BP340" s="31" t="s">
        <v>959</v>
      </c>
      <c r="BQ340" s="31" t="s">
        <v>318</v>
      </c>
      <c r="BR340" s="31" t="s">
        <v>257</v>
      </c>
      <c r="BS340" s="31">
        <v>4.0619202113094001E+18</v>
      </c>
      <c r="BT340" s="31" t="s">
        <v>245</v>
      </c>
      <c r="BU340" s="31" t="s">
        <v>283</v>
      </c>
      <c r="BV340" s="31">
        <v>2020</v>
      </c>
      <c r="BW340" s="31" t="s">
        <v>246</v>
      </c>
      <c r="BY340" s="31">
        <v>4.0630202113122099E+18</v>
      </c>
      <c r="BZ340" s="31" t="s">
        <v>960</v>
      </c>
      <c r="CA340" s="31" t="s">
        <v>248</v>
      </c>
    </row>
    <row r="341" spans="1:79" x14ac:dyDescent="0.2">
      <c r="A341" s="31" t="s">
        <v>314</v>
      </c>
      <c r="B341" s="31" t="s">
        <v>315</v>
      </c>
      <c r="C341" s="31">
        <v>2020</v>
      </c>
      <c r="D341" s="31" t="s">
        <v>224</v>
      </c>
      <c r="E341" s="31">
        <v>2.02106189449528E+17</v>
      </c>
      <c r="F341" s="31" t="s">
        <v>225</v>
      </c>
      <c r="G341" s="31">
        <v>17054121</v>
      </c>
      <c r="H341" s="31">
        <v>1520930</v>
      </c>
      <c r="J341" s="31" t="s">
        <v>227</v>
      </c>
      <c r="K341" s="31" t="s">
        <v>228</v>
      </c>
      <c r="N341" s="31" t="s">
        <v>290</v>
      </c>
      <c r="O341" s="31" t="s">
        <v>26</v>
      </c>
      <c r="Q341" s="31" t="s">
        <v>255</v>
      </c>
      <c r="R341" s="31" t="s">
        <v>291</v>
      </c>
      <c r="T341" s="31" t="s">
        <v>292</v>
      </c>
      <c r="V341" s="31" t="s">
        <v>293</v>
      </c>
      <c r="X341" s="31" t="s">
        <v>294</v>
      </c>
      <c r="Y341" s="31" t="s">
        <v>295</v>
      </c>
      <c r="Z341" s="31">
        <v>303121941</v>
      </c>
      <c r="AA341" s="31" t="s">
        <v>296</v>
      </c>
      <c r="AB341" s="31" t="s">
        <v>297</v>
      </c>
      <c r="AD341" s="31" t="s">
        <v>237</v>
      </c>
      <c r="AE341" s="31" t="s">
        <v>238</v>
      </c>
      <c r="AI341" s="32">
        <v>44155</v>
      </c>
      <c r="AJ341" s="31">
        <v>200</v>
      </c>
      <c r="AK341" s="31">
        <v>3010</v>
      </c>
      <c r="BG341" s="31" t="s">
        <v>28</v>
      </c>
      <c r="BI341" s="31" t="s">
        <v>279</v>
      </c>
      <c r="BK341" s="31" t="s">
        <v>50</v>
      </c>
      <c r="BL341" s="31" t="s">
        <v>242</v>
      </c>
      <c r="BM341" s="31" t="s">
        <v>243</v>
      </c>
      <c r="BN341" s="33">
        <v>44377.238505520836</v>
      </c>
      <c r="BP341" s="31" t="s">
        <v>961</v>
      </c>
      <c r="BQ341" s="31" t="s">
        <v>318</v>
      </c>
      <c r="BR341" s="31" t="s">
        <v>257</v>
      </c>
      <c r="BS341" s="31">
        <v>4.0619202113094001E+18</v>
      </c>
      <c r="BT341" s="31" t="s">
        <v>245</v>
      </c>
      <c r="BU341" s="31" t="s">
        <v>283</v>
      </c>
      <c r="BV341" s="31">
        <v>2020</v>
      </c>
      <c r="BW341" s="31" t="s">
        <v>246</v>
      </c>
      <c r="BY341" s="31">
        <v>4.0630202113122099E+18</v>
      </c>
      <c r="BZ341" s="31" t="s">
        <v>960</v>
      </c>
      <c r="CA341" s="31" t="s">
        <v>248</v>
      </c>
    </row>
    <row r="342" spans="1:79" x14ac:dyDescent="0.2">
      <c r="A342" s="31" t="s">
        <v>341</v>
      </c>
      <c r="B342" s="31" t="s">
        <v>551</v>
      </c>
      <c r="C342" s="31">
        <v>2020</v>
      </c>
      <c r="D342" s="31" t="s">
        <v>268</v>
      </c>
      <c r="E342" s="31">
        <v>2.0210128941379002E+17</v>
      </c>
      <c r="F342" s="31" t="s">
        <v>225</v>
      </c>
      <c r="G342" s="31" t="s">
        <v>962</v>
      </c>
      <c r="H342" s="31">
        <v>1492857</v>
      </c>
      <c r="J342" s="31" t="s">
        <v>227</v>
      </c>
      <c r="K342" s="31" t="s">
        <v>228</v>
      </c>
      <c r="N342" s="31" t="s">
        <v>290</v>
      </c>
      <c r="O342" s="31" t="s">
        <v>254</v>
      </c>
      <c r="Q342" s="31" t="s">
        <v>255</v>
      </c>
      <c r="R342" s="31" t="s">
        <v>291</v>
      </c>
      <c r="T342" s="31" t="s">
        <v>292</v>
      </c>
      <c r="V342" s="31" t="s">
        <v>293</v>
      </c>
      <c r="X342" s="31" t="s">
        <v>294</v>
      </c>
      <c r="Y342" s="31" t="s">
        <v>295</v>
      </c>
      <c r="Z342" s="31">
        <v>303121941</v>
      </c>
      <c r="AA342" s="31" t="s">
        <v>296</v>
      </c>
      <c r="AB342" s="31" t="s">
        <v>297</v>
      </c>
      <c r="AD342" s="31" t="s">
        <v>237</v>
      </c>
      <c r="AE342" s="31" t="s">
        <v>238</v>
      </c>
      <c r="AI342" s="32">
        <v>44164</v>
      </c>
      <c r="AJ342" s="31">
        <v>50</v>
      </c>
      <c r="AK342" s="31">
        <v>2249</v>
      </c>
      <c r="BG342" s="31" t="s">
        <v>28</v>
      </c>
      <c r="BI342" s="31" t="s">
        <v>279</v>
      </c>
      <c r="BK342" s="31" t="s">
        <v>50</v>
      </c>
      <c r="BL342" s="31" t="s">
        <v>242</v>
      </c>
      <c r="BM342" s="31" t="s">
        <v>243</v>
      </c>
      <c r="BN342" s="33">
        <v>44233.158167766203</v>
      </c>
      <c r="BP342" s="31" t="s">
        <v>963</v>
      </c>
      <c r="BQ342" s="31" t="s">
        <v>318</v>
      </c>
      <c r="BR342" s="31" t="s">
        <v>257</v>
      </c>
      <c r="BS342" s="31">
        <v>4.01302021213907E+18</v>
      </c>
      <c r="BT342" s="31" t="s">
        <v>245</v>
      </c>
      <c r="BU342" s="31" t="s">
        <v>283</v>
      </c>
      <c r="BV342" s="31">
        <v>2020</v>
      </c>
      <c r="BW342" s="31" t="s">
        <v>246</v>
      </c>
      <c r="BY342" s="31">
        <v>4.0206202111209001E+18</v>
      </c>
      <c r="BZ342" s="31" t="s">
        <v>964</v>
      </c>
      <c r="CA342" s="31" t="s">
        <v>248</v>
      </c>
    </row>
    <row r="343" spans="1:79" x14ac:dyDescent="0.2">
      <c r="A343" s="31" t="s">
        <v>316</v>
      </c>
      <c r="B343" s="31" t="s">
        <v>325</v>
      </c>
      <c r="C343" s="31">
        <v>2020</v>
      </c>
      <c r="D343" s="31" t="s">
        <v>288</v>
      </c>
      <c r="E343" s="31">
        <v>2.0201211936791501E+17</v>
      </c>
      <c r="F343" s="31" t="s">
        <v>225</v>
      </c>
      <c r="G343" s="31" t="s">
        <v>965</v>
      </c>
      <c r="H343" s="31">
        <v>1482644</v>
      </c>
      <c r="J343" s="31" t="s">
        <v>227</v>
      </c>
      <c r="K343" s="31" t="s">
        <v>228</v>
      </c>
      <c r="N343" s="31" t="s">
        <v>290</v>
      </c>
      <c r="O343" s="31" t="s">
        <v>254</v>
      </c>
      <c r="Q343" s="31" t="s">
        <v>255</v>
      </c>
      <c r="R343" s="31" t="s">
        <v>291</v>
      </c>
      <c r="T343" s="31" t="s">
        <v>292</v>
      </c>
      <c r="V343" s="31" t="s">
        <v>327</v>
      </c>
      <c r="X343" s="31" t="s">
        <v>294</v>
      </c>
      <c r="Y343" s="31" t="s">
        <v>295</v>
      </c>
      <c r="Z343" s="31">
        <v>30312</v>
      </c>
      <c r="AA343" s="31" t="s">
        <v>328</v>
      </c>
      <c r="AB343" s="31" t="s">
        <v>297</v>
      </c>
      <c r="AD343" s="31">
        <v>15</v>
      </c>
      <c r="AE343" s="31" t="s">
        <v>298</v>
      </c>
      <c r="AF343" s="31" t="s">
        <v>336</v>
      </c>
      <c r="AI343" s="32">
        <v>44063</v>
      </c>
      <c r="AJ343" s="31">
        <v>10</v>
      </c>
      <c r="AK343" s="31">
        <v>964.4</v>
      </c>
      <c r="BF343" s="31" t="s">
        <v>332</v>
      </c>
      <c r="BK343" s="31" t="s">
        <v>50</v>
      </c>
      <c r="BL343" s="31" t="s">
        <v>242</v>
      </c>
      <c r="BM343" s="31" t="s">
        <v>243</v>
      </c>
      <c r="BN343" s="33">
        <v>44209.414098645837</v>
      </c>
      <c r="BR343" s="31" t="s">
        <v>257</v>
      </c>
      <c r="BS343" s="31">
        <v>4.1215202019740099E+18</v>
      </c>
      <c r="BT343" s="31" t="s">
        <v>245</v>
      </c>
      <c r="BU343" s="31" t="s">
        <v>337</v>
      </c>
      <c r="BV343" s="31">
        <v>2020</v>
      </c>
      <c r="BW343" s="31" t="s">
        <v>246</v>
      </c>
      <c r="BY343" s="31">
        <v>4.0112202120758999E+18</v>
      </c>
      <c r="BZ343" s="31" t="s">
        <v>966</v>
      </c>
      <c r="CA343" s="31" t="s">
        <v>248</v>
      </c>
    </row>
    <row r="344" spans="1:79" x14ac:dyDescent="0.2">
      <c r="A344" s="31" t="s">
        <v>316</v>
      </c>
      <c r="B344" s="31" t="s">
        <v>325</v>
      </c>
      <c r="C344" s="31">
        <v>2020</v>
      </c>
      <c r="D344" s="31" t="s">
        <v>288</v>
      </c>
      <c r="E344" s="31">
        <v>2.0201211936791501E+17</v>
      </c>
      <c r="F344" s="31" t="s">
        <v>225</v>
      </c>
      <c r="G344" s="31" t="s">
        <v>967</v>
      </c>
      <c r="H344" s="31">
        <v>1482644</v>
      </c>
      <c r="J344" s="31" t="s">
        <v>227</v>
      </c>
      <c r="K344" s="31" t="s">
        <v>228</v>
      </c>
      <c r="L344" s="31" t="s">
        <v>341</v>
      </c>
      <c r="N344" s="31" t="s">
        <v>290</v>
      </c>
      <c r="O344" s="31" t="s">
        <v>254</v>
      </c>
      <c r="Q344" s="31" t="s">
        <v>255</v>
      </c>
      <c r="R344" s="31" t="s">
        <v>291</v>
      </c>
      <c r="T344" s="31" t="s">
        <v>292</v>
      </c>
      <c r="V344" s="31" t="s">
        <v>327</v>
      </c>
      <c r="X344" s="31" t="s">
        <v>294</v>
      </c>
      <c r="Y344" s="31" t="s">
        <v>295</v>
      </c>
      <c r="Z344" s="31">
        <v>30312</v>
      </c>
      <c r="AA344" s="31" t="s">
        <v>328</v>
      </c>
      <c r="AB344" s="31" t="s">
        <v>297</v>
      </c>
      <c r="AC344" s="31" t="s">
        <v>341</v>
      </c>
      <c r="AD344" s="31" t="s">
        <v>329</v>
      </c>
      <c r="AE344" s="31" t="s">
        <v>330</v>
      </c>
      <c r="AF344" s="31" t="s">
        <v>331</v>
      </c>
      <c r="AI344" s="32">
        <v>44063</v>
      </c>
      <c r="AJ344" s="31">
        <v>100</v>
      </c>
      <c r="AK344" s="31">
        <v>1200</v>
      </c>
      <c r="BF344" s="31" t="s">
        <v>332</v>
      </c>
      <c r="BK344" s="31" t="s">
        <v>50</v>
      </c>
      <c r="BL344" s="31" t="s">
        <v>242</v>
      </c>
      <c r="BM344" s="31" t="s">
        <v>243</v>
      </c>
      <c r="BN344" s="33">
        <v>44209.414182384258</v>
      </c>
      <c r="BR344" s="31" t="s">
        <v>257</v>
      </c>
      <c r="BS344" s="31">
        <v>4.1215202019740099E+18</v>
      </c>
      <c r="BT344" s="31" t="s">
        <v>245</v>
      </c>
      <c r="BU344" s="31" t="s">
        <v>342</v>
      </c>
      <c r="BV344" s="31">
        <v>2020</v>
      </c>
      <c r="BW344" s="31" t="s">
        <v>246</v>
      </c>
      <c r="BY344" s="31">
        <v>4.0112202120759101E+18</v>
      </c>
      <c r="BZ344" s="31" t="s">
        <v>968</v>
      </c>
      <c r="CA344" s="31" t="s">
        <v>248</v>
      </c>
    </row>
    <row r="345" spans="1:79" x14ac:dyDescent="0.2">
      <c r="A345" s="31" t="s">
        <v>316</v>
      </c>
      <c r="B345" s="31" t="s">
        <v>325</v>
      </c>
      <c r="C345" s="31">
        <v>2020</v>
      </c>
      <c r="D345" s="31" t="s">
        <v>288</v>
      </c>
      <c r="E345" s="31">
        <v>2.0201211936791501E+17</v>
      </c>
      <c r="F345" s="31" t="s">
        <v>225</v>
      </c>
      <c r="G345" s="31" t="s">
        <v>969</v>
      </c>
      <c r="H345" s="31">
        <v>1482644</v>
      </c>
      <c r="J345" s="31" t="s">
        <v>227</v>
      </c>
      <c r="K345" s="31" t="s">
        <v>228</v>
      </c>
      <c r="N345" s="31" t="s">
        <v>290</v>
      </c>
      <c r="O345" s="31" t="s">
        <v>254</v>
      </c>
      <c r="Q345" s="31" t="s">
        <v>255</v>
      </c>
      <c r="R345" s="31" t="s">
        <v>291</v>
      </c>
      <c r="T345" s="31" t="s">
        <v>292</v>
      </c>
      <c r="V345" s="31" t="s">
        <v>327</v>
      </c>
      <c r="X345" s="31" t="s">
        <v>294</v>
      </c>
      <c r="Y345" s="31" t="s">
        <v>295</v>
      </c>
      <c r="Z345" s="31">
        <v>30312</v>
      </c>
      <c r="AA345" s="31" t="s">
        <v>328</v>
      </c>
      <c r="AB345" s="31" t="s">
        <v>297</v>
      </c>
      <c r="AD345" s="31">
        <v>15</v>
      </c>
      <c r="AE345" s="31" t="s">
        <v>298</v>
      </c>
      <c r="AF345" s="31" t="s">
        <v>336</v>
      </c>
      <c r="AI345" s="32">
        <v>44063</v>
      </c>
      <c r="AJ345" s="31">
        <v>10</v>
      </c>
      <c r="AK345" s="31">
        <v>964.4</v>
      </c>
      <c r="BF345" s="31" t="s">
        <v>332</v>
      </c>
      <c r="BK345" s="31" t="s">
        <v>50</v>
      </c>
      <c r="BL345" s="31" t="s">
        <v>242</v>
      </c>
      <c r="BM345" s="31" t="s">
        <v>243</v>
      </c>
      <c r="BN345" s="33">
        <v>44209.414266898151</v>
      </c>
      <c r="BR345" s="31" t="s">
        <v>257</v>
      </c>
      <c r="BS345" s="31">
        <v>4.1215202019740099E+18</v>
      </c>
      <c r="BT345" s="31" t="s">
        <v>245</v>
      </c>
      <c r="BU345" s="31" t="s">
        <v>337</v>
      </c>
      <c r="BV345" s="31">
        <v>2020</v>
      </c>
      <c r="BW345" s="31" t="s">
        <v>246</v>
      </c>
      <c r="BY345" s="31">
        <v>4.0112202120759101E+18</v>
      </c>
      <c r="BZ345" s="31" t="s">
        <v>970</v>
      </c>
      <c r="CA345" s="31" t="s">
        <v>248</v>
      </c>
    </row>
    <row r="346" spans="1:79" x14ac:dyDescent="0.2">
      <c r="A346" s="31" t="s">
        <v>316</v>
      </c>
      <c r="B346" s="31" t="s">
        <v>325</v>
      </c>
      <c r="C346" s="31">
        <v>2020</v>
      </c>
      <c r="D346" s="31" t="s">
        <v>288</v>
      </c>
      <c r="E346" s="31">
        <v>2.0201211936791501E+17</v>
      </c>
      <c r="F346" s="31" t="s">
        <v>225</v>
      </c>
      <c r="G346" s="31" t="s">
        <v>971</v>
      </c>
      <c r="H346" s="31">
        <v>1482644</v>
      </c>
      <c r="J346" s="31" t="s">
        <v>227</v>
      </c>
      <c r="K346" s="31" t="s">
        <v>228</v>
      </c>
      <c r="L346" s="31" t="s">
        <v>341</v>
      </c>
      <c r="N346" s="31" t="s">
        <v>290</v>
      </c>
      <c r="O346" s="31" t="s">
        <v>254</v>
      </c>
      <c r="Q346" s="31" t="s">
        <v>255</v>
      </c>
      <c r="R346" s="31" t="s">
        <v>291</v>
      </c>
      <c r="T346" s="31" t="s">
        <v>292</v>
      </c>
      <c r="V346" s="31" t="s">
        <v>327</v>
      </c>
      <c r="X346" s="31" t="s">
        <v>294</v>
      </c>
      <c r="Y346" s="31" t="s">
        <v>295</v>
      </c>
      <c r="Z346" s="31">
        <v>30312</v>
      </c>
      <c r="AA346" s="31" t="s">
        <v>328</v>
      </c>
      <c r="AB346" s="31" t="s">
        <v>297</v>
      </c>
      <c r="AC346" s="31" t="s">
        <v>341</v>
      </c>
      <c r="AD346" s="31" t="s">
        <v>329</v>
      </c>
      <c r="AE346" s="31" t="s">
        <v>330</v>
      </c>
      <c r="AF346" s="31" t="s">
        <v>331</v>
      </c>
      <c r="AI346" s="32">
        <v>44063</v>
      </c>
      <c r="AJ346" s="31">
        <v>100</v>
      </c>
      <c r="AK346" s="31">
        <v>1200</v>
      </c>
      <c r="BF346" s="31" t="s">
        <v>332</v>
      </c>
      <c r="BK346" s="31" t="s">
        <v>50</v>
      </c>
      <c r="BL346" s="31" t="s">
        <v>242</v>
      </c>
      <c r="BM346" s="31" t="s">
        <v>243</v>
      </c>
      <c r="BN346" s="33">
        <v>44209.414435509258</v>
      </c>
      <c r="BR346" s="31" t="s">
        <v>257</v>
      </c>
      <c r="BS346" s="31">
        <v>4.1215202019740099E+18</v>
      </c>
      <c r="BT346" s="31" t="s">
        <v>245</v>
      </c>
      <c r="BU346" s="31" t="s">
        <v>342</v>
      </c>
      <c r="BV346" s="31">
        <v>2020</v>
      </c>
      <c r="BW346" s="31" t="s">
        <v>246</v>
      </c>
      <c r="BY346" s="31">
        <v>4.0112202120759199E+18</v>
      </c>
      <c r="BZ346" s="31" t="s">
        <v>966</v>
      </c>
      <c r="CA346" s="31" t="s">
        <v>248</v>
      </c>
    </row>
    <row r="347" spans="1:79" x14ac:dyDescent="0.2">
      <c r="A347" s="31" t="s">
        <v>316</v>
      </c>
      <c r="B347" s="31" t="s">
        <v>325</v>
      </c>
      <c r="C347" s="31">
        <v>2020</v>
      </c>
      <c r="D347" s="31" t="s">
        <v>288</v>
      </c>
      <c r="E347" s="31">
        <v>2.0201211936791501E+17</v>
      </c>
      <c r="F347" s="31" t="s">
        <v>225</v>
      </c>
      <c r="G347" s="31" t="s">
        <v>972</v>
      </c>
      <c r="H347" s="31">
        <v>1482644</v>
      </c>
      <c r="J347" s="31" t="s">
        <v>227</v>
      </c>
      <c r="K347" s="31" t="s">
        <v>228</v>
      </c>
      <c r="L347" s="31" t="s">
        <v>286</v>
      </c>
      <c r="N347" s="31" t="s">
        <v>290</v>
      </c>
      <c r="O347" s="31" t="s">
        <v>254</v>
      </c>
      <c r="Q347" s="31" t="s">
        <v>255</v>
      </c>
      <c r="R347" s="31" t="s">
        <v>291</v>
      </c>
      <c r="T347" s="31" t="s">
        <v>292</v>
      </c>
      <c r="V347" s="31" t="s">
        <v>327</v>
      </c>
      <c r="X347" s="31" t="s">
        <v>294</v>
      </c>
      <c r="Y347" s="31" t="s">
        <v>295</v>
      </c>
      <c r="Z347" s="31">
        <v>30312</v>
      </c>
      <c r="AA347" s="31" t="s">
        <v>328</v>
      </c>
      <c r="AB347" s="31" t="s">
        <v>297</v>
      </c>
      <c r="AC347" s="31" t="s">
        <v>286</v>
      </c>
      <c r="AD347" s="31" t="s">
        <v>329</v>
      </c>
      <c r="AE347" s="31" t="s">
        <v>330</v>
      </c>
      <c r="AF347" s="31" t="s">
        <v>331</v>
      </c>
      <c r="AI347" s="32">
        <v>44063</v>
      </c>
      <c r="AJ347" s="31">
        <v>100</v>
      </c>
      <c r="AK347" s="31">
        <v>450</v>
      </c>
      <c r="BF347" s="31" t="s">
        <v>332</v>
      </c>
      <c r="BK347" s="31" t="s">
        <v>50</v>
      </c>
      <c r="BL347" s="31" t="s">
        <v>242</v>
      </c>
      <c r="BM347" s="31" t="s">
        <v>243</v>
      </c>
      <c r="BN347" s="33">
        <v>44209.414680613423</v>
      </c>
      <c r="BR347" s="31" t="s">
        <v>257</v>
      </c>
      <c r="BS347" s="31">
        <v>4.1215202019740099E+18</v>
      </c>
      <c r="BT347" s="31" t="s">
        <v>245</v>
      </c>
      <c r="BU347" s="31" t="s">
        <v>333</v>
      </c>
      <c r="BV347" s="31">
        <v>2020</v>
      </c>
      <c r="BW347" s="31" t="s">
        <v>246</v>
      </c>
      <c r="BY347" s="31">
        <v>4.0112202120758001E+18</v>
      </c>
      <c r="BZ347" s="31" t="s">
        <v>966</v>
      </c>
      <c r="CA347" s="31" t="s">
        <v>248</v>
      </c>
    </row>
    <row r="348" spans="1:79" x14ac:dyDescent="0.2">
      <c r="A348" s="31" t="s">
        <v>316</v>
      </c>
      <c r="B348" s="31" t="s">
        <v>325</v>
      </c>
      <c r="C348" s="31">
        <v>2020</v>
      </c>
      <c r="D348" s="31" t="s">
        <v>288</v>
      </c>
      <c r="E348" s="31">
        <v>2.0201211936791501E+17</v>
      </c>
      <c r="F348" s="31" t="s">
        <v>225</v>
      </c>
      <c r="G348" s="31" t="s">
        <v>973</v>
      </c>
      <c r="H348" s="31">
        <v>1482644</v>
      </c>
      <c r="J348" s="31" t="s">
        <v>227</v>
      </c>
      <c r="K348" s="31" t="s">
        <v>228</v>
      </c>
      <c r="N348" s="31" t="s">
        <v>290</v>
      </c>
      <c r="O348" s="31" t="s">
        <v>254</v>
      </c>
      <c r="Q348" s="31" t="s">
        <v>255</v>
      </c>
      <c r="R348" s="31" t="s">
        <v>291</v>
      </c>
      <c r="T348" s="31" t="s">
        <v>292</v>
      </c>
      <c r="V348" s="31" t="s">
        <v>327</v>
      </c>
      <c r="X348" s="31" t="s">
        <v>294</v>
      </c>
      <c r="Y348" s="31" t="s">
        <v>295</v>
      </c>
      <c r="Z348" s="31">
        <v>30312</v>
      </c>
      <c r="AA348" s="31" t="s">
        <v>328</v>
      </c>
      <c r="AB348" s="31" t="s">
        <v>297</v>
      </c>
      <c r="AD348" s="31">
        <v>15</v>
      </c>
      <c r="AE348" s="31" t="s">
        <v>298</v>
      </c>
      <c r="AF348" s="31" t="s">
        <v>336</v>
      </c>
      <c r="AI348" s="32">
        <v>44062</v>
      </c>
      <c r="AJ348" s="31">
        <v>10</v>
      </c>
      <c r="AK348" s="31">
        <v>964.4</v>
      </c>
      <c r="BF348" s="31" t="s">
        <v>332</v>
      </c>
      <c r="BK348" s="31" t="s">
        <v>50</v>
      </c>
      <c r="BL348" s="31" t="s">
        <v>242</v>
      </c>
      <c r="BM348" s="31" t="s">
        <v>243</v>
      </c>
      <c r="BN348" s="33">
        <v>44209.414686956021</v>
      </c>
      <c r="BR348" s="31" t="s">
        <v>257</v>
      </c>
      <c r="BS348" s="31">
        <v>4.1215202019740099E+18</v>
      </c>
      <c r="BT348" s="31" t="s">
        <v>245</v>
      </c>
      <c r="BU348" s="31" t="s">
        <v>337</v>
      </c>
      <c r="BV348" s="31">
        <v>2020</v>
      </c>
      <c r="BW348" s="31" t="s">
        <v>246</v>
      </c>
      <c r="BY348" s="31">
        <v>4.0112202120752399E+18</v>
      </c>
      <c r="BZ348" s="31" t="s">
        <v>974</v>
      </c>
      <c r="CA348" s="31" t="s">
        <v>248</v>
      </c>
    </row>
    <row r="349" spans="1:79" x14ac:dyDescent="0.2">
      <c r="A349" s="31" t="s">
        <v>316</v>
      </c>
      <c r="B349" s="31" t="s">
        <v>325</v>
      </c>
      <c r="C349" s="31">
        <v>2020</v>
      </c>
      <c r="D349" s="31" t="s">
        <v>288</v>
      </c>
      <c r="E349" s="31">
        <v>2.0201211936791501E+17</v>
      </c>
      <c r="F349" s="31" t="s">
        <v>225</v>
      </c>
      <c r="G349" s="31" t="s">
        <v>975</v>
      </c>
      <c r="H349" s="31">
        <v>1482644</v>
      </c>
      <c r="J349" s="31" t="s">
        <v>227</v>
      </c>
      <c r="K349" s="31" t="s">
        <v>228</v>
      </c>
      <c r="L349" s="31" t="s">
        <v>341</v>
      </c>
      <c r="N349" s="31" t="s">
        <v>290</v>
      </c>
      <c r="O349" s="31" t="s">
        <v>254</v>
      </c>
      <c r="Q349" s="31" t="s">
        <v>255</v>
      </c>
      <c r="R349" s="31" t="s">
        <v>291</v>
      </c>
      <c r="T349" s="31" t="s">
        <v>292</v>
      </c>
      <c r="V349" s="31" t="s">
        <v>327</v>
      </c>
      <c r="X349" s="31" t="s">
        <v>294</v>
      </c>
      <c r="Y349" s="31" t="s">
        <v>295</v>
      </c>
      <c r="Z349" s="31">
        <v>30312</v>
      </c>
      <c r="AA349" s="31" t="s">
        <v>328</v>
      </c>
      <c r="AB349" s="31" t="s">
        <v>297</v>
      </c>
      <c r="AC349" s="31" t="s">
        <v>341</v>
      </c>
      <c r="AD349" s="31" t="s">
        <v>329</v>
      </c>
      <c r="AE349" s="31" t="s">
        <v>330</v>
      </c>
      <c r="AF349" s="31" t="s">
        <v>331</v>
      </c>
      <c r="AI349" s="32">
        <v>44062</v>
      </c>
      <c r="AJ349" s="31">
        <v>100</v>
      </c>
      <c r="AK349" s="31">
        <v>1200</v>
      </c>
      <c r="BF349" s="31" t="s">
        <v>332</v>
      </c>
      <c r="BK349" s="31" t="s">
        <v>50</v>
      </c>
      <c r="BL349" s="31" t="s">
        <v>242</v>
      </c>
      <c r="BM349" s="31" t="s">
        <v>243</v>
      </c>
      <c r="BN349" s="33">
        <v>44209.41471513889</v>
      </c>
      <c r="BR349" s="31" t="s">
        <v>257</v>
      </c>
      <c r="BS349" s="31">
        <v>4.1215202019740099E+18</v>
      </c>
      <c r="BT349" s="31" t="s">
        <v>245</v>
      </c>
      <c r="BU349" s="31" t="s">
        <v>342</v>
      </c>
      <c r="BV349" s="31">
        <v>2020</v>
      </c>
      <c r="BW349" s="31" t="s">
        <v>246</v>
      </c>
      <c r="BY349" s="31">
        <v>4.0112202120752399E+18</v>
      </c>
      <c r="BZ349" s="31" t="s">
        <v>974</v>
      </c>
      <c r="CA349" s="31" t="s">
        <v>248</v>
      </c>
    </row>
    <row r="350" spans="1:79" x14ac:dyDescent="0.2">
      <c r="A350" s="31" t="s">
        <v>316</v>
      </c>
      <c r="B350" s="31" t="s">
        <v>325</v>
      </c>
      <c r="C350" s="31">
        <v>2020</v>
      </c>
      <c r="D350" s="31" t="s">
        <v>288</v>
      </c>
      <c r="E350" s="31">
        <v>2.0201211936791501E+17</v>
      </c>
      <c r="F350" s="31" t="s">
        <v>225</v>
      </c>
      <c r="G350" s="31" t="s">
        <v>976</v>
      </c>
      <c r="H350" s="31">
        <v>1482644</v>
      </c>
      <c r="J350" s="31" t="s">
        <v>227</v>
      </c>
      <c r="K350" s="31" t="s">
        <v>228</v>
      </c>
      <c r="L350" s="31" t="s">
        <v>341</v>
      </c>
      <c r="N350" s="31" t="s">
        <v>290</v>
      </c>
      <c r="O350" s="31" t="s">
        <v>254</v>
      </c>
      <c r="Q350" s="31" t="s">
        <v>255</v>
      </c>
      <c r="R350" s="31" t="s">
        <v>291</v>
      </c>
      <c r="T350" s="31" t="s">
        <v>292</v>
      </c>
      <c r="V350" s="31" t="s">
        <v>327</v>
      </c>
      <c r="X350" s="31" t="s">
        <v>294</v>
      </c>
      <c r="Y350" s="31" t="s">
        <v>295</v>
      </c>
      <c r="Z350" s="31">
        <v>30312</v>
      </c>
      <c r="AA350" s="31" t="s">
        <v>328</v>
      </c>
      <c r="AB350" s="31" t="s">
        <v>297</v>
      </c>
      <c r="AC350" s="31" t="s">
        <v>341</v>
      </c>
      <c r="AD350" s="31" t="s">
        <v>329</v>
      </c>
      <c r="AE350" s="31" t="s">
        <v>330</v>
      </c>
      <c r="AF350" s="31" t="s">
        <v>331</v>
      </c>
      <c r="AI350" s="32">
        <v>44062</v>
      </c>
      <c r="AJ350" s="31">
        <v>100</v>
      </c>
      <c r="AK350" s="31">
        <v>1200</v>
      </c>
      <c r="BF350" s="31" t="s">
        <v>332</v>
      </c>
      <c r="BK350" s="31" t="s">
        <v>50</v>
      </c>
      <c r="BL350" s="31" t="s">
        <v>242</v>
      </c>
      <c r="BM350" s="31" t="s">
        <v>243</v>
      </c>
      <c r="BN350" s="33">
        <v>44209.414951678242</v>
      </c>
      <c r="BR350" s="31" t="s">
        <v>257</v>
      </c>
      <c r="BS350" s="31">
        <v>4.1215202019740099E+18</v>
      </c>
      <c r="BT350" s="31" t="s">
        <v>245</v>
      </c>
      <c r="BU350" s="31" t="s">
        <v>342</v>
      </c>
      <c r="BV350" s="31">
        <v>2020</v>
      </c>
      <c r="BW350" s="31" t="s">
        <v>246</v>
      </c>
      <c r="BY350" s="31">
        <v>4.0112202120752502E+18</v>
      </c>
      <c r="BZ350" s="31" t="s">
        <v>974</v>
      </c>
      <c r="CA350" s="31" t="s">
        <v>248</v>
      </c>
    </row>
    <row r="351" spans="1:79" x14ac:dyDescent="0.2">
      <c r="A351" s="31" t="s">
        <v>316</v>
      </c>
      <c r="B351" s="31" t="s">
        <v>325</v>
      </c>
      <c r="C351" s="31">
        <v>2020</v>
      </c>
      <c r="D351" s="31" t="s">
        <v>288</v>
      </c>
      <c r="E351" s="31">
        <v>2.0201211936791501E+17</v>
      </c>
      <c r="F351" s="31" t="s">
        <v>225</v>
      </c>
      <c r="G351" s="31" t="s">
        <v>977</v>
      </c>
      <c r="H351" s="31">
        <v>1482644</v>
      </c>
      <c r="J351" s="31" t="s">
        <v>227</v>
      </c>
      <c r="K351" s="31" t="s">
        <v>228</v>
      </c>
      <c r="N351" s="31" t="s">
        <v>290</v>
      </c>
      <c r="O351" s="31" t="s">
        <v>254</v>
      </c>
      <c r="Q351" s="31" t="s">
        <v>255</v>
      </c>
      <c r="R351" s="31" t="s">
        <v>291</v>
      </c>
      <c r="T351" s="31" t="s">
        <v>292</v>
      </c>
      <c r="V351" s="31" t="s">
        <v>327</v>
      </c>
      <c r="X351" s="31" t="s">
        <v>294</v>
      </c>
      <c r="Y351" s="31" t="s">
        <v>295</v>
      </c>
      <c r="Z351" s="31">
        <v>30312</v>
      </c>
      <c r="AA351" s="31" t="s">
        <v>328</v>
      </c>
      <c r="AB351" s="31" t="s">
        <v>297</v>
      </c>
      <c r="AD351" s="31">
        <v>15</v>
      </c>
      <c r="AE351" s="31" t="s">
        <v>298</v>
      </c>
      <c r="AF351" s="31" t="s">
        <v>336</v>
      </c>
      <c r="AI351" s="32">
        <v>44063</v>
      </c>
      <c r="AJ351" s="31">
        <v>20</v>
      </c>
      <c r="AK351" s="31">
        <v>964.4</v>
      </c>
      <c r="BF351" s="31" t="s">
        <v>332</v>
      </c>
      <c r="BK351" s="31" t="s">
        <v>50</v>
      </c>
      <c r="BL351" s="31" t="s">
        <v>242</v>
      </c>
      <c r="BM351" s="31" t="s">
        <v>243</v>
      </c>
      <c r="BN351" s="33">
        <v>44209.414981504633</v>
      </c>
      <c r="BR351" s="31" t="s">
        <v>257</v>
      </c>
      <c r="BS351" s="31">
        <v>4.1215202019740099E+18</v>
      </c>
      <c r="BT351" s="31" t="s">
        <v>245</v>
      </c>
      <c r="BU351" s="31" t="s">
        <v>337</v>
      </c>
      <c r="BV351" s="31">
        <v>2020</v>
      </c>
      <c r="BW351" s="31" t="s">
        <v>246</v>
      </c>
      <c r="BY351" s="31">
        <v>4.0112202120759398E+18</v>
      </c>
      <c r="BZ351" s="31" t="s">
        <v>970</v>
      </c>
      <c r="CA351" s="31" t="s">
        <v>248</v>
      </c>
    </row>
    <row r="352" spans="1:79" x14ac:dyDescent="0.2">
      <c r="A352" s="31" t="s">
        <v>316</v>
      </c>
      <c r="B352" s="31" t="s">
        <v>325</v>
      </c>
      <c r="C352" s="31">
        <v>2020</v>
      </c>
      <c r="D352" s="31" t="s">
        <v>288</v>
      </c>
      <c r="E352" s="31">
        <v>2.0201211936791501E+17</v>
      </c>
      <c r="F352" s="31" t="s">
        <v>225</v>
      </c>
      <c r="G352" s="31" t="s">
        <v>978</v>
      </c>
      <c r="H352" s="31">
        <v>1482644</v>
      </c>
      <c r="J352" s="31" t="s">
        <v>227</v>
      </c>
      <c r="K352" s="31" t="s">
        <v>228</v>
      </c>
      <c r="N352" s="31" t="s">
        <v>290</v>
      </c>
      <c r="O352" s="31" t="s">
        <v>254</v>
      </c>
      <c r="Q352" s="31" t="s">
        <v>255</v>
      </c>
      <c r="R352" s="31" t="s">
        <v>291</v>
      </c>
      <c r="T352" s="31" t="s">
        <v>292</v>
      </c>
      <c r="V352" s="31" t="s">
        <v>327</v>
      </c>
      <c r="X352" s="31" t="s">
        <v>294</v>
      </c>
      <c r="Y352" s="31" t="s">
        <v>295</v>
      </c>
      <c r="Z352" s="31">
        <v>30312</v>
      </c>
      <c r="AA352" s="31" t="s">
        <v>328</v>
      </c>
      <c r="AB352" s="31" t="s">
        <v>297</v>
      </c>
      <c r="AD352" s="31">
        <v>15</v>
      </c>
      <c r="AE352" s="31" t="s">
        <v>298</v>
      </c>
      <c r="AF352" s="31" t="s">
        <v>336</v>
      </c>
      <c r="AI352" s="32">
        <v>44062</v>
      </c>
      <c r="AJ352" s="31">
        <v>10</v>
      </c>
      <c r="AK352" s="31">
        <v>964.4</v>
      </c>
      <c r="BF352" s="31" t="s">
        <v>332</v>
      </c>
      <c r="BK352" s="31" t="s">
        <v>50</v>
      </c>
      <c r="BL352" s="31" t="s">
        <v>242</v>
      </c>
      <c r="BM352" s="31" t="s">
        <v>243</v>
      </c>
      <c r="BN352" s="33">
        <v>44209.415098148151</v>
      </c>
      <c r="BR352" s="31" t="s">
        <v>257</v>
      </c>
      <c r="BS352" s="31">
        <v>4.1215202019740099E+18</v>
      </c>
      <c r="BT352" s="31" t="s">
        <v>245</v>
      </c>
      <c r="BU352" s="31" t="s">
        <v>337</v>
      </c>
      <c r="BV352" s="31">
        <v>2020</v>
      </c>
      <c r="BW352" s="31" t="s">
        <v>246</v>
      </c>
      <c r="BY352" s="31">
        <v>4.0112202120752502E+18</v>
      </c>
      <c r="BZ352" s="31" t="s">
        <v>979</v>
      </c>
      <c r="CA352" s="31" t="s">
        <v>248</v>
      </c>
    </row>
    <row r="353" spans="1:79" x14ac:dyDescent="0.2">
      <c r="A353" s="31" t="s">
        <v>316</v>
      </c>
      <c r="B353" s="31" t="s">
        <v>325</v>
      </c>
      <c r="C353" s="31">
        <v>2020</v>
      </c>
      <c r="D353" s="31" t="s">
        <v>288</v>
      </c>
      <c r="E353" s="31">
        <v>2.0201211936791501E+17</v>
      </c>
      <c r="F353" s="31" t="s">
        <v>225</v>
      </c>
      <c r="G353" s="31" t="s">
        <v>980</v>
      </c>
      <c r="H353" s="31">
        <v>1482644</v>
      </c>
      <c r="J353" s="31" t="s">
        <v>227</v>
      </c>
      <c r="K353" s="31" t="s">
        <v>228</v>
      </c>
      <c r="N353" s="31" t="s">
        <v>290</v>
      </c>
      <c r="O353" s="31" t="s">
        <v>254</v>
      </c>
      <c r="Q353" s="31" t="s">
        <v>255</v>
      </c>
      <c r="R353" s="31" t="s">
        <v>291</v>
      </c>
      <c r="T353" s="31" t="s">
        <v>292</v>
      </c>
      <c r="V353" s="31" t="s">
        <v>327</v>
      </c>
      <c r="X353" s="31" t="s">
        <v>294</v>
      </c>
      <c r="Y353" s="31" t="s">
        <v>295</v>
      </c>
      <c r="Z353" s="31">
        <v>30312</v>
      </c>
      <c r="AA353" s="31" t="s">
        <v>328</v>
      </c>
      <c r="AB353" s="31" t="s">
        <v>297</v>
      </c>
      <c r="AD353" s="31">
        <v>15</v>
      </c>
      <c r="AE353" s="31" t="s">
        <v>298</v>
      </c>
      <c r="AF353" s="31" t="s">
        <v>336</v>
      </c>
      <c r="AI353" s="32">
        <v>44063</v>
      </c>
      <c r="AJ353" s="31">
        <v>10</v>
      </c>
      <c r="AK353" s="31">
        <v>964.4</v>
      </c>
      <c r="BF353" s="31" t="s">
        <v>332</v>
      </c>
      <c r="BK353" s="31" t="s">
        <v>50</v>
      </c>
      <c r="BL353" s="31" t="s">
        <v>242</v>
      </c>
      <c r="BM353" s="31" t="s">
        <v>243</v>
      </c>
      <c r="BN353" s="33">
        <v>44209.415319675929</v>
      </c>
      <c r="BR353" s="31" t="s">
        <v>257</v>
      </c>
      <c r="BS353" s="31">
        <v>4.1215202019740099E+18</v>
      </c>
      <c r="BT353" s="31" t="s">
        <v>245</v>
      </c>
      <c r="BU353" s="31" t="s">
        <v>337</v>
      </c>
      <c r="BV353" s="31">
        <v>2020</v>
      </c>
      <c r="BW353" s="31" t="s">
        <v>246</v>
      </c>
      <c r="BY353" s="31">
        <v>4.01122021207582E+18</v>
      </c>
      <c r="BZ353" s="31" t="s">
        <v>968</v>
      </c>
      <c r="CA353" s="31" t="s">
        <v>248</v>
      </c>
    </row>
    <row r="354" spans="1:79" x14ac:dyDescent="0.2">
      <c r="A354" s="31" t="s">
        <v>316</v>
      </c>
      <c r="B354" s="31" t="s">
        <v>325</v>
      </c>
      <c r="C354" s="31">
        <v>2020</v>
      </c>
      <c r="D354" s="31" t="s">
        <v>288</v>
      </c>
      <c r="E354" s="31">
        <v>2.0201211936791501E+17</v>
      </c>
      <c r="F354" s="31" t="s">
        <v>225</v>
      </c>
      <c r="G354" s="31" t="s">
        <v>981</v>
      </c>
      <c r="H354" s="31">
        <v>1482644</v>
      </c>
      <c r="J354" s="31" t="s">
        <v>227</v>
      </c>
      <c r="K354" s="31" t="s">
        <v>228</v>
      </c>
      <c r="L354" s="31" t="s">
        <v>320</v>
      </c>
      <c r="N354" s="31" t="s">
        <v>290</v>
      </c>
      <c r="O354" s="31" t="s">
        <v>254</v>
      </c>
      <c r="Q354" s="31" t="s">
        <v>255</v>
      </c>
      <c r="R354" s="31" t="s">
        <v>291</v>
      </c>
      <c r="T354" s="31" t="s">
        <v>292</v>
      </c>
      <c r="V354" s="31" t="s">
        <v>327</v>
      </c>
      <c r="X354" s="31" t="s">
        <v>294</v>
      </c>
      <c r="Y354" s="31" t="s">
        <v>295</v>
      </c>
      <c r="Z354" s="31">
        <v>30312</v>
      </c>
      <c r="AA354" s="31" t="s">
        <v>328</v>
      </c>
      <c r="AB354" s="31" t="s">
        <v>297</v>
      </c>
      <c r="AC354" s="31" t="s">
        <v>320</v>
      </c>
      <c r="AD354" s="31" t="s">
        <v>329</v>
      </c>
      <c r="AE354" s="31" t="s">
        <v>330</v>
      </c>
      <c r="AF354" s="31" t="s">
        <v>331</v>
      </c>
      <c r="AI354" s="32">
        <v>44061</v>
      </c>
      <c r="AJ354" s="31">
        <v>100</v>
      </c>
      <c r="AK354" s="31">
        <v>1354</v>
      </c>
      <c r="BF354" s="31" t="s">
        <v>332</v>
      </c>
      <c r="BK354" s="31" t="s">
        <v>50</v>
      </c>
      <c r="BL354" s="31" t="s">
        <v>242</v>
      </c>
      <c r="BM354" s="31" t="s">
        <v>243</v>
      </c>
      <c r="BN354" s="33">
        <v>44209.41622097222</v>
      </c>
      <c r="BR354" s="31" t="s">
        <v>257</v>
      </c>
      <c r="BS354" s="31">
        <v>4.1215202019740099E+18</v>
      </c>
      <c r="BT354" s="31" t="s">
        <v>245</v>
      </c>
      <c r="BU354" s="31" t="s">
        <v>354</v>
      </c>
      <c r="BV354" s="31">
        <v>2020</v>
      </c>
      <c r="BW354" s="31" t="s">
        <v>246</v>
      </c>
      <c r="BY354" s="31">
        <v>4.0112202120746501E+18</v>
      </c>
      <c r="BZ354" s="31" t="s">
        <v>979</v>
      </c>
      <c r="CA354" s="31" t="s">
        <v>248</v>
      </c>
    </row>
    <row r="355" spans="1:79" x14ac:dyDescent="0.2">
      <c r="A355" s="31" t="s">
        <v>316</v>
      </c>
      <c r="B355" s="31" t="s">
        <v>325</v>
      </c>
      <c r="C355" s="31">
        <v>2020</v>
      </c>
      <c r="D355" s="31" t="s">
        <v>288</v>
      </c>
      <c r="E355" s="31">
        <v>2.0201211936791501E+17</v>
      </c>
      <c r="F355" s="31" t="s">
        <v>225</v>
      </c>
      <c r="G355" s="31" t="s">
        <v>982</v>
      </c>
      <c r="H355" s="31">
        <v>1482644</v>
      </c>
      <c r="J355" s="31" t="s">
        <v>227</v>
      </c>
      <c r="K355" s="31" t="s">
        <v>228</v>
      </c>
      <c r="N355" s="31" t="s">
        <v>290</v>
      </c>
      <c r="O355" s="31" t="s">
        <v>254</v>
      </c>
      <c r="Q355" s="31" t="s">
        <v>255</v>
      </c>
      <c r="R355" s="31" t="s">
        <v>291</v>
      </c>
      <c r="T355" s="31" t="s">
        <v>292</v>
      </c>
      <c r="V355" s="31" t="s">
        <v>327</v>
      </c>
      <c r="X355" s="31" t="s">
        <v>294</v>
      </c>
      <c r="Y355" s="31" t="s">
        <v>295</v>
      </c>
      <c r="Z355" s="31">
        <v>30312</v>
      </c>
      <c r="AA355" s="31" t="s">
        <v>328</v>
      </c>
      <c r="AB355" s="31" t="s">
        <v>297</v>
      </c>
      <c r="AD355" s="31">
        <v>15</v>
      </c>
      <c r="AE355" s="31" t="s">
        <v>298</v>
      </c>
      <c r="AF355" s="31" t="s">
        <v>336</v>
      </c>
      <c r="AI355" s="32">
        <v>44061</v>
      </c>
      <c r="AJ355" s="31">
        <v>10</v>
      </c>
      <c r="AK355" s="31">
        <v>964.4</v>
      </c>
      <c r="BF355" s="31" t="s">
        <v>332</v>
      </c>
      <c r="BK355" s="31" t="s">
        <v>50</v>
      </c>
      <c r="BL355" s="31" t="s">
        <v>242</v>
      </c>
      <c r="BM355" s="31" t="s">
        <v>243</v>
      </c>
      <c r="BN355" s="33">
        <v>44209.416310034721</v>
      </c>
      <c r="BR355" s="31" t="s">
        <v>257</v>
      </c>
      <c r="BS355" s="31">
        <v>4.1215202019740099E+18</v>
      </c>
      <c r="BT355" s="31" t="s">
        <v>245</v>
      </c>
      <c r="BU355" s="31" t="s">
        <v>337</v>
      </c>
      <c r="BV355" s="31">
        <v>2020</v>
      </c>
      <c r="BW355" s="31" t="s">
        <v>246</v>
      </c>
      <c r="BY355" s="31">
        <v>4.0112202120746501E+18</v>
      </c>
      <c r="BZ355" s="31" t="s">
        <v>979</v>
      </c>
      <c r="CA355" s="31" t="s">
        <v>248</v>
      </c>
    </row>
    <row r="356" spans="1:79" x14ac:dyDescent="0.2">
      <c r="A356" s="31" t="s">
        <v>316</v>
      </c>
      <c r="B356" s="31" t="s">
        <v>325</v>
      </c>
      <c r="C356" s="31">
        <v>2020</v>
      </c>
      <c r="D356" s="31" t="s">
        <v>288</v>
      </c>
      <c r="E356" s="31">
        <v>2.0201211936791501E+17</v>
      </c>
      <c r="F356" s="31" t="s">
        <v>225</v>
      </c>
      <c r="G356" s="31" t="s">
        <v>983</v>
      </c>
      <c r="H356" s="31">
        <v>1482644</v>
      </c>
      <c r="J356" s="31" t="s">
        <v>227</v>
      </c>
      <c r="K356" s="31" t="s">
        <v>228</v>
      </c>
      <c r="N356" s="31" t="s">
        <v>290</v>
      </c>
      <c r="O356" s="31" t="s">
        <v>254</v>
      </c>
      <c r="Q356" s="31" t="s">
        <v>255</v>
      </c>
      <c r="R356" s="31" t="s">
        <v>291</v>
      </c>
      <c r="T356" s="31" t="s">
        <v>292</v>
      </c>
      <c r="V356" s="31" t="s">
        <v>327</v>
      </c>
      <c r="X356" s="31" t="s">
        <v>294</v>
      </c>
      <c r="Y356" s="31" t="s">
        <v>295</v>
      </c>
      <c r="Z356" s="31">
        <v>30312</v>
      </c>
      <c r="AA356" s="31" t="s">
        <v>328</v>
      </c>
      <c r="AB356" s="31" t="s">
        <v>297</v>
      </c>
      <c r="AD356" s="31">
        <v>15</v>
      </c>
      <c r="AE356" s="31" t="s">
        <v>298</v>
      </c>
      <c r="AF356" s="31" t="s">
        <v>336</v>
      </c>
      <c r="AI356" s="32">
        <v>44073</v>
      </c>
      <c r="AJ356" s="31">
        <v>10</v>
      </c>
      <c r="AK356" s="31">
        <v>964.4</v>
      </c>
      <c r="BF356" s="31" t="s">
        <v>332</v>
      </c>
      <c r="BK356" s="31" t="s">
        <v>50</v>
      </c>
      <c r="BL356" s="31" t="s">
        <v>242</v>
      </c>
      <c r="BM356" s="31" t="s">
        <v>243</v>
      </c>
      <c r="BN356" s="33">
        <v>44209.419390601855</v>
      </c>
      <c r="BR356" s="31" t="s">
        <v>257</v>
      </c>
      <c r="BS356" s="31">
        <v>4.1215202019740099E+18</v>
      </c>
      <c r="BT356" s="31" t="s">
        <v>245</v>
      </c>
      <c r="BU356" s="31" t="s">
        <v>337</v>
      </c>
      <c r="BV356" s="31">
        <v>2020</v>
      </c>
      <c r="BW356" s="31" t="s">
        <v>246</v>
      </c>
      <c r="BY356" s="31">
        <v>4.01122021208017E+18</v>
      </c>
      <c r="BZ356" s="31" t="s">
        <v>984</v>
      </c>
      <c r="CA356" s="31" t="s">
        <v>248</v>
      </c>
    </row>
    <row r="357" spans="1:79" x14ac:dyDescent="0.2">
      <c r="A357" s="31" t="s">
        <v>316</v>
      </c>
      <c r="B357" s="31" t="s">
        <v>325</v>
      </c>
      <c r="C357" s="31">
        <v>2020</v>
      </c>
      <c r="D357" s="31" t="s">
        <v>288</v>
      </c>
      <c r="E357" s="31">
        <v>2.0201211936791501E+17</v>
      </c>
      <c r="F357" s="31" t="s">
        <v>225</v>
      </c>
      <c r="G357" s="31" t="s">
        <v>985</v>
      </c>
      <c r="H357" s="31">
        <v>1482644</v>
      </c>
      <c r="J357" s="31" t="s">
        <v>227</v>
      </c>
      <c r="K357" s="31" t="s">
        <v>228</v>
      </c>
      <c r="L357" s="31" t="s">
        <v>341</v>
      </c>
      <c r="N357" s="31" t="s">
        <v>290</v>
      </c>
      <c r="O357" s="31" t="s">
        <v>254</v>
      </c>
      <c r="Q357" s="31" t="s">
        <v>255</v>
      </c>
      <c r="R357" s="31" t="s">
        <v>291</v>
      </c>
      <c r="T357" s="31" t="s">
        <v>292</v>
      </c>
      <c r="V357" s="31" t="s">
        <v>327</v>
      </c>
      <c r="X357" s="31" t="s">
        <v>294</v>
      </c>
      <c r="Y357" s="31" t="s">
        <v>295</v>
      </c>
      <c r="Z357" s="31">
        <v>30312</v>
      </c>
      <c r="AA357" s="31" t="s">
        <v>328</v>
      </c>
      <c r="AB357" s="31" t="s">
        <v>297</v>
      </c>
      <c r="AC357" s="31" t="s">
        <v>341</v>
      </c>
      <c r="AD357" s="31" t="s">
        <v>329</v>
      </c>
      <c r="AE357" s="31" t="s">
        <v>330</v>
      </c>
      <c r="AF357" s="31" t="s">
        <v>331</v>
      </c>
      <c r="AI357" s="32">
        <v>44073</v>
      </c>
      <c r="AJ357" s="31">
        <v>100</v>
      </c>
      <c r="AK357" s="31">
        <v>1200</v>
      </c>
      <c r="BF357" s="31" t="s">
        <v>332</v>
      </c>
      <c r="BK357" s="31" t="s">
        <v>50</v>
      </c>
      <c r="BL357" s="31" t="s">
        <v>242</v>
      </c>
      <c r="BM357" s="31" t="s">
        <v>243</v>
      </c>
      <c r="BN357" s="33">
        <v>44209.419562662035</v>
      </c>
      <c r="BR357" s="31" t="s">
        <v>257</v>
      </c>
      <c r="BS357" s="31">
        <v>4.1215202019740099E+18</v>
      </c>
      <c r="BT357" s="31" t="s">
        <v>245</v>
      </c>
      <c r="BU357" s="31" t="s">
        <v>342</v>
      </c>
      <c r="BV357" s="31">
        <v>2020</v>
      </c>
      <c r="BW357" s="31" t="s">
        <v>246</v>
      </c>
      <c r="BY357" s="31">
        <v>4.0112202120801597E+18</v>
      </c>
      <c r="BZ357" s="31" t="s">
        <v>986</v>
      </c>
      <c r="CA357" s="31" t="s">
        <v>248</v>
      </c>
    </row>
    <row r="358" spans="1:79" x14ac:dyDescent="0.2">
      <c r="A358" s="31" t="s">
        <v>316</v>
      </c>
      <c r="B358" s="31" t="s">
        <v>325</v>
      </c>
      <c r="C358" s="31">
        <v>2020</v>
      </c>
      <c r="D358" s="31" t="s">
        <v>288</v>
      </c>
      <c r="E358" s="31">
        <v>2.0201211936791501E+17</v>
      </c>
      <c r="F358" s="31" t="s">
        <v>225</v>
      </c>
      <c r="G358" s="31" t="s">
        <v>987</v>
      </c>
      <c r="H358" s="31">
        <v>1482644</v>
      </c>
      <c r="J358" s="31" t="s">
        <v>227</v>
      </c>
      <c r="K358" s="31" t="s">
        <v>228</v>
      </c>
      <c r="N358" s="31" t="s">
        <v>290</v>
      </c>
      <c r="O358" s="31" t="s">
        <v>254</v>
      </c>
      <c r="Q358" s="31" t="s">
        <v>255</v>
      </c>
      <c r="R358" s="31" t="s">
        <v>291</v>
      </c>
      <c r="T358" s="31" t="s">
        <v>292</v>
      </c>
      <c r="V358" s="31" t="s">
        <v>327</v>
      </c>
      <c r="X358" s="31" t="s">
        <v>294</v>
      </c>
      <c r="Y358" s="31" t="s">
        <v>295</v>
      </c>
      <c r="Z358" s="31">
        <v>30312</v>
      </c>
      <c r="AA358" s="31" t="s">
        <v>328</v>
      </c>
      <c r="AB358" s="31" t="s">
        <v>297</v>
      </c>
      <c r="AD358" s="31">
        <v>15</v>
      </c>
      <c r="AE358" s="31" t="s">
        <v>298</v>
      </c>
      <c r="AF358" s="31" t="s">
        <v>336</v>
      </c>
      <c r="AI358" s="32">
        <v>44073</v>
      </c>
      <c r="AJ358" s="31">
        <v>10</v>
      </c>
      <c r="AK358" s="31">
        <v>964.4</v>
      </c>
      <c r="BF358" s="31" t="s">
        <v>332</v>
      </c>
      <c r="BK358" s="31" t="s">
        <v>50</v>
      </c>
      <c r="BL358" s="31" t="s">
        <v>242</v>
      </c>
      <c r="BM358" s="31" t="s">
        <v>243</v>
      </c>
      <c r="BN358" s="33">
        <v>44209.419637916668</v>
      </c>
      <c r="BR358" s="31" t="s">
        <v>257</v>
      </c>
      <c r="BS358" s="31">
        <v>4.1215202019740099E+18</v>
      </c>
      <c r="BT358" s="31" t="s">
        <v>245</v>
      </c>
      <c r="BU358" s="31" t="s">
        <v>337</v>
      </c>
      <c r="BV358" s="31">
        <v>2020</v>
      </c>
      <c r="BW358" s="31" t="s">
        <v>246</v>
      </c>
      <c r="BY358" s="31">
        <v>4.0112202120801597E+18</v>
      </c>
      <c r="BZ358" s="31" t="s">
        <v>986</v>
      </c>
      <c r="CA358" s="31" t="s">
        <v>248</v>
      </c>
    </row>
    <row r="359" spans="1:79" x14ac:dyDescent="0.2">
      <c r="A359" s="31" t="s">
        <v>316</v>
      </c>
      <c r="B359" s="31" t="s">
        <v>325</v>
      </c>
      <c r="C359" s="31">
        <v>2020</v>
      </c>
      <c r="D359" s="31" t="s">
        <v>288</v>
      </c>
      <c r="E359" s="31">
        <v>2.0201211936791501E+17</v>
      </c>
      <c r="F359" s="31" t="s">
        <v>225</v>
      </c>
      <c r="G359" s="31" t="s">
        <v>988</v>
      </c>
      <c r="H359" s="31">
        <v>1482644</v>
      </c>
      <c r="J359" s="31" t="s">
        <v>227</v>
      </c>
      <c r="K359" s="31" t="s">
        <v>228</v>
      </c>
      <c r="N359" s="31" t="s">
        <v>290</v>
      </c>
      <c r="O359" s="31" t="s">
        <v>254</v>
      </c>
      <c r="Q359" s="31" t="s">
        <v>255</v>
      </c>
      <c r="R359" s="31" t="s">
        <v>291</v>
      </c>
      <c r="T359" s="31" t="s">
        <v>292</v>
      </c>
      <c r="V359" s="31" t="s">
        <v>327</v>
      </c>
      <c r="X359" s="31" t="s">
        <v>294</v>
      </c>
      <c r="Y359" s="31" t="s">
        <v>295</v>
      </c>
      <c r="Z359" s="31">
        <v>30312</v>
      </c>
      <c r="AA359" s="31" t="s">
        <v>328</v>
      </c>
      <c r="AB359" s="31" t="s">
        <v>297</v>
      </c>
      <c r="AF359" s="31" t="s">
        <v>331</v>
      </c>
      <c r="AI359" s="32">
        <v>44073</v>
      </c>
      <c r="AJ359" s="31">
        <v>5</v>
      </c>
      <c r="AK359" s="31">
        <v>70</v>
      </c>
      <c r="BF359" s="31" t="s">
        <v>332</v>
      </c>
      <c r="BK359" s="31" t="s">
        <v>50</v>
      </c>
      <c r="BL359" s="31" t="s">
        <v>242</v>
      </c>
      <c r="BM359" s="31" t="s">
        <v>243</v>
      </c>
      <c r="BN359" s="33">
        <v>44209.419638043983</v>
      </c>
      <c r="BR359" s="31" t="s">
        <v>257</v>
      </c>
      <c r="BS359" s="31">
        <v>4.1215202019740099E+18</v>
      </c>
      <c r="BT359" s="31" t="s">
        <v>245</v>
      </c>
      <c r="BU359" s="31" t="s">
        <v>719</v>
      </c>
      <c r="BV359" s="31">
        <v>2020</v>
      </c>
      <c r="BW359" s="31" t="s">
        <v>246</v>
      </c>
      <c r="BY359" s="31">
        <v>4.0112202120801597E+18</v>
      </c>
      <c r="BZ359" s="31" t="s">
        <v>989</v>
      </c>
      <c r="CA359" s="31" t="s">
        <v>248</v>
      </c>
    </row>
    <row r="360" spans="1:79" x14ac:dyDescent="0.2">
      <c r="A360" s="31" t="s">
        <v>316</v>
      </c>
      <c r="B360" s="31" t="s">
        <v>325</v>
      </c>
      <c r="C360" s="31">
        <v>2020</v>
      </c>
      <c r="D360" s="31" t="s">
        <v>288</v>
      </c>
      <c r="E360" s="31">
        <v>2.0201211936791501E+17</v>
      </c>
      <c r="F360" s="31" t="s">
        <v>225</v>
      </c>
      <c r="G360" s="31" t="s">
        <v>990</v>
      </c>
      <c r="H360" s="31">
        <v>1482644</v>
      </c>
      <c r="J360" s="31" t="s">
        <v>227</v>
      </c>
      <c r="K360" s="31" t="s">
        <v>228</v>
      </c>
      <c r="L360" s="31" t="s">
        <v>341</v>
      </c>
      <c r="N360" s="31" t="s">
        <v>290</v>
      </c>
      <c r="O360" s="31" t="s">
        <v>254</v>
      </c>
      <c r="Q360" s="31" t="s">
        <v>255</v>
      </c>
      <c r="R360" s="31" t="s">
        <v>291</v>
      </c>
      <c r="T360" s="31" t="s">
        <v>292</v>
      </c>
      <c r="V360" s="31" t="s">
        <v>327</v>
      </c>
      <c r="X360" s="31" t="s">
        <v>294</v>
      </c>
      <c r="Y360" s="31" t="s">
        <v>295</v>
      </c>
      <c r="Z360" s="31">
        <v>30312</v>
      </c>
      <c r="AA360" s="31" t="s">
        <v>328</v>
      </c>
      <c r="AB360" s="31" t="s">
        <v>297</v>
      </c>
      <c r="AC360" s="31" t="s">
        <v>341</v>
      </c>
      <c r="AD360" s="31" t="s">
        <v>329</v>
      </c>
      <c r="AE360" s="31" t="s">
        <v>330</v>
      </c>
      <c r="AF360" s="31" t="s">
        <v>331</v>
      </c>
      <c r="AI360" s="32">
        <v>44073</v>
      </c>
      <c r="AJ360" s="31">
        <v>100</v>
      </c>
      <c r="AK360" s="31">
        <v>1200</v>
      </c>
      <c r="BF360" s="31" t="s">
        <v>332</v>
      </c>
      <c r="BK360" s="31" t="s">
        <v>50</v>
      </c>
      <c r="BL360" s="31" t="s">
        <v>242</v>
      </c>
      <c r="BM360" s="31" t="s">
        <v>243</v>
      </c>
      <c r="BN360" s="33">
        <v>44209.419763356484</v>
      </c>
      <c r="BR360" s="31" t="s">
        <v>257</v>
      </c>
      <c r="BS360" s="31">
        <v>4.1215202019740099E+18</v>
      </c>
      <c r="BT360" s="31" t="s">
        <v>245</v>
      </c>
      <c r="BU360" s="31" t="s">
        <v>342</v>
      </c>
      <c r="BV360" s="31">
        <v>2020</v>
      </c>
      <c r="BW360" s="31" t="s">
        <v>246</v>
      </c>
      <c r="BY360" s="31">
        <v>4.01122021208017E+18</v>
      </c>
      <c r="BZ360" s="31" t="s">
        <v>986</v>
      </c>
      <c r="CA360" s="31" t="s">
        <v>248</v>
      </c>
    </row>
    <row r="361" spans="1:79" x14ac:dyDescent="0.2">
      <c r="A361" s="31" t="s">
        <v>316</v>
      </c>
      <c r="B361" s="31" t="s">
        <v>325</v>
      </c>
      <c r="C361" s="31">
        <v>2020</v>
      </c>
      <c r="D361" s="31" t="s">
        <v>288</v>
      </c>
      <c r="E361" s="31">
        <v>2.0201211936791501E+17</v>
      </c>
      <c r="F361" s="31" t="s">
        <v>225</v>
      </c>
      <c r="G361" s="31" t="s">
        <v>991</v>
      </c>
      <c r="H361" s="31">
        <v>1482644</v>
      </c>
      <c r="J361" s="31" t="s">
        <v>227</v>
      </c>
      <c r="K361" s="31" t="s">
        <v>228</v>
      </c>
      <c r="L361" s="31" t="s">
        <v>341</v>
      </c>
      <c r="N361" s="31" t="s">
        <v>290</v>
      </c>
      <c r="O361" s="31" t="s">
        <v>254</v>
      </c>
      <c r="Q361" s="31" t="s">
        <v>255</v>
      </c>
      <c r="R361" s="31" t="s">
        <v>291</v>
      </c>
      <c r="T361" s="31" t="s">
        <v>292</v>
      </c>
      <c r="V361" s="31" t="s">
        <v>327</v>
      </c>
      <c r="X361" s="31" t="s">
        <v>294</v>
      </c>
      <c r="Y361" s="31" t="s">
        <v>295</v>
      </c>
      <c r="Z361" s="31">
        <v>30312</v>
      </c>
      <c r="AA361" s="31" t="s">
        <v>328</v>
      </c>
      <c r="AB361" s="31" t="s">
        <v>297</v>
      </c>
      <c r="AC361" s="31" t="s">
        <v>341</v>
      </c>
      <c r="AD361" s="31" t="s">
        <v>329</v>
      </c>
      <c r="AE361" s="31" t="s">
        <v>330</v>
      </c>
      <c r="AF361" s="31" t="s">
        <v>331</v>
      </c>
      <c r="AI361" s="32">
        <v>44044</v>
      </c>
      <c r="AJ361" s="31">
        <v>100</v>
      </c>
      <c r="AK361" s="31">
        <v>1200</v>
      </c>
      <c r="BF361" s="31" t="s">
        <v>332</v>
      </c>
      <c r="BK361" s="31" t="s">
        <v>50</v>
      </c>
      <c r="BL361" s="31" t="s">
        <v>242</v>
      </c>
      <c r="BM361" s="31" t="s">
        <v>243</v>
      </c>
      <c r="BN361" s="33">
        <v>44209.426863414352</v>
      </c>
      <c r="BR361" s="31" t="s">
        <v>257</v>
      </c>
      <c r="BS361" s="31">
        <v>4.1215202019740099E+18</v>
      </c>
      <c r="BT361" s="31" t="s">
        <v>245</v>
      </c>
      <c r="BU361" s="31" t="s">
        <v>342</v>
      </c>
      <c r="BV361" s="31">
        <v>2020</v>
      </c>
      <c r="BW361" s="31" t="s">
        <v>246</v>
      </c>
      <c r="BY361" s="31">
        <v>4.0112202120684201E+18</v>
      </c>
      <c r="BZ361" s="31" t="s">
        <v>992</v>
      </c>
      <c r="CA361" s="31" t="s">
        <v>248</v>
      </c>
    </row>
    <row r="362" spans="1:79" x14ac:dyDescent="0.2">
      <c r="A362" s="31" t="s">
        <v>316</v>
      </c>
      <c r="B362" s="31" t="s">
        <v>325</v>
      </c>
      <c r="C362" s="31">
        <v>2020</v>
      </c>
      <c r="D362" s="31" t="s">
        <v>288</v>
      </c>
      <c r="E362" s="31">
        <v>2.0201211936791501E+17</v>
      </c>
      <c r="F362" s="31" t="s">
        <v>225</v>
      </c>
      <c r="G362" s="31" t="s">
        <v>993</v>
      </c>
      <c r="H362" s="31">
        <v>1482644</v>
      </c>
      <c r="J362" s="31" t="s">
        <v>227</v>
      </c>
      <c r="K362" s="31" t="s">
        <v>228</v>
      </c>
      <c r="N362" s="31" t="s">
        <v>290</v>
      </c>
      <c r="O362" s="31" t="s">
        <v>254</v>
      </c>
      <c r="Q362" s="31" t="s">
        <v>255</v>
      </c>
      <c r="R362" s="31" t="s">
        <v>291</v>
      </c>
      <c r="T362" s="31" t="s">
        <v>292</v>
      </c>
      <c r="V362" s="31" t="s">
        <v>327</v>
      </c>
      <c r="X362" s="31" t="s">
        <v>294</v>
      </c>
      <c r="Y362" s="31" t="s">
        <v>295</v>
      </c>
      <c r="Z362" s="31">
        <v>30312</v>
      </c>
      <c r="AA362" s="31" t="s">
        <v>328</v>
      </c>
      <c r="AB362" s="31" t="s">
        <v>297</v>
      </c>
      <c r="AD362" s="31">
        <v>15</v>
      </c>
      <c r="AE362" s="31" t="s">
        <v>298</v>
      </c>
      <c r="AF362" s="31" t="s">
        <v>336</v>
      </c>
      <c r="AI362" s="32">
        <v>44044</v>
      </c>
      <c r="AJ362" s="31">
        <v>10</v>
      </c>
      <c r="AK362" s="31">
        <v>964.4</v>
      </c>
      <c r="BF362" s="31" t="s">
        <v>332</v>
      </c>
      <c r="BK362" s="31" t="s">
        <v>50</v>
      </c>
      <c r="BL362" s="31" t="s">
        <v>242</v>
      </c>
      <c r="BM362" s="31" t="s">
        <v>243</v>
      </c>
      <c r="BN362" s="33">
        <v>44209.426864062501</v>
      </c>
      <c r="BR362" s="31" t="s">
        <v>257</v>
      </c>
      <c r="BS362" s="31">
        <v>4.1215202019740099E+18</v>
      </c>
      <c r="BT362" s="31" t="s">
        <v>245</v>
      </c>
      <c r="BU362" s="31" t="s">
        <v>337</v>
      </c>
      <c r="BV362" s="31">
        <v>2020</v>
      </c>
      <c r="BW362" s="31" t="s">
        <v>246</v>
      </c>
      <c r="BY362" s="31">
        <v>4.0112202120684201E+18</v>
      </c>
      <c r="BZ362" s="31" t="s">
        <v>992</v>
      </c>
      <c r="CA362" s="31" t="s">
        <v>248</v>
      </c>
    </row>
    <row r="363" spans="1:79" x14ac:dyDescent="0.2">
      <c r="A363" s="31" t="s">
        <v>316</v>
      </c>
      <c r="B363" s="31" t="s">
        <v>325</v>
      </c>
      <c r="C363" s="31">
        <v>2020</v>
      </c>
      <c r="D363" s="31" t="s">
        <v>288</v>
      </c>
      <c r="E363" s="31">
        <v>2.0201211936791501E+17</v>
      </c>
      <c r="F363" s="31" t="s">
        <v>225</v>
      </c>
      <c r="G363" s="31" t="s">
        <v>994</v>
      </c>
      <c r="H363" s="31">
        <v>1482644</v>
      </c>
      <c r="J363" s="31" t="s">
        <v>227</v>
      </c>
      <c r="K363" s="31" t="s">
        <v>228</v>
      </c>
      <c r="N363" s="31" t="s">
        <v>290</v>
      </c>
      <c r="O363" s="31" t="s">
        <v>254</v>
      </c>
      <c r="Q363" s="31" t="s">
        <v>255</v>
      </c>
      <c r="R363" s="31" t="s">
        <v>291</v>
      </c>
      <c r="T363" s="31" t="s">
        <v>292</v>
      </c>
      <c r="V363" s="31" t="s">
        <v>327</v>
      </c>
      <c r="X363" s="31" t="s">
        <v>294</v>
      </c>
      <c r="Y363" s="31" t="s">
        <v>295</v>
      </c>
      <c r="Z363" s="31">
        <v>30312</v>
      </c>
      <c r="AA363" s="31" t="s">
        <v>328</v>
      </c>
      <c r="AB363" s="31" t="s">
        <v>297</v>
      </c>
      <c r="AD363" s="31">
        <v>15</v>
      </c>
      <c r="AE363" s="31" t="s">
        <v>298</v>
      </c>
      <c r="AF363" s="31" t="s">
        <v>336</v>
      </c>
      <c r="AI363" s="32">
        <v>44055</v>
      </c>
      <c r="AJ363" s="31">
        <v>20</v>
      </c>
      <c r="AK363" s="31">
        <v>964.4</v>
      </c>
      <c r="BF363" s="31" t="s">
        <v>332</v>
      </c>
      <c r="BK363" s="31" t="s">
        <v>50</v>
      </c>
      <c r="BL363" s="31" t="s">
        <v>242</v>
      </c>
      <c r="BM363" s="31" t="s">
        <v>243</v>
      </c>
      <c r="BN363" s="33">
        <v>44209.428154293979</v>
      </c>
      <c r="BR363" s="31" t="s">
        <v>257</v>
      </c>
      <c r="BS363" s="31">
        <v>4.1215202019740099E+18</v>
      </c>
      <c r="BT363" s="31" t="s">
        <v>245</v>
      </c>
      <c r="BU363" s="31" t="s">
        <v>337</v>
      </c>
      <c r="BV363" s="31">
        <v>2020</v>
      </c>
      <c r="BW363" s="31" t="s">
        <v>246</v>
      </c>
      <c r="BY363" s="31">
        <v>4.0112202120721198E+18</v>
      </c>
      <c r="BZ363" s="31" t="s">
        <v>995</v>
      </c>
      <c r="CA363" s="31" t="s">
        <v>248</v>
      </c>
    </row>
    <row r="364" spans="1:79" x14ac:dyDescent="0.2">
      <c r="A364" s="31" t="s">
        <v>316</v>
      </c>
      <c r="B364" s="31" t="s">
        <v>325</v>
      </c>
      <c r="C364" s="31">
        <v>2020</v>
      </c>
      <c r="D364" s="31" t="s">
        <v>288</v>
      </c>
      <c r="E364" s="31">
        <v>2.0201211936791501E+17</v>
      </c>
      <c r="F364" s="31" t="s">
        <v>225</v>
      </c>
      <c r="G364" s="31" t="s">
        <v>996</v>
      </c>
      <c r="H364" s="31">
        <v>1482644</v>
      </c>
      <c r="J364" s="31" t="s">
        <v>227</v>
      </c>
      <c r="K364" s="31" t="s">
        <v>228</v>
      </c>
      <c r="L364" s="31" t="s">
        <v>320</v>
      </c>
      <c r="N364" s="31" t="s">
        <v>290</v>
      </c>
      <c r="O364" s="31" t="s">
        <v>254</v>
      </c>
      <c r="Q364" s="31" t="s">
        <v>255</v>
      </c>
      <c r="R364" s="31" t="s">
        <v>291</v>
      </c>
      <c r="T364" s="31" t="s">
        <v>292</v>
      </c>
      <c r="V364" s="31" t="s">
        <v>327</v>
      </c>
      <c r="X364" s="31" t="s">
        <v>294</v>
      </c>
      <c r="Y364" s="31" t="s">
        <v>295</v>
      </c>
      <c r="Z364" s="31">
        <v>30312</v>
      </c>
      <c r="AA364" s="31" t="s">
        <v>328</v>
      </c>
      <c r="AB364" s="31" t="s">
        <v>297</v>
      </c>
      <c r="AC364" s="31" t="s">
        <v>320</v>
      </c>
      <c r="AD364" s="31" t="s">
        <v>329</v>
      </c>
      <c r="AE364" s="31" t="s">
        <v>330</v>
      </c>
      <c r="AF364" s="31" t="s">
        <v>331</v>
      </c>
      <c r="AI364" s="32">
        <v>44046</v>
      </c>
      <c r="AJ364" s="31">
        <v>100</v>
      </c>
      <c r="AK364" s="31">
        <v>1354</v>
      </c>
      <c r="BF364" s="31" t="s">
        <v>332</v>
      </c>
      <c r="BK364" s="31" t="s">
        <v>50</v>
      </c>
      <c r="BL364" s="31" t="s">
        <v>242</v>
      </c>
      <c r="BM364" s="31" t="s">
        <v>243</v>
      </c>
      <c r="BN364" s="33">
        <v>44209.428342453706</v>
      </c>
      <c r="BR364" s="31" t="s">
        <v>257</v>
      </c>
      <c r="BS364" s="31">
        <v>4.1215202019740099E+18</v>
      </c>
      <c r="BT364" s="31" t="s">
        <v>245</v>
      </c>
      <c r="BU364" s="31" t="s">
        <v>354</v>
      </c>
      <c r="BV364" s="31">
        <v>2020</v>
      </c>
      <c r="BW364" s="31" t="s">
        <v>246</v>
      </c>
      <c r="BY364" s="31">
        <v>4.0112202120689101E+18</v>
      </c>
      <c r="BZ364" s="31" t="s">
        <v>997</v>
      </c>
      <c r="CA364" s="31" t="s">
        <v>248</v>
      </c>
    </row>
    <row r="365" spans="1:79" x14ac:dyDescent="0.2">
      <c r="A365" s="31" t="s">
        <v>316</v>
      </c>
      <c r="B365" s="31" t="s">
        <v>325</v>
      </c>
      <c r="C365" s="31">
        <v>2020</v>
      </c>
      <c r="D365" s="31" t="s">
        <v>288</v>
      </c>
      <c r="E365" s="31">
        <v>2.0201211936791501E+17</v>
      </c>
      <c r="F365" s="31" t="s">
        <v>225</v>
      </c>
      <c r="G365" s="31" t="s">
        <v>998</v>
      </c>
      <c r="H365" s="31">
        <v>1482644</v>
      </c>
      <c r="J365" s="31" t="s">
        <v>227</v>
      </c>
      <c r="K365" s="31" t="s">
        <v>228</v>
      </c>
      <c r="N365" s="31" t="s">
        <v>290</v>
      </c>
      <c r="O365" s="31" t="s">
        <v>254</v>
      </c>
      <c r="Q365" s="31" t="s">
        <v>255</v>
      </c>
      <c r="R365" s="31" t="s">
        <v>291</v>
      </c>
      <c r="T365" s="31" t="s">
        <v>292</v>
      </c>
      <c r="V365" s="31" t="s">
        <v>327</v>
      </c>
      <c r="X365" s="31" t="s">
        <v>294</v>
      </c>
      <c r="Y365" s="31" t="s">
        <v>295</v>
      </c>
      <c r="Z365" s="31">
        <v>30312</v>
      </c>
      <c r="AA365" s="31" t="s">
        <v>328</v>
      </c>
      <c r="AB365" s="31" t="s">
        <v>297</v>
      </c>
      <c r="AD365" s="31">
        <v>15</v>
      </c>
      <c r="AE365" s="31" t="s">
        <v>298</v>
      </c>
      <c r="AF365" s="31" t="s">
        <v>336</v>
      </c>
      <c r="AI365" s="32">
        <v>44046</v>
      </c>
      <c r="AJ365" s="31">
        <v>10</v>
      </c>
      <c r="AK365" s="31">
        <v>964.4</v>
      </c>
      <c r="BF365" s="31" t="s">
        <v>332</v>
      </c>
      <c r="BK365" s="31" t="s">
        <v>50</v>
      </c>
      <c r="BL365" s="31" t="s">
        <v>242</v>
      </c>
      <c r="BM365" s="31" t="s">
        <v>243</v>
      </c>
      <c r="BN365" s="33">
        <v>44209.428368460649</v>
      </c>
      <c r="BR365" s="31" t="s">
        <v>257</v>
      </c>
      <c r="BS365" s="31">
        <v>4.1215202019740099E+18</v>
      </c>
      <c r="BT365" s="31" t="s">
        <v>245</v>
      </c>
      <c r="BU365" s="31" t="s">
        <v>337</v>
      </c>
      <c r="BV365" s="31">
        <v>2020</v>
      </c>
      <c r="BW365" s="31" t="s">
        <v>246</v>
      </c>
      <c r="BY365" s="31">
        <v>4.0112202120689101E+18</v>
      </c>
      <c r="BZ365" s="31" t="s">
        <v>997</v>
      </c>
      <c r="CA365" s="31" t="s">
        <v>248</v>
      </c>
    </row>
    <row r="366" spans="1:79" x14ac:dyDescent="0.2">
      <c r="A366" s="31" t="s">
        <v>316</v>
      </c>
      <c r="B366" s="31" t="s">
        <v>325</v>
      </c>
      <c r="C366" s="31">
        <v>2020</v>
      </c>
      <c r="D366" s="31" t="s">
        <v>288</v>
      </c>
      <c r="E366" s="31">
        <v>2.0201211936791501E+17</v>
      </c>
      <c r="F366" s="31" t="s">
        <v>225</v>
      </c>
      <c r="G366" s="31" t="s">
        <v>999</v>
      </c>
      <c r="H366" s="31">
        <v>1482644</v>
      </c>
      <c r="J366" s="31" t="s">
        <v>227</v>
      </c>
      <c r="K366" s="31" t="s">
        <v>228</v>
      </c>
      <c r="L366" s="31" t="s">
        <v>286</v>
      </c>
      <c r="N366" s="31" t="s">
        <v>290</v>
      </c>
      <c r="O366" s="31" t="s">
        <v>254</v>
      </c>
      <c r="Q366" s="31" t="s">
        <v>255</v>
      </c>
      <c r="R366" s="31" t="s">
        <v>291</v>
      </c>
      <c r="T366" s="31" t="s">
        <v>292</v>
      </c>
      <c r="V366" s="31" t="s">
        <v>327</v>
      </c>
      <c r="X366" s="31" t="s">
        <v>294</v>
      </c>
      <c r="Y366" s="31" t="s">
        <v>295</v>
      </c>
      <c r="Z366" s="31">
        <v>30312</v>
      </c>
      <c r="AA366" s="31" t="s">
        <v>328</v>
      </c>
      <c r="AB366" s="31" t="s">
        <v>297</v>
      </c>
      <c r="AC366" s="31" t="s">
        <v>286</v>
      </c>
      <c r="AD366" s="31" t="s">
        <v>329</v>
      </c>
      <c r="AE366" s="31" t="s">
        <v>330</v>
      </c>
      <c r="AF366" s="31" t="s">
        <v>331</v>
      </c>
      <c r="AI366" s="32">
        <v>44069</v>
      </c>
      <c r="AJ366" s="31">
        <v>25</v>
      </c>
      <c r="AK366" s="31">
        <v>450</v>
      </c>
      <c r="BF366" s="31" t="s">
        <v>332</v>
      </c>
      <c r="BK366" s="31" t="s">
        <v>50</v>
      </c>
      <c r="BL366" s="31" t="s">
        <v>242</v>
      </c>
      <c r="BM366" s="31" t="s">
        <v>243</v>
      </c>
      <c r="BN366" s="33">
        <v>44209.429337719906</v>
      </c>
      <c r="BR366" s="31" t="s">
        <v>257</v>
      </c>
      <c r="BS366" s="31">
        <v>4.1215202019740099E+18</v>
      </c>
      <c r="BT366" s="31" t="s">
        <v>245</v>
      </c>
      <c r="BU366" s="31" t="s">
        <v>333</v>
      </c>
      <c r="BV366" s="31">
        <v>2020</v>
      </c>
      <c r="BW366" s="31" t="s">
        <v>246</v>
      </c>
      <c r="BY366" s="31">
        <v>4.0112202120780201E+18</v>
      </c>
      <c r="BZ366" s="31" t="s">
        <v>1000</v>
      </c>
      <c r="CA366" s="31" t="s">
        <v>248</v>
      </c>
    </row>
    <row r="367" spans="1:79" x14ac:dyDescent="0.2">
      <c r="A367" s="31" t="s">
        <v>316</v>
      </c>
      <c r="B367" s="31" t="s">
        <v>325</v>
      </c>
      <c r="C367" s="31">
        <v>2020</v>
      </c>
      <c r="D367" s="31" t="s">
        <v>288</v>
      </c>
      <c r="E367" s="31">
        <v>2.0201211936791501E+17</v>
      </c>
      <c r="F367" s="31" t="s">
        <v>225</v>
      </c>
      <c r="G367" s="31" t="s">
        <v>1001</v>
      </c>
      <c r="H367" s="31">
        <v>1482644</v>
      </c>
      <c r="J367" s="31" t="s">
        <v>227</v>
      </c>
      <c r="K367" s="31" t="s">
        <v>228</v>
      </c>
      <c r="N367" s="31" t="s">
        <v>290</v>
      </c>
      <c r="O367" s="31" t="s">
        <v>254</v>
      </c>
      <c r="Q367" s="31" t="s">
        <v>255</v>
      </c>
      <c r="R367" s="31" t="s">
        <v>291</v>
      </c>
      <c r="T367" s="31" t="s">
        <v>292</v>
      </c>
      <c r="V367" s="31" t="s">
        <v>327</v>
      </c>
      <c r="X367" s="31" t="s">
        <v>294</v>
      </c>
      <c r="Y367" s="31" t="s">
        <v>295</v>
      </c>
      <c r="Z367" s="31">
        <v>30312</v>
      </c>
      <c r="AA367" s="31" t="s">
        <v>328</v>
      </c>
      <c r="AB367" s="31" t="s">
        <v>297</v>
      </c>
      <c r="AD367" s="31">
        <v>15</v>
      </c>
      <c r="AE367" s="31" t="s">
        <v>298</v>
      </c>
      <c r="AF367" s="31" t="s">
        <v>336</v>
      </c>
      <c r="AI367" s="32">
        <v>44057</v>
      </c>
      <c r="AJ367" s="31">
        <v>10</v>
      </c>
      <c r="AK367" s="31">
        <v>964.4</v>
      </c>
      <c r="BF367" s="31" t="s">
        <v>332</v>
      </c>
      <c r="BK367" s="31" t="s">
        <v>50</v>
      </c>
      <c r="BL367" s="31" t="s">
        <v>242</v>
      </c>
      <c r="BM367" s="31" t="s">
        <v>243</v>
      </c>
      <c r="BN367" s="33">
        <v>44209.434346458336</v>
      </c>
      <c r="BR367" s="31" t="s">
        <v>257</v>
      </c>
      <c r="BS367" s="31">
        <v>4.1215202019740099E+18</v>
      </c>
      <c r="BT367" s="31" t="s">
        <v>245</v>
      </c>
      <c r="BU367" s="31" t="s">
        <v>337</v>
      </c>
      <c r="BV367" s="31">
        <v>2020</v>
      </c>
      <c r="BW367" s="31" t="s">
        <v>246</v>
      </c>
      <c r="BY367" s="31">
        <v>4.0112202120729702E+18</v>
      </c>
      <c r="BZ367" s="31" t="s">
        <v>1002</v>
      </c>
      <c r="CA367" s="31" t="s">
        <v>248</v>
      </c>
    </row>
    <row r="368" spans="1:79" x14ac:dyDescent="0.2">
      <c r="A368" s="31" t="s">
        <v>316</v>
      </c>
      <c r="B368" s="31" t="s">
        <v>325</v>
      </c>
      <c r="C368" s="31">
        <v>2020</v>
      </c>
      <c r="D368" s="31" t="s">
        <v>288</v>
      </c>
      <c r="E368" s="31">
        <v>2.0201211936791501E+17</v>
      </c>
      <c r="F368" s="31" t="s">
        <v>225</v>
      </c>
      <c r="G368" s="31" t="s">
        <v>1003</v>
      </c>
      <c r="H368" s="31">
        <v>1482644</v>
      </c>
      <c r="J368" s="31" t="s">
        <v>227</v>
      </c>
      <c r="K368" s="31" t="s">
        <v>228</v>
      </c>
      <c r="N368" s="31" t="s">
        <v>290</v>
      </c>
      <c r="O368" s="31" t="s">
        <v>254</v>
      </c>
      <c r="Q368" s="31" t="s">
        <v>255</v>
      </c>
      <c r="R368" s="31" t="s">
        <v>291</v>
      </c>
      <c r="T368" s="31" t="s">
        <v>292</v>
      </c>
      <c r="V368" s="31" t="s">
        <v>327</v>
      </c>
      <c r="X368" s="31" t="s">
        <v>294</v>
      </c>
      <c r="Y368" s="31" t="s">
        <v>295</v>
      </c>
      <c r="Z368" s="31">
        <v>30312</v>
      </c>
      <c r="AA368" s="31" t="s">
        <v>328</v>
      </c>
      <c r="AB368" s="31" t="s">
        <v>297</v>
      </c>
      <c r="AD368" s="31">
        <v>15</v>
      </c>
      <c r="AE368" s="31" t="s">
        <v>298</v>
      </c>
      <c r="AF368" s="31" t="s">
        <v>336</v>
      </c>
      <c r="AI368" s="32">
        <v>44057</v>
      </c>
      <c r="AJ368" s="31">
        <v>1.5</v>
      </c>
      <c r="AK368" s="31">
        <v>964.4</v>
      </c>
      <c r="BF368" s="31" t="s">
        <v>332</v>
      </c>
      <c r="BK368" s="31" t="s">
        <v>50</v>
      </c>
      <c r="BL368" s="31" t="s">
        <v>242</v>
      </c>
      <c r="BM368" s="31" t="s">
        <v>243</v>
      </c>
      <c r="BN368" s="33">
        <v>44209.434346550923</v>
      </c>
      <c r="BR368" s="31" t="s">
        <v>257</v>
      </c>
      <c r="BS368" s="31">
        <v>4.1215202019740099E+18</v>
      </c>
      <c r="BT368" s="31" t="s">
        <v>245</v>
      </c>
      <c r="BU368" s="31" t="s">
        <v>337</v>
      </c>
      <c r="BV368" s="31">
        <v>2020</v>
      </c>
      <c r="BW368" s="31" t="s">
        <v>246</v>
      </c>
      <c r="BY368" s="31">
        <v>4.0112202120729702E+18</v>
      </c>
      <c r="BZ368" s="31" t="s">
        <v>1002</v>
      </c>
      <c r="CA368" s="31" t="s">
        <v>248</v>
      </c>
    </row>
    <row r="369" spans="1:79" x14ac:dyDescent="0.2">
      <c r="A369" s="31" t="s">
        <v>316</v>
      </c>
      <c r="B369" s="31" t="s">
        <v>325</v>
      </c>
      <c r="C369" s="31">
        <v>2020</v>
      </c>
      <c r="D369" s="31" t="s">
        <v>288</v>
      </c>
      <c r="E369" s="31">
        <v>2.0201211936791501E+17</v>
      </c>
      <c r="F369" s="31" t="s">
        <v>225</v>
      </c>
      <c r="G369" s="31" t="s">
        <v>1004</v>
      </c>
      <c r="H369" s="31">
        <v>1482644</v>
      </c>
      <c r="J369" s="31" t="s">
        <v>227</v>
      </c>
      <c r="K369" s="31" t="s">
        <v>228</v>
      </c>
      <c r="L369" s="31" t="s">
        <v>341</v>
      </c>
      <c r="N369" s="31" t="s">
        <v>290</v>
      </c>
      <c r="O369" s="31" t="s">
        <v>254</v>
      </c>
      <c r="Q369" s="31" t="s">
        <v>255</v>
      </c>
      <c r="R369" s="31" t="s">
        <v>291</v>
      </c>
      <c r="T369" s="31" t="s">
        <v>292</v>
      </c>
      <c r="V369" s="31" t="s">
        <v>327</v>
      </c>
      <c r="X369" s="31" t="s">
        <v>294</v>
      </c>
      <c r="Y369" s="31" t="s">
        <v>295</v>
      </c>
      <c r="Z369" s="31">
        <v>30312</v>
      </c>
      <c r="AA369" s="31" t="s">
        <v>328</v>
      </c>
      <c r="AB369" s="31" t="s">
        <v>297</v>
      </c>
      <c r="AC369" s="31" t="s">
        <v>341</v>
      </c>
      <c r="AD369" s="31" t="s">
        <v>329</v>
      </c>
      <c r="AE369" s="31" t="s">
        <v>330</v>
      </c>
      <c r="AF369" s="31" t="s">
        <v>331</v>
      </c>
      <c r="AI369" s="32">
        <v>44057</v>
      </c>
      <c r="AJ369" s="31">
        <v>100</v>
      </c>
      <c r="AK369" s="31">
        <v>1200</v>
      </c>
      <c r="BF369" s="31" t="s">
        <v>332</v>
      </c>
      <c r="BK369" s="31" t="s">
        <v>50</v>
      </c>
      <c r="BL369" s="31" t="s">
        <v>242</v>
      </c>
      <c r="BM369" s="31" t="s">
        <v>243</v>
      </c>
      <c r="BN369" s="33">
        <v>44209.434423634259</v>
      </c>
      <c r="BR369" s="31" t="s">
        <v>257</v>
      </c>
      <c r="BS369" s="31">
        <v>4.1215202019740099E+18</v>
      </c>
      <c r="BT369" s="31" t="s">
        <v>245</v>
      </c>
      <c r="BU369" s="31" t="s">
        <v>342</v>
      </c>
      <c r="BV369" s="31">
        <v>2020</v>
      </c>
      <c r="BW369" s="31" t="s">
        <v>246</v>
      </c>
      <c r="BY369" s="31">
        <v>4.01122021207298E+18</v>
      </c>
      <c r="BZ369" s="31" t="s">
        <v>1005</v>
      </c>
      <c r="CA369" s="31" t="s">
        <v>248</v>
      </c>
    </row>
    <row r="370" spans="1:79" x14ac:dyDescent="0.2">
      <c r="A370" s="31" t="s">
        <v>316</v>
      </c>
      <c r="B370" s="31" t="s">
        <v>325</v>
      </c>
      <c r="C370" s="31">
        <v>2020</v>
      </c>
      <c r="D370" s="31" t="s">
        <v>288</v>
      </c>
      <c r="E370" s="31">
        <v>2.0201211936791501E+17</v>
      </c>
      <c r="F370" s="31" t="s">
        <v>225</v>
      </c>
      <c r="G370" s="31" t="s">
        <v>1006</v>
      </c>
      <c r="H370" s="31">
        <v>1482644</v>
      </c>
      <c r="J370" s="31" t="s">
        <v>227</v>
      </c>
      <c r="K370" s="31" t="s">
        <v>228</v>
      </c>
      <c r="N370" s="31" t="s">
        <v>290</v>
      </c>
      <c r="O370" s="31" t="s">
        <v>254</v>
      </c>
      <c r="Q370" s="31" t="s">
        <v>255</v>
      </c>
      <c r="R370" s="31" t="s">
        <v>291</v>
      </c>
      <c r="T370" s="31" t="s">
        <v>292</v>
      </c>
      <c r="V370" s="31" t="s">
        <v>327</v>
      </c>
      <c r="X370" s="31" t="s">
        <v>294</v>
      </c>
      <c r="Y370" s="31" t="s">
        <v>295</v>
      </c>
      <c r="Z370" s="31">
        <v>30312</v>
      </c>
      <c r="AA370" s="31" t="s">
        <v>328</v>
      </c>
      <c r="AB370" s="31" t="s">
        <v>297</v>
      </c>
      <c r="AD370" s="31">
        <v>15</v>
      </c>
      <c r="AE370" s="31" t="s">
        <v>298</v>
      </c>
      <c r="AF370" s="31" t="s">
        <v>336</v>
      </c>
      <c r="AI370" s="32">
        <v>44057</v>
      </c>
      <c r="AJ370" s="31">
        <v>10</v>
      </c>
      <c r="AK370" s="31">
        <v>964.4</v>
      </c>
      <c r="BF370" s="31" t="s">
        <v>332</v>
      </c>
      <c r="BK370" s="31" t="s">
        <v>50</v>
      </c>
      <c r="BL370" s="31" t="s">
        <v>242</v>
      </c>
      <c r="BM370" s="31" t="s">
        <v>243</v>
      </c>
      <c r="BN370" s="33">
        <v>44209.434454363429</v>
      </c>
      <c r="BR370" s="31" t="s">
        <v>257</v>
      </c>
      <c r="BS370" s="31">
        <v>4.1215202019740099E+18</v>
      </c>
      <c r="BT370" s="31" t="s">
        <v>245</v>
      </c>
      <c r="BU370" s="31" t="s">
        <v>337</v>
      </c>
      <c r="BV370" s="31">
        <v>2020</v>
      </c>
      <c r="BW370" s="31" t="s">
        <v>246</v>
      </c>
      <c r="BY370" s="31">
        <v>4.01122021207298E+18</v>
      </c>
      <c r="BZ370" s="31" t="s">
        <v>1002</v>
      </c>
      <c r="CA370" s="31" t="s">
        <v>248</v>
      </c>
    </row>
    <row r="371" spans="1:79" x14ac:dyDescent="0.2">
      <c r="A371" s="31" t="s">
        <v>316</v>
      </c>
      <c r="B371" s="31" t="s">
        <v>325</v>
      </c>
      <c r="C371" s="31">
        <v>2020</v>
      </c>
      <c r="D371" s="31" t="s">
        <v>288</v>
      </c>
      <c r="E371" s="31">
        <v>2.0201211936791501E+17</v>
      </c>
      <c r="F371" s="31" t="s">
        <v>225</v>
      </c>
      <c r="G371" s="31" t="s">
        <v>1007</v>
      </c>
      <c r="H371" s="31">
        <v>1482644</v>
      </c>
      <c r="J371" s="31" t="s">
        <v>227</v>
      </c>
      <c r="K371" s="31" t="s">
        <v>228</v>
      </c>
      <c r="L371" s="31" t="s">
        <v>286</v>
      </c>
      <c r="N371" s="31" t="s">
        <v>290</v>
      </c>
      <c r="O371" s="31" t="s">
        <v>254</v>
      </c>
      <c r="Q371" s="31" t="s">
        <v>255</v>
      </c>
      <c r="R371" s="31" t="s">
        <v>291</v>
      </c>
      <c r="T371" s="31" t="s">
        <v>292</v>
      </c>
      <c r="V371" s="31" t="s">
        <v>327</v>
      </c>
      <c r="X371" s="31" t="s">
        <v>294</v>
      </c>
      <c r="Y371" s="31" t="s">
        <v>295</v>
      </c>
      <c r="Z371" s="31">
        <v>30312</v>
      </c>
      <c r="AA371" s="31" t="s">
        <v>328</v>
      </c>
      <c r="AB371" s="31" t="s">
        <v>297</v>
      </c>
      <c r="AC371" s="31" t="s">
        <v>286</v>
      </c>
      <c r="AD371" s="31" t="s">
        <v>329</v>
      </c>
      <c r="AE371" s="31" t="s">
        <v>330</v>
      </c>
      <c r="AF371" s="31" t="s">
        <v>331</v>
      </c>
      <c r="AI371" s="32">
        <v>44051</v>
      </c>
      <c r="AJ371" s="31">
        <v>100</v>
      </c>
      <c r="AK371" s="31">
        <v>450</v>
      </c>
      <c r="BF371" s="31" t="s">
        <v>332</v>
      </c>
      <c r="BK371" s="31" t="s">
        <v>50</v>
      </c>
      <c r="BL371" s="31" t="s">
        <v>242</v>
      </c>
      <c r="BM371" s="31" t="s">
        <v>243</v>
      </c>
      <c r="BN371" s="33">
        <v>44209.443106828701</v>
      </c>
      <c r="BR371" s="31" t="s">
        <v>257</v>
      </c>
      <c r="BS371" s="31">
        <v>4.1215202019740099E+18</v>
      </c>
      <c r="BT371" s="31" t="s">
        <v>245</v>
      </c>
      <c r="BU371" s="31" t="s">
        <v>333</v>
      </c>
      <c r="BV371" s="31">
        <v>2020</v>
      </c>
      <c r="BW371" s="31" t="s">
        <v>246</v>
      </c>
      <c r="BY371" s="31">
        <v>4.0112202120701199E+18</v>
      </c>
      <c r="BZ371" s="31" t="s">
        <v>1008</v>
      </c>
      <c r="CA371" s="31" t="s">
        <v>248</v>
      </c>
    </row>
    <row r="372" spans="1:79" x14ac:dyDescent="0.2">
      <c r="A372" s="31" t="s">
        <v>316</v>
      </c>
      <c r="B372" s="31" t="s">
        <v>325</v>
      </c>
      <c r="C372" s="31">
        <v>2020</v>
      </c>
      <c r="D372" s="31" t="s">
        <v>288</v>
      </c>
      <c r="E372" s="31">
        <v>2.0201211936791501E+17</v>
      </c>
      <c r="F372" s="31" t="s">
        <v>225</v>
      </c>
      <c r="G372" s="31" t="s">
        <v>1009</v>
      </c>
      <c r="H372" s="31">
        <v>1482644</v>
      </c>
      <c r="J372" s="31" t="s">
        <v>227</v>
      </c>
      <c r="K372" s="31" t="s">
        <v>228</v>
      </c>
      <c r="N372" s="31" t="s">
        <v>290</v>
      </c>
      <c r="O372" s="31" t="s">
        <v>254</v>
      </c>
      <c r="Q372" s="31" t="s">
        <v>255</v>
      </c>
      <c r="R372" s="31" t="s">
        <v>291</v>
      </c>
      <c r="T372" s="31" t="s">
        <v>292</v>
      </c>
      <c r="V372" s="31" t="s">
        <v>327</v>
      </c>
      <c r="X372" s="31" t="s">
        <v>294</v>
      </c>
      <c r="Y372" s="31" t="s">
        <v>295</v>
      </c>
      <c r="Z372" s="31">
        <v>30312</v>
      </c>
      <c r="AA372" s="31" t="s">
        <v>328</v>
      </c>
      <c r="AB372" s="31" t="s">
        <v>297</v>
      </c>
      <c r="AD372" s="31">
        <v>15</v>
      </c>
      <c r="AE372" s="31" t="s">
        <v>298</v>
      </c>
      <c r="AF372" s="31" t="s">
        <v>336</v>
      </c>
      <c r="AI372" s="32">
        <v>44051</v>
      </c>
      <c r="AJ372" s="31">
        <v>10</v>
      </c>
      <c r="AK372" s="31">
        <v>964.4</v>
      </c>
      <c r="BF372" s="31" t="s">
        <v>332</v>
      </c>
      <c r="BK372" s="31" t="s">
        <v>50</v>
      </c>
      <c r="BL372" s="31" t="s">
        <v>242</v>
      </c>
      <c r="BM372" s="31" t="s">
        <v>243</v>
      </c>
      <c r="BN372" s="33">
        <v>44209.443107500003</v>
      </c>
      <c r="BR372" s="31" t="s">
        <v>257</v>
      </c>
      <c r="BS372" s="31">
        <v>4.1215202019740099E+18</v>
      </c>
      <c r="BT372" s="31" t="s">
        <v>245</v>
      </c>
      <c r="BU372" s="31" t="s">
        <v>337</v>
      </c>
      <c r="BV372" s="31">
        <v>2020</v>
      </c>
      <c r="BW372" s="31" t="s">
        <v>246</v>
      </c>
      <c r="BY372" s="31">
        <v>4.0112202120701199E+18</v>
      </c>
      <c r="BZ372" s="31" t="s">
        <v>1010</v>
      </c>
      <c r="CA372" s="31" t="s">
        <v>248</v>
      </c>
    </row>
    <row r="373" spans="1:79" x14ac:dyDescent="0.2">
      <c r="A373" s="31" t="s">
        <v>316</v>
      </c>
      <c r="B373" s="31" t="s">
        <v>325</v>
      </c>
      <c r="C373" s="31">
        <v>2020</v>
      </c>
      <c r="D373" s="31" t="s">
        <v>288</v>
      </c>
      <c r="E373" s="31">
        <v>2.0201211936791501E+17</v>
      </c>
      <c r="F373" s="31" t="s">
        <v>225</v>
      </c>
      <c r="G373" s="31" t="s">
        <v>1011</v>
      </c>
      <c r="H373" s="31">
        <v>1482644</v>
      </c>
      <c r="J373" s="31" t="s">
        <v>227</v>
      </c>
      <c r="K373" s="31" t="s">
        <v>228</v>
      </c>
      <c r="L373" s="31" t="s">
        <v>341</v>
      </c>
      <c r="N373" s="31" t="s">
        <v>290</v>
      </c>
      <c r="O373" s="31" t="s">
        <v>254</v>
      </c>
      <c r="Q373" s="31" t="s">
        <v>255</v>
      </c>
      <c r="R373" s="31" t="s">
        <v>291</v>
      </c>
      <c r="T373" s="31" t="s">
        <v>292</v>
      </c>
      <c r="V373" s="31" t="s">
        <v>327</v>
      </c>
      <c r="X373" s="31" t="s">
        <v>294</v>
      </c>
      <c r="Y373" s="31" t="s">
        <v>295</v>
      </c>
      <c r="Z373" s="31">
        <v>30312</v>
      </c>
      <c r="AA373" s="31" t="s">
        <v>328</v>
      </c>
      <c r="AB373" s="31" t="s">
        <v>297</v>
      </c>
      <c r="AC373" s="31" t="s">
        <v>341</v>
      </c>
      <c r="AD373" s="31" t="s">
        <v>329</v>
      </c>
      <c r="AE373" s="31" t="s">
        <v>330</v>
      </c>
      <c r="AF373" s="31" t="s">
        <v>331</v>
      </c>
      <c r="AI373" s="32">
        <v>44070</v>
      </c>
      <c r="AJ373" s="31">
        <v>100</v>
      </c>
      <c r="AK373" s="31">
        <v>1200</v>
      </c>
      <c r="BF373" s="31" t="s">
        <v>332</v>
      </c>
      <c r="BK373" s="31" t="s">
        <v>50</v>
      </c>
      <c r="BL373" s="31" t="s">
        <v>242</v>
      </c>
      <c r="BM373" s="31" t="s">
        <v>243</v>
      </c>
      <c r="BN373" s="33">
        <v>44209.443561064814</v>
      </c>
      <c r="BR373" s="31" t="s">
        <v>257</v>
      </c>
      <c r="BS373" s="31">
        <v>4.1215202019740099E+18</v>
      </c>
      <c r="BT373" s="31" t="s">
        <v>245</v>
      </c>
      <c r="BU373" s="31" t="s">
        <v>342</v>
      </c>
      <c r="BV373" s="31">
        <v>2020</v>
      </c>
      <c r="BW373" s="31" t="s">
        <v>246</v>
      </c>
      <c r="BY373" s="31">
        <v>4.0112202120786898E+18</v>
      </c>
      <c r="BZ373" s="31" t="s">
        <v>1012</v>
      </c>
      <c r="CA373" s="31" t="s">
        <v>248</v>
      </c>
    </row>
    <row r="374" spans="1:79" x14ac:dyDescent="0.2">
      <c r="A374" s="31" t="s">
        <v>316</v>
      </c>
      <c r="B374" s="31" t="s">
        <v>325</v>
      </c>
      <c r="C374" s="31">
        <v>2020</v>
      </c>
      <c r="D374" s="31" t="s">
        <v>288</v>
      </c>
      <c r="E374" s="31">
        <v>2.0201211936791501E+17</v>
      </c>
      <c r="F374" s="31" t="s">
        <v>225</v>
      </c>
      <c r="G374" s="31" t="s">
        <v>1013</v>
      </c>
      <c r="H374" s="31">
        <v>1482644</v>
      </c>
      <c r="J374" s="31" t="s">
        <v>227</v>
      </c>
      <c r="K374" s="31" t="s">
        <v>228</v>
      </c>
      <c r="N374" s="31" t="s">
        <v>290</v>
      </c>
      <c r="O374" s="31" t="s">
        <v>254</v>
      </c>
      <c r="Q374" s="31" t="s">
        <v>255</v>
      </c>
      <c r="R374" s="31" t="s">
        <v>291</v>
      </c>
      <c r="T374" s="31" t="s">
        <v>292</v>
      </c>
      <c r="V374" s="31" t="s">
        <v>327</v>
      </c>
      <c r="X374" s="31" t="s">
        <v>294</v>
      </c>
      <c r="Y374" s="31" t="s">
        <v>295</v>
      </c>
      <c r="Z374" s="31">
        <v>30312</v>
      </c>
      <c r="AA374" s="31" t="s">
        <v>328</v>
      </c>
      <c r="AB374" s="31" t="s">
        <v>297</v>
      </c>
      <c r="AD374" s="31">
        <v>15</v>
      </c>
      <c r="AE374" s="31" t="s">
        <v>298</v>
      </c>
      <c r="AF374" s="31" t="s">
        <v>336</v>
      </c>
      <c r="AI374" s="32">
        <v>44070</v>
      </c>
      <c r="AJ374" s="31">
        <v>10</v>
      </c>
      <c r="AK374" s="31">
        <v>964.4</v>
      </c>
      <c r="BF374" s="31" t="s">
        <v>332</v>
      </c>
      <c r="BK374" s="31" t="s">
        <v>50</v>
      </c>
      <c r="BL374" s="31" t="s">
        <v>242</v>
      </c>
      <c r="BM374" s="31" t="s">
        <v>243</v>
      </c>
      <c r="BN374" s="33">
        <v>44209.44366986111</v>
      </c>
      <c r="BR374" s="31" t="s">
        <v>257</v>
      </c>
      <c r="BS374" s="31">
        <v>4.1215202019740099E+18</v>
      </c>
      <c r="BT374" s="31" t="s">
        <v>245</v>
      </c>
      <c r="BU374" s="31" t="s">
        <v>337</v>
      </c>
      <c r="BV374" s="31">
        <v>2020</v>
      </c>
      <c r="BW374" s="31" t="s">
        <v>246</v>
      </c>
      <c r="BY374" s="31">
        <v>4.0112202120786898E+18</v>
      </c>
      <c r="BZ374" s="31" t="s">
        <v>1012</v>
      </c>
      <c r="CA374" s="31" t="s">
        <v>248</v>
      </c>
    </row>
    <row r="375" spans="1:79" x14ac:dyDescent="0.2">
      <c r="A375" s="31" t="s">
        <v>316</v>
      </c>
      <c r="B375" s="31" t="s">
        <v>325</v>
      </c>
      <c r="C375" s="31">
        <v>2020</v>
      </c>
      <c r="D375" s="31" t="s">
        <v>288</v>
      </c>
      <c r="E375" s="31">
        <v>2.0201211936791501E+17</v>
      </c>
      <c r="F375" s="31" t="s">
        <v>225</v>
      </c>
      <c r="G375" s="31" t="s">
        <v>1014</v>
      </c>
      <c r="H375" s="31">
        <v>1482644</v>
      </c>
      <c r="J375" s="31" t="s">
        <v>227</v>
      </c>
      <c r="K375" s="31" t="s">
        <v>228</v>
      </c>
      <c r="L375" s="31" t="s">
        <v>404</v>
      </c>
      <c r="N375" s="31" t="s">
        <v>290</v>
      </c>
      <c r="O375" s="31" t="s">
        <v>254</v>
      </c>
      <c r="Q375" s="31" t="s">
        <v>255</v>
      </c>
      <c r="R375" s="31" t="s">
        <v>291</v>
      </c>
      <c r="T375" s="31" t="s">
        <v>292</v>
      </c>
      <c r="V375" s="31" t="s">
        <v>327</v>
      </c>
      <c r="X375" s="31" t="s">
        <v>294</v>
      </c>
      <c r="Y375" s="31" t="s">
        <v>295</v>
      </c>
      <c r="Z375" s="31">
        <v>30312</v>
      </c>
      <c r="AA375" s="31" t="s">
        <v>328</v>
      </c>
      <c r="AB375" s="31" t="s">
        <v>297</v>
      </c>
      <c r="AC375" s="31" t="s">
        <v>404</v>
      </c>
      <c r="AD375" s="31" t="s">
        <v>329</v>
      </c>
      <c r="AE375" s="31" t="s">
        <v>330</v>
      </c>
      <c r="AF375" s="31" t="s">
        <v>331</v>
      </c>
      <c r="AI375" s="32">
        <v>44048</v>
      </c>
      <c r="AJ375" s="31">
        <v>5</v>
      </c>
      <c r="AK375" s="31">
        <v>2620</v>
      </c>
      <c r="AL375" s="31" t="s">
        <v>405</v>
      </c>
      <c r="BF375" s="31" t="s">
        <v>332</v>
      </c>
      <c r="BK375" s="31" t="s">
        <v>50</v>
      </c>
      <c r="BL375" s="31" t="s">
        <v>242</v>
      </c>
      <c r="BM375" s="31" t="s">
        <v>243</v>
      </c>
      <c r="BN375" s="33">
        <v>44209.443760462964</v>
      </c>
      <c r="BR375" s="31" t="s">
        <v>257</v>
      </c>
      <c r="BS375" s="31">
        <v>4.1215202019740099E+18</v>
      </c>
      <c r="BT375" s="31" t="s">
        <v>245</v>
      </c>
      <c r="BU375" s="31" t="s">
        <v>385</v>
      </c>
      <c r="BV375" s="31">
        <v>2020</v>
      </c>
      <c r="BW375" s="31" t="s">
        <v>246</v>
      </c>
      <c r="BY375" s="31">
        <v>4.01122021206925E+18</v>
      </c>
      <c r="BZ375" s="31" t="s">
        <v>1010</v>
      </c>
      <c r="CA375" s="31" t="s">
        <v>248</v>
      </c>
    </row>
    <row r="376" spans="1:79" x14ac:dyDescent="0.2">
      <c r="A376" s="31" t="s">
        <v>316</v>
      </c>
      <c r="B376" s="31" t="s">
        <v>325</v>
      </c>
      <c r="C376" s="31">
        <v>2020</v>
      </c>
      <c r="D376" s="31" t="s">
        <v>288</v>
      </c>
      <c r="E376" s="31">
        <v>2.0201211936791501E+17</v>
      </c>
      <c r="F376" s="31" t="s">
        <v>225</v>
      </c>
      <c r="G376" s="31" t="s">
        <v>1015</v>
      </c>
      <c r="H376" s="31">
        <v>1482644</v>
      </c>
      <c r="J376" s="31" t="s">
        <v>227</v>
      </c>
      <c r="K376" s="31" t="s">
        <v>228</v>
      </c>
      <c r="L376" s="31" t="s">
        <v>341</v>
      </c>
      <c r="N376" s="31" t="s">
        <v>290</v>
      </c>
      <c r="O376" s="31" t="s">
        <v>254</v>
      </c>
      <c r="Q376" s="31" t="s">
        <v>255</v>
      </c>
      <c r="R376" s="31" t="s">
        <v>291</v>
      </c>
      <c r="T376" s="31" t="s">
        <v>292</v>
      </c>
      <c r="V376" s="31" t="s">
        <v>327</v>
      </c>
      <c r="X376" s="31" t="s">
        <v>294</v>
      </c>
      <c r="Y376" s="31" t="s">
        <v>295</v>
      </c>
      <c r="Z376" s="31">
        <v>30312</v>
      </c>
      <c r="AA376" s="31" t="s">
        <v>328</v>
      </c>
      <c r="AB376" s="31" t="s">
        <v>297</v>
      </c>
      <c r="AC376" s="31" t="s">
        <v>341</v>
      </c>
      <c r="AD376" s="31" t="s">
        <v>329</v>
      </c>
      <c r="AE376" s="31" t="s">
        <v>330</v>
      </c>
      <c r="AF376" s="31" t="s">
        <v>331</v>
      </c>
      <c r="AI376" s="32">
        <v>44057</v>
      </c>
      <c r="AJ376" s="31">
        <v>100</v>
      </c>
      <c r="AK376" s="31">
        <v>1200</v>
      </c>
      <c r="BF376" s="31" t="s">
        <v>332</v>
      </c>
      <c r="BK376" s="31" t="s">
        <v>50</v>
      </c>
      <c r="BL376" s="31" t="s">
        <v>242</v>
      </c>
      <c r="BM376" s="31" t="s">
        <v>243</v>
      </c>
      <c r="BN376" s="33">
        <v>44209.444993101853</v>
      </c>
      <c r="BR376" s="31" t="s">
        <v>257</v>
      </c>
      <c r="BS376" s="31">
        <v>4.1215202019740099E+18</v>
      </c>
      <c r="BT376" s="31" t="s">
        <v>245</v>
      </c>
      <c r="BU376" s="31" t="s">
        <v>342</v>
      </c>
      <c r="BV376" s="31">
        <v>2020</v>
      </c>
      <c r="BW376" s="31" t="s">
        <v>246</v>
      </c>
      <c r="BY376" s="31">
        <v>4.0112202120729902E+18</v>
      </c>
      <c r="BZ376" s="31" t="s">
        <v>1005</v>
      </c>
      <c r="CA376" s="31" t="s">
        <v>248</v>
      </c>
    </row>
    <row r="377" spans="1:79" x14ac:dyDescent="0.2">
      <c r="A377" s="31" t="s">
        <v>316</v>
      </c>
      <c r="B377" s="31" t="s">
        <v>325</v>
      </c>
      <c r="C377" s="31">
        <v>2020</v>
      </c>
      <c r="D377" s="31" t="s">
        <v>288</v>
      </c>
      <c r="E377" s="31">
        <v>2.0201211936791501E+17</v>
      </c>
      <c r="F377" s="31" t="s">
        <v>225</v>
      </c>
      <c r="G377" s="31" t="s">
        <v>1016</v>
      </c>
      <c r="H377" s="31">
        <v>1482644</v>
      </c>
      <c r="J377" s="31" t="s">
        <v>227</v>
      </c>
      <c r="K377" s="31" t="s">
        <v>228</v>
      </c>
      <c r="N377" s="31" t="s">
        <v>290</v>
      </c>
      <c r="O377" s="31" t="s">
        <v>254</v>
      </c>
      <c r="Q377" s="31" t="s">
        <v>255</v>
      </c>
      <c r="R377" s="31" t="s">
        <v>291</v>
      </c>
      <c r="T377" s="31" t="s">
        <v>292</v>
      </c>
      <c r="V377" s="31" t="s">
        <v>327</v>
      </c>
      <c r="X377" s="31" t="s">
        <v>294</v>
      </c>
      <c r="Y377" s="31" t="s">
        <v>295</v>
      </c>
      <c r="Z377" s="31">
        <v>30312</v>
      </c>
      <c r="AA377" s="31" t="s">
        <v>328</v>
      </c>
      <c r="AB377" s="31" t="s">
        <v>297</v>
      </c>
      <c r="AF377" s="31" t="s">
        <v>331</v>
      </c>
      <c r="AI377" s="32">
        <v>44057</v>
      </c>
      <c r="AJ377" s="31">
        <v>15</v>
      </c>
      <c r="AK377" s="31">
        <v>70</v>
      </c>
      <c r="BF377" s="31" t="s">
        <v>332</v>
      </c>
      <c r="BK377" s="31" t="s">
        <v>50</v>
      </c>
      <c r="BL377" s="31" t="s">
        <v>242</v>
      </c>
      <c r="BM377" s="31" t="s">
        <v>243</v>
      </c>
      <c r="BN377" s="33">
        <v>44209.444993182871</v>
      </c>
      <c r="BR377" s="31" t="s">
        <v>257</v>
      </c>
      <c r="BS377" s="31">
        <v>4.1215202019740099E+18</v>
      </c>
      <c r="BT377" s="31" t="s">
        <v>245</v>
      </c>
      <c r="BU377" s="31" t="s">
        <v>719</v>
      </c>
      <c r="BV377" s="31">
        <v>2020</v>
      </c>
      <c r="BW377" s="31" t="s">
        <v>246</v>
      </c>
      <c r="BY377" s="31">
        <v>4.0112202120729902E+18</v>
      </c>
      <c r="BZ377" s="31" t="s">
        <v>995</v>
      </c>
      <c r="CA377" s="31" t="s">
        <v>248</v>
      </c>
    </row>
    <row r="378" spans="1:79" x14ac:dyDescent="0.2">
      <c r="A378" s="31" t="s">
        <v>316</v>
      </c>
      <c r="B378" s="31" t="s">
        <v>325</v>
      </c>
      <c r="C378" s="31">
        <v>2020</v>
      </c>
      <c r="D378" s="31" t="s">
        <v>288</v>
      </c>
      <c r="E378" s="31">
        <v>2.0201211936791501E+17</v>
      </c>
      <c r="F378" s="31" t="s">
        <v>225</v>
      </c>
      <c r="G378" s="31" t="s">
        <v>1017</v>
      </c>
      <c r="H378" s="31">
        <v>1482644</v>
      </c>
      <c r="J378" s="31" t="s">
        <v>227</v>
      </c>
      <c r="K378" s="31" t="s">
        <v>228</v>
      </c>
      <c r="N378" s="31" t="s">
        <v>290</v>
      </c>
      <c r="O378" s="31" t="s">
        <v>254</v>
      </c>
      <c r="Q378" s="31" t="s">
        <v>255</v>
      </c>
      <c r="R378" s="31" t="s">
        <v>291</v>
      </c>
      <c r="T378" s="31" t="s">
        <v>292</v>
      </c>
      <c r="V378" s="31" t="s">
        <v>327</v>
      </c>
      <c r="X378" s="31" t="s">
        <v>294</v>
      </c>
      <c r="Y378" s="31" t="s">
        <v>295</v>
      </c>
      <c r="Z378" s="31">
        <v>30312</v>
      </c>
      <c r="AA378" s="31" t="s">
        <v>328</v>
      </c>
      <c r="AB378" s="31" t="s">
        <v>297</v>
      </c>
      <c r="AD378" s="31">
        <v>15</v>
      </c>
      <c r="AE378" s="31" t="s">
        <v>298</v>
      </c>
      <c r="AF378" s="31" t="s">
        <v>336</v>
      </c>
      <c r="AI378" s="32">
        <v>44060</v>
      </c>
      <c r="AJ378" s="31">
        <v>20</v>
      </c>
      <c r="AK378" s="31">
        <v>964.4</v>
      </c>
      <c r="BF378" s="31" t="s">
        <v>332</v>
      </c>
      <c r="BK378" s="31" t="s">
        <v>50</v>
      </c>
      <c r="BL378" s="31" t="s">
        <v>242</v>
      </c>
      <c r="BM378" s="31" t="s">
        <v>243</v>
      </c>
      <c r="BN378" s="33">
        <v>44209.445311215277</v>
      </c>
      <c r="BR378" s="31" t="s">
        <v>257</v>
      </c>
      <c r="BS378" s="31">
        <v>4.1215202019740099E+18</v>
      </c>
      <c r="BT378" s="31" t="s">
        <v>245</v>
      </c>
      <c r="BU378" s="31" t="s">
        <v>337</v>
      </c>
      <c r="BV378" s="31">
        <v>2020</v>
      </c>
      <c r="BW378" s="31" t="s">
        <v>246</v>
      </c>
      <c r="BY378" s="31">
        <v>4.01122021207409E+18</v>
      </c>
      <c r="BZ378" s="31" t="s">
        <v>1018</v>
      </c>
      <c r="CA378" s="31" t="s">
        <v>248</v>
      </c>
    </row>
    <row r="379" spans="1:79" x14ac:dyDescent="0.2">
      <c r="A379" s="31" t="s">
        <v>316</v>
      </c>
      <c r="B379" s="31" t="s">
        <v>325</v>
      </c>
      <c r="C379" s="31">
        <v>2020</v>
      </c>
      <c r="D379" s="31" t="s">
        <v>288</v>
      </c>
      <c r="E379" s="31">
        <v>2.0201211936791501E+17</v>
      </c>
      <c r="F379" s="31" t="s">
        <v>225</v>
      </c>
      <c r="G379" s="31" t="s">
        <v>1019</v>
      </c>
      <c r="H379" s="31">
        <v>1482644</v>
      </c>
      <c r="J379" s="31" t="s">
        <v>227</v>
      </c>
      <c r="K379" s="31" t="s">
        <v>228</v>
      </c>
      <c r="L379" s="31" t="s">
        <v>320</v>
      </c>
      <c r="N379" s="31" t="s">
        <v>290</v>
      </c>
      <c r="O379" s="31" t="s">
        <v>254</v>
      </c>
      <c r="Q379" s="31" t="s">
        <v>255</v>
      </c>
      <c r="R379" s="31" t="s">
        <v>291</v>
      </c>
      <c r="T379" s="31" t="s">
        <v>292</v>
      </c>
      <c r="V379" s="31" t="s">
        <v>327</v>
      </c>
      <c r="X379" s="31" t="s">
        <v>294</v>
      </c>
      <c r="Y379" s="31" t="s">
        <v>295</v>
      </c>
      <c r="Z379" s="31">
        <v>30312</v>
      </c>
      <c r="AA379" s="31" t="s">
        <v>328</v>
      </c>
      <c r="AB379" s="31" t="s">
        <v>297</v>
      </c>
      <c r="AC379" s="31" t="s">
        <v>320</v>
      </c>
      <c r="AD379" s="31" t="s">
        <v>329</v>
      </c>
      <c r="AE379" s="31" t="s">
        <v>330</v>
      </c>
      <c r="AF379" s="31" t="s">
        <v>331</v>
      </c>
      <c r="AI379" s="32">
        <v>44054</v>
      </c>
      <c r="AJ379" s="31">
        <v>100</v>
      </c>
      <c r="AK379" s="31">
        <v>1354</v>
      </c>
      <c r="BF379" s="31" t="s">
        <v>332</v>
      </c>
      <c r="BK379" s="31" t="s">
        <v>50</v>
      </c>
      <c r="BL379" s="31" t="s">
        <v>242</v>
      </c>
      <c r="BM379" s="31" t="s">
        <v>243</v>
      </c>
      <c r="BN379" s="33">
        <v>44209.44577755787</v>
      </c>
      <c r="BR379" s="31" t="s">
        <v>257</v>
      </c>
      <c r="BS379" s="31">
        <v>4.1215202019740099E+18</v>
      </c>
      <c r="BT379" s="31" t="s">
        <v>245</v>
      </c>
      <c r="BU379" s="31" t="s">
        <v>354</v>
      </c>
      <c r="BV379" s="31">
        <v>2020</v>
      </c>
      <c r="BW379" s="31" t="s">
        <v>246</v>
      </c>
      <c r="BY379" s="31">
        <v>4.0112202120714102E+18</v>
      </c>
      <c r="BZ379" s="31" t="s">
        <v>1020</v>
      </c>
      <c r="CA379" s="31" t="s">
        <v>248</v>
      </c>
    </row>
    <row r="380" spans="1:79" x14ac:dyDescent="0.2">
      <c r="A380" s="31" t="s">
        <v>316</v>
      </c>
      <c r="B380" s="31" t="s">
        <v>325</v>
      </c>
      <c r="C380" s="31">
        <v>2020</v>
      </c>
      <c r="D380" s="31" t="s">
        <v>288</v>
      </c>
      <c r="E380" s="31">
        <v>2.0201211936791501E+17</v>
      </c>
      <c r="F380" s="31" t="s">
        <v>225</v>
      </c>
      <c r="G380" s="31" t="s">
        <v>1021</v>
      </c>
      <c r="H380" s="31">
        <v>1482644</v>
      </c>
      <c r="J380" s="31" t="s">
        <v>227</v>
      </c>
      <c r="K380" s="31" t="s">
        <v>228</v>
      </c>
      <c r="N380" s="31" t="s">
        <v>290</v>
      </c>
      <c r="O380" s="31" t="s">
        <v>254</v>
      </c>
      <c r="Q380" s="31" t="s">
        <v>255</v>
      </c>
      <c r="R380" s="31" t="s">
        <v>291</v>
      </c>
      <c r="T380" s="31" t="s">
        <v>292</v>
      </c>
      <c r="V380" s="31" t="s">
        <v>327</v>
      </c>
      <c r="X380" s="31" t="s">
        <v>294</v>
      </c>
      <c r="Y380" s="31" t="s">
        <v>295</v>
      </c>
      <c r="Z380" s="31">
        <v>30312</v>
      </c>
      <c r="AA380" s="31" t="s">
        <v>328</v>
      </c>
      <c r="AB380" s="31" t="s">
        <v>297</v>
      </c>
      <c r="AD380" s="31">
        <v>15</v>
      </c>
      <c r="AE380" s="31" t="s">
        <v>298</v>
      </c>
      <c r="AF380" s="31" t="s">
        <v>336</v>
      </c>
      <c r="AI380" s="32">
        <v>44054</v>
      </c>
      <c r="AJ380" s="31">
        <v>10</v>
      </c>
      <c r="AK380" s="31">
        <v>964.4</v>
      </c>
      <c r="BF380" s="31" t="s">
        <v>332</v>
      </c>
      <c r="BK380" s="31" t="s">
        <v>50</v>
      </c>
      <c r="BL380" s="31" t="s">
        <v>242</v>
      </c>
      <c r="BM380" s="31" t="s">
        <v>243</v>
      </c>
      <c r="BN380" s="33">
        <v>44209.445907152774</v>
      </c>
      <c r="BR380" s="31" t="s">
        <v>257</v>
      </c>
      <c r="BS380" s="31">
        <v>4.1215202019740099E+18</v>
      </c>
      <c r="BT380" s="31" t="s">
        <v>245</v>
      </c>
      <c r="BU380" s="31" t="s">
        <v>337</v>
      </c>
      <c r="BV380" s="31">
        <v>2020</v>
      </c>
      <c r="BW380" s="31" t="s">
        <v>246</v>
      </c>
      <c r="BY380" s="31">
        <v>4.0112202120714199E+18</v>
      </c>
      <c r="BZ380" s="31" t="s">
        <v>1022</v>
      </c>
      <c r="CA380" s="31" t="s">
        <v>248</v>
      </c>
    </row>
    <row r="381" spans="1:79" x14ac:dyDescent="0.2">
      <c r="A381" s="31" t="s">
        <v>316</v>
      </c>
      <c r="B381" s="31" t="s">
        <v>325</v>
      </c>
      <c r="C381" s="31">
        <v>2020</v>
      </c>
      <c r="D381" s="31" t="s">
        <v>288</v>
      </c>
      <c r="E381" s="31">
        <v>2.0201211936791501E+17</v>
      </c>
      <c r="F381" s="31" t="s">
        <v>225</v>
      </c>
      <c r="G381" s="31" t="s">
        <v>1023</v>
      </c>
      <c r="H381" s="31">
        <v>1482644</v>
      </c>
      <c r="J381" s="31" t="s">
        <v>227</v>
      </c>
      <c r="K381" s="31" t="s">
        <v>228</v>
      </c>
      <c r="L381" s="31" t="s">
        <v>341</v>
      </c>
      <c r="N381" s="31" t="s">
        <v>290</v>
      </c>
      <c r="O381" s="31" t="s">
        <v>254</v>
      </c>
      <c r="Q381" s="31" t="s">
        <v>255</v>
      </c>
      <c r="R381" s="31" t="s">
        <v>291</v>
      </c>
      <c r="T381" s="31" t="s">
        <v>292</v>
      </c>
      <c r="V381" s="31" t="s">
        <v>327</v>
      </c>
      <c r="X381" s="31" t="s">
        <v>294</v>
      </c>
      <c r="Y381" s="31" t="s">
        <v>295</v>
      </c>
      <c r="Z381" s="31">
        <v>30312</v>
      </c>
      <c r="AA381" s="31" t="s">
        <v>328</v>
      </c>
      <c r="AB381" s="31" t="s">
        <v>297</v>
      </c>
      <c r="AC381" s="31" t="s">
        <v>341</v>
      </c>
      <c r="AD381" s="31" t="s">
        <v>329</v>
      </c>
      <c r="AE381" s="31" t="s">
        <v>330</v>
      </c>
      <c r="AF381" s="31" t="s">
        <v>331</v>
      </c>
      <c r="AI381" s="32">
        <v>44070</v>
      </c>
      <c r="AJ381" s="31">
        <v>100</v>
      </c>
      <c r="AK381" s="31">
        <v>1200</v>
      </c>
      <c r="BF381" s="31" t="s">
        <v>332</v>
      </c>
      <c r="BK381" s="31" t="s">
        <v>50</v>
      </c>
      <c r="BL381" s="31" t="s">
        <v>242</v>
      </c>
      <c r="BM381" s="31" t="s">
        <v>243</v>
      </c>
      <c r="BN381" s="33">
        <v>44209.447558240739</v>
      </c>
      <c r="BR381" s="31" t="s">
        <v>257</v>
      </c>
      <c r="BS381" s="31">
        <v>4.1215202019740099E+18</v>
      </c>
      <c r="BT381" s="31" t="s">
        <v>245</v>
      </c>
      <c r="BU381" s="31" t="s">
        <v>342</v>
      </c>
      <c r="BV381" s="31">
        <v>2020</v>
      </c>
      <c r="BW381" s="31" t="s">
        <v>246</v>
      </c>
      <c r="BY381" s="31">
        <v>4.0112202120786698E+18</v>
      </c>
      <c r="BZ381" s="31" t="s">
        <v>1012</v>
      </c>
      <c r="CA381" s="31" t="s">
        <v>248</v>
      </c>
    </row>
    <row r="382" spans="1:79" x14ac:dyDescent="0.2">
      <c r="A382" s="31" t="s">
        <v>316</v>
      </c>
      <c r="B382" s="31" t="s">
        <v>325</v>
      </c>
      <c r="C382" s="31">
        <v>2020</v>
      </c>
      <c r="D382" s="31" t="s">
        <v>288</v>
      </c>
      <c r="E382" s="31">
        <v>2.0201211936791501E+17</v>
      </c>
      <c r="F382" s="31" t="s">
        <v>225</v>
      </c>
      <c r="G382" s="31" t="s">
        <v>1024</v>
      </c>
      <c r="H382" s="31">
        <v>1482644</v>
      </c>
      <c r="J382" s="31" t="s">
        <v>227</v>
      </c>
      <c r="K382" s="31" t="s">
        <v>228</v>
      </c>
      <c r="N382" s="31" t="s">
        <v>290</v>
      </c>
      <c r="O382" s="31" t="s">
        <v>254</v>
      </c>
      <c r="Q382" s="31" t="s">
        <v>255</v>
      </c>
      <c r="R382" s="31" t="s">
        <v>291</v>
      </c>
      <c r="T382" s="31" t="s">
        <v>292</v>
      </c>
      <c r="V382" s="31" t="s">
        <v>327</v>
      </c>
      <c r="X382" s="31" t="s">
        <v>294</v>
      </c>
      <c r="Y382" s="31" t="s">
        <v>295</v>
      </c>
      <c r="Z382" s="31">
        <v>30312</v>
      </c>
      <c r="AA382" s="31" t="s">
        <v>328</v>
      </c>
      <c r="AB382" s="31" t="s">
        <v>297</v>
      </c>
      <c r="AD382" s="31">
        <v>15</v>
      </c>
      <c r="AE382" s="31" t="s">
        <v>298</v>
      </c>
      <c r="AF382" s="31" t="s">
        <v>336</v>
      </c>
      <c r="AI382" s="32">
        <v>44070</v>
      </c>
      <c r="AJ382" s="31">
        <v>10</v>
      </c>
      <c r="AK382" s="31">
        <v>964.4</v>
      </c>
      <c r="BF382" s="31" t="s">
        <v>332</v>
      </c>
      <c r="BK382" s="31" t="s">
        <v>50</v>
      </c>
      <c r="BL382" s="31" t="s">
        <v>242</v>
      </c>
      <c r="BM382" s="31" t="s">
        <v>243</v>
      </c>
      <c r="BN382" s="33">
        <v>44209.447637141202</v>
      </c>
      <c r="BR382" s="31" t="s">
        <v>257</v>
      </c>
      <c r="BS382" s="31">
        <v>4.1215202019740099E+18</v>
      </c>
      <c r="BT382" s="31" t="s">
        <v>245</v>
      </c>
      <c r="BU382" s="31" t="s">
        <v>337</v>
      </c>
      <c r="BV382" s="31">
        <v>2020</v>
      </c>
      <c r="BW382" s="31" t="s">
        <v>246</v>
      </c>
      <c r="BY382" s="31">
        <v>4.0112202120786801E+18</v>
      </c>
      <c r="BZ382" s="31" t="s">
        <v>989</v>
      </c>
      <c r="CA382" s="31" t="s">
        <v>248</v>
      </c>
    </row>
    <row r="383" spans="1:79" x14ac:dyDescent="0.2">
      <c r="A383" s="31" t="s">
        <v>316</v>
      </c>
      <c r="B383" s="31" t="s">
        <v>325</v>
      </c>
      <c r="C383" s="31">
        <v>2020</v>
      </c>
      <c r="D383" s="31" t="s">
        <v>288</v>
      </c>
      <c r="E383" s="31">
        <v>2.0201211936791501E+17</v>
      </c>
      <c r="F383" s="31" t="s">
        <v>225</v>
      </c>
      <c r="G383" s="31" t="s">
        <v>1025</v>
      </c>
      <c r="H383" s="31">
        <v>1482644</v>
      </c>
      <c r="J383" s="31" t="s">
        <v>227</v>
      </c>
      <c r="K383" s="31" t="s">
        <v>228</v>
      </c>
      <c r="L383" s="31" t="s">
        <v>320</v>
      </c>
      <c r="N383" s="31" t="s">
        <v>290</v>
      </c>
      <c r="O383" s="31" t="s">
        <v>254</v>
      </c>
      <c r="Q383" s="31" t="s">
        <v>255</v>
      </c>
      <c r="R383" s="31" t="s">
        <v>291</v>
      </c>
      <c r="T383" s="31" t="s">
        <v>292</v>
      </c>
      <c r="V383" s="31" t="s">
        <v>327</v>
      </c>
      <c r="X383" s="31" t="s">
        <v>294</v>
      </c>
      <c r="Y383" s="31" t="s">
        <v>295</v>
      </c>
      <c r="Z383" s="31">
        <v>30312</v>
      </c>
      <c r="AA383" s="31" t="s">
        <v>328</v>
      </c>
      <c r="AB383" s="31" t="s">
        <v>297</v>
      </c>
      <c r="AC383" s="31" t="s">
        <v>320</v>
      </c>
      <c r="AD383" s="31" t="s">
        <v>329</v>
      </c>
      <c r="AE383" s="31" t="s">
        <v>330</v>
      </c>
      <c r="AF383" s="31" t="s">
        <v>331</v>
      </c>
      <c r="AI383" s="32">
        <v>44052</v>
      </c>
      <c r="AJ383" s="31">
        <v>35</v>
      </c>
      <c r="AK383" s="31">
        <v>1354</v>
      </c>
      <c r="BF383" s="31" t="s">
        <v>332</v>
      </c>
      <c r="BK383" s="31" t="s">
        <v>50</v>
      </c>
      <c r="BL383" s="31" t="s">
        <v>242</v>
      </c>
      <c r="BM383" s="31" t="s">
        <v>243</v>
      </c>
      <c r="BN383" s="33">
        <v>44209.448470625</v>
      </c>
      <c r="BR383" s="31" t="s">
        <v>257</v>
      </c>
      <c r="BS383" s="31">
        <v>4.1215202019740099E+18</v>
      </c>
      <c r="BT383" s="31" t="s">
        <v>245</v>
      </c>
      <c r="BU383" s="31" t="s">
        <v>354</v>
      </c>
      <c r="BV383" s="31">
        <v>2020</v>
      </c>
      <c r="BW383" s="31" t="s">
        <v>246</v>
      </c>
      <c r="BY383" s="31">
        <v>4.0112202120704399E+18</v>
      </c>
      <c r="BZ383" s="31" t="s">
        <v>1008</v>
      </c>
      <c r="CA383" s="31" t="s">
        <v>248</v>
      </c>
    </row>
    <row r="384" spans="1:79" x14ac:dyDescent="0.2">
      <c r="A384" s="31" t="s">
        <v>316</v>
      </c>
      <c r="B384" s="31" t="s">
        <v>325</v>
      </c>
      <c r="C384" s="31">
        <v>2020</v>
      </c>
      <c r="D384" s="31" t="s">
        <v>288</v>
      </c>
      <c r="E384" s="31">
        <v>2.0201211936791501E+17</v>
      </c>
      <c r="F384" s="31" t="s">
        <v>225</v>
      </c>
      <c r="G384" s="31" t="s">
        <v>1026</v>
      </c>
      <c r="H384" s="31">
        <v>1482644</v>
      </c>
      <c r="J384" s="31" t="s">
        <v>227</v>
      </c>
      <c r="K384" s="31" t="s">
        <v>228</v>
      </c>
      <c r="N384" s="31" t="s">
        <v>290</v>
      </c>
      <c r="O384" s="31" t="s">
        <v>254</v>
      </c>
      <c r="Q384" s="31" t="s">
        <v>255</v>
      </c>
      <c r="R384" s="31" t="s">
        <v>291</v>
      </c>
      <c r="T384" s="31" t="s">
        <v>292</v>
      </c>
      <c r="V384" s="31" t="s">
        <v>327</v>
      </c>
      <c r="X384" s="31" t="s">
        <v>294</v>
      </c>
      <c r="Y384" s="31" t="s">
        <v>295</v>
      </c>
      <c r="Z384" s="31">
        <v>30312</v>
      </c>
      <c r="AA384" s="31" t="s">
        <v>328</v>
      </c>
      <c r="AB384" s="31" t="s">
        <v>297</v>
      </c>
      <c r="AD384" s="31">
        <v>15</v>
      </c>
      <c r="AE384" s="31" t="s">
        <v>298</v>
      </c>
      <c r="AF384" s="31" t="s">
        <v>336</v>
      </c>
      <c r="AI384" s="32">
        <v>44052</v>
      </c>
      <c r="AJ384" s="31">
        <v>3.5</v>
      </c>
      <c r="AK384" s="31">
        <v>964.4</v>
      </c>
      <c r="BF384" s="31" t="s">
        <v>332</v>
      </c>
      <c r="BK384" s="31" t="s">
        <v>50</v>
      </c>
      <c r="BL384" s="31" t="s">
        <v>242</v>
      </c>
      <c r="BM384" s="31" t="s">
        <v>243</v>
      </c>
      <c r="BN384" s="33">
        <v>44209.448496747682</v>
      </c>
      <c r="BR384" s="31" t="s">
        <v>257</v>
      </c>
      <c r="BS384" s="31">
        <v>4.1215202019740099E+18</v>
      </c>
      <c r="BT384" s="31" t="s">
        <v>245</v>
      </c>
      <c r="BU384" s="31" t="s">
        <v>337</v>
      </c>
      <c r="BV384" s="31">
        <v>2020</v>
      </c>
      <c r="BW384" s="31" t="s">
        <v>246</v>
      </c>
      <c r="BY384" s="31">
        <v>4.0112202120704399E+18</v>
      </c>
      <c r="BZ384" s="31" t="s">
        <v>1022</v>
      </c>
      <c r="CA384" s="31" t="s">
        <v>248</v>
      </c>
    </row>
    <row r="385" spans="1:79" x14ac:dyDescent="0.2">
      <c r="A385" s="31" t="s">
        <v>316</v>
      </c>
      <c r="B385" s="31" t="s">
        <v>325</v>
      </c>
      <c r="C385" s="31">
        <v>2020</v>
      </c>
      <c r="D385" s="31" t="s">
        <v>288</v>
      </c>
      <c r="E385" s="31">
        <v>2.0201211936791501E+17</v>
      </c>
      <c r="F385" s="31" t="s">
        <v>225</v>
      </c>
      <c r="G385" s="31" t="s">
        <v>1027</v>
      </c>
      <c r="H385" s="31">
        <v>1482644</v>
      </c>
      <c r="J385" s="31" t="s">
        <v>227</v>
      </c>
      <c r="K385" s="31" t="s">
        <v>228</v>
      </c>
      <c r="L385" s="31" t="s">
        <v>286</v>
      </c>
      <c r="N385" s="31" t="s">
        <v>290</v>
      </c>
      <c r="O385" s="31" t="s">
        <v>254</v>
      </c>
      <c r="Q385" s="31" t="s">
        <v>255</v>
      </c>
      <c r="R385" s="31" t="s">
        <v>291</v>
      </c>
      <c r="T385" s="31" t="s">
        <v>292</v>
      </c>
      <c r="V385" s="31" t="s">
        <v>327</v>
      </c>
      <c r="X385" s="31" t="s">
        <v>294</v>
      </c>
      <c r="Y385" s="31" t="s">
        <v>295</v>
      </c>
      <c r="Z385" s="31">
        <v>30312</v>
      </c>
      <c r="AA385" s="31" t="s">
        <v>328</v>
      </c>
      <c r="AB385" s="31" t="s">
        <v>297</v>
      </c>
      <c r="AC385" s="31" t="s">
        <v>286</v>
      </c>
      <c r="AD385" s="31" t="s">
        <v>329</v>
      </c>
      <c r="AE385" s="31" t="s">
        <v>330</v>
      </c>
      <c r="AF385" s="31" t="s">
        <v>331</v>
      </c>
      <c r="AI385" s="32">
        <v>44052</v>
      </c>
      <c r="AJ385" s="31">
        <v>25</v>
      </c>
      <c r="AK385" s="31">
        <v>450</v>
      </c>
      <c r="BF385" s="31" t="s">
        <v>332</v>
      </c>
      <c r="BK385" s="31" t="s">
        <v>50</v>
      </c>
      <c r="BL385" s="31" t="s">
        <v>242</v>
      </c>
      <c r="BM385" s="31" t="s">
        <v>243</v>
      </c>
      <c r="BN385" s="33">
        <v>44209.448600115742</v>
      </c>
      <c r="BR385" s="31" t="s">
        <v>257</v>
      </c>
      <c r="BS385" s="31">
        <v>4.1215202019740099E+18</v>
      </c>
      <c r="BT385" s="31" t="s">
        <v>245</v>
      </c>
      <c r="BU385" s="31" t="s">
        <v>333</v>
      </c>
      <c r="BV385" s="31">
        <v>2020</v>
      </c>
      <c r="BW385" s="31" t="s">
        <v>246</v>
      </c>
      <c r="BY385" s="31">
        <v>4.0112202120704502E+18</v>
      </c>
      <c r="BZ385" s="31" t="s">
        <v>1008</v>
      </c>
      <c r="CA385" s="31" t="s">
        <v>248</v>
      </c>
    </row>
    <row r="386" spans="1:79" x14ac:dyDescent="0.2">
      <c r="A386" s="31" t="s">
        <v>316</v>
      </c>
      <c r="B386" s="31" t="s">
        <v>325</v>
      </c>
      <c r="C386" s="31">
        <v>2020</v>
      </c>
      <c r="D386" s="31" t="s">
        <v>288</v>
      </c>
      <c r="E386" s="31">
        <v>2.0201211936791501E+17</v>
      </c>
      <c r="F386" s="31" t="s">
        <v>225</v>
      </c>
      <c r="G386" s="31" t="s">
        <v>1028</v>
      </c>
      <c r="H386" s="31">
        <v>1482644</v>
      </c>
      <c r="J386" s="31" t="s">
        <v>227</v>
      </c>
      <c r="K386" s="31" t="s">
        <v>228</v>
      </c>
      <c r="N386" s="31" t="s">
        <v>290</v>
      </c>
      <c r="O386" s="31" t="s">
        <v>254</v>
      </c>
      <c r="Q386" s="31" t="s">
        <v>255</v>
      </c>
      <c r="R386" s="31" t="s">
        <v>291</v>
      </c>
      <c r="T386" s="31" t="s">
        <v>292</v>
      </c>
      <c r="V386" s="31" t="s">
        <v>327</v>
      </c>
      <c r="X386" s="31" t="s">
        <v>294</v>
      </c>
      <c r="Y386" s="31" t="s">
        <v>295</v>
      </c>
      <c r="Z386" s="31">
        <v>30312</v>
      </c>
      <c r="AA386" s="31" t="s">
        <v>328</v>
      </c>
      <c r="AB386" s="31" t="s">
        <v>297</v>
      </c>
      <c r="AD386" s="31">
        <v>15</v>
      </c>
      <c r="AE386" s="31" t="s">
        <v>298</v>
      </c>
      <c r="AF386" s="31" t="s">
        <v>336</v>
      </c>
      <c r="AI386" s="32">
        <v>44052</v>
      </c>
      <c r="AJ386" s="31">
        <v>2.5</v>
      </c>
      <c r="AK386" s="31">
        <v>964.4</v>
      </c>
      <c r="BF386" s="31" t="s">
        <v>332</v>
      </c>
      <c r="BK386" s="31" t="s">
        <v>50</v>
      </c>
      <c r="BL386" s="31" t="s">
        <v>242</v>
      </c>
      <c r="BM386" s="31" t="s">
        <v>243</v>
      </c>
      <c r="BN386" s="33">
        <v>44209.448600706019</v>
      </c>
      <c r="BR386" s="31" t="s">
        <v>257</v>
      </c>
      <c r="BS386" s="31">
        <v>4.1215202019740099E+18</v>
      </c>
      <c r="BT386" s="31" t="s">
        <v>245</v>
      </c>
      <c r="BU386" s="31" t="s">
        <v>337</v>
      </c>
      <c r="BV386" s="31">
        <v>2020</v>
      </c>
      <c r="BW386" s="31" t="s">
        <v>246</v>
      </c>
      <c r="BY386" s="31">
        <v>4.0112202120704502E+18</v>
      </c>
      <c r="BZ386" s="31" t="s">
        <v>1022</v>
      </c>
      <c r="CA386" s="31" t="s">
        <v>248</v>
      </c>
    </row>
    <row r="387" spans="1:79" x14ac:dyDescent="0.2">
      <c r="A387" s="31" t="s">
        <v>316</v>
      </c>
      <c r="B387" s="31" t="s">
        <v>325</v>
      </c>
      <c r="C387" s="31">
        <v>2020</v>
      </c>
      <c r="D387" s="31" t="s">
        <v>288</v>
      </c>
      <c r="E387" s="31">
        <v>2.0201211936791501E+17</v>
      </c>
      <c r="F387" s="31" t="s">
        <v>225</v>
      </c>
      <c r="G387" s="31" t="s">
        <v>1029</v>
      </c>
      <c r="H387" s="31">
        <v>1482644</v>
      </c>
      <c r="J387" s="31" t="s">
        <v>227</v>
      </c>
      <c r="K387" s="31" t="s">
        <v>228</v>
      </c>
      <c r="N387" s="31" t="s">
        <v>290</v>
      </c>
      <c r="O387" s="31" t="s">
        <v>254</v>
      </c>
      <c r="Q387" s="31" t="s">
        <v>255</v>
      </c>
      <c r="R387" s="31" t="s">
        <v>291</v>
      </c>
      <c r="T387" s="31" t="s">
        <v>292</v>
      </c>
      <c r="V387" s="31" t="s">
        <v>327</v>
      </c>
      <c r="X387" s="31" t="s">
        <v>294</v>
      </c>
      <c r="Y387" s="31" t="s">
        <v>295</v>
      </c>
      <c r="Z387" s="31">
        <v>30312</v>
      </c>
      <c r="AA387" s="31" t="s">
        <v>328</v>
      </c>
      <c r="AB387" s="31" t="s">
        <v>297</v>
      </c>
      <c r="AF387" s="31" t="s">
        <v>331</v>
      </c>
      <c r="AI387" s="32">
        <v>44055</v>
      </c>
      <c r="AJ387" s="31">
        <v>50</v>
      </c>
      <c r="AK387" s="31">
        <v>70</v>
      </c>
      <c r="BF387" s="31" t="s">
        <v>332</v>
      </c>
      <c r="BK387" s="31" t="s">
        <v>50</v>
      </c>
      <c r="BL387" s="31" t="s">
        <v>242</v>
      </c>
      <c r="BM387" s="31" t="s">
        <v>243</v>
      </c>
      <c r="BN387" s="33">
        <v>44209.449586840281</v>
      </c>
      <c r="BR387" s="31" t="s">
        <v>257</v>
      </c>
      <c r="BS387" s="31">
        <v>4.1215202019740099E+18</v>
      </c>
      <c r="BT387" s="31" t="s">
        <v>245</v>
      </c>
      <c r="BU387" s="31" t="s">
        <v>719</v>
      </c>
      <c r="BV387" s="31">
        <v>2020</v>
      </c>
      <c r="BW387" s="31" t="s">
        <v>246</v>
      </c>
      <c r="BY387" s="31">
        <v>4.0112202120719201E+18</v>
      </c>
      <c r="BZ387" s="31" t="s">
        <v>1020</v>
      </c>
      <c r="CA387" s="31" t="s">
        <v>248</v>
      </c>
    </row>
    <row r="388" spans="1:79" x14ac:dyDescent="0.2">
      <c r="A388" s="31" t="s">
        <v>316</v>
      </c>
      <c r="B388" s="31" t="s">
        <v>325</v>
      </c>
      <c r="C388" s="31">
        <v>2020</v>
      </c>
      <c r="D388" s="31" t="s">
        <v>288</v>
      </c>
      <c r="E388" s="31">
        <v>2.0201211936791501E+17</v>
      </c>
      <c r="F388" s="31" t="s">
        <v>225</v>
      </c>
      <c r="G388" s="31" t="s">
        <v>1030</v>
      </c>
      <c r="H388" s="31">
        <v>1482644</v>
      </c>
      <c r="J388" s="31" t="s">
        <v>227</v>
      </c>
      <c r="K388" s="31" t="s">
        <v>228</v>
      </c>
      <c r="N388" s="31" t="s">
        <v>290</v>
      </c>
      <c r="O388" s="31" t="s">
        <v>254</v>
      </c>
      <c r="Q388" s="31" t="s">
        <v>255</v>
      </c>
      <c r="R388" s="31" t="s">
        <v>291</v>
      </c>
      <c r="T388" s="31" t="s">
        <v>292</v>
      </c>
      <c r="V388" s="31" t="s">
        <v>327</v>
      </c>
      <c r="X388" s="31" t="s">
        <v>294</v>
      </c>
      <c r="Y388" s="31" t="s">
        <v>295</v>
      </c>
      <c r="Z388" s="31">
        <v>30312</v>
      </c>
      <c r="AA388" s="31" t="s">
        <v>328</v>
      </c>
      <c r="AB388" s="31" t="s">
        <v>297</v>
      </c>
      <c r="AD388" s="31">
        <v>15</v>
      </c>
      <c r="AE388" s="31" t="s">
        <v>298</v>
      </c>
      <c r="AF388" s="31" t="s">
        <v>336</v>
      </c>
      <c r="AI388" s="32">
        <v>44055</v>
      </c>
      <c r="AJ388" s="31">
        <v>5</v>
      </c>
      <c r="AK388" s="31">
        <v>964.4</v>
      </c>
      <c r="BF388" s="31" t="s">
        <v>332</v>
      </c>
      <c r="BK388" s="31" t="s">
        <v>50</v>
      </c>
      <c r="BL388" s="31" t="s">
        <v>242</v>
      </c>
      <c r="BM388" s="31" t="s">
        <v>243</v>
      </c>
      <c r="BN388" s="33">
        <v>44209.449751192129</v>
      </c>
      <c r="BR388" s="31" t="s">
        <v>257</v>
      </c>
      <c r="BS388" s="31">
        <v>4.1215202019740099E+18</v>
      </c>
      <c r="BT388" s="31" t="s">
        <v>245</v>
      </c>
      <c r="BU388" s="31" t="s">
        <v>337</v>
      </c>
      <c r="BV388" s="31">
        <v>2020</v>
      </c>
      <c r="BW388" s="31" t="s">
        <v>246</v>
      </c>
      <c r="BY388" s="31">
        <v>4.0112202120719299E+18</v>
      </c>
      <c r="BZ388" s="31" t="s">
        <v>1020</v>
      </c>
      <c r="CA388" s="31" t="s">
        <v>248</v>
      </c>
    </row>
    <row r="389" spans="1:79" x14ac:dyDescent="0.2">
      <c r="A389" s="31" t="s">
        <v>316</v>
      </c>
      <c r="B389" s="31" t="s">
        <v>325</v>
      </c>
      <c r="C389" s="31">
        <v>2020</v>
      </c>
      <c r="D389" s="31" t="s">
        <v>288</v>
      </c>
      <c r="E389" s="31">
        <v>2.0201211936791501E+17</v>
      </c>
      <c r="F389" s="31" t="s">
        <v>225</v>
      </c>
      <c r="G389" s="31" t="s">
        <v>1031</v>
      </c>
      <c r="H389" s="31">
        <v>1482644</v>
      </c>
      <c r="J389" s="31" t="s">
        <v>227</v>
      </c>
      <c r="K389" s="31" t="s">
        <v>228</v>
      </c>
      <c r="N389" s="31" t="s">
        <v>290</v>
      </c>
      <c r="O389" s="31" t="s">
        <v>254</v>
      </c>
      <c r="Q389" s="31" t="s">
        <v>255</v>
      </c>
      <c r="R389" s="31" t="s">
        <v>291</v>
      </c>
      <c r="T389" s="31" t="s">
        <v>292</v>
      </c>
      <c r="V389" s="31" t="s">
        <v>327</v>
      </c>
      <c r="X389" s="31" t="s">
        <v>294</v>
      </c>
      <c r="Y389" s="31" t="s">
        <v>295</v>
      </c>
      <c r="Z389" s="31">
        <v>30312</v>
      </c>
      <c r="AA389" s="31" t="s">
        <v>328</v>
      </c>
      <c r="AB389" s="31" t="s">
        <v>297</v>
      </c>
      <c r="AD389" s="31">
        <v>15</v>
      </c>
      <c r="AE389" s="31" t="s">
        <v>298</v>
      </c>
      <c r="AF389" s="31" t="s">
        <v>336</v>
      </c>
      <c r="AI389" s="32">
        <v>44069</v>
      </c>
      <c r="AJ389" s="31">
        <v>2.5</v>
      </c>
      <c r="AK389" s="31">
        <v>964.4</v>
      </c>
      <c r="BF389" s="31" t="s">
        <v>332</v>
      </c>
      <c r="BK389" s="31" t="s">
        <v>50</v>
      </c>
      <c r="BL389" s="31" t="s">
        <v>242</v>
      </c>
      <c r="BM389" s="31" t="s">
        <v>243</v>
      </c>
      <c r="BN389" s="33">
        <v>44209.449856504631</v>
      </c>
      <c r="BR389" s="31" t="s">
        <v>257</v>
      </c>
      <c r="BS389" s="31">
        <v>4.1215202019740099E+18</v>
      </c>
      <c r="BT389" s="31" t="s">
        <v>245</v>
      </c>
      <c r="BU389" s="31" t="s">
        <v>337</v>
      </c>
      <c r="BV389" s="31">
        <v>2020</v>
      </c>
      <c r="BW389" s="31" t="s">
        <v>246</v>
      </c>
      <c r="BY389" s="31">
        <v>4.0112202120780201E+18</v>
      </c>
      <c r="BZ389" s="31" t="s">
        <v>1000</v>
      </c>
      <c r="CA389" s="31" t="s">
        <v>248</v>
      </c>
    </row>
    <row r="390" spans="1:79" x14ac:dyDescent="0.2">
      <c r="A390" s="31" t="s">
        <v>316</v>
      </c>
      <c r="B390" s="31" t="s">
        <v>325</v>
      </c>
      <c r="C390" s="31">
        <v>2020</v>
      </c>
      <c r="D390" s="31" t="s">
        <v>288</v>
      </c>
      <c r="E390" s="31">
        <v>2.0201211936791501E+17</v>
      </c>
      <c r="F390" s="31" t="s">
        <v>225</v>
      </c>
      <c r="G390" s="31" t="s">
        <v>1032</v>
      </c>
      <c r="H390" s="31">
        <v>1482644</v>
      </c>
      <c r="J390" s="31" t="s">
        <v>227</v>
      </c>
      <c r="K390" s="31" t="s">
        <v>228</v>
      </c>
      <c r="L390" s="31" t="s">
        <v>341</v>
      </c>
      <c r="N390" s="31" t="s">
        <v>290</v>
      </c>
      <c r="O390" s="31" t="s">
        <v>254</v>
      </c>
      <c r="Q390" s="31" t="s">
        <v>255</v>
      </c>
      <c r="R390" s="31" t="s">
        <v>291</v>
      </c>
      <c r="T390" s="31" t="s">
        <v>292</v>
      </c>
      <c r="V390" s="31" t="s">
        <v>327</v>
      </c>
      <c r="X390" s="31" t="s">
        <v>294</v>
      </c>
      <c r="Y390" s="31" t="s">
        <v>295</v>
      </c>
      <c r="Z390" s="31">
        <v>30312</v>
      </c>
      <c r="AA390" s="31" t="s">
        <v>328</v>
      </c>
      <c r="AB390" s="31" t="s">
        <v>297</v>
      </c>
      <c r="AC390" s="31" t="s">
        <v>341</v>
      </c>
      <c r="AD390" s="31" t="s">
        <v>329</v>
      </c>
      <c r="AE390" s="31" t="s">
        <v>330</v>
      </c>
      <c r="AF390" s="31" t="s">
        <v>331</v>
      </c>
      <c r="AI390" s="32">
        <v>44047</v>
      </c>
      <c r="AJ390" s="31">
        <v>100</v>
      </c>
      <c r="AK390" s="31">
        <v>1200</v>
      </c>
      <c r="BF390" s="31" t="s">
        <v>332</v>
      </c>
      <c r="BK390" s="31" t="s">
        <v>50</v>
      </c>
      <c r="BL390" s="31" t="s">
        <v>242</v>
      </c>
      <c r="BM390" s="31" t="s">
        <v>243</v>
      </c>
      <c r="BN390" s="33">
        <v>44209.454912152774</v>
      </c>
      <c r="BR390" s="31" t="s">
        <v>257</v>
      </c>
      <c r="BS390" s="31">
        <v>4.1215202019740099E+18</v>
      </c>
      <c r="BT390" s="31" t="s">
        <v>245</v>
      </c>
      <c r="BU390" s="31" t="s">
        <v>342</v>
      </c>
      <c r="BV390" s="31">
        <v>2020</v>
      </c>
      <c r="BW390" s="31" t="s">
        <v>246</v>
      </c>
      <c r="BY390" s="31">
        <v>4.0112202120691502E+18</v>
      </c>
      <c r="BZ390" s="31" t="s">
        <v>1010</v>
      </c>
      <c r="CA390" s="31" t="s">
        <v>248</v>
      </c>
    </row>
    <row r="391" spans="1:79" x14ac:dyDescent="0.2">
      <c r="A391" s="31" t="s">
        <v>316</v>
      </c>
      <c r="B391" s="31" t="s">
        <v>325</v>
      </c>
      <c r="C391" s="31">
        <v>2020</v>
      </c>
      <c r="D391" s="31" t="s">
        <v>288</v>
      </c>
      <c r="E391" s="31">
        <v>2.0201211936791501E+17</v>
      </c>
      <c r="F391" s="31" t="s">
        <v>225</v>
      </c>
      <c r="G391" s="31" t="s">
        <v>1033</v>
      </c>
      <c r="H391" s="31">
        <v>1482644</v>
      </c>
      <c r="J391" s="31" t="s">
        <v>227</v>
      </c>
      <c r="K391" s="31" t="s">
        <v>228</v>
      </c>
      <c r="N391" s="31" t="s">
        <v>290</v>
      </c>
      <c r="O391" s="31" t="s">
        <v>254</v>
      </c>
      <c r="Q391" s="31" t="s">
        <v>255</v>
      </c>
      <c r="R391" s="31" t="s">
        <v>291</v>
      </c>
      <c r="T391" s="31" t="s">
        <v>292</v>
      </c>
      <c r="V391" s="31" t="s">
        <v>327</v>
      </c>
      <c r="X391" s="31" t="s">
        <v>294</v>
      </c>
      <c r="Y391" s="31" t="s">
        <v>295</v>
      </c>
      <c r="Z391" s="31">
        <v>30312</v>
      </c>
      <c r="AA391" s="31" t="s">
        <v>328</v>
      </c>
      <c r="AB391" s="31" t="s">
        <v>297</v>
      </c>
      <c r="AD391" s="31">
        <v>15</v>
      </c>
      <c r="AE391" s="31" t="s">
        <v>298</v>
      </c>
      <c r="AF391" s="31" t="s">
        <v>336</v>
      </c>
      <c r="AI391" s="32">
        <v>44047</v>
      </c>
      <c r="AJ391" s="31">
        <v>10</v>
      </c>
      <c r="AK391" s="31">
        <v>964.4</v>
      </c>
      <c r="BF391" s="31" t="s">
        <v>332</v>
      </c>
      <c r="BK391" s="31" t="s">
        <v>50</v>
      </c>
      <c r="BL391" s="31" t="s">
        <v>242</v>
      </c>
      <c r="BM391" s="31" t="s">
        <v>243</v>
      </c>
      <c r="BN391" s="33">
        <v>44209.454913379632</v>
      </c>
      <c r="BR391" s="31" t="s">
        <v>257</v>
      </c>
      <c r="BS391" s="31">
        <v>4.1215202019740099E+18</v>
      </c>
      <c r="BT391" s="31" t="s">
        <v>245</v>
      </c>
      <c r="BU391" s="31" t="s">
        <v>337</v>
      </c>
      <c r="BV391" s="31">
        <v>2020</v>
      </c>
      <c r="BW391" s="31" t="s">
        <v>246</v>
      </c>
      <c r="BY391" s="31">
        <v>4.0112202120691502E+18</v>
      </c>
      <c r="BZ391" s="31" t="s">
        <v>997</v>
      </c>
      <c r="CA391" s="31" t="s">
        <v>248</v>
      </c>
    </row>
    <row r="392" spans="1:79" x14ac:dyDescent="0.2">
      <c r="A392" s="31" t="s">
        <v>314</v>
      </c>
      <c r="B392" s="31" t="s">
        <v>315</v>
      </c>
      <c r="C392" s="31">
        <v>2020</v>
      </c>
      <c r="D392" s="31" t="s">
        <v>310</v>
      </c>
      <c r="E392" s="31">
        <v>2.0210211942770598E+17</v>
      </c>
      <c r="F392" s="31" t="s">
        <v>225</v>
      </c>
      <c r="G392" s="31">
        <v>15739383</v>
      </c>
      <c r="H392" s="31">
        <v>1499660</v>
      </c>
      <c r="J392" s="31" t="s">
        <v>227</v>
      </c>
      <c r="K392" s="31" t="s">
        <v>228</v>
      </c>
      <c r="N392" s="31" t="s">
        <v>290</v>
      </c>
      <c r="O392" s="31" t="s">
        <v>26</v>
      </c>
      <c r="Q392" s="31" t="s">
        <v>255</v>
      </c>
      <c r="R392" s="31" t="s">
        <v>291</v>
      </c>
      <c r="T392" s="31" t="s">
        <v>292</v>
      </c>
      <c r="V392" s="31" t="s">
        <v>293</v>
      </c>
      <c r="X392" s="31" t="s">
        <v>294</v>
      </c>
      <c r="Y392" s="31" t="s">
        <v>295</v>
      </c>
      <c r="Z392" s="31">
        <v>303121941</v>
      </c>
      <c r="AA392" s="31" t="s">
        <v>296</v>
      </c>
      <c r="AB392" s="31" t="s">
        <v>297</v>
      </c>
      <c r="AD392" s="31" t="s">
        <v>237</v>
      </c>
      <c r="AE392" s="31" t="s">
        <v>238</v>
      </c>
      <c r="AI392" s="32">
        <v>44086</v>
      </c>
      <c r="AJ392" s="31">
        <v>10</v>
      </c>
      <c r="AK392" s="31">
        <v>1910</v>
      </c>
      <c r="BG392" s="31" t="s">
        <v>28</v>
      </c>
      <c r="BI392" s="31" t="s">
        <v>279</v>
      </c>
      <c r="BK392" s="31" t="s">
        <v>50</v>
      </c>
      <c r="BL392" s="31" t="s">
        <v>242</v>
      </c>
      <c r="BM392" s="31" t="s">
        <v>243</v>
      </c>
      <c r="BN392" s="32">
        <v>44247.159479166665</v>
      </c>
      <c r="BP392" s="31" t="s">
        <v>1034</v>
      </c>
      <c r="BQ392" s="31" t="s">
        <v>318</v>
      </c>
      <c r="BR392" s="31" t="s">
        <v>257</v>
      </c>
      <c r="BS392" s="31">
        <v>4.0211202111343401E+18</v>
      </c>
      <c r="BT392" s="31" t="s">
        <v>245</v>
      </c>
      <c r="BU392" s="31" t="s">
        <v>283</v>
      </c>
      <c r="BV392" s="31">
        <v>2020</v>
      </c>
      <c r="BW392" s="31" t="s">
        <v>246</v>
      </c>
      <c r="BY392" s="31">
        <v>4.0220202111605801E+18</v>
      </c>
      <c r="BZ392" s="31" t="s">
        <v>1035</v>
      </c>
      <c r="CA392" s="31" t="s">
        <v>248</v>
      </c>
    </row>
    <row r="393" spans="1:79" x14ac:dyDescent="0.2">
      <c r="A393" s="31" t="s">
        <v>314</v>
      </c>
      <c r="B393" s="31" t="s">
        <v>315</v>
      </c>
      <c r="C393" s="31">
        <v>2020</v>
      </c>
      <c r="D393" s="31" t="s">
        <v>310</v>
      </c>
      <c r="E393" s="31">
        <v>2.0210211942770598E+17</v>
      </c>
      <c r="F393" s="31" t="s">
        <v>225</v>
      </c>
      <c r="G393" s="31">
        <v>15750911</v>
      </c>
      <c r="H393" s="31">
        <v>1499660</v>
      </c>
      <c r="J393" s="31" t="s">
        <v>227</v>
      </c>
      <c r="K393" s="31" t="s">
        <v>228</v>
      </c>
      <c r="N393" s="31" t="s">
        <v>290</v>
      </c>
      <c r="O393" s="31" t="s">
        <v>26</v>
      </c>
      <c r="Q393" s="31" t="s">
        <v>255</v>
      </c>
      <c r="R393" s="31" t="s">
        <v>291</v>
      </c>
      <c r="T393" s="31" t="s">
        <v>292</v>
      </c>
      <c r="V393" s="31" t="s">
        <v>293</v>
      </c>
      <c r="X393" s="31" t="s">
        <v>294</v>
      </c>
      <c r="Y393" s="31" t="s">
        <v>295</v>
      </c>
      <c r="Z393" s="31">
        <v>303121941</v>
      </c>
      <c r="AA393" s="31" t="s">
        <v>296</v>
      </c>
      <c r="AB393" s="31" t="s">
        <v>297</v>
      </c>
      <c r="AD393" s="31" t="s">
        <v>237</v>
      </c>
      <c r="AE393" s="31" t="s">
        <v>238</v>
      </c>
      <c r="AI393" s="32">
        <v>44086</v>
      </c>
      <c r="AJ393" s="31">
        <v>100</v>
      </c>
      <c r="AK393" s="31">
        <v>1910</v>
      </c>
      <c r="BG393" s="31" t="s">
        <v>28</v>
      </c>
      <c r="BI393" s="31" t="s">
        <v>279</v>
      </c>
      <c r="BK393" s="31" t="s">
        <v>50</v>
      </c>
      <c r="BL393" s="31" t="s">
        <v>242</v>
      </c>
      <c r="BM393" s="31" t="s">
        <v>243</v>
      </c>
      <c r="BN393" s="32">
        <v>44247.159479166665</v>
      </c>
      <c r="BP393" s="31" t="s">
        <v>1036</v>
      </c>
      <c r="BQ393" s="31" t="s">
        <v>318</v>
      </c>
      <c r="BR393" s="31" t="s">
        <v>257</v>
      </c>
      <c r="BS393" s="31">
        <v>4.0211202111343401E+18</v>
      </c>
      <c r="BT393" s="31" t="s">
        <v>245</v>
      </c>
      <c r="BU393" s="31" t="s">
        <v>283</v>
      </c>
      <c r="BV393" s="31">
        <v>2020</v>
      </c>
      <c r="BW393" s="31" t="s">
        <v>246</v>
      </c>
      <c r="BY393" s="31">
        <v>4.0220202111605801E+18</v>
      </c>
      <c r="BZ393" s="31" t="s">
        <v>1035</v>
      </c>
      <c r="CA393" s="31" t="s">
        <v>248</v>
      </c>
    </row>
    <row r="394" spans="1:79" x14ac:dyDescent="0.2">
      <c r="A394" s="31" t="s">
        <v>314</v>
      </c>
      <c r="B394" s="31" t="s">
        <v>315</v>
      </c>
      <c r="C394" s="31">
        <v>2020</v>
      </c>
      <c r="D394" s="31" t="s">
        <v>310</v>
      </c>
      <c r="E394" s="31">
        <v>2.0210211942770598E+17</v>
      </c>
      <c r="F394" s="31" t="s">
        <v>225</v>
      </c>
      <c r="G394" s="31">
        <v>15770358</v>
      </c>
      <c r="H394" s="31">
        <v>1499660</v>
      </c>
      <c r="J394" s="31" t="s">
        <v>227</v>
      </c>
      <c r="K394" s="31" t="s">
        <v>228</v>
      </c>
      <c r="N394" s="31" t="s">
        <v>290</v>
      </c>
      <c r="O394" s="31" t="s">
        <v>26</v>
      </c>
      <c r="Q394" s="31" t="s">
        <v>255</v>
      </c>
      <c r="R394" s="31" t="s">
        <v>291</v>
      </c>
      <c r="T394" s="31" t="s">
        <v>292</v>
      </c>
      <c r="V394" s="31" t="s">
        <v>293</v>
      </c>
      <c r="X394" s="31" t="s">
        <v>294</v>
      </c>
      <c r="Y394" s="31" t="s">
        <v>295</v>
      </c>
      <c r="Z394" s="31">
        <v>303121941</v>
      </c>
      <c r="AA394" s="31" t="s">
        <v>296</v>
      </c>
      <c r="AB394" s="31" t="s">
        <v>297</v>
      </c>
      <c r="AD394" s="31" t="s">
        <v>237</v>
      </c>
      <c r="AE394" s="31" t="s">
        <v>238</v>
      </c>
      <c r="AI394" s="32">
        <v>44095</v>
      </c>
      <c r="AJ394" s="31">
        <v>100</v>
      </c>
      <c r="AK394" s="31">
        <v>2010</v>
      </c>
      <c r="BG394" s="31" t="s">
        <v>28</v>
      </c>
      <c r="BI394" s="31" t="s">
        <v>279</v>
      </c>
      <c r="BK394" s="31" t="s">
        <v>50</v>
      </c>
      <c r="BL394" s="31" t="s">
        <v>242</v>
      </c>
      <c r="BM394" s="31" t="s">
        <v>243</v>
      </c>
      <c r="BN394" s="33">
        <v>44247.159479189817</v>
      </c>
      <c r="BP394" s="31" t="s">
        <v>1037</v>
      </c>
      <c r="BQ394" s="31" t="s">
        <v>318</v>
      </c>
      <c r="BR394" s="31" t="s">
        <v>257</v>
      </c>
      <c r="BS394" s="31">
        <v>4.0211202111343401E+18</v>
      </c>
      <c r="BT394" s="31" t="s">
        <v>245</v>
      </c>
      <c r="BU394" s="31" t="s">
        <v>283</v>
      </c>
      <c r="BV394" s="31">
        <v>2020</v>
      </c>
      <c r="BW394" s="31" t="s">
        <v>246</v>
      </c>
      <c r="BY394" s="31">
        <v>4.0220202111605801E+18</v>
      </c>
      <c r="BZ394" s="31" t="s">
        <v>1038</v>
      </c>
      <c r="CA394" s="31" t="s">
        <v>248</v>
      </c>
    </row>
    <row r="395" spans="1:79" x14ac:dyDescent="0.2">
      <c r="A395" s="31" t="s">
        <v>314</v>
      </c>
      <c r="B395" s="31" t="s">
        <v>315</v>
      </c>
      <c r="C395" s="31">
        <v>2020</v>
      </c>
      <c r="D395" s="31" t="s">
        <v>310</v>
      </c>
      <c r="E395" s="31">
        <v>2.0210211942770598E+17</v>
      </c>
      <c r="F395" s="31" t="s">
        <v>225</v>
      </c>
      <c r="G395" s="31">
        <v>16081324</v>
      </c>
      <c r="H395" s="31">
        <v>1499660</v>
      </c>
      <c r="J395" s="31" t="s">
        <v>227</v>
      </c>
      <c r="K395" s="31" t="s">
        <v>228</v>
      </c>
      <c r="N395" s="31" t="s">
        <v>290</v>
      </c>
      <c r="O395" s="31" t="s">
        <v>26</v>
      </c>
      <c r="Q395" s="31" t="s">
        <v>255</v>
      </c>
      <c r="R395" s="31" t="s">
        <v>291</v>
      </c>
      <c r="T395" s="31" t="s">
        <v>292</v>
      </c>
      <c r="V395" s="31" t="s">
        <v>293</v>
      </c>
      <c r="X395" s="31" t="s">
        <v>294</v>
      </c>
      <c r="Y395" s="31" t="s">
        <v>295</v>
      </c>
      <c r="Z395" s="31">
        <v>303121941</v>
      </c>
      <c r="AA395" s="31" t="s">
        <v>296</v>
      </c>
      <c r="AB395" s="31" t="s">
        <v>297</v>
      </c>
      <c r="AD395" s="31" t="s">
        <v>237</v>
      </c>
      <c r="AE395" s="31" t="s">
        <v>238</v>
      </c>
      <c r="AI395" s="32">
        <v>44102</v>
      </c>
      <c r="AJ395" s="31">
        <v>200</v>
      </c>
      <c r="AK395" s="31">
        <v>2210</v>
      </c>
      <c r="BG395" s="31" t="s">
        <v>28</v>
      </c>
      <c r="BI395" s="31" t="s">
        <v>279</v>
      </c>
      <c r="BK395" s="31" t="s">
        <v>50</v>
      </c>
      <c r="BL395" s="31" t="s">
        <v>242</v>
      </c>
      <c r="BM395" s="31" t="s">
        <v>243</v>
      </c>
      <c r="BN395" s="33">
        <v>44247.159479189817</v>
      </c>
      <c r="BP395" s="31" t="s">
        <v>1039</v>
      </c>
      <c r="BQ395" s="31" t="s">
        <v>318</v>
      </c>
      <c r="BR395" s="31" t="s">
        <v>257</v>
      </c>
      <c r="BS395" s="31">
        <v>4.0211202111343401E+18</v>
      </c>
      <c r="BT395" s="31" t="s">
        <v>245</v>
      </c>
      <c r="BU395" s="31" t="s">
        <v>283</v>
      </c>
      <c r="BV395" s="31">
        <v>2020</v>
      </c>
      <c r="BW395" s="31" t="s">
        <v>246</v>
      </c>
      <c r="BY395" s="31">
        <v>4.0220202111605801E+18</v>
      </c>
      <c r="BZ395" s="31" t="s">
        <v>1040</v>
      </c>
      <c r="CA395" s="31" t="s">
        <v>248</v>
      </c>
    </row>
    <row r="396" spans="1:79" x14ac:dyDescent="0.2">
      <c r="A396" s="31" t="s">
        <v>320</v>
      </c>
      <c r="B396" s="31" t="s">
        <v>321</v>
      </c>
      <c r="C396" s="31">
        <v>2020</v>
      </c>
      <c r="D396" s="31" t="s">
        <v>498</v>
      </c>
      <c r="E396" s="31">
        <v>2.0210324944207398E+17</v>
      </c>
      <c r="F396" s="31" t="s">
        <v>225</v>
      </c>
      <c r="G396" s="31">
        <v>29737208</v>
      </c>
      <c r="H396" s="31">
        <v>1506190</v>
      </c>
      <c r="J396" s="31" t="s">
        <v>227</v>
      </c>
      <c r="K396" s="31" t="s">
        <v>228</v>
      </c>
      <c r="N396" s="31" t="s">
        <v>290</v>
      </c>
      <c r="O396" s="31" t="s">
        <v>26</v>
      </c>
      <c r="Q396" s="31" t="s">
        <v>255</v>
      </c>
      <c r="R396" s="31" t="s">
        <v>291</v>
      </c>
      <c r="T396" s="31" t="s">
        <v>292</v>
      </c>
      <c r="V396" s="31" t="s">
        <v>293</v>
      </c>
      <c r="X396" s="31" t="s">
        <v>294</v>
      </c>
      <c r="Y396" s="31" t="s">
        <v>295</v>
      </c>
      <c r="Z396" s="31">
        <v>303121941</v>
      </c>
      <c r="AA396" s="31" t="s">
        <v>296</v>
      </c>
      <c r="AB396" s="31" t="s">
        <v>297</v>
      </c>
      <c r="AD396" s="31" t="s">
        <v>237</v>
      </c>
      <c r="AE396" s="31" t="s">
        <v>238</v>
      </c>
      <c r="AI396" s="32">
        <v>43982</v>
      </c>
      <c r="AJ396" s="31">
        <v>125</v>
      </c>
      <c r="AK396" s="31">
        <v>444</v>
      </c>
      <c r="BG396" s="31" t="s">
        <v>28</v>
      </c>
      <c r="BI396" s="31" t="s">
        <v>279</v>
      </c>
      <c r="BK396" s="31" t="s">
        <v>50</v>
      </c>
      <c r="BL396" s="31" t="s">
        <v>242</v>
      </c>
      <c r="BM396" s="31" t="s">
        <v>243</v>
      </c>
      <c r="BN396" s="33">
        <v>44281.294042013891</v>
      </c>
      <c r="BR396" s="31" t="s">
        <v>257</v>
      </c>
      <c r="BS396" s="31">
        <v>4.0325202112685701E+18</v>
      </c>
      <c r="BT396" s="31" t="s">
        <v>245</v>
      </c>
      <c r="BU396" s="31" t="s">
        <v>1041</v>
      </c>
      <c r="BV396" s="31">
        <v>2020</v>
      </c>
      <c r="BW396" s="31" t="s">
        <v>246</v>
      </c>
      <c r="BY396" s="31">
        <v>4.0326202112688302E+18</v>
      </c>
      <c r="BZ396" s="31" t="s">
        <v>1042</v>
      </c>
      <c r="CA396" s="31" t="s">
        <v>248</v>
      </c>
    </row>
    <row r="397" spans="1:79" x14ac:dyDescent="0.2">
      <c r="A397" s="31" t="s">
        <v>320</v>
      </c>
      <c r="B397" s="31" t="s">
        <v>321</v>
      </c>
      <c r="C397" s="31">
        <v>2020</v>
      </c>
      <c r="D397" s="31" t="s">
        <v>505</v>
      </c>
      <c r="E397" s="31">
        <v>2.02103299442324E+17</v>
      </c>
      <c r="F397" s="31" t="s">
        <v>225</v>
      </c>
      <c r="G397" s="31">
        <v>30251625</v>
      </c>
      <c r="H397" s="31">
        <v>1506572</v>
      </c>
      <c r="J397" s="31" t="s">
        <v>227</v>
      </c>
      <c r="K397" s="31" t="s">
        <v>228</v>
      </c>
      <c r="N397" s="31" t="s">
        <v>290</v>
      </c>
      <c r="O397" s="31" t="s">
        <v>26</v>
      </c>
      <c r="Q397" s="31" t="s">
        <v>255</v>
      </c>
      <c r="R397" s="31" t="s">
        <v>291</v>
      </c>
      <c r="T397" s="31" t="s">
        <v>292</v>
      </c>
      <c r="V397" s="31" t="s">
        <v>293</v>
      </c>
      <c r="X397" s="31" t="s">
        <v>294</v>
      </c>
      <c r="Y397" s="31" t="s">
        <v>295</v>
      </c>
      <c r="Z397" s="31">
        <v>303121941</v>
      </c>
      <c r="AA397" s="31" t="s">
        <v>296</v>
      </c>
      <c r="AB397" s="31" t="s">
        <v>297</v>
      </c>
      <c r="AD397" s="31" t="s">
        <v>237</v>
      </c>
      <c r="AE397" s="31" t="s">
        <v>238</v>
      </c>
      <c r="AI397" s="32">
        <v>44025</v>
      </c>
      <c r="AJ397" s="31">
        <v>100</v>
      </c>
      <c r="AK397" s="31">
        <v>919</v>
      </c>
      <c r="BG397" s="31" t="s">
        <v>28</v>
      </c>
      <c r="BI397" s="31" t="s">
        <v>279</v>
      </c>
      <c r="BK397" s="31" t="s">
        <v>50</v>
      </c>
      <c r="BL397" s="31" t="s">
        <v>242</v>
      </c>
      <c r="BM397" s="31" t="s">
        <v>243</v>
      </c>
      <c r="BN397" s="33">
        <v>44287.23290116898</v>
      </c>
      <c r="BP397" s="31" t="s">
        <v>1043</v>
      </c>
      <c r="BQ397" s="31" t="s">
        <v>318</v>
      </c>
      <c r="BR397" s="31" t="s">
        <v>257</v>
      </c>
      <c r="BS397" s="31">
        <v>4.0330202112703201E+18</v>
      </c>
      <c r="BT397" s="31" t="s">
        <v>245</v>
      </c>
      <c r="BU397" s="31" t="s">
        <v>323</v>
      </c>
      <c r="BV397" s="31">
        <v>2020</v>
      </c>
      <c r="BW397" s="31" t="s">
        <v>246</v>
      </c>
      <c r="BY397" s="31">
        <v>4.0401202112718802E+18</v>
      </c>
      <c r="BZ397" s="31" t="s">
        <v>1044</v>
      </c>
      <c r="CA397" s="31" t="s">
        <v>248</v>
      </c>
    </row>
    <row r="398" spans="1:79" x14ac:dyDescent="0.2">
      <c r="A398" s="31" t="s">
        <v>320</v>
      </c>
      <c r="B398" s="31" t="s">
        <v>321</v>
      </c>
      <c r="C398" s="31">
        <v>2020</v>
      </c>
      <c r="D398" s="31" t="s">
        <v>505</v>
      </c>
      <c r="E398" s="31">
        <v>2.02103299442324E+17</v>
      </c>
      <c r="F398" s="31" t="s">
        <v>225</v>
      </c>
      <c r="G398" s="31">
        <v>30508242</v>
      </c>
      <c r="H398" s="31">
        <v>1506572</v>
      </c>
      <c r="J398" s="31" t="s">
        <v>227</v>
      </c>
      <c r="K398" s="31" t="s">
        <v>228</v>
      </c>
      <c r="N398" s="31" t="s">
        <v>290</v>
      </c>
      <c r="O398" s="31" t="s">
        <v>26</v>
      </c>
      <c r="Q398" s="31" t="s">
        <v>255</v>
      </c>
      <c r="R398" s="31" t="s">
        <v>291</v>
      </c>
      <c r="T398" s="31" t="s">
        <v>292</v>
      </c>
      <c r="V398" s="31" t="s">
        <v>293</v>
      </c>
      <c r="X398" s="31" t="s">
        <v>294</v>
      </c>
      <c r="Y398" s="31" t="s">
        <v>295</v>
      </c>
      <c r="Z398" s="31">
        <v>303121941</v>
      </c>
      <c r="AA398" s="31" t="s">
        <v>296</v>
      </c>
      <c r="AB398" s="31" t="s">
        <v>297</v>
      </c>
      <c r="AD398" s="31" t="s">
        <v>237</v>
      </c>
      <c r="AE398" s="31" t="s">
        <v>238</v>
      </c>
      <c r="AI398" s="32">
        <v>44042</v>
      </c>
      <c r="AJ398" s="31">
        <v>100</v>
      </c>
      <c r="AK398" s="31">
        <v>1019</v>
      </c>
      <c r="BG398" s="31" t="s">
        <v>28</v>
      </c>
      <c r="BI398" s="31" t="s">
        <v>279</v>
      </c>
      <c r="BK398" s="31" t="s">
        <v>50</v>
      </c>
      <c r="BL398" s="31" t="s">
        <v>242</v>
      </c>
      <c r="BM398" s="31" t="s">
        <v>243</v>
      </c>
      <c r="BN398" s="33">
        <v>44287.23290116898</v>
      </c>
      <c r="BP398" s="31" t="s">
        <v>1045</v>
      </c>
      <c r="BQ398" s="31" t="s">
        <v>318</v>
      </c>
      <c r="BR398" s="31" t="s">
        <v>257</v>
      </c>
      <c r="BS398" s="31">
        <v>4.0330202112703201E+18</v>
      </c>
      <c r="BT398" s="31" t="s">
        <v>245</v>
      </c>
      <c r="BU398" s="31" t="s">
        <v>323</v>
      </c>
      <c r="BV398" s="31">
        <v>2020</v>
      </c>
      <c r="BW398" s="31" t="s">
        <v>246</v>
      </c>
      <c r="BY398" s="31">
        <v>4.0401202112718802E+18</v>
      </c>
      <c r="BZ398" s="31" t="s">
        <v>1044</v>
      </c>
      <c r="CA398" s="31" t="s">
        <v>248</v>
      </c>
    </row>
    <row r="399" spans="1:79" x14ac:dyDescent="0.2">
      <c r="A399" s="31" t="s">
        <v>320</v>
      </c>
      <c r="B399" s="31" t="s">
        <v>321</v>
      </c>
      <c r="C399" s="31">
        <v>2020</v>
      </c>
      <c r="D399" s="31" t="s">
        <v>572</v>
      </c>
      <c r="E399" s="31">
        <v>2.02103299442284E+17</v>
      </c>
      <c r="F399" s="31" t="s">
        <v>225</v>
      </c>
      <c r="G399" s="31">
        <v>30008012</v>
      </c>
      <c r="H399" s="31">
        <v>1506566</v>
      </c>
      <c r="J399" s="31" t="s">
        <v>227</v>
      </c>
      <c r="K399" s="31" t="s">
        <v>228</v>
      </c>
      <c r="N399" s="31" t="s">
        <v>290</v>
      </c>
      <c r="O399" s="31" t="s">
        <v>26</v>
      </c>
      <c r="Q399" s="31" t="s">
        <v>255</v>
      </c>
      <c r="R399" s="31" t="s">
        <v>291</v>
      </c>
      <c r="T399" s="31" t="s">
        <v>292</v>
      </c>
      <c r="V399" s="31" t="s">
        <v>293</v>
      </c>
      <c r="X399" s="31" t="s">
        <v>294</v>
      </c>
      <c r="Y399" s="31" t="s">
        <v>295</v>
      </c>
      <c r="Z399" s="31">
        <v>303121941</v>
      </c>
      <c r="AA399" s="31" t="s">
        <v>296</v>
      </c>
      <c r="AB399" s="31" t="s">
        <v>297</v>
      </c>
      <c r="AD399" s="31" t="s">
        <v>237</v>
      </c>
      <c r="AE399" s="31" t="s">
        <v>238</v>
      </c>
      <c r="AI399" s="32">
        <v>44010</v>
      </c>
      <c r="AJ399" s="31">
        <v>250</v>
      </c>
      <c r="AK399" s="31">
        <v>694</v>
      </c>
      <c r="BG399" s="31" t="s">
        <v>28</v>
      </c>
      <c r="BI399" s="31" t="s">
        <v>279</v>
      </c>
      <c r="BK399" s="31" t="s">
        <v>50</v>
      </c>
      <c r="BL399" s="31" t="s">
        <v>242</v>
      </c>
      <c r="BM399" s="31" t="s">
        <v>243</v>
      </c>
      <c r="BN399" s="33">
        <v>44287.238211203701</v>
      </c>
      <c r="BP399" s="31" t="s">
        <v>1046</v>
      </c>
      <c r="BQ399" s="31" t="s">
        <v>318</v>
      </c>
      <c r="BR399" s="31" t="s">
        <v>257</v>
      </c>
      <c r="BS399" s="31">
        <v>4.0330202112703201E+18</v>
      </c>
      <c r="BT399" s="31" t="s">
        <v>245</v>
      </c>
      <c r="BU399" s="31" t="s">
        <v>323</v>
      </c>
      <c r="BV399" s="31">
        <v>2020</v>
      </c>
      <c r="BW399" s="31" t="s">
        <v>246</v>
      </c>
      <c r="BY399" s="31">
        <v>4.04012021127166E+18</v>
      </c>
      <c r="BZ399" s="31" t="s">
        <v>1047</v>
      </c>
      <c r="CA399" s="31" t="s">
        <v>248</v>
      </c>
    </row>
    <row r="400" spans="1:79" x14ac:dyDescent="0.2">
      <c r="A400" s="31" t="s">
        <v>320</v>
      </c>
      <c r="B400" s="31" t="s">
        <v>321</v>
      </c>
      <c r="C400" s="31">
        <v>2020</v>
      </c>
      <c r="D400" s="31" t="s">
        <v>572</v>
      </c>
      <c r="E400" s="31">
        <v>2.02103299442284E+17</v>
      </c>
      <c r="F400" s="31" t="s">
        <v>225</v>
      </c>
      <c r="G400" s="31">
        <v>30097140</v>
      </c>
      <c r="H400" s="31">
        <v>1506566</v>
      </c>
      <c r="J400" s="31" t="s">
        <v>227</v>
      </c>
      <c r="K400" s="31" t="s">
        <v>228</v>
      </c>
      <c r="N400" s="31" t="s">
        <v>290</v>
      </c>
      <c r="O400" s="31" t="s">
        <v>26</v>
      </c>
      <c r="Q400" s="31" t="s">
        <v>255</v>
      </c>
      <c r="R400" s="31" t="s">
        <v>291</v>
      </c>
      <c r="T400" s="31" t="s">
        <v>292</v>
      </c>
      <c r="V400" s="31" t="s">
        <v>293</v>
      </c>
      <c r="X400" s="31" t="s">
        <v>294</v>
      </c>
      <c r="Y400" s="31" t="s">
        <v>295</v>
      </c>
      <c r="Z400" s="31">
        <v>303121941</v>
      </c>
      <c r="AA400" s="31" t="s">
        <v>296</v>
      </c>
      <c r="AB400" s="31" t="s">
        <v>297</v>
      </c>
      <c r="AD400" s="31" t="s">
        <v>237</v>
      </c>
      <c r="AE400" s="31" t="s">
        <v>238</v>
      </c>
      <c r="AI400" s="32">
        <v>44012</v>
      </c>
      <c r="AJ400" s="31">
        <v>125</v>
      </c>
      <c r="AK400" s="31">
        <v>819</v>
      </c>
      <c r="BG400" s="31" t="s">
        <v>28</v>
      </c>
      <c r="BI400" s="31" t="s">
        <v>279</v>
      </c>
      <c r="BK400" s="31" t="s">
        <v>50</v>
      </c>
      <c r="BL400" s="31" t="s">
        <v>242</v>
      </c>
      <c r="BM400" s="31" t="s">
        <v>243</v>
      </c>
      <c r="BN400" s="33">
        <v>44287.238211342592</v>
      </c>
      <c r="BP400" s="31" t="s">
        <v>1048</v>
      </c>
      <c r="BQ400" s="31" t="s">
        <v>318</v>
      </c>
      <c r="BR400" s="31" t="s">
        <v>257</v>
      </c>
      <c r="BS400" s="31">
        <v>4.0330202112703201E+18</v>
      </c>
      <c r="BT400" s="31" t="s">
        <v>245</v>
      </c>
      <c r="BU400" s="31" t="s">
        <v>323</v>
      </c>
      <c r="BV400" s="31">
        <v>2020</v>
      </c>
      <c r="BW400" s="31" t="s">
        <v>246</v>
      </c>
      <c r="BY400" s="31">
        <v>4.04012021127166E+18</v>
      </c>
      <c r="BZ400" s="31" t="s">
        <v>1049</v>
      </c>
      <c r="CA400" s="31" t="s">
        <v>248</v>
      </c>
    </row>
    <row r="401" spans="1:79" x14ac:dyDescent="0.2">
      <c r="A401" s="31" t="s">
        <v>320</v>
      </c>
      <c r="B401" s="31" t="s">
        <v>321</v>
      </c>
      <c r="C401" s="31">
        <v>2020</v>
      </c>
      <c r="D401" s="31" t="s">
        <v>408</v>
      </c>
      <c r="E401" s="31">
        <v>2.02103239442048E+17</v>
      </c>
      <c r="F401" s="31" t="s">
        <v>225</v>
      </c>
      <c r="G401" s="31">
        <v>29085495</v>
      </c>
      <c r="H401" s="31">
        <v>1506116</v>
      </c>
      <c r="J401" s="31" t="s">
        <v>227</v>
      </c>
      <c r="K401" s="31" t="s">
        <v>228</v>
      </c>
      <c r="N401" s="31" t="s">
        <v>290</v>
      </c>
      <c r="O401" s="31" t="s">
        <v>26</v>
      </c>
      <c r="Q401" s="31" t="s">
        <v>255</v>
      </c>
      <c r="R401" s="31" t="s">
        <v>291</v>
      </c>
      <c r="T401" s="31" t="s">
        <v>292</v>
      </c>
      <c r="V401" s="31" t="s">
        <v>293</v>
      </c>
      <c r="X401" s="31" t="s">
        <v>294</v>
      </c>
      <c r="Y401" s="31" t="s">
        <v>295</v>
      </c>
      <c r="Z401" s="31">
        <v>303121941</v>
      </c>
      <c r="AA401" s="31" t="s">
        <v>296</v>
      </c>
      <c r="AB401" s="31" t="s">
        <v>297</v>
      </c>
      <c r="AD401" s="31" t="s">
        <v>237</v>
      </c>
      <c r="AE401" s="31" t="s">
        <v>238</v>
      </c>
      <c r="AI401" s="32">
        <v>43920</v>
      </c>
      <c r="AJ401" s="31">
        <v>125</v>
      </c>
      <c r="AK401" s="31">
        <v>319</v>
      </c>
      <c r="BG401" s="31" t="s">
        <v>28</v>
      </c>
      <c r="BI401" s="31" t="s">
        <v>279</v>
      </c>
      <c r="BK401" s="31" t="s">
        <v>50</v>
      </c>
      <c r="BL401" s="31" t="s">
        <v>242</v>
      </c>
      <c r="BM401" s="31" t="s">
        <v>243</v>
      </c>
      <c r="BN401" s="33">
        <v>44287.246486701391</v>
      </c>
      <c r="BR401" s="31" t="s">
        <v>257</v>
      </c>
      <c r="BS401" s="31">
        <v>4.0325202112685701E+18</v>
      </c>
      <c r="BT401" s="31" t="s">
        <v>245</v>
      </c>
      <c r="BU401" s="31" t="s">
        <v>1050</v>
      </c>
      <c r="BV401" s="31">
        <v>2020</v>
      </c>
      <c r="BW401" s="31" t="s">
        <v>246</v>
      </c>
      <c r="BY401" s="31">
        <v>4.0401202112715802E+18</v>
      </c>
      <c r="BZ401" s="31" t="s">
        <v>1051</v>
      </c>
      <c r="CA401" s="31" t="s">
        <v>248</v>
      </c>
    </row>
    <row r="402" spans="1:79" x14ac:dyDescent="0.2">
      <c r="A402" s="31" t="s">
        <v>320</v>
      </c>
      <c r="B402" s="31" t="s">
        <v>321</v>
      </c>
      <c r="C402" s="31">
        <v>2020</v>
      </c>
      <c r="D402" s="31" t="s">
        <v>224</v>
      </c>
      <c r="E402" s="31">
        <v>2.0210330944279101E+17</v>
      </c>
      <c r="F402" s="31" t="s">
        <v>225</v>
      </c>
      <c r="G402" s="31">
        <v>32300810</v>
      </c>
      <c r="H402" s="31">
        <v>1506730</v>
      </c>
      <c r="J402" s="31" t="s">
        <v>227</v>
      </c>
      <c r="K402" s="31" t="s">
        <v>228</v>
      </c>
      <c r="N402" s="31" t="s">
        <v>290</v>
      </c>
      <c r="O402" s="31" t="s">
        <v>26</v>
      </c>
      <c r="Q402" s="31" t="s">
        <v>255</v>
      </c>
      <c r="R402" s="31" t="s">
        <v>291</v>
      </c>
      <c r="T402" s="31" t="s">
        <v>292</v>
      </c>
      <c r="V402" s="31" t="s">
        <v>293</v>
      </c>
      <c r="X402" s="31" t="s">
        <v>294</v>
      </c>
      <c r="Y402" s="31" t="s">
        <v>295</v>
      </c>
      <c r="Z402" s="31">
        <v>303121941</v>
      </c>
      <c r="AA402" s="31" t="s">
        <v>296</v>
      </c>
      <c r="AB402" s="31" t="s">
        <v>297</v>
      </c>
      <c r="AD402" s="31" t="s">
        <v>237</v>
      </c>
      <c r="AE402" s="31" t="s">
        <v>238</v>
      </c>
      <c r="AI402" s="32">
        <v>44126</v>
      </c>
      <c r="AJ402" s="31">
        <v>100</v>
      </c>
      <c r="AK402" s="31">
        <v>1579</v>
      </c>
      <c r="BG402" s="31" t="s">
        <v>28</v>
      </c>
      <c r="BI402" s="31" t="s">
        <v>279</v>
      </c>
      <c r="BK402" s="31" t="s">
        <v>50</v>
      </c>
      <c r="BL402" s="31" t="s">
        <v>242</v>
      </c>
      <c r="BM402" s="31" t="s">
        <v>243</v>
      </c>
      <c r="BN402" s="33">
        <v>44287.248797928238</v>
      </c>
      <c r="BR402" s="31" t="s">
        <v>257</v>
      </c>
      <c r="BS402" s="31">
        <v>4.0331202112704102E+18</v>
      </c>
      <c r="BT402" s="31" t="s">
        <v>245</v>
      </c>
      <c r="BU402" s="31" t="s">
        <v>1052</v>
      </c>
      <c r="BV402" s="31">
        <v>2020</v>
      </c>
      <c r="BW402" s="31" t="s">
        <v>246</v>
      </c>
      <c r="BY402" s="31">
        <v>4.04012021127373E+18</v>
      </c>
      <c r="BZ402" s="31" t="s">
        <v>1053</v>
      </c>
      <c r="CA402" s="31" t="s">
        <v>248</v>
      </c>
    </row>
    <row r="403" spans="1:79" x14ac:dyDescent="0.2">
      <c r="A403" s="31" t="s">
        <v>320</v>
      </c>
      <c r="B403" s="31" t="s">
        <v>321</v>
      </c>
      <c r="C403" s="31">
        <v>2020</v>
      </c>
      <c r="D403" s="31" t="s">
        <v>224</v>
      </c>
      <c r="E403" s="31">
        <v>2.0210330944279101E+17</v>
      </c>
      <c r="F403" s="31" t="s">
        <v>225</v>
      </c>
      <c r="G403" s="31">
        <v>32459933</v>
      </c>
      <c r="H403" s="31">
        <v>1506730</v>
      </c>
      <c r="J403" s="31" t="s">
        <v>227</v>
      </c>
      <c r="K403" s="31" t="s">
        <v>228</v>
      </c>
      <c r="N403" s="31" t="s">
        <v>290</v>
      </c>
      <c r="O403" s="31" t="s">
        <v>26</v>
      </c>
      <c r="Q403" s="31" t="s">
        <v>255</v>
      </c>
      <c r="R403" s="31" t="s">
        <v>291</v>
      </c>
      <c r="T403" s="31" t="s">
        <v>292</v>
      </c>
      <c r="V403" s="31" t="s">
        <v>293</v>
      </c>
      <c r="X403" s="31" t="s">
        <v>294</v>
      </c>
      <c r="Y403" s="31" t="s">
        <v>295</v>
      </c>
      <c r="Z403" s="31">
        <v>303121941</v>
      </c>
      <c r="AA403" s="31" t="s">
        <v>296</v>
      </c>
      <c r="AB403" s="31" t="s">
        <v>297</v>
      </c>
      <c r="AD403" s="31" t="s">
        <v>237</v>
      </c>
      <c r="AE403" s="31" t="s">
        <v>238</v>
      </c>
      <c r="AI403" s="32">
        <v>44132</v>
      </c>
      <c r="AJ403" s="31">
        <v>100</v>
      </c>
      <c r="AK403" s="31">
        <v>1679</v>
      </c>
      <c r="BG403" s="31" t="s">
        <v>28</v>
      </c>
      <c r="BI403" s="31" t="s">
        <v>279</v>
      </c>
      <c r="BK403" s="31" t="s">
        <v>50</v>
      </c>
      <c r="BL403" s="31" t="s">
        <v>242</v>
      </c>
      <c r="BM403" s="31" t="s">
        <v>243</v>
      </c>
      <c r="BN403" s="33">
        <v>44287.248797928238</v>
      </c>
      <c r="BR403" s="31" t="s">
        <v>257</v>
      </c>
      <c r="BS403" s="31">
        <v>4.0331202112704102E+18</v>
      </c>
      <c r="BT403" s="31" t="s">
        <v>245</v>
      </c>
      <c r="BU403" s="31" t="s">
        <v>1054</v>
      </c>
      <c r="BV403" s="31">
        <v>2020</v>
      </c>
      <c r="BW403" s="31" t="s">
        <v>246</v>
      </c>
      <c r="BY403" s="31">
        <v>4.04012021127373E+18</v>
      </c>
      <c r="BZ403" s="31" t="s">
        <v>1055</v>
      </c>
      <c r="CA403" s="31" t="s">
        <v>248</v>
      </c>
    </row>
    <row r="404" spans="1:79" x14ac:dyDescent="0.2">
      <c r="A404" s="31" t="s">
        <v>320</v>
      </c>
      <c r="B404" s="31" t="s">
        <v>321</v>
      </c>
      <c r="C404" s="31">
        <v>2020</v>
      </c>
      <c r="D404" s="31" t="s">
        <v>224</v>
      </c>
      <c r="E404" s="31">
        <v>2.0210330944279101E+17</v>
      </c>
      <c r="F404" s="31" t="s">
        <v>225</v>
      </c>
      <c r="G404" s="31">
        <v>32736379</v>
      </c>
      <c r="H404" s="31">
        <v>1506730</v>
      </c>
      <c r="J404" s="31" t="s">
        <v>227</v>
      </c>
      <c r="K404" s="31" t="s">
        <v>228</v>
      </c>
      <c r="N404" s="31" t="s">
        <v>290</v>
      </c>
      <c r="O404" s="31" t="s">
        <v>26</v>
      </c>
      <c r="Q404" s="31" t="s">
        <v>255</v>
      </c>
      <c r="R404" s="31" t="s">
        <v>291</v>
      </c>
      <c r="T404" s="31" t="s">
        <v>292</v>
      </c>
      <c r="V404" s="31" t="s">
        <v>293</v>
      </c>
      <c r="X404" s="31" t="s">
        <v>294</v>
      </c>
      <c r="Y404" s="31" t="s">
        <v>295</v>
      </c>
      <c r="Z404" s="31">
        <v>303121941</v>
      </c>
      <c r="AA404" s="31" t="s">
        <v>296</v>
      </c>
      <c r="AB404" s="31" t="s">
        <v>297</v>
      </c>
      <c r="AD404" s="31" t="s">
        <v>237</v>
      </c>
      <c r="AE404" s="31" t="s">
        <v>238</v>
      </c>
      <c r="AI404" s="32">
        <v>44135</v>
      </c>
      <c r="AJ404" s="31">
        <v>100</v>
      </c>
      <c r="AK404" s="31">
        <v>1779</v>
      </c>
      <c r="BG404" s="31" t="s">
        <v>28</v>
      </c>
      <c r="BI404" s="31" t="s">
        <v>279</v>
      </c>
      <c r="BK404" s="31" t="s">
        <v>50</v>
      </c>
      <c r="BL404" s="31" t="s">
        <v>242</v>
      </c>
      <c r="BM404" s="31" t="s">
        <v>243</v>
      </c>
      <c r="BN404" s="33">
        <v>44287.248797928238</v>
      </c>
      <c r="BR404" s="31" t="s">
        <v>257</v>
      </c>
      <c r="BS404" s="31">
        <v>4.0331202112704102E+18</v>
      </c>
      <c r="BT404" s="31" t="s">
        <v>245</v>
      </c>
      <c r="BU404" s="31" t="s">
        <v>1056</v>
      </c>
      <c r="BV404" s="31">
        <v>2020</v>
      </c>
      <c r="BW404" s="31" t="s">
        <v>246</v>
      </c>
      <c r="BY404" s="31">
        <v>4.04012021127373E+18</v>
      </c>
      <c r="BZ404" s="31" t="s">
        <v>1055</v>
      </c>
      <c r="CA404" s="31" t="s">
        <v>248</v>
      </c>
    </row>
    <row r="405" spans="1:79" x14ac:dyDescent="0.2">
      <c r="A405" s="31" t="s">
        <v>320</v>
      </c>
      <c r="B405" s="31" t="s">
        <v>321</v>
      </c>
      <c r="C405" s="31">
        <v>2020</v>
      </c>
      <c r="D405" s="31" t="s">
        <v>288</v>
      </c>
      <c r="E405" s="31">
        <v>2.0210329944256602E+17</v>
      </c>
      <c r="F405" s="31" t="s">
        <v>225</v>
      </c>
      <c r="G405" s="31">
        <v>30619441</v>
      </c>
      <c r="H405" s="31">
        <v>1506587</v>
      </c>
      <c r="J405" s="31" t="s">
        <v>227</v>
      </c>
      <c r="K405" s="31" t="s">
        <v>228</v>
      </c>
      <c r="N405" s="31" t="s">
        <v>290</v>
      </c>
      <c r="O405" s="31" t="s">
        <v>26</v>
      </c>
      <c r="Q405" s="31" t="s">
        <v>255</v>
      </c>
      <c r="R405" s="31" t="s">
        <v>291</v>
      </c>
      <c r="T405" s="31" t="s">
        <v>292</v>
      </c>
      <c r="V405" s="31" t="s">
        <v>293</v>
      </c>
      <c r="X405" s="31" t="s">
        <v>294</v>
      </c>
      <c r="Y405" s="31" t="s">
        <v>295</v>
      </c>
      <c r="Z405" s="31">
        <v>303121941</v>
      </c>
      <c r="AA405" s="31" t="s">
        <v>296</v>
      </c>
      <c r="AB405" s="31" t="s">
        <v>297</v>
      </c>
      <c r="AD405" s="31" t="s">
        <v>237</v>
      </c>
      <c r="AE405" s="31" t="s">
        <v>238</v>
      </c>
      <c r="AI405" s="32">
        <v>44046</v>
      </c>
      <c r="AJ405" s="31">
        <v>100</v>
      </c>
      <c r="AK405" s="31">
        <v>1119</v>
      </c>
      <c r="BG405" s="31" t="s">
        <v>28</v>
      </c>
      <c r="BI405" s="31" t="s">
        <v>279</v>
      </c>
      <c r="BK405" s="31" t="s">
        <v>50</v>
      </c>
      <c r="BL405" s="31" t="s">
        <v>242</v>
      </c>
      <c r="BM405" s="31" t="s">
        <v>243</v>
      </c>
      <c r="BN405" s="33">
        <v>44287.251506736109</v>
      </c>
      <c r="BP405" s="31" t="s">
        <v>1057</v>
      </c>
      <c r="BQ405" s="31" t="s">
        <v>318</v>
      </c>
      <c r="BR405" s="31" t="s">
        <v>257</v>
      </c>
      <c r="BS405" s="31">
        <v>4.0330202112703201E+18</v>
      </c>
      <c r="BT405" s="31" t="s">
        <v>245</v>
      </c>
      <c r="BU405" s="31" t="s">
        <v>323</v>
      </c>
      <c r="BV405" s="31">
        <v>2020</v>
      </c>
      <c r="BW405" s="31" t="s">
        <v>246</v>
      </c>
      <c r="BY405" s="31">
        <v>4.0401202112732902E+18</v>
      </c>
      <c r="BZ405" s="31" t="s">
        <v>1058</v>
      </c>
      <c r="CA405" s="31" t="s">
        <v>248</v>
      </c>
    </row>
    <row r="406" spans="1:79" x14ac:dyDescent="0.2">
      <c r="A406" s="31" t="s">
        <v>320</v>
      </c>
      <c r="B406" s="31" t="s">
        <v>321</v>
      </c>
      <c r="C406" s="31">
        <v>2020</v>
      </c>
      <c r="D406" s="31" t="s">
        <v>288</v>
      </c>
      <c r="E406" s="31">
        <v>2.0210329944256602E+17</v>
      </c>
      <c r="F406" s="31" t="s">
        <v>225</v>
      </c>
      <c r="G406" s="31">
        <v>30668609</v>
      </c>
      <c r="H406" s="31">
        <v>1506587</v>
      </c>
      <c r="J406" s="31" t="s">
        <v>227</v>
      </c>
      <c r="K406" s="31" t="s">
        <v>228</v>
      </c>
      <c r="N406" s="31" t="s">
        <v>290</v>
      </c>
      <c r="O406" s="31" t="s">
        <v>26</v>
      </c>
      <c r="Q406" s="31" t="s">
        <v>255</v>
      </c>
      <c r="R406" s="31" t="s">
        <v>291</v>
      </c>
      <c r="T406" s="31" t="s">
        <v>292</v>
      </c>
      <c r="V406" s="31" t="s">
        <v>293</v>
      </c>
      <c r="X406" s="31" t="s">
        <v>294</v>
      </c>
      <c r="Y406" s="31" t="s">
        <v>295</v>
      </c>
      <c r="Z406" s="31">
        <v>303121941</v>
      </c>
      <c r="AA406" s="31" t="s">
        <v>296</v>
      </c>
      <c r="AB406" s="31" t="s">
        <v>297</v>
      </c>
      <c r="AD406" s="31" t="s">
        <v>237</v>
      </c>
      <c r="AE406" s="31" t="s">
        <v>238</v>
      </c>
      <c r="AI406" s="32">
        <v>44052</v>
      </c>
      <c r="AJ406" s="31">
        <v>35</v>
      </c>
      <c r="AK406" s="31">
        <v>1154</v>
      </c>
      <c r="BG406" s="31" t="s">
        <v>28</v>
      </c>
      <c r="BI406" s="31" t="s">
        <v>279</v>
      </c>
      <c r="BK406" s="31" t="s">
        <v>50</v>
      </c>
      <c r="BL406" s="31" t="s">
        <v>242</v>
      </c>
      <c r="BM406" s="31" t="s">
        <v>243</v>
      </c>
      <c r="BN406" s="33">
        <v>44287.251506736109</v>
      </c>
      <c r="BP406" s="31" t="s">
        <v>1059</v>
      </c>
      <c r="BQ406" s="31" t="s">
        <v>318</v>
      </c>
      <c r="BR406" s="31" t="s">
        <v>257</v>
      </c>
      <c r="BS406" s="31">
        <v>4.0330202112703201E+18</v>
      </c>
      <c r="BT406" s="31" t="s">
        <v>245</v>
      </c>
      <c r="BU406" s="31" t="s">
        <v>323</v>
      </c>
      <c r="BV406" s="31">
        <v>2020</v>
      </c>
      <c r="BW406" s="31" t="s">
        <v>246</v>
      </c>
      <c r="BY406" s="31">
        <v>4.0401202112732902E+18</v>
      </c>
      <c r="BZ406" s="31" t="s">
        <v>1060</v>
      </c>
      <c r="CA406" s="31" t="s">
        <v>248</v>
      </c>
    </row>
    <row r="407" spans="1:79" x14ac:dyDescent="0.2">
      <c r="A407" s="31" t="s">
        <v>320</v>
      </c>
      <c r="B407" s="31" t="s">
        <v>321</v>
      </c>
      <c r="C407" s="31">
        <v>2020</v>
      </c>
      <c r="D407" s="31" t="s">
        <v>288</v>
      </c>
      <c r="E407" s="31">
        <v>2.0210329944256602E+17</v>
      </c>
      <c r="F407" s="31" t="s">
        <v>225</v>
      </c>
      <c r="G407" s="31">
        <v>30746513</v>
      </c>
      <c r="H407" s="31">
        <v>1506587</v>
      </c>
      <c r="J407" s="31" t="s">
        <v>227</v>
      </c>
      <c r="K407" s="31" t="s">
        <v>228</v>
      </c>
      <c r="N407" s="31" t="s">
        <v>290</v>
      </c>
      <c r="O407" s="31" t="s">
        <v>26</v>
      </c>
      <c r="Q407" s="31" t="s">
        <v>255</v>
      </c>
      <c r="R407" s="31" t="s">
        <v>291</v>
      </c>
      <c r="T407" s="31" t="s">
        <v>292</v>
      </c>
      <c r="V407" s="31" t="s">
        <v>293</v>
      </c>
      <c r="X407" s="31" t="s">
        <v>294</v>
      </c>
      <c r="Y407" s="31" t="s">
        <v>295</v>
      </c>
      <c r="Z407" s="31">
        <v>303121941</v>
      </c>
      <c r="AA407" s="31" t="s">
        <v>296</v>
      </c>
      <c r="AB407" s="31" t="s">
        <v>297</v>
      </c>
      <c r="AD407" s="31" t="s">
        <v>237</v>
      </c>
      <c r="AE407" s="31" t="s">
        <v>238</v>
      </c>
      <c r="AI407" s="32">
        <v>44054</v>
      </c>
      <c r="AJ407" s="31">
        <v>100</v>
      </c>
      <c r="AK407" s="31">
        <v>1254</v>
      </c>
      <c r="BG407" s="31" t="s">
        <v>28</v>
      </c>
      <c r="BI407" s="31" t="s">
        <v>279</v>
      </c>
      <c r="BK407" s="31" t="s">
        <v>50</v>
      </c>
      <c r="BL407" s="31" t="s">
        <v>242</v>
      </c>
      <c r="BM407" s="31" t="s">
        <v>243</v>
      </c>
      <c r="BN407" s="33">
        <v>44287.251506863424</v>
      </c>
      <c r="BP407" s="31" t="s">
        <v>1061</v>
      </c>
      <c r="BQ407" s="31" t="s">
        <v>318</v>
      </c>
      <c r="BR407" s="31" t="s">
        <v>257</v>
      </c>
      <c r="BS407" s="31">
        <v>4.0330202112703201E+18</v>
      </c>
      <c r="BT407" s="31" t="s">
        <v>245</v>
      </c>
      <c r="BU407" s="31" t="s">
        <v>323</v>
      </c>
      <c r="BV407" s="31">
        <v>2020</v>
      </c>
      <c r="BW407" s="31" t="s">
        <v>246</v>
      </c>
      <c r="BY407" s="31">
        <v>4.0401202112732902E+18</v>
      </c>
      <c r="BZ407" s="31" t="s">
        <v>1062</v>
      </c>
      <c r="CA407" s="31" t="s">
        <v>248</v>
      </c>
    </row>
    <row r="408" spans="1:79" x14ac:dyDescent="0.2">
      <c r="A408" s="31" t="s">
        <v>320</v>
      </c>
      <c r="B408" s="31" t="s">
        <v>321</v>
      </c>
      <c r="C408" s="31">
        <v>2020</v>
      </c>
      <c r="D408" s="31" t="s">
        <v>288</v>
      </c>
      <c r="E408" s="31">
        <v>2.0210329944256602E+17</v>
      </c>
      <c r="F408" s="31" t="s">
        <v>225</v>
      </c>
      <c r="G408" s="31">
        <v>30895646</v>
      </c>
      <c r="H408" s="31">
        <v>1506587</v>
      </c>
      <c r="J408" s="31" t="s">
        <v>227</v>
      </c>
      <c r="K408" s="31" t="s">
        <v>228</v>
      </c>
      <c r="N408" s="31" t="s">
        <v>290</v>
      </c>
      <c r="O408" s="31" t="s">
        <v>26</v>
      </c>
      <c r="Q408" s="31" t="s">
        <v>255</v>
      </c>
      <c r="R408" s="31" t="s">
        <v>291</v>
      </c>
      <c r="T408" s="31" t="s">
        <v>292</v>
      </c>
      <c r="V408" s="31" t="s">
        <v>293</v>
      </c>
      <c r="X408" s="31" t="s">
        <v>294</v>
      </c>
      <c r="Y408" s="31" t="s">
        <v>295</v>
      </c>
      <c r="Z408" s="31">
        <v>303121941</v>
      </c>
      <c r="AA408" s="31" t="s">
        <v>296</v>
      </c>
      <c r="AB408" s="31" t="s">
        <v>297</v>
      </c>
      <c r="AD408" s="31" t="s">
        <v>237</v>
      </c>
      <c r="AE408" s="31" t="s">
        <v>238</v>
      </c>
      <c r="AI408" s="32">
        <v>44061</v>
      </c>
      <c r="AJ408" s="31">
        <v>100</v>
      </c>
      <c r="AK408" s="31">
        <v>1354</v>
      </c>
      <c r="BG408" s="31" t="s">
        <v>28</v>
      </c>
      <c r="BI408" s="31" t="s">
        <v>279</v>
      </c>
      <c r="BK408" s="31" t="s">
        <v>50</v>
      </c>
      <c r="BL408" s="31" t="s">
        <v>242</v>
      </c>
      <c r="BM408" s="31" t="s">
        <v>243</v>
      </c>
      <c r="BN408" s="33">
        <v>44287.251506863424</v>
      </c>
      <c r="BP408" s="31" t="s">
        <v>1063</v>
      </c>
      <c r="BQ408" s="31" t="s">
        <v>318</v>
      </c>
      <c r="BR408" s="31" t="s">
        <v>257</v>
      </c>
      <c r="BS408" s="31">
        <v>4.0330202112703201E+18</v>
      </c>
      <c r="BT408" s="31" t="s">
        <v>245</v>
      </c>
      <c r="BU408" s="31" t="s">
        <v>323</v>
      </c>
      <c r="BV408" s="31">
        <v>2020</v>
      </c>
      <c r="BW408" s="31" t="s">
        <v>246</v>
      </c>
      <c r="BY408" s="31">
        <v>4.0401202112732902E+18</v>
      </c>
      <c r="BZ408" s="31" t="s">
        <v>1062</v>
      </c>
      <c r="CA408" s="31" t="s">
        <v>248</v>
      </c>
    </row>
    <row r="410" spans="1:79" x14ac:dyDescent="0.2">
      <c r="V410" s="31" t="str">
        <f>+V408&amp;X408&amp;Y408&amp;Z408</f>
        <v>553 AUBURN AVE NEATLANTAGA303121941</v>
      </c>
    </row>
    <row r="413" spans="1:79" ht="15" x14ac:dyDescent="0.25">
      <c r="A413" s="27" t="s">
        <v>261</v>
      </c>
      <c r="B413" t="s">
        <v>263</v>
      </c>
      <c r="C413"/>
    </row>
    <row r="414" spans="1:79" ht="15" x14ac:dyDescent="0.25">
      <c r="A414" s="28" t="s">
        <v>325</v>
      </c>
      <c r="B414" s="2">
        <v>10467.5</v>
      </c>
      <c r="C414" t="s">
        <v>1064</v>
      </c>
    </row>
    <row r="415" spans="1:79" ht="15" x14ac:dyDescent="0.25">
      <c r="A415" s="28" t="s">
        <v>267</v>
      </c>
      <c r="B415" s="2">
        <v>5588</v>
      </c>
      <c r="C415" t="s">
        <v>1064</v>
      </c>
    </row>
    <row r="416" spans="1:79" ht="15" x14ac:dyDescent="0.25">
      <c r="A416" s="28" t="s">
        <v>723</v>
      </c>
      <c r="B416" s="2">
        <v>250</v>
      </c>
      <c r="C416" t="s">
        <v>1064</v>
      </c>
    </row>
    <row r="417" spans="1:3" ht="15" x14ac:dyDescent="0.25">
      <c r="A417" s="28" t="s">
        <v>287</v>
      </c>
      <c r="B417" s="2">
        <v>650</v>
      </c>
      <c r="C417" t="s">
        <v>1064</v>
      </c>
    </row>
    <row r="418" spans="1:3" ht="15" x14ac:dyDescent="0.25">
      <c r="A418" s="28" t="s">
        <v>321</v>
      </c>
      <c r="B418" s="2">
        <v>1898</v>
      </c>
      <c r="C418" t="s">
        <v>1064</v>
      </c>
    </row>
    <row r="419" spans="1:3" ht="15" x14ac:dyDescent="0.25">
      <c r="A419" s="28" t="s">
        <v>460</v>
      </c>
      <c r="B419" s="2">
        <v>1015</v>
      </c>
      <c r="C419" t="s">
        <v>1064</v>
      </c>
    </row>
    <row r="420" spans="1:3" ht="15" x14ac:dyDescent="0.25">
      <c r="A420" s="28" t="s">
        <v>544</v>
      </c>
      <c r="B420" s="2">
        <v>250</v>
      </c>
      <c r="C420" t="s">
        <v>1064</v>
      </c>
    </row>
    <row r="421" spans="1:3" ht="15" x14ac:dyDescent="0.25">
      <c r="A421" s="28" t="s">
        <v>315</v>
      </c>
      <c r="B421" s="2">
        <v>3110</v>
      </c>
      <c r="C421" t="s">
        <v>1064</v>
      </c>
    </row>
    <row r="422" spans="1:3" ht="15" x14ac:dyDescent="0.25">
      <c r="A422" s="28" t="s">
        <v>419</v>
      </c>
      <c r="B422" s="2">
        <v>800</v>
      </c>
      <c r="C422" t="s">
        <v>1064</v>
      </c>
    </row>
    <row r="423" spans="1:3" ht="15" x14ac:dyDescent="0.25">
      <c r="A423" s="28" t="s">
        <v>949</v>
      </c>
      <c r="B423" s="2">
        <v>500</v>
      </c>
      <c r="C423" t="s">
        <v>1064</v>
      </c>
    </row>
    <row r="424" spans="1:3" ht="15" x14ac:dyDescent="0.25">
      <c r="A424" s="28" t="s">
        <v>623</v>
      </c>
      <c r="B424" s="2">
        <v>900</v>
      </c>
      <c r="C424" t="s">
        <v>1064</v>
      </c>
    </row>
    <row r="425" spans="1:3" ht="15" x14ac:dyDescent="0.25">
      <c r="A425" s="28" t="s">
        <v>615</v>
      </c>
      <c r="B425" s="2">
        <v>300</v>
      </c>
      <c r="C425" t="s">
        <v>1064</v>
      </c>
    </row>
    <row r="426" spans="1:3" ht="15" x14ac:dyDescent="0.25">
      <c r="A426" s="28" t="s">
        <v>551</v>
      </c>
      <c r="B426" s="2">
        <v>2249</v>
      </c>
      <c r="C426" t="s">
        <v>1064</v>
      </c>
    </row>
    <row r="427" spans="1:3" ht="15" x14ac:dyDescent="0.25">
      <c r="A427" s="28" t="s">
        <v>424</v>
      </c>
      <c r="B427" s="2">
        <v>4685.79</v>
      </c>
      <c r="C427" t="s">
        <v>1064</v>
      </c>
    </row>
    <row r="428" spans="1:3" ht="15" x14ac:dyDescent="0.25">
      <c r="A428" s="28" t="s">
        <v>262</v>
      </c>
      <c r="B428" s="2">
        <v>32663.29</v>
      </c>
      <c r="C428"/>
    </row>
    <row r="429" spans="1:3" ht="15" x14ac:dyDescent="0.25">
      <c r="A429"/>
      <c r="B429"/>
      <c r="C429"/>
    </row>
    <row r="430" spans="1:3" ht="15" x14ac:dyDescent="0.25">
      <c r="A430"/>
      <c r="B430"/>
      <c r="C430"/>
    </row>
  </sheetData>
  <pageMargins left="0.7" right="0.7" top="0.75" bottom="0.75" header="0.3" footer="0.3"/>
  <pageSetup orientation="portrait" horizontalDpi="4294967293" verticalDpi="4294967293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"/>
  <sheetViews>
    <sheetView topLeftCell="Q1" workbookViewId="0">
      <selection activeCell="V4" sqref="V4"/>
    </sheetView>
  </sheetViews>
  <sheetFormatPr defaultRowHeight="15" x14ac:dyDescent="0.25"/>
  <sheetData>
    <row r="1" spans="1:79" x14ac:dyDescent="0.2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145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  <c r="AZ1" t="s">
        <v>194</v>
      </c>
      <c r="BA1" t="s">
        <v>195</v>
      </c>
      <c r="BB1" t="s">
        <v>196</v>
      </c>
      <c r="BC1" t="s">
        <v>197</v>
      </c>
      <c r="BD1" t="s">
        <v>198</v>
      </c>
      <c r="BE1" t="s">
        <v>199</v>
      </c>
      <c r="BF1" t="s">
        <v>200</v>
      </c>
      <c r="BG1" t="s">
        <v>201</v>
      </c>
      <c r="BH1" t="s">
        <v>202</v>
      </c>
      <c r="BI1" t="s">
        <v>203</v>
      </c>
      <c r="BJ1" t="s">
        <v>204</v>
      </c>
      <c r="BK1" t="s">
        <v>205</v>
      </c>
      <c r="BL1" t="s">
        <v>206</v>
      </c>
      <c r="BM1" t="s">
        <v>207</v>
      </c>
      <c r="BN1" t="s">
        <v>208</v>
      </c>
      <c r="BO1" t="s">
        <v>209</v>
      </c>
      <c r="BP1" t="s">
        <v>210</v>
      </c>
      <c r="BQ1" t="s">
        <v>211</v>
      </c>
      <c r="BR1" t="s">
        <v>212</v>
      </c>
      <c r="BS1" t="s">
        <v>213</v>
      </c>
      <c r="BT1" t="s">
        <v>214</v>
      </c>
      <c r="BU1" t="s">
        <v>215</v>
      </c>
      <c r="BV1" t="s">
        <v>216</v>
      </c>
      <c r="BW1" t="s">
        <v>217</v>
      </c>
      <c r="BX1" t="s">
        <v>218</v>
      </c>
      <c r="BY1" t="s">
        <v>219</v>
      </c>
      <c r="BZ1" t="s">
        <v>220</v>
      </c>
      <c r="CA1" t="s">
        <v>221</v>
      </c>
    </row>
    <row r="2" spans="1:79" x14ac:dyDescent="0.25">
      <c r="A2" t="s">
        <v>266</v>
      </c>
      <c r="B2" t="s">
        <v>267</v>
      </c>
      <c r="C2">
        <v>2019</v>
      </c>
      <c r="D2" t="s">
        <v>268</v>
      </c>
      <c r="E2">
        <v>2.0200319920395299E+17</v>
      </c>
      <c r="F2" t="s">
        <v>269</v>
      </c>
      <c r="G2">
        <v>1833690</v>
      </c>
      <c r="H2">
        <v>1390990</v>
      </c>
      <c r="J2" t="s">
        <v>227</v>
      </c>
      <c r="K2" t="s">
        <v>228</v>
      </c>
      <c r="N2" t="s">
        <v>270</v>
      </c>
      <c r="O2" t="s">
        <v>28</v>
      </c>
      <c r="Q2" t="s">
        <v>28</v>
      </c>
      <c r="R2" t="s">
        <v>271</v>
      </c>
      <c r="T2" t="s">
        <v>272</v>
      </c>
      <c r="V2" t="s">
        <v>273</v>
      </c>
      <c r="X2" t="s">
        <v>274</v>
      </c>
      <c r="Y2" t="s">
        <v>275</v>
      </c>
      <c r="Z2">
        <v>70791123</v>
      </c>
      <c r="AA2" t="s">
        <v>276</v>
      </c>
      <c r="AB2" t="s">
        <v>277</v>
      </c>
      <c r="AD2" t="s">
        <v>237</v>
      </c>
      <c r="AE2" t="s">
        <v>238</v>
      </c>
      <c r="AI2" s="25">
        <v>43818</v>
      </c>
      <c r="AJ2">
        <v>1000</v>
      </c>
      <c r="AK2">
        <v>1000</v>
      </c>
      <c r="BG2" t="s">
        <v>278</v>
      </c>
      <c r="BH2" t="s">
        <v>279</v>
      </c>
      <c r="BI2" t="s">
        <v>279</v>
      </c>
      <c r="BJ2">
        <v>2020</v>
      </c>
      <c r="BK2" t="s">
        <v>50</v>
      </c>
      <c r="BL2" t="s">
        <v>242</v>
      </c>
      <c r="BM2" t="s">
        <v>243</v>
      </c>
      <c r="BN2" s="26">
        <v>43948.055597858794</v>
      </c>
      <c r="BP2" t="s">
        <v>280</v>
      </c>
      <c r="BQ2" t="s">
        <v>281</v>
      </c>
      <c r="BR2" t="s">
        <v>282</v>
      </c>
      <c r="BS2">
        <v>4.0320202017039401E+18</v>
      </c>
      <c r="BT2" t="s">
        <v>245</v>
      </c>
      <c r="BU2" t="s">
        <v>283</v>
      </c>
      <c r="BV2">
        <v>2020</v>
      </c>
      <c r="BW2" t="s">
        <v>246</v>
      </c>
      <c r="BY2">
        <v>4.0322202017042299E+18</v>
      </c>
      <c r="BZ2" t="s">
        <v>284</v>
      </c>
      <c r="CA2" t="s">
        <v>248</v>
      </c>
    </row>
    <row r="4" spans="1:79" x14ac:dyDescent="0.25">
      <c r="V4" t="str">
        <f>+V2&amp;X2&amp;Y2&amp;Z2</f>
        <v>186 NORTHWOODS DRSOUTH ORANGENJ70791123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4"/>
  <sheetViews>
    <sheetView topLeftCell="H1" workbookViewId="0">
      <selection activeCell="V8" sqref="V8"/>
    </sheetView>
  </sheetViews>
  <sheetFormatPr defaultRowHeight="15" x14ac:dyDescent="0.25"/>
  <cols>
    <col min="1" max="1" width="21.42578125" bestFit="1" customWidth="1"/>
    <col min="2" max="2" width="34.5703125" bestFit="1" customWidth="1"/>
  </cols>
  <sheetData>
    <row r="1" spans="1:79" x14ac:dyDescent="0.2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145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  <c r="AZ1" t="s">
        <v>194</v>
      </c>
      <c r="BA1" t="s">
        <v>195</v>
      </c>
      <c r="BB1" t="s">
        <v>196</v>
      </c>
      <c r="BC1" t="s">
        <v>197</v>
      </c>
      <c r="BD1" t="s">
        <v>198</v>
      </c>
      <c r="BE1" t="s">
        <v>199</v>
      </c>
      <c r="BF1" t="s">
        <v>200</v>
      </c>
      <c r="BG1" t="s">
        <v>201</v>
      </c>
      <c r="BH1" t="s">
        <v>202</v>
      </c>
      <c r="BI1" t="s">
        <v>203</v>
      </c>
      <c r="BJ1" t="s">
        <v>204</v>
      </c>
      <c r="BK1" t="s">
        <v>205</v>
      </c>
      <c r="BL1" t="s">
        <v>206</v>
      </c>
      <c r="BM1" t="s">
        <v>207</v>
      </c>
      <c r="BN1" t="s">
        <v>208</v>
      </c>
      <c r="BO1" t="s">
        <v>209</v>
      </c>
      <c r="BP1" t="s">
        <v>210</v>
      </c>
      <c r="BQ1" t="s">
        <v>211</v>
      </c>
      <c r="BR1" t="s">
        <v>212</v>
      </c>
      <c r="BS1" t="s">
        <v>213</v>
      </c>
      <c r="BT1" t="s">
        <v>214</v>
      </c>
      <c r="BU1" t="s">
        <v>215</v>
      </c>
      <c r="BV1" t="s">
        <v>216</v>
      </c>
      <c r="BW1" t="s">
        <v>217</v>
      </c>
      <c r="BX1" t="s">
        <v>218</v>
      </c>
      <c r="BY1" t="s">
        <v>219</v>
      </c>
      <c r="BZ1" t="s">
        <v>220</v>
      </c>
      <c r="CA1" t="s">
        <v>221</v>
      </c>
    </row>
    <row r="2" spans="1:79" x14ac:dyDescent="0.25">
      <c r="A2" t="s">
        <v>222</v>
      </c>
      <c r="B2" t="s">
        <v>223</v>
      </c>
      <c r="C2">
        <v>2020</v>
      </c>
      <c r="D2" t="s">
        <v>224</v>
      </c>
      <c r="E2">
        <v>2.0210702945095901E+17</v>
      </c>
      <c r="F2" t="s">
        <v>225</v>
      </c>
      <c r="G2" t="s">
        <v>226</v>
      </c>
      <c r="H2">
        <v>1522397</v>
      </c>
      <c r="J2" t="s">
        <v>227</v>
      </c>
      <c r="K2" t="s">
        <v>228</v>
      </c>
      <c r="N2" t="s">
        <v>229</v>
      </c>
      <c r="O2" t="s">
        <v>39</v>
      </c>
      <c r="Q2" t="s">
        <v>28</v>
      </c>
      <c r="R2" t="s">
        <v>230</v>
      </c>
      <c r="T2" t="s">
        <v>231</v>
      </c>
      <c r="V2" t="s">
        <v>232</v>
      </c>
      <c r="X2" t="s">
        <v>233</v>
      </c>
      <c r="Y2" t="s">
        <v>234</v>
      </c>
      <c r="Z2">
        <v>21645</v>
      </c>
      <c r="AA2" t="s">
        <v>235</v>
      </c>
      <c r="AB2" t="s">
        <v>236</v>
      </c>
      <c r="AD2" t="s">
        <v>237</v>
      </c>
      <c r="AE2" t="s">
        <v>238</v>
      </c>
      <c r="AF2" t="s">
        <v>239</v>
      </c>
      <c r="AI2" s="25">
        <v>44137</v>
      </c>
      <c r="AJ2">
        <v>2800</v>
      </c>
      <c r="AK2">
        <v>5600</v>
      </c>
      <c r="BG2" t="s">
        <v>240</v>
      </c>
      <c r="BI2" t="s">
        <v>241</v>
      </c>
      <c r="BJ2">
        <v>2020</v>
      </c>
      <c r="BK2" t="s">
        <v>50</v>
      </c>
      <c r="BL2" t="s">
        <v>242</v>
      </c>
      <c r="BM2" t="s">
        <v>243</v>
      </c>
      <c r="BN2" s="26">
        <v>44406.149884652776</v>
      </c>
      <c r="BR2" t="s">
        <v>244</v>
      </c>
      <c r="BS2">
        <v>4.0703202113196902E+18</v>
      </c>
      <c r="BT2" t="s">
        <v>245</v>
      </c>
      <c r="BV2">
        <v>2020</v>
      </c>
      <c r="BW2" t="s">
        <v>246</v>
      </c>
      <c r="BY2">
        <v>4.0729202113231201E+18</v>
      </c>
      <c r="BZ2" t="s">
        <v>247</v>
      </c>
      <c r="CA2" t="s">
        <v>248</v>
      </c>
    </row>
    <row r="3" spans="1:79" x14ac:dyDescent="0.25">
      <c r="A3" t="s">
        <v>222</v>
      </c>
      <c r="B3" t="s">
        <v>223</v>
      </c>
      <c r="C3">
        <v>2020</v>
      </c>
      <c r="D3" t="s">
        <v>224</v>
      </c>
      <c r="E3">
        <v>2.02107029450968E+17</v>
      </c>
      <c r="F3" t="s">
        <v>225</v>
      </c>
      <c r="G3" t="s">
        <v>249</v>
      </c>
      <c r="H3">
        <v>1522397</v>
      </c>
      <c r="J3" t="s">
        <v>227</v>
      </c>
      <c r="K3" t="s">
        <v>228</v>
      </c>
      <c r="N3" t="s">
        <v>229</v>
      </c>
      <c r="O3" t="s">
        <v>39</v>
      </c>
      <c r="Q3" t="s">
        <v>28</v>
      </c>
      <c r="R3" t="s">
        <v>230</v>
      </c>
      <c r="T3" t="s">
        <v>231</v>
      </c>
      <c r="V3" t="s">
        <v>232</v>
      </c>
      <c r="X3" t="s">
        <v>233</v>
      </c>
      <c r="Y3" t="s">
        <v>234</v>
      </c>
      <c r="Z3">
        <v>21645</v>
      </c>
      <c r="AA3" t="s">
        <v>235</v>
      </c>
      <c r="AB3" t="s">
        <v>236</v>
      </c>
      <c r="AD3" t="s">
        <v>237</v>
      </c>
      <c r="AE3" t="s">
        <v>238</v>
      </c>
      <c r="AF3" t="s">
        <v>239</v>
      </c>
      <c r="AI3" s="25">
        <v>44130</v>
      </c>
      <c r="AJ3">
        <v>2800</v>
      </c>
      <c r="AK3">
        <v>2800</v>
      </c>
      <c r="BG3" t="s">
        <v>240</v>
      </c>
      <c r="BI3" t="s">
        <v>241</v>
      </c>
      <c r="BJ3">
        <v>2020</v>
      </c>
      <c r="BK3" t="s">
        <v>50</v>
      </c>
      <c r="BL3" t="s">
        <v>242</v>
      </c>
      <c r="BM3" t="s">
        <v>243</v>
      </c>
      <c r="BN3" s="26">
        <v>44406.150908888892</v>
      </c>
      <c r="BR3" t="s">
        <v>244</v>
      </c>
      <c r="BS3">
        <v>4.0703202113196902E+18</v>
      </c>
      <c r="BT3" t="s">
        <v>245</v>
      </c>
      <c r="BV3">
        <v>2020</v>
      </c>
      <c r="BW3" t="s">
        <v>246</v>
      </c>
      <c r="BY3">
        <v>4.0729202113231498E+18</v>
      </c>
      <c r="BZ3" t="s">
        <v>250</v>
      </c>
      <c r="CA3" t="s">
        <v>248</v>
      </c>
    </row>
    <row r="4" spans="1:79" x14ac:dyDescent="0.25">
      <c r="A4" t="s">
        <v>251</v>
      </c>
      <c r="B4" t="s">
        <v>252</v>
      </c>
      <c r="C4">
        <v>2020</v>
      </c>
      <c r="D4" t="s">
        <v>224</v>
      </c>
      <c r="E4">
        <v>2.02103039432628E+17</v>
      </c>
      <c r="F4" t="s">
        <v>225</v>
      </c>
      <c r="G4" t="s">
        <v>253</v>
      </c>
      <c r="H4">
        <v>1502683</v>
      </c>
      <c r="J4" t="s">
        <v>227</v>
      </c>
      <c r="K4" t="s">
        <v>228</v>
      </c>
      <c r="L4" t="s">
        <v>222</v>
      </c>
      <c r="N4" t="s">
        <v>229</v>
      </c>
      <c r="O4" t="s">
        <v>254</v>
      </c>
      <c r="Q4" t="s">
        <v>255</v>
      </c>
      <c r="R4" t="s">
        <v>230</v>
      </c>
      <c r="T4" t="s">
        <v>231</v>
      </c>
      <c r="V4" t="s">
        <v>232</v>
      </c>
      <c r="X4" t="s">
        <v>233</v>
      </c>
      <c r="Y4" t="s">
        <v>234</v>
      </c>
      <c r="Z4">
        <v>216453447</v>
      </c>
      <c r="AA4" t="s">
        <v>235</v>
      </c>
      <c r="AB4" t="s">
        <v>236</v>
      </c>
      <c r="AC4" t="s">
        <v>222</v>
      </c>
      <c r="AD4" t="s">
        <v>237</v>
      </c>
      <c r="AE4" t="s">
        <v>238</v>
      </c>
      <c r="AF4" t="s">
        <v>256</v>
      </c>
      <c r="AI4" s="25">
        <v>44130</v>
      </c>
      <c r="AJ4">
        <v>2800</v>
      </c>
      <c r="AK4">
        <v>2800</v>
      </c>
      <c r="BK4" t="s">
        <v>50</v>
      </c>
      <c r="BL4" t="s">
        <v>242</v>
      </c>
      <c r="BM4" t="s">
        <v>243</v>
      </c>
      <c r="BN4" s="26">
        <v>44260.610172766203</v>
      </c>
      <c r="BR4" t="s">
        <v>257</v>
      </c>
      <c r="BS4">
        <v>4.0304202111990902E+18</v>
      </c>
      <c r="BT4" t="s">
        <v>245</v>
      </c>
      <c r="BV4">
        <v>2020</v>
      </c>
      <c r="BW4" t="s">
        <v>246</v>
      </c>
      <c r="BY4">
        <v>4.0304202112208102E+18</v>
      </c>
      <c r="BZ4" t="s">
        <v>258</v>
      </c>
      <c r="CA4" t="s">
        <v>248</v>
      </c>
    </row>
    <row r="5" spans="1:79" x14ac:dyDescent="0.25">
      <c r="A5" t="s">
        <v>251</v>
      </c>
      <c r="B5" t="s">
        <v>252</v>
      </c>
      <c r="C5">
        <v>2020</v>
      </c>
      <c r="D5" t="s">
        <v>224</v>
      </c>
      <c r="E5">
        <v>2.02103039433544E+17</v>
      </c>
      <c r="F5" t="s">
        <v>225</v>
      </c>
      <c r="G5" t="s">
        <v>259</v>
      </c>
      <c r="H5">
        <v>1502683</v>
      </c>
      <c r="J5" t="s">
        <v>227</v>
      </c>
      <c r="K5" t="s">
        <v>228</v>
      </c>
      <c r="L5" t="s">
        <v>222</v>
      </c>
      <c r="N5" t="s">
        <v>229</v>
      </c>
      <c r="O5" t="s">
        <v>254</v>
      </c>
      <c r="Q5" t="s">
        <v>255</v>
      </c>
      <c r="R5" t="s">
        <v>230</v>
      </c>
      <c r="T5" t="s">
        <v>231</v>
      </c>
      <c r="V5" t="s">
        <v>232</v>
      </c>
      <c r="X5" t="s">
        <v>233</v>
      </c>
      <c r="Y5" t="s">
        <v>234</v>
      </c>
      <c r="Z5">
        <v>216453447</v>
      </c>
      <c r="AA5" t="s">
        <v>235</v>
      </c>
      <c r="AB5" t="s">
        <v>236</v>
      </c>
      <c r="AC5" t="s">
        <v>222</v>
      </c>
      <c r="AD5" t="s">
        <v>237</v>
      </c>
      <c r="AE5" t="s">
        <v>238</v>
      </c>
      <c r="AF5" t="s">
        <v>256</v>
      </c>
      <c r="AI5" s="25">
        <v>44137</v>
      </c>
      <c r="AJ5">
        <v>2800</v>
      </c>
      <c r="AK5">
        <v>5600</v>
      </c>
      <c r="BK5" t="s">
        <v>50</v>
      </c>
      <c r="BL5" t="s">
        <v>242</v>
      </c>
      <c r="BM5" t="s">
        <v>243</v>
      </c>
      <c r="BN5" s="26">
        <v>44260.632421215276</v>
      </c>
      <c r="BR5" t="s">
        <v>257</v>
      </c>
      <c r="BS5">
        <v>4.0304202111990902E+18</v>
      </c>
      <c r="BT5" t="s">
        <v>245</v>
      </c>
      <c r="BV5">
        <v>2020</v>
      </c>
      <c r="BW5" t="s">
        <v>246</v>
      </c>
      <c r="BY5">
        <v>4.03042021121807E+18</v>
      </c>
      <c r="BZ5" t="s">
        <v>260</v>
      </c>
      <c r="CA5" t="s">
        <v>248</v>
      </c>
    </row>
    <row r="8" spans="1:79" x14ac:dyDescent="0.25">
      <c r="V8" t="str">
        <f>+V5&amp;X5&amp;Y5&amp;Z5</f>
        <v>14145 SHALLCROSS WHARF RDKENNEDYVILLEMD216453447</v>
      </c>
    </row>
    <row r="11" spans="1:79" x14ac:dyDescent="0.25">
      <c r="A11" s="27" t="s">
        <v>261</v>
      </c>
      <c r="B11" t="s">
        <v>263</v>
      </c>
    </row>
    <row r="12" spans="1:79" x14ac:dyDescent="0.25">
      <c r="A12" s="28" t="s">
        <v>223</v>
      </c>
      <c r="B12" s="2">
        <v>5600</v>
      </c>
    </row>
    <row r="13" spans="1:79" x14ac:dyDescent="0.25">
      <c r="A13" s="28" t="s">
        <v>252</v>
      </c>
      <c r="B13" s="2">
        <v>5600</v>
      </c>
    </row>
    <row r="14" spans="1:79" x14ac:dyDescent="0.25">
      <c r="A14" s="28" t="s">
        <v>262</v>
      </c>
      <c r="B14" s="2">
        <v>11200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5"/>
  <sheetViews>
    <sheetView workbookViewId="0">
      <selection activeCell="A3" sqref="A3:XFD3"/>
    </sheetView>
  </sheetViews>
  <sheetFormatPr defaultRowHeight="15" x14ac:dyDescent="0.25"/>
  <cols>
    <col min="7" max="7" width="8.85546875" style="2"/>
    <col min="8" max="8" width="15.28515625" customWidth="1"/>
    <col min="11" max="11" width="22.140625" customWidth="1"/>
    <col min="17" max="17" width="8.85546875" style="2"/>
    <col min="18" max="18" width="16" customWidth="1"/>
  </cols>
  <sheetData>
    <row r="1" spans="1:18" x14ac:dyDescent="0.25">
      <c r="A1" t="s">
        <v>7</v>
      </c>
      <c r="D1">
        <v>2020</v>
      </c>
    </row>
    <row r="2" spans="1:18" x14ac:dyDescent="0.25">
      <c r="A2" t="s">
        <v>11</v>
      </c>
      <c r="D2" s="12" t="s">
        <v>6</v>
      </c>
      <c r="E2" t="s">
        <v>2</v>
      </c>
      <c r="F2" s="2" t="s">
        <v>4</v>
      </c>
      <c r="G2" t="s">
        <v>3</v>
      </c>
      <c r="H2" s="12" t="s">
        <v>9</v>
      </c>
      <c r="I2" s="12" t="s">
        <v>10</v>
      </c>
      <c r="R2" s="1"/>
    </row>
    <row r="3" spans="1:18" ht="15.75" x14ac:dyDescent="0.25">
      <c r="E3" s="10"/>
      <c r="F3" s="10"/>
      <c r="G3"/>
      <c r="H3" s="8"/>
      <c r="I3" s="8"/>
      <c r="R3" s="1"/>
    </row>
    <row r="4" spans="1:18" x14ac:dyDescent="0.25">
      <c r="H4" s="1"/>
      <c r="R4" s="1"/>
    </row>
    <row r="5" spans="1:18" x14ac:dyDescent="0.25">
      <c r="H5" s="1"/>
      <c r="R5" s="1"/>
    </row>
    <row r="6" spans="1:18" ht="15.75" x14ac:dyDescent="0.25">
      <c r="B6" s="10"/>
      <c r="C6" s="11"/>
      <c r="E6" s="8"/>
      <c r="F6" s="8"/>
      <c r="H6" s="1"/>
      <c r="R6" s="1"/>
    </row>
    <row r="7" spans="1:18" x14ac:dyDescent="0.25">
      <c r="H7" s="1"/>
      <c r="R7" s="1"/>
    </row>
    <row r="8" spans="1:18" x14ac:dyDescent="0.25">
      <c r="H8" s="1"/>
      <c r="R8" s="1"/>
    </row>
    <row r="9" spans="1:18" x14ac:dyDescent="0.25">
      <c r="H9" s="1"/>
      <c r="R9" s="1"/>
    </row>
    <row r="10" spans="1:18" x14ac:dyDescent="0.25">
      <c r="H10" s="1"/>
      <c r="R10" s="1"/>
    </row>
    <row r="11" spans="1:18" x14ac:dyDescent="0.25">
      <c r="H11" s="1"/>
      <c r="R11" s="1"/>
    </row>
    <row r="12" spans="1:18" x14ac:dyDescent="0.25">
      <c r="H12" s="1"/>
      <c r="R12" s="1"/>
    </row>
    <row r="13" spans="1:18" x14ac:dyDescent="0.25">
      <c r="H13" s="1"/>
      <c r="R13" s="1"/>
    </row>
    <row r="14" spans="1:18" x14ac:dyDescent="0.25">
      <c r="H14" s="1"/>
      <c r="R14" s="1"/>
    </row>
    <row r="15" spans="1:18" x14ac:dyDescent="0.25">
      <c r="H15" s="1"/>
      <c r="R15" s="1"/>
    </row>
    <row r="16" spans="1:18" x14ac:dyDescent="0.25">
      <c r="H16" s="1"/>
      <c r="R16" s="1"/>
    </row>
    <row r="17" spans="8:18" x14ac:dyDescent="0.25">
      <c r="H17" s="1"/>
      <c r="R17" s="1"/>
    </row>
    <row r="18" spans="8:18" x14ac:dyDescent="0.25">
      <c r="H18" s="1"/>
      <c r="R18" s="1"/>
    </row>
    <row r="19" spans="8:18" x14ac:dyDescent="0.25">
      <c r="H19" s="1"/>
      <c r="R19" s="1"/>
    </row>
    <row r="20" spans="8:18" x14ac:dyDescent="0.25">
      <c r="H20" s="1"/>
      <c r="R20" s="1"/>
    </row>
    <row r="21" spans="8:18" x14ac:dyDescent="0.25">
      <c r="H21" s="1"/>
      <c r="R21" s="1"/>
    </row>
    <row r="22" spans="8:18" x14ac:dyDescent="0.25">
      <c r="H22" s="1"/>
      <c r="R22" s="1"/>
    </row>
    <row r="23" spans="8:18" x14ac:dyDescent="0.25">
      <c r="H23" s="1"/>
      <c r="R23" s="1"/>
    </row>
    <row r="24" spans="8:18" x14ac:dyDescent="0.25">
      <c r="H24" s="1"/>
      <c r="R24" s="1"/>
    </row>
    <row r="25" spans="8:18" x14ac:dyDescent="0.25">
      <c r="H25" s="1"/>
      <c r="R25" s="1"/>
    </row>
    <row r="26" spans="8:18" x14ac:dyDescent="0.25">
      <c r="H26" s="1"/>
      <c r="R26" s="1"/>
    </row>
    <row r="27" spans="8:18" x14ac:dyDescent="0.25">
      <c r="H27" s="1"/>
      <c r="R27" s="1"/>
    </row>
    <row r="28" spans="8:18" x14ac:dyDescent="0.25">
      <c r="H28" s="1"/>
      <c r="R28" s="1"/>
    </row>
    <row r="29" spans="8:18" x14ac:dyDescent="0.25">
      <c r="H29" s="1"/>
      <c r="R29" s="1"/>
    </row>
    <row r="30" spans="8:18" x14ac:dyDescent="0.25">
      <c r="H30" s="1"/>
      <c r="R30" s="1"/>
    </row>
    <row r="31" spans="8:18" x14ac:dyDescent="0.25">
      <c r="H31" s="1"/>
      <c r="R31" s="1"/>
    </row>
    <row r="32" spans="8:18" x14ac:dyDescent="0.25">
      <c r="H32" s="1"/>
      <c r="R32" s="1"/>
    </row>
    <row r="33" spans="8:18" x14ac:dyDescent="0.25">
      <c r="H33" s="1"/>
      <c r="R33" s="1"/>
    </row>
    <row r="34" spans="8:18" x14ac:dyDescent="0.25">
      <c r="H34" s="1"/>
      <c r="R34" s="1"/>
    </row>
    <row r="35" spans="8:18" x14ac:dyDescent="0.25">
      <c r="H35" s="1"/>
      <c r="R35" s="1"/>
    </row>
    <row r="36" spans="8:18" x14ac:dyDescent="0.25">
      <c r="H36" s="1"/>
      <c r="R36" s="1"/>
    </row>
    <row r="37" spans="8:18" x14ac:dyDescent="0.25">
      <c r="H37" s="1"/>
      <c r="R37" s="1"/>
    </row>
    <row r="38" spans="8:18" x14ac:dyDescent="0.25">
      <c r="H38" s="1"/>
      <c r="R38" s="1"/>
    </row>
    <row r="39" spans="8:18" x14ac:dyDescent="0.25">
      <c r="H39" s="1"/>
      <c r="R39" s="1"/>
    </row>
    <row r="40" spans="8:18" x14ac:dyDescent="0.25">
      <c r="H40" s="1"/>
      <c r="R40" s="1"/>
    </row>
    <row r="41" spans="8:18" x14ac:dyDescent="0.25">
      <c r="H41" s="1"/>
      <c r="R41" s="1"/>
    </row>
    <row r="42" spans="8:18" x14ac:dyDescent="0.25">
      <c r="H42" s="1"/>
      <c r="R42" s="1"/>
    </row>
    <row r="43" spans="8:18" x14ac:dyDescent="0.25">
      <c r="H43" s="1"/>
      <c r="R43" s="1"/>
    </row>
    <row r="44" spans="8:18" x14ac:dyDescent="0.25">
      <c r="H44" s="1"/>
      <c r="R44" s="1"/>
    </row>
    <row r="45" spans="8:18" x14ac:dyDescent="0.25">
      <c r="H45" s="1"/>
      <c r="R45" s="1"/>
    </row>
    <row r="46" spans="8:18" x14ac:dyDescent="0.25">
      <c r="H46" s="1"/>
      <c r="R46" s="1"/>
    </row>
    <row r="47" spans="8:18" x14ac:dyDescent="0.25">
      <c r="H47" s="1"/>
      <c r="R47" s="1"/>
    </row>
    <row r="48" spans="8:18" x14ac:dyDescent="0.25">
      <c r="H48" s="1"/>
      <c r="R48" s="1"/>
    </row>
    <row r="49" spans="8:18" x14ac:dyDescent="0.25">
      <c r="H49" s="1"/>
      <c r="R49" s="1"/>
    </row>
    <row r="50" spans="8:18" x14ac:dyDescent="0.25">
      <c r="H50" s="1"/>
      <c r="R50" s="1"/>
    </row>
    <row r="51" spans="8:18" x14ac:dyDescent="0.25">
      <c r="H51" s="1"/>
      <c r="R51" s="1"/>
    </row>
    <row r="52" spans="8:18" x14ac:dyDescent="0.25">
      <c r="H52" s="1"/>
      <c r="R52" s="1"/>
    </row>
    <row r="53" spans="8:18" x14ac:dyDescent="0.25">
      <c r="H53" s="1"/>
      <c r="R53" s="1"/>
    </row>
    <row r="54" spans="8:18" x14ac:dyDescent="0.25">
      <c r="H54" s="1"/>
      <c r="R54" s="1"/>
    </row>
    <row r="55" spans="8:18" x14ac:dyDescent="0.25">
      <c r="H55" s="1"/>
      <c r="R55" s="1"/>
    </row>
    <row r="56" spans="8:18" x14ac:dyDescent="0.25">
      <c r="H56" s="1"/>
      <c r="R56" s="1"/>
    </row>
    <row r="57" spans="8:18" x14ac:dyDescent="0.25">
      <c r="H57" s="1"/>
      <c r="R57" s="1"/>
    </row>
    <row r="58" spans="8:18" x14ac:dyDescent="0.25">
      <c r="H58" s="1"/>
      <c r="R58" s="1"/>
    </row>
    <row r="59" spans="8:18" x14ac:dyDescent="0.25">
      <c r="H59" s="1"/>
      <c r="R59" s="1"/>
    </row>
    <row r="60" spans="8:18" x14ac:dyDescent="0.25">
      <c r="H60" s="1"/>
      <c r="R60" s="1"/>
    </row>
    <row r="61" spans="8:18" x14ac:dyDescent="0.25">
      <c r="H61" s="1"/>
      <c r="R61" s="1"/>
    </row>
    <row r="62" spans="8:18" x14ac:dyDescent="0.25">
      <c r="H62" s="1"/>
      <c r="R62" s="1"/>
    </row>
    <row r="63" spans="8:18" x14ac:dyDescent="0.25">
      <c r="H63" s="1"/>
      <c r="R63" s="1"/>
    </row>
    <row r="64" spans="8:18" x14ac:dyDescent="0.25">
      <c r="H64" s="1"/>
      <c r="R64" s="1"/>
    </row>
    <row r="65" spans="8:18" x14ac:dyDescent="0.25">
      <c r="H65" s="1"/>
      <c r="R65" s="1"/>
    </row>
    <row r="66" spans="8:18" x14ac:dyDescent="0.25">
      <c r="H66" s="1"/>
      <c r="R66" s="1"/>
    </row>
    <row r="67" spans="8:18" x14ac:dyDescent="0.25">
      <c r="H67" s="1"/>
      <c r="R67" s="1"/>
    </row>
    <row r="68" spans="8:18" x14ac:dyDescent="0.25">
      <c r="H68" s="1"/>
      <c r="R68" s="1"/>
    </row>
    <row r="69" spans="8:18" x14ac:dyDescent="0.25">
      <c r="H69" s="1"/>
      <c r="R69" s="1"/>
    </row>
    <row r="70" spans="8:18" x14ac:dyDescent="0.25">
      <c r="H70" s="1"/>
      <c r="R70" s="1"/>
    </row>
    <row r="71" spans="8:18" x14ac:dyDescent="0.25">
      <c r="H71" s="1"/>
      <c r="R71" s="1"/>
    </row>
    <row r="72" spans="8:18" x14ac:dyDescent="0.25">
      <c r="H72" s="1"/>
      <c r="R72" s="1"/>
    </row>
    <row r="73" spans="8:18" x14ac:dyDescent="0.25">
      <c r="H73" s="1"/>
      <c r="R73" s="1"/>
    </row>
    <row r="74" spans="8:18" x14ac:dyDescent="0.25">
      <c r="H74" s="1"/>
      <c r="R74" s="1"/>
    </row>
    <row r="75" spans="8:18" x14ac:dyDescent="0.25">
      <c r="H75" s="1"/>
      <c r="R75" s="1"/>
    </row>
    <row r="76" spans="8:18" x14ac:dyDescent="0.25">
      <c r="H76" s="1"/>
      <c r="R76" s="1"/>
    </row>
    <row r="77" spans="8:18" x14ac:dyDescent="0.25">
      <c r="H77" s="1"/>
      <c r="R77" s="1"/>
    </row>
    <row r="78" spans="8:18" x14ac:dyDescent="0.25">
      <c r="H78" s="1"/>
      <c r="R78" s="1"/>
    </row>
    <row r="79" spans="8:18" x14ac:dyDescent="0.25">
      <c r="H79" s="1"/>
      <c r="R79" s="1"/>
    </row>
    <row r="80" spans="8:18" x14ac:dyDescent="0.25">
      <c r="H80" s="1"/>
      <c r="R80" s="1"/>
    </row>
    <row r="81" spans="8:18" x14ac:dyDescent="0.25">
      <c r="H81" s="1"/>
      <c r="R81" s="1"/>
    </row>
    <row r="82" spans="8:18" x14ac:dyDescent="0.25">
      <c r="H82" s="1"/>
      <c r="R82" s="1"/>
    </row>
    <row r="83" spans="8:18" x14ac:dyDescent="0.25">
      <c r="H83" s="1"/>
      <c r="R83" s="1"/>
    </row>
    <row r="84" spans="8:18" x14ac:dyDescent="0.25">
      <c r="H84" s="1"/>
      <c r="R84" s="1"/>
    </row>
    <row r="85" spans="8:18" x14ac:dyDescent="0.25">
      <c r="H85" s="1"/>
      <c r="R85" s="1"/>
    </row>
    <row r="86" spans="8:18" x14ac:dyDescent="0.25">
      <c r="H86" s="1"/>
      <c r="R86" s="1"/>
    </row>
    <row r="87" spans="8:18" x14ac:dyDescent="0.25">
      <c r="H87" s="1"/>
      <c r="R87" s="1"/>
    </row>
    <row r="88" spans="8:18" x14ac:dyDescent="0.25">
      <c r="H88" s="1"/>
      <c r="R88" s="1"/>
    </row>
    <row r="89" spans="8:18" x14ac:dyDescent="0.25">
      <c r="H89" s="1"/>
      <c r="R89" s="1"/>
    </row>
    <row r="90" spans="8:18" x14ac:dyDescent="0.25">
      <c r="H90" s="1"/>
      <c r="R90" s="1"/>
    </row>
    <row r="91" spans="8:18" x14ac:dyDescent="0.25">
      <c r="H91" s="1"/>
      <c r="R91" s="1"/>
    </row>
    <row r="92" spans="8:18" x14ac:dyDescent="0.25">
      <c r="H92" s="1"/>
      <c r="R92" s="1"/>
    </row>
    <row r="93" spans="8:18" x14ac:dyDescent="0.25">
      <c r="H93" s="1"/>
      <c r="R93" s="1"/>
    </row>
    <row r="94" spans="8:18" x14ac:dyDescent="0.25">
      <c r="H94" s="1"/>
      <c r="R94" s="1"/>
    </row>
    <row r="95" spans="8:18" x14ac:dyDescent="0.25">
      <c r="H95" s="1"/>
      <c r="R95" s="1"/>
    </row>
    <row r="96" spans="8:18" x14ac:dyDescent="0.25">
      <c r="H96" s="1"/>
      <c r="R96" s="1"/>
    </row>
    <row r="97" spans="8:18" x14ac:dyDescent="0.25">
      <c r="H97" s="1"/>
      <c r="R97" s="1"/>
    </row>
    <row r="98" spans="8:18" x14ac:dyDescent="0.25">
      <c r="H98" s="1"/>
      <c r="R98" s="1"/>
    </row>
    <row r="99" spans="8:18" x14ac:dyDescent="0.25">
      <c r="H99" s="1"/>
      <c r="R99" s="1"/>
    </row>
    <row r="100" spans="8:18" x14ac:dyDescent="0.25">
      <c r="H100" s="1"/>
      <c r="R100" s="1"/>
    </row>
    <row r="101" spans="8:18" x14ac:dyDescent="0.25">
      <c r="H101" s="1"/>
      <c r="R101" s="1"/>
    </row>
    <row r="102" spans="8:18" x14ac:dyDescent="0.25">
      <c r="H102" s="1"/>
      <c r="R102" s="1"/>
    </row>
    <row r="103" spans="8:18" x14ac:dyDescent="0.25">
      <c r="H103" s="1"/>
      <c r="R103" s="1"/>
    </row>
    <row r="104" spans="8:18" x14ac:dyDescent="0.25">
      <c r="H104" s="1"/>
      <c r="R104" s="1"/>
    </row>
    <row r="105" spans="8:18" x14ac:dyDescent="0.25">
      <c r="H105" s="1"/>
      <c r="R105" s="1"/>
    </row>
    <row r="106" spans="8:18" x14ac:dyDescent="0.25">
      <c r="H106" s="1"/>
      <c r="R106" s="1"/>
    </row>
    <row r="107" spans="8:18" x14ac:dyDescent="0.25">
      <c r="H107" s="1"/>
      <c r="R107" s="1"/>
    </row>
    <row r="108" spans="8:18" x14ac:dyDescent="0.25">
      <c r="H108" s="1"/>
      <c r="R108" s="1"/>
    </row>
    <row r="109" spans="8:18" x14ac:dyDescent="0.25">
      <c r="H109" s="1"/>
      <c r="R109" s="1"/>
    </row>
    <row r="110" spans="8:18" x14ac:dyDescent="0.25">
      <c r="H110" s="1"/>
      <c r="R110" s="1"/>
    </row>
    <row r="111" spans="8:18" x14ac:dyDescent="0.25">
      <c r="H111" s="1"/>
      <c r="R111" s="1"/>
    </row>
    <row r="112" spans="8:18" x14ac:dyDescent="0.25">
      <c r="H112" s="1"/>
      <c r="R112" s="1"/>
    </row>
    <row r="113" spans="8:18" x14ac:dyDescent="0.25">
      <c r="H113" s="1"/>
      <c r="R113" s="1"/>
    </row>
    <row r="114" spans="8:18" x14ac:dyDescent="0.25">
      <c r="H114" s="1"/>
      <c r="R114" s="1"/>
    </row>
    <row r="115" spans="8:18" x14ac:dyDescent="0.25">
      <c r="H115" s="1"/>
      <c r="R115" s="1"/>
    </row>
    <row r="116" spans="8:18" x14ac:dyDescent="0.25">
      <c r="H116" s="1"/>
      <c r="R116" s="1"/>
    </row>
    <row r="117" spans="8:18" x14ac:dyDescent="0.25">
      <c r="H117" s="1"/>
      <c r="R117" s="1"/>
    </row>
    <row r="118" spans="8:18" x14ac:dyDescent="0.25">
      <c r="H118" s="1"/>
      <c r="R118" s="1"/>
    </row>
    <row r="119" spans="8:18" x14ac:dyDescent="0.25">
      <c r="H119" s="1"/>
      <c r="R119" s="1"/>
    </row>
    <row r="120" spans="8:18" x14ac:dyDescent="0.25">
      <c r="H120" s="1"/>
      <c r="R120" s="1"/>
    </row>
    <row r="121" spans="8:18" x14ac:dyDescent="0.25">
      <c r="H121" s="1"/>
      <c r="R121" s="1"/>
    </row>
    <row r="122" spans="8:18" x14ac:dyDescent="0.25">
      <c r="H122" s="1"/>
      <c r="R122" s="1"/>
    </row>
    <row r="123" spans="8:18" x14ac:dyDescent="0.25">
      <c r="H123" s="1"/>
      <c r="R123" s="1"/>
    </row>
    <row r="124" spans="8:18" x14ac:dyDescent="0.25">
      <c r="H124" s="1"/>
      <c r="R124" s="1"/>
    </row>
    <row r="125" spans="8:18" x14ac:dyDescent="0.25">
      <c r="H125" s="1"/>
      <c r="R125" s="1"/>
    </row>
    <row r="126" spans="8:18" x14ac:dyDescent="0.25">
      <c r="H126" s="1"/>
      <c r="R126" s="1"/>
    </row>
    <row r="127" spans="8:18" x14ac:dyDescent="0.25">
      <c r="H127" s="1"/>
      <c r="R127" s="1"/>
    </row>
    <row r="128" spans="8:18" x14ac:dyDescent="0.25">
      <c r="H128" s="1"/>
      <c r="R128" s="1"/>
    </row>
    <row r="129" spans="8:18" x14ac:dyDescent="0.25">
      <c r="H129" s="1"/>
      <c r="R129" s="1"/>
    </row>
    <row r="130" spans="8:18" x14ac:dyDescent="0.25">
      <c r="H130" s="1"/>
      <c r="R130" s="1"/>
    </row>
    <row r="131" spans="8:18" x14ac:dyDescent="0.25">
      <c r="H131" s="1"/>
      <c r="R131" s="1"/>
    </row>
    <row r="132" spans="8:18" x14ac:dyDescent="0.25">
      <c r="H132" s="1"/>
      <c r="R132" s="1"/>
    </row>
    <row r="133" spans="8:18" x14ac:dyDescent="0.25">
      <c r="H133" s="1"/>
      <c r="R133" s="1"/>
    </row>
    <row r="134" spans="8:18" x14ac:dyDescent="0.25">
      <c r="H134" s="1"/>
      <c r="R134" s="1"/>
    </row>
    <row r="135" spans="8:18" x14ac:dyDescent="0.25">
      <c r="H135" s="1"/>
      <c r="R135" s="1"/>
    </row>
    <row r="136" spans="8:18" x14ac:dyDescent="0.25">
      <c r="H136" s="1"/>
      <c r="R136" s="1"/>
    </row>
    <row r="137" spans="8:18" x14ac:dyDescent="0.25">
      <c r="H137" s="1"/>
      <c r="R137" s="1"/>
    </row>
    <row r="138" spans="8:18" x14ac:dyDescent="0.25">
      <c r="H138" s="1"/>
      <c r="R138" s="1"/>
    </row>
    <row r="139" spans="8:18" x14ac:dyDescent="0.25">
      <c r="H139" s="1"/>
      <c r="R139" s="1"/>
    </row>
    <row r="140" spans="8:18" x14ac:dyDescent="0.25">
      <c r="H140" s="1"/>
      <c r="R140" s="1"/>
    </row>
    <row r="141" spans="8:18" x14ac:dyDescent="0.25">
      <c r="H141" s="1"/>
      <c r="R141" s="1"/>
    </row>
    <row r="142" spans="8:18" x14ac:dyDescent="0.25">
      <c r="H142" s="1"/>
      <c r="R142" s="1"/>
    </row>
    <row r="143" spans="8:18" x14ac:dyDescent="0.25">
      <c r="H143" s="1"/>
      <c r="R143" s="1"/>
    </row>
    <row r="144" spans="8:18" x14ac:dyDescent="0.25">
      <c r="H144" s="1"/>
      <c r="R144" s="1"/>
    </row>
    <row r="145" spans="8:18" x14ac:dyDescent="0.25">
      <c r="H145" s="1"/>
      <c r="R145" s="1"/>
    </row>
    <row r="146" spans="8:18" x14ac:dyDescent="0.25">
      <c r="H146" s="1"/>
      <c r="R146" s="1"/>
    </row>
    <row r="147" spans="8:18" x14ac:dyDescent="0.25">
      <c r="H147" s="1"/>
      <c r="R147" s="1"/>
    </row>
    <row r="148" spans="8:18" x14ac:dyDescent="0.25">
      <c r="H148" s="1"/>
      <c r="R148" s="1"/>
    </row>
    <row r="149" spans="8:18" x14ac:dyDescent="0.25">
      <c r="H149" s="1"/>
      <c r="R149" s="1"/>
    </row>
    <row r="150" spans="8:18" x14ac:dyDescent="0.25">
      <c r="H150" s="1"/>
      <c r="R150" s="1"/>
    </row>
    <row r="151" spans="8:18" x14ac:dyDescent="0.25">
      <c r="H151" s="1"/>
      <c r="R151" s="1"/>
    </row>
    <row r="152" spans="8:18" x14ac:dyDescent="0.25">
      <c r="H152" s="1"/>
      <c r="R152" s="1"/>
    </row>
    <row r="153" spans="8:18" x14ac:dyDescent="0.25">
      <c r="H153" s="1"/>
      <c r="R153" s="1"/>
    </row>
    <row r="154" spans="8:18" x14ac:dyDescent="0.25">
      <c r="H154" s="1"/>
      <c r="R154" s="1"/>
    </row>
    <row r="155" spans="8:18" x14ac:dyDescent="0.25">
      <c r="H155" s="1"/>
      <c r="R155" s="1"/>
    </row>
    <row r="156" spans="8:18" x14ac:dyDescent="0.25">
      <c r="H156" s="1"/>
      <c r="R156" s="1"/>
    </row>
    <row r="157" spans="8:18" x14ac:dyDescent="0.25">
      <c r="H157" s="1"/>
      <c r="R157" s="1"/>
    </row>
    <row r="158" spans="8:18" x14ac:dyDescent="0.25">
      <c r="H158" s="1"/>
      <c r="R158" s="1"/>
    </row>
    <row r="159" spans="8:18" x14ac:dyDescent="0.25">
      <c r="H159" s="1"/>
      <c r="R159" s="1"/>
    </row>
    <row r="160" spans="8:18" x14ac:dyDescent="0.25">
      <c r="H160" s="1"/>
      <c r="R160" s="1"/>
    </row>
    <row r="161" spans="8:18" x14ac:dyDescent="0.25">
      <c r="H161" s="1"/>
      <c r="R161" s="1"/>
    </row>
    <row r="162" spans="8:18" x14ac:dyDescent="0.25">
      <c r="H162" s="1"/>
      <c r="R162" s="1"/>
    </row>
    <row r="163" spans="8:18" x14ac:dyDescent="0.25">
      <c r="H163" s="1"/>
      <c r="R163" s="1"/>
    </row>
    <row r="164" spans="8:18" x14ac:dyDescent="0.25">
      <c r="H164" s="1"/>
      <c r="R164" s="1"/>
    </row>
    <row r="165" spans="8:18" x14ac:dyDescent="0.25">
      <c r="H165" s="1"/>
      <c r="R165" s="1"/>
    </row>
    <row r="166" spans="8:18" x14ac:dyDescent="0.25">
      <c r="H166" s="1"/>
      <c r="R166" s="1"/>
    </row>
    <row r="167" spans="8:18" x14ac:dyDescent="0.25">
      <c r="H167" s="1"/>
      <c r="R167" s="1"/>
    </row>
    <row r="168" spans="8:18" x14ac:dyDescent="0.25">
      <c r="H168" s="1"/>
      <c r="R168" s="1"/>
    </row>
    <row r="169" spans="8:18" x14ac:dyDescent="0.25">
      <c r="H169" s="1"/>
      <c r="R169" s="1"/>
    </row>
    <row r="170" spans="8:18" x14ac:dyDescent="0.25">
      <c r="H170" s="1"/>
      <c r="R170" s="1"/>
    </row>
    <row r="171" spans="8:18" x14ac:dyDescent="0.25">
      <c r="H171" s="1"/>
      <c r="R171" s="1"/>
    </row>
    <row r="172" spans="8:18" x14ac:dyDescent="0.25">
      <c r="H172" s="1"/>
      <c r="R172" s="1"/>
    </row>
    <row r="173" spans="8:18" x14ac:dyDescent="0.25">
      <c r="H173" s="1"/>
      <c r="R173" s="1"/>
    </row>
    <row r="174" spans="8:18" x14ac:dyDescent="0.25">
      <c r="H174" s="1"/>
      <c r="R174" s="1"/>
    </row>
    <row r="175" spans="8:18" x14ac:dyDescent="0.25">
      <c r="H175" s="1"/>
      <c r="R175" s="1"/>
    </row>
    <row r="176" spans="8:18" x14ac:dyDescent="0.25">
      <c r="H176" s="1"/>
      <c r="R176" s="1"/>
    </row>
    <row r="177" spans="8:18" x14ac:dyDescent="0.25">
      <c r="H177" s="1"/>
      <c r="R177" s="1"/>
    </row>
    <row r="178" spans="8:18" x14ac:dyDescent="0.25">
      <c r="H178" s="1"/>
      <c r="R178" s="1"/>
    </row>
    <row r="179" spans="8:18" x14ac:dyDescent="0.25">
      <c r="H179" s="1"/>
      <c r="R179" s="1"/>
    </row>
    <row r="180" spans="8:18" x14ac:dyDescent="0.25">
      <c r="H180" s="1"/>
      <c r="R180" s="1"/>
    </row>
    <row r="181" spans="8:18" x14ac:dyDescent="0.25">
      <c r="H181" s="1"/>
      <c r="R181" s="1"/>
    </row>
    <row r="182" spans="8:18" x14ac:dyDescent="0.25">
      <c r="H182" s="1"/>
      <c r="R182" s="1"/>
    </row>
    <row r="183" spans="8:18" x14ac:dyDescent="0.25">
      <c r="H183" s="1"/>
      <c r="R183" s="1"/>
    </row>
    <row r="184" spans="8:18" x14ac:dyDescent="0.25">
      <c r="H184" s="1"/>
      <c r="R184" s="1"/>
    </row>
    <row r="185" spans="8:18" x14ac:dyDescent="0.25">
      <c r="H185" s="1"/>
      <c r="R185" s="1"/>
    </row>
    <row r="186" spans="8:18" x14ac:dyDescent="0.25">
      <c r="H186" s="1"/>
      <c r="R186" s="1"/>
    </row>
    <row r="187" spans="8:18" x14ac:dyDescent="0.25">
      <c r="H187" s="1"/>
      <c r="R187" s="1"/>
    </row>
    <row r="188" spans="8:18" x14ac:dyDescent="0.25">
      <c r="H188" s="1"/>
      <c r="R188" s="1"/>
    </row>
    <row r="189" spans="8:18" x14ac:dyDescent="0.25">
      <c r="H189" s="1"/>
      <c r="R189" s="1"/>
    </row>
    <row r="190" spans="8:18" x14ac:dyDescent="0.25">
      <c r="H190" s="1"/>
      <c r="R190" s="1"/>
    </row>
    <row r="191" spans="8:18" x14ac:dyDescent="0.25">
      <c r="H191" s="1"/>
      <c r="R191" s="1"/>
    </row>
    <row r="192" spans="8:18" x14ac:dyDescent="0.25">
      <c r="H192" s="1"/>
      <c r="R192" s="1"/>
    </row>
    <row r="193" spans="8:18" x14ac:dyDescent="0.25">
      <c r="H193" s="1"/>
      <c r="R193" s="1"/>
    </row>
    <row r="194" spans="8:18" x14ac:dyDescent="0.25">
      <c r="H194" s="1"/>
      <c r="R194" s="1"/>
    </row>
    <row r="195" spans="8:18" x14ac:dyDescent="0.25">
      <c r="H195" s="1"/>
      <c r="R195" s="1"/>
    </row>
    <row r="196" spans="8:18" x14ac:dyDescent="0.25">
      <c r="H196" s="1"/>
      <c r="R196" s="1"/>
    </row>
    <row r="197" spans="8:18" x14ac:dyDescent="0.25">
      <c r="H197" s="1"/>
      <c r="R197" s="1"/>
    </row>
    <row r="198" spans="8:18" x14ac:dyDescent="0.25">
      <c r="H198" s="1"/>
      <c r="R198" s="1"/>
    </row>
    <row r="199" spans="8:18" x14ac:dyDescent="0.25">
      <c r="H199" s="1"/>
      <c r="R199" s="1"/>
    </row>
    <row r="200" spans="8:18" x14ac:dyDescent="0.25">
      <c r="H200" s="1"/>
      <c r="R200" s="1"/>
    </row>
    <row r="201" spans="8:18" x14ac:dyDescent="0.25">
      <c r="H201" s="1"/>
      <c r="R201" s="1"/>
    </row>
    <row r="202" spans="8:18" x14ac:dyDescent="0.25">
      <c r="H202" s="1"/>
      <c r="R202" s="1"/>
    </row>
    <row r="203" spans="8:18" x14ac:dyDescent="0.25">
      <c r="H203" s="1"/>
      <c r="R203" s="1"/>
    </row>
    <row r="204" spans="8:18" x14ac:dyDescent="0.25">
      <c r="H204" s="1"/>
      <c r="R204" s="1"/>
    </row>
    <row r="205" spans="8:18" x14ac:dyDescent="0.25">
      <c r="H205" s="1"/>
      <c r="R205" s="1"/>
    </row>
    <row r="206" spans="8:18" x14ac:dyDescent="0.25">
      <c r="H206" s="1"/>
      <c r="R206" s="1"/>
    </row>
    <row r="207" spans="8:18" x14ac:dyDescent="0.25">
      <c r="H207" s="1"/>
      <c r="R207" s="1"/>
    </row>
    <row r="208" spans="8:18" x14ac:dyDescent="0.25">
      <c r="H208" s="1"/>
      <c r="R208" s="1"/>
    </row>
    <row r="209" spans="8:18" x14ac:dyDescent="0.25">
      <c r="H209" s="1"/>
      <c r="R209" s="1"/>
    </row>
    <row r="210" spans="8:18" x14ac:dyDescent="0.25">
      <c r="H210" s="1"/>
      <c r="R210" s="1"/>
    </row>
    <row r="211" spans="8:18" x14ac:dyDescent="0.25">
      <c r="H211" s="1"/>
      <c r="R211" s="1"/>
    </row>
    <row r="212" spans="8:18" x14ac:dyDescent="0.25">
      <c r="H212" s="1"/>
      <c r="R212" s="1"/>
    </row>
    <row r="213" spans="8:18" x14ac:dyDescent="0.25">
      <c r="H213" s="1"/>
      <c r="R213" s="1"/>
    </row>
    <row r="214" spans="8:18" x14ac:dyDescent="0.25">
      <c r="H214" s="1"/>
      <c r="R214" s="1"/>
    </row>
    <row r="215" spans="8:18" x14ac:dyDescent="0.25">
      <c r="H215" s="1"/>
      <c r="R215" s="1"/>
    </row>
    <row r="216" spans="8:18" x14ac:dyDescent="0.25">
      <c r="H216" s="1"/>
      <c r="R216" s="1"/>
    </row>
    <row r="217" spans="8:18" x14ac:dyDescent="0.25">
      <c r="H217" s="1"/>
      <c r="R217" s="1"/>
    </row>
    <row r="218" spans="8:18" x14ac:dyDescent="0.25">
      <c r="H218" s="1"/>
      <c r="R218" s="1"/>
    </row>
    <row r="219" spans="8:18" x14ac:dyDescent="0.25">
      <c r="H219" s="1"/>
      <c r="R219" s="1"/>
    </row>
    <row r="220" spans="8:18" x14ac:dyDescent="0.25">
      <c r="H220" s="1"/>
      <c r="R220" s="1"/>
    </row>
    <row r="221" spans="8:18" x14ac:dyDescent="0.25">
      <c r="H221" s="1"/>
      <c r="R221" s="1"/>
    </row>
    <row r="222" spans="8:18" x14ac:dyDescent="0.25">
      <c r="H222" s="1"/>
      <c r="R222" s="1"/>
    </row>
    <row r="223" spans="8:18" x14ac:dyDescent="0.25">
      <c r="H223" s="1"/>
      <c r="R223" s="1"/>
    </row>
    <row r="224" spans="8:18" x14ac:dyDescent="0.25">
      <c r="H224" s="1"/>
      <c r="R224" s="1"/>
    </row>
    <row r="225" spans="8:18" x14ac:dyDescent="0.25">
      <c r="H225" s="1"/>
      <c r="R225" s="1"/>
    </row>
    <row r="226" spans="8:18" x14ac:dyDescent="0.25">
      <c r="H226" s="1"/>
      <c r="R226" s="1"/>
    </row>
    <row r="227" spans="8:18" x14ac:dyDescent="0.25">
      <c r="H227" s="1"/>
      <c r="R227" s="1"/>
    </row>
    <row r="228" spans="8:18" x14ac:dyDescent="0.25">
      <c r="H228" s="1"/>
      <c r="R228" s="1"/>
    </row>
    <row r="229" spans="8:18" x14ac:dyDescent="0.25">
      <c r="H229" s="1"/>
      <c r="R229" s="1"/>
    </row>
    <row r="230" spans="8:18" x14ac:dyDescent="0.25">
      <c r="H230" s="1"/>
      <c r="R230" s="1"/>
    </row>
    <row r="231" spans="8:18" x14ac:dyDescent="0.25">
      <c r="H231" s="1"/>
      <c r="R231" s="1"/>
    </row>
    <row r="232" spans="8:18" x14ac:dyDescent="0.25">
      <c r="H232" s="1"/>
      <c r="R232" s="1"/>
    </row>
    <row r="233" spans="8:18" x14ac:dyDescent="0.25">
      <c r="H233" s="1"/>
      <c r="R233" s="1"/>
    </row>
    <row r="234" spans="8:18" x14ac:dyDescent="0.25">
      <c r="H234" s="1"/>
      <c r="R234" s="1"/>
    </row>
    <row r="235" spans="8:18" x14ac:dyDescent="0.25">
      <c r="H235" s="1"/>
      <c r="R235" s="1"/>
    </row>
    <row r="236" spans="8:18" x14ac:dyDescent="0.25">
      <c r="H236" s="1"/>
      <c r="R236" s="1"/>
    </row>
    <row r="237" spans="8:18" x14ac:dyDescent="0.25">
      <c r="H237" s="1"/>
      <c r="R237" s="1"/>
    </row>
    <row r="238" spans="8:18" x14ac:dyDescent="0.25">
      <c r="H238" s="1"/>
      <c r="R238" s="1"/>
    </row>
    <row r="239" spans="8:18" x14ac:dyDescent="0.25">
      <c r="H239" s="1"/>
      <c r="R239" s="1"/>
    </row>
    <row r="240" spans="8:18" x14ac:dyDescent="0.25">
      <c r="H240" s="1"/>
      <c r="R240" s="1"/>
    </row>
    <row r="241" spans="8:18" x14ac:dyDescent="0.25">
      <c r="H241" s="1"/>
      <c r="R241" s="1"/>
    </row>
    <row r="242" spans="8:18" x14ac:dyDescent="0.25">
      <c r="H242" s="1"/>
      <c r="R242" s="1"/>
    </row>
    <row r="243" spans="8:18" x14ac:dyDescent="0.25">
      <c r="H243" s="1"/>
      <c r="R243" s="1"/>
    </row>
    <row r="244" spans="8:18" x14ac:dyDescent="0.25">
      <c r="H244" s="1"/>
      <c r="R244" s="1"/>
    </row>
    <row r="245" spans="8:18" x14ac:dyDescent="0.25">
      <c r="H245" s="1"/>
      <c r="R245" s="1"/>
    </row>
    <row r="246" spans="8:18" x14ac:dyDescent="0.25">
      <c r="H246" s="1"/>
      <c r="R246" s="1"/>
    </row>
    <row r="247" spans="8:18" x14ac:dyDescent="0.25">
      <c r="H247" s="1"/>
      <c r="R247" s="1"/>
    </row>
    <row r="248" spans="8:18" x14ac:dyDescent="0.25">
      <c r="H248" s="1"/>
      <c r="R248" s="1"/>
    </row>
    <row r="249" spans="8:18" x14ac:dyDescent="0.25">
      <c r="H249" s="1"/>
      <c r="R249" s="1"/>
    </row>
    <row r="250" spans="8:18" x14ac:dyDescent="0.25">
      <c r="H250" s="1"/>
      <c r="R250" s="1"/>
    </row>
    <row r="251" spans="8:18" x14ac:dyDescent="0.25">
      <c r="H251" s="1"/>
      <c r="R251" s="1"/>
    </row>
    <row r="252" spans="8:18" x14ac:dyDescent="0.25">
      <c r="H252" s="1"/>
      <c r="R252" s="1"/>
    </row>
    <row r="253" spans="8:18" x14ac:dyDescent="0.25">
      <c r="H253" s="1"/>
      <c r="R253" s="1"/>
    </row>
    <row r="254" spans="8:18" x14ac:dyDescent="0.25">
      <c r="H254" s="1"/>
      <c r="R254" s="1"/>
    </row>
    <row r="255" spans="8:18" x14ac:dyDescent="0.25">
      <c r="H255" s="1"/>
      <c r="R255" s="1"/>
    </row>
    <row r="256" spans="8:18" x14ac:dyDescent="0.25">
      <c r="H256" s="1"/>
      <c r="R256" s="1"/>
    </row>
    <row r="257" spans="8:18" x14ac:dyDescent="0.25">
      <c r="H257" s="1"/>
      <c r="R257" s="1"/>
    </row>
    <row r="258" spans="8:18" x14ac:dyDescent="0.25">
      <c r="H258" s="1"/>
      <c r="R258" s="1"/>
    </row>
    <row r="259" spans="8:18" x14ac:dyDescent="0.25">
      <c r="H259" s="1"/>
      <c r="R259" s="1"/>
    </row>
    <row r="260" spans="8:18" x14ac:dyDescent="0.25">
      <c r="H260" s="1"/>
      <c r="R260" s="1"/>
    </row>
    <row r="261" spans="8:18" x14ac:dyDescent="0.25">
      <c r="H261" s="1"/>
      <c r="R261" s="1"/>
    </row>
    <row r="262" spans="8:18" x14ac:dyDescent="0.25">
      <c r="H262" s="1"/>
      <c r="R262" s="1"/>
    </row>
    <row r="263" spans="8:18" x14ac:dyDescent="0.25">
      <c r="H263" s="1"/>
      <c r="R263" s="1"/>
    </row>
    <row r="264" spans="8:18" x14ac:dyDescent="0.25">
      <c r="H264" s="1"/>
      <c r="R264" s="1"/>
    </row>
    <row r="265" spans="8:18" x14ac:dyDescent="0.25">
      <c r="H265" s="1"/>
      <c r="R265" s="1"/>
    </row>
    <row r="266" spans="8:18" x14ac:dyDescent="0.25">
      <c r="H266" s="1"/>
      <c r="R266" s="1"/>
    </row>
    <row r="267" spans="8:18" x14ac:dyDescent="0.25">
      <c r="H267" s="1"/>
      <c r="R267" s="1"/>
    </row>
    <row r="268" spans="8:18" x14ac:dyDescent="0.25">
      <c r="H268" s="1"/>
      <c r="R268" s="1"/>
    </row>
    <row r="269" spans="8:18" x14ac:dyDescent="0.25">
      <c r="H269" s="1"/>
      <c r="R269" s="1"/>
    </row>
    <row r="270" spans="8:18" x14ac:dyDescent="0.25">
      <c r="H270" s="1"/>
      <c r="R270" s="1"/>
    </row>
    <row r="271" spans="8:18" x14ac:dyDescent="0.25">
      <c r="H271" s="1"/>
      <c r="R271" s="1"/>
    </row>
    <row r="272" spans="8:18" x14ac:dyDescent="0.25">
      <c r="H272" s="1"/>
      <c r="R272" s="1"/>
    </row>
    <row r="273" spans="8:18" x14ac:dyDescent="0.25">
      <c r="H273" s="1"/>
      <c r="R273" s="1"/>
    </row>
    <row r="274" spans="8:18" x14ac:dyDescent="0.25">
      <c r="H274" s="1"/>
      <c r="R274" s="1"/>
    </row>
    <row r="275" spans="8:18" x14ac:dyDescent="0.25">
      <c r="H275" s="1"/>
      <c r="R275" s="1"/>
    </row>
    <row r="276" spans="8:18" x14ac:dyDescent="0.25">
      <c r="H276" s="1"/>
      <c r="R276" s="1"/>
    </row>
    <row r="277" spans="8:18" x14ac:dyDescent="0.25">
      <c r="H277" s="1"/>
      <c r="R277" s="1"/>
    </row>
    <row r="278" spans="8:18" x14ac:dyDescent="0.25">
      <c r="H278" s="1"/>
      <c r="R278" s="1"/>
    </row>
    <row r="279" spans="8:18" x14ac:dyDescent="0.25">
      <c r="H279" s="1"/>
      <c r="R279" s="1"/>
    </row>
    <row r="280" spans="8:18" x14ac:dyDescent="0.25">
      <c r="H280" s="1"/>
      <c r="R280" s="1"/>
    </row>
    <row r="281" spans="8:18" x14ac:dyDescent="0.25">
      <c r="H281" s="1"/>
      <c r="R281" s="1"/>
    </row>
    <row r="282" spans="8:18" x14ac:dyDescent="0.25">
      <c r="H282" s="1"/>
      <c r="R282" s="1"/>
    </row>
    <row r="283" spans="8:18" x14ac:dyDescent="0.25">
      <c r="H283" s="1"/>
      <c r="R283" s="1"/>
    </row>
    <row r="284" spans="8:18" x14ac:dyDescent="0.25">
      <c r="H284" s="1"/>
      <c r="R284" s="1"/>
    </row>
    <row r="285" spans="8:18" x14ac:dyDescent="0.25">
      <c r="H285" s="1"/>
      <c r="R285" s="1"/>
    </row>
    <row r="286" spans="8:18" x14ac:dyDescent="0.25">
      <c r="H286" s="1"/>
      <c r="R286" s="1"/>
    </row>
    <row r="287" spans="8:18" x14ac:dyDescent="0.25">
      <c r="H287" s="1"/>
      <c r="R287" s="1"/>
    </row>
    <row r="288" spans="8:18" x14ac:dyDescent="0.25">
      <c r="H288" s="1"/>
      <c r="R288" s="1"/>
    </row>
    <row r="289" spans="8:18" x14ac:dyDescent="0.25">
      <c r="H289" s="1"/>
      <c r="R289" s="1"/>
    </row>
    <row r="290" spans="8:18" x14ac:dyDescent="0.25">
      <c r="H290" s="1"/>
      <c r="R290" s="1"/>
    </row>
    <row r="291" spans="8:18" x14ac:dyDescent="0.25">
      <c r="H291" s="1"/>
      <c r="R291" s="1"/>
    </row>
    <row r="292" spans="8:18" x14ac:dyDescent="0.25">
      <c r="H292" s="1"/>
      <c r="R292" s="1"/>
    </row>
    <row r="293" spans="8:18" x14ac:dyDescent="0.25">
      <c r="H293" s="1"/>
      <c r="R293" s="1"/>
    </row>
    <row r="294" spans="8:18" x14ac:dyDescent="0.25">
      <c r="H294" s="1"/>
      <c r="R294" s="1"/>
    </row>
    <row r="295" spans="8:18" x14ac:dyDescent="0.25">
      <c r="H295" s="1"/>
      <c r="R295" s="1"/>
    </row>
    <row r="296" spans="8:18" x14ac:dyDescent="0.25">
      <c r="H296" s="1"/>
      <c r="R296" s="1"/>
    </row>
    <row r="297" spans="8:18" x14ac:dyDescent="0.25">
      <c r="H297" s="1"/>
      <c r="R297" s="1"/>
    </row>
    <row r="298" spans="8:18" x14ac:dyDescent="0.25">
      <c r="H298" s="1"/>
      <c r="R298" s="1"/>
    </row>
    <row r="299" spans="8:18" x14ac:dyDescent="0.25">
      <c r="H299" s="1"/>
      <c r="R299" s="1"/>
    </row>
    <row r="300" spans="8:18" x14ac:dyDescent="0.25">
      <c r="H300" s="1"/>
      <c r="R300" s="1"/>
    </row>
    <row r="301" spans="8:18" x14ac:dyDescent="0.25">
      <c r="H301" s="1"/>
      <c r="R301" s="1"/>
    </row>
    <row r="302" spans="8:18" x14ac:dyDescent="0.25">
      <c r="H302" s="1"/>
      <c r="R302" s="1"/>
    </row>
    <row r="303" spans="8:18" x14ac:dyDescent="0.25">
      <c r="H303" s="1"/>
      <c r="R303" s="1"/>
    </row>
    <row r="304" spans="8:18" x14ac:dyDescent="0.25">
      <c r="H304" s="1"/>
      <c r="R304" s="1"/>
    </row>
    <row r="305" spans="8:18" x14ac:dyDescent="0.25">
      <c r="H305" s="1"/>
      <c r="R305" s="1"/>
    </row>
    <row r="306" spans="8:18" x14ac:dyDescent="0.25">
      <c r="H306" s="1"/>
      <c r="R306" s="1"/>
    </row>
    <row r="307" spans="8:18" x14ac:dyDescent="0.25">
      <c r="H307" s="1"/>
      <c r="R307" s="1"/>
    </row>
    <row r="308" spans="8:18" x14ac:dyDescent="0.25">
      <c r="H308" s="1"/>
      <c r="R308" s="1"/>
    </row>
    <row r="309" spans="8:18" x14ac:dyDescent="0.25">
      <c r="H309" s="1"/>
      <c r="R309" s="1"/>
    </row>
    <row r="310" spans="8:18" x14ac:dyDescent="0.25">
      <c r="H310" s="1"/>
      <c r="R310" s="1"/>
    </row>
    <row r="311" spans="8:18" x14ac:dyDescent="0.25">
      <c r="H311" s="1"/>
      <c r="R311" s="1"/>
    </row>
    <row r="312" spans="8:18" x14ac:dyDescent="0.25">
      <c r="H312" s="1"/>
      <c r="R312" s="1"/>
    </row>
    <row r="313" spans="8:18" x14ac:dyDescent="0.25">
      <c r="H313" s="1"/>
      <c r="R313" s="1"/>
    </row>
    <row r="314" spans="8:18" x14ac:dyDescent="0.25">
      <c r="H314" s="1"/>
      <c r="R314" s="1"/>
    </row>
    <row r="315" spans="8:18" x14ac:dyDescent="0.25">
      <c r="H315" s="1"/>
      <c r="R315" s="1"/>
    </row>
    <row r="316" spans="8:18" x14ac:dyDescent="0.25">
      <c r="H316" s="1"/>
      <c r="R316" s="1"/>
    </row>
    <row r="317" spans="8:18" x14ac:dyDescent="0.25">
      <c r="H317" s="1"/>
      <c r="R317" s="1"/>
    </row>
    <row r="318" spans="8:18" x14ac:dyDescent="0.25">
      <c r="H318" s="1"/>
      <c r="R318" s="1"/>
    </row>
    <row r="319" spans="8:18" x14ac:dyDescent="0.25">
      <c r="H319" s="1"/>
      <c r="R319" s="1"/>
    </row>
    <row r="320" spans="8:18" x14ac:dyDescent="0.25">
      <c r="H320" s="1"/>
      <c r="R320" s="1"/>
    </row>
    <row r="321" spans="8:18" x14ac:dyDescent="0.25">
      <c r="H321" s="1"/>
      <c r="R321" s="1"/>
    </row>
    <row r="322" spans="8:18" x14ac:dyDescent="0.25">
      <c r="H322" s="1"/>
      <c r="R322" s="1"/>
    </row>
    <row r="323" spans="8:18" x14ac:dyDescent="0.25">
      <c r="H323" s="1"/>
      <c r="R323" s="1"/>
    </row>
    <row r="324" spans="8:18" x14ac:dyDescent="0.25">
      <c r="H324" s="1"/>
      <c r="R324" s="1"/>
    </row>
    <row r="325" spans="8:18" x14ac:dyDescent="0.25">
      <c r="H325" s="1"/>
      <c r="R325" s="1"/>
    </row>
    <row r="326" spans="8:18" x14ac:dyDescent="0.25">
      <c r="H326" s="1"/>
      <c r="R326" s="1"/>
    </row>
    <row r="327" spans="8:18" x14ac:dyDescent="0.25">
      <c r="H327" s="1"/>
      <c r="R327" s="1"/>
    </row>
    <row r="328" spans="8:18" x14ac:dyDescent="0.25">
      <c r="H328" s="1"/>
      <c r="R328" s="1"/>
    </row>
    <row r="329" spans="8:18" x14ac:dyDescent="0.25">
      <c r="H329" s="1"/>
      <c r="R329" s="1"/>
    </row>
    <row r="330" spans="8:18" x14ac:dyDescent="0.25">
      <c r="H330" s="1"/>
      <c r="R330" s="1"/>
    </row>
    <row r="331" spans="8:18" x14ac:dyDescent="0.25">
      <c r="H331" s="1"/>
      <c r="R331" s="1"/>
    </row>
    <row r="332" spans="8:18" x14ac:dyDescent="0.25">
      <c r="H332" s="1"/>
      <c r="R332" s="1"/>
    </row>
    <row r="333" spans="8:18" x14ac:dyDescent="0.25">
      <c r="H333" s="1"/>
      <c r="R333" s="1"/>
    </row>
    <row r="334" spans="8:18" x14ac:dyDescent="0.25">
      <c r="H334" s="1"/>
      <c r="R334" s="1"/>
    </row>
    <row r="335" spans="8:18" x14ac:dyDescent="0.25">
      <c r="H335" s="1"/>
      <c r="R335" s="1"/>
    </row>
    <row r="336" spans="8:18" x14ac:dyDescent="0.25">
      <c r="H336" s="1"/>
      <c r="R336" s="1"/>
    </row>
    <row r="337" spans="8:18" x14ac:dyDescent="0.25">
      <c r="H337" s="1"/>
      <c r="R337" s="1"/>
    </row>
    <row r="338" spans="8:18" x14ac:dyDescent="0.25">
      <c r="H338" s="1"/>
      <c r="R338" s="1"/>
    </row>
    <row r="339" spans="8:18" x14ac:dyDescent="0.25">
      <c r="H339" s="1"/>
      <c r="R339" s="1"/>
    </row>
    <row r="340" spans="8:18" x14ac:dyDescent="0.25">
      <c r="H340" s="1"/>
      <c r="R340" s="1"/>
    </row>
    <row r="341" spans="8:18" x14ac:dyDescent="0.25">
      <c r="H341" s="1"/>
      <c r="R341" s="1"/>
    </row>
    <row r="342" spans="8:18" x14ac:dyDescent="0.25">
      <c r="H342" s="1"/>
      <c r="R342" s="1"/>
    </row>
    <row r="343" spans="8:18" x14ac:dyDescent="0.25">
      <c r="H343" s="1"/>
      <c r="R343" s="1"/>
    </row>
    <row r="344" spans="8:18" x14ac:dyDescent="0.25">
      <c r="H344" s="1"/>
      <c r="R344" s="1"/>
    </row>
    <row r="345" spans="8:18" x14ac:dyDescent="0.25">
      <c r="H345" s="1"/>
      <c r="R345" s="1"/>
    </row>
    <row r="346" spans="8:18" x14ac:dyDescent="0.25">
      <c r="H346" s="1"/>
      <c r="R346" s="1"/>
    </row>
    <row r="347" spans="8:18" x14ac:dyDescent="0.25">
      <c r="H347" s="1"/>
      <c r="R347" s="1"/>
    </row>
    <row r="348" spans="8:18" x14ac:dyDescent="0.25">
      <c r="H348" s="1"/>
      <c r="R348" s="1"/>
    </row>
    <row r="349" spans="8:18" x14ac:dyDescent="0.25">
      <c r="H349" s="1"/>
      <c r="R349" s="1"/>
    </row>
    <row r="350" spans="8:18" x14ac:dyDescent="0.25">
      <c r="H350" s="1"/>
      <c r="R350" s="1"/>
    </row>
    <row r="351" spans="8:18" x14ac:dyDescent="0.25">
      <c r="H351" s="1"/>
      <c r="R351" s="1"/>
    </row>
    <row r="352" spans="8:18" x14ac:dyDescent="0.25">
      <c r="H352" s="1"/>
      <c r="R352" s="1"/>
    </row>
    <row r="353" spans="8:18" x14ac:dyDescent="0.25">
      <c r="H353" s="1"/>
      <c r="R353" s="1"/>
    </row>
    <row r="354" spans="8:18" x14ac:dyDescent="0.25">
      <c r="H354" s="1"/>
      <c r="R354" s="1"/>
    </row>
    <row r="355" spans="8:18" x14ac:dyDescent="0.25">
      <c r="H355" s="1"/>
      <c r="R355" s="1"/>
    </row>
    <row r="356" spans="8:18" x14ac:dyDescent="0.25">
      <c r="H356" s="1"/>
      <c r="R356" s="1"/>
    </row>
    <row r="357" spans="8:18" x14ac:dyDescent="0.25">
      <c r="H357" s="1"/>
      <c r="R357" s="1"/>
    </row>
    <row r="358" spans="8:18" x14ac:dyDescent="0.25">
      <c r="H358" s="1"/>
      <c r="R358" s="1"/>
    </row>
    <row r="359" spans="8:18" x14ac:dyDescent="0.25">
      <c r="H359" s="1"/>
      <c r="R359" s="1"/>
    </row>
    <row r="360" spans="8:18" x14ac:dyDescent="0.25">
      <c r="H360" s="1"/>
      <c r="R360" s="1"/>
    </row>
    <row r="361" spans="8:18" x14ac:dyDescent="0.25">
      <c r="H361" s="1"/>
      <c r="R361" s="1"/>
    </row>
    <row r="362" spans="8:18" x14ac:dyDescent="0.25">
      <c r="H362" s="1"/>
      <c r="R362" s="1"/>
    </row>
    <row r="363" spans="8:18" x14ac:dyDescent="0.25">
      <c r="H363" s="1"/>
      <c r="R363" s="1"/>
    </row>
    <row r="364" spans="8:18" x14ac:dyDescent="0.25">
      <c r="H364" s="1"/>
      <c r="R364" s="1"/>
    </row>
    <row r="365" spans="8:18" x14ac:dyDescent="0.25">
      <c r="H365" s="1"/>
      <c r="R365" s="1"/>
    </row>
    <row r="366" spans="8:18" x14ac:dyDescent="0.25">
      <c r="H366" s="1"/>
      <c r="R366" s="1"/>
    </row>
    <row r="367" spans="8:18" x14ac:dyDescent="0.25">
      <c r="H367" s="1"/>
      <c r="R367" s="1"/>
    </row>
    <row r="368" spans="8:18" x14ac:dyDescent="0.25">
      <c r="H368" s="1"/>
      <c r="R368" s="1"/>
    </row>
    <row r="369" spans="8:18" x14ac:dyDescent="0.25">
      <c r="H369" s="1"/>
      <c r="R369" s="1"/>
    </row>
    <row r="370" spans="8:18" x14ac:dyDescent="0.25">
      <c r="H370" s="1"/>
      <c r="R370" s="1"/>
    </row>
    <row r="371" spans="8:18" x14ac:dyDescent="0.25">
      <c r="H371" s="1"/>
      <c r="R371" s="1"/>
    </row>
    <row r="372" spans="8:18" x14ac:dyDescent="0.25">
      <c r="H372" s="1"/>
      <c r="R372" s="1"/>
    </row>
    <row r="373" spans="8:18" x14ac:dyDescent="0.25">
      <c r="H373" s="1"/>
      <c r="R373" s="1"/>
    </row>
    <row r="374" spans="8:18" x14ac:dyDescent="0.25">
      <c r="H374" s="1"/>
      <c r="R374" s="1"/>
    </row>
    <row r="375" spans="8:18" x14ac:dyDescent="0.25">
      <c r="H375" s="1"/>
      <c r="R375" s="1"/>
    </row>
    <row r="376" spans="8:18" x14ac:dyDescent="0.25">
      <c r="H376" s="1"/>
      <c r="R376" s="1"/>
    </row>
    <row r="377" spans="8:18" x14ac:dyDescent="0.25">
      <c r="H377" s="1"/>
      <c r="R377" s="1"/>
    </row>
    <row r="378" spans="8:18" x14ac:dyDescent="0.25">
      <c r="H378" s="1"/>
      <c r="R378" s="1"/>
    </row>
    <row r="379" spans="8:18" x14ac:dyDescent="0.25">
      <c r="H379" s="1"/>
      <c r="R379" s="1"/>
    </row>
    <row r="380" spans="8:18" x14ac:dyDescent="0.25">
      <c r="H380" s="1"/>
      <c r="R380" s="1"/>
    </row>
    <row r="381" spans="8:18" x14ac:dyDescent="0.25">
      <c r="H381" s="1"/>
      <c r="R381" s="1"/>
    </row>
    <row r="382" spans="8:18" x14ac:dyDescent="0.25">
      <c r="H382" s="1"/>
      <c r="R382" s="1"/>
    </row>
    <row r="383" spans="8:18" x14ac:dyDescent="0.25">
      <c r="H383" s="1"/>
      <c r="R383" s="1"/>
    </row>
    <row r="384" spans="8:18" x14ac:dyDescent="0.25">
      <c r="H384" s="1"/>
      <c r="R384" s="1"/>
    </row>
    <row r="385" spans="8:18" x14ac:dyDescent="0.25">
      <c r="H385" s="1"/>
      <c r="R385" s="1"/>
    </row>
    <row r="386" spans="8:18" x14ac:dyDescent="0.25">
      <c r="H386" s="1"/>
      <c r="R386" s="1"/>
    </row>
    <row r="387" spans="8:18" x14ac:dyDescent="0.25">
      <c r="H387" s="1"/>
      <c r="R387" s="1"/>
    </row>
    <row r="388" spans="8:18" x14ac:dyDescent="0.25">
      <c r="H388" s="1"/>
      <c r="R388" s="1"/>
    </row>
    <row r="389" spans="8:18" x14ac:dyDescent="0.25">
      <c r="H389" s="1"/>
      <c r="R389" s="1"/>
    </row>
    <row r="390" spans="8:18" x14ac:dyDescent="0.25">
      <c r="H390" s="1"/>
      <c r="R390" s="1"/>
    </row>
    <row r="391" spans="8:18" x14ac:dyDescent="0.25">
      <c r="H391" s="1"/>
      <c r="R391" s="1"/>
    </row>
    <row r="392" spans="8:18" x14ac:dyDescent="0.25">
      <c r="H392" s="1"/>
      <c r="R392" s="1"/>
    </row>
    <row r="393" spans="8:18" x14ac:dyDescent="0.25">
      <c r="H393" s="1"/>
      <c r="R393" s="1"/>
    </row>
    <row r="394" spans="8:18" x14ac:dyDescent="0.25">
      <c r="H394" s="1"/>
      <c r="R394" s="1"/>
    </row>
    <row r="395" spans="8:18" x14ac:dyDescent="0.25">
      <c r="H395" s="1"/>
      <c r="R395" s="1"/>
    </row>
    <row r="396" spans="8:18" x14ac:dyDescent="0.25">
      <c r="H396" s="1"/>
      <c r="R396" s="1"/>
    </row>
    <row r="397" spans="8:18" x14ac:dyDescent="0.25">
      <c r="H397" s="1"/>
      <c r="R397" s="1"/>
    </row>
    <row r="398" spans="8:18" x14ac:dyDescent="0.25">
      <c r="H398" s="1"/>
      <c r="R398" s="1"/>
    </row>
    <row r="399" spans="8:18" x14ac:dyDescent="0.25">
      <c r="H399" s="1"/>
      <c r="R399" s="1"/>
    </row>
    <row r="400" spans="8:18" x14ac:dyDescent="0.25">
      <c r="H400" s="1"/>
      <c r="R400" s="1"/>
    </row>
    <row r="401" spans="8:18" x14ac:dyDescent="0.25">
      <c r="H401" s="1"/>
      <c r="R401" s="1"/>
    </row>
    <row r="402" spans="8:18" x14ac:dyDescent="0.25">
      <c r="H402" s="1"/>
      <c r="R402" s="1"/>
    </row>
    <row r="403" spans="8:18" x14ac:dyDescent="0.25">
      <c r="H403" s="1"/>
      <c r="R403" s="1"/>
    </row>
    <row r="404" spans="8:18" x14ac:dyDescent="0.25">
      <c r="H404" s="1"/>
      <c r="R404" s="1"/>
    </row>
    <row r="405" spans="8:18" x14ac:dyDescent="0.25">
      <c r="H405" s="1"/>
      <c r="R405" s="1"/>
    </row>
    <row r="406" spans="8:18" x14ac:dyDescent="0.25">
      <c r="H406" s="1"/>
      <c r="R406" s="1"/>
    </row>
    <row r="407" spans="8:18" x14ac:dyDescent="0.25">
      <c r="H407" s="1"/>
      <c r="R407" s="1"/>
    </row>
    <row r="408" spans="8:18" x14ac:dyDescent="0.25">
      <c r="H408" s="1"/>
      <c r="R408" s="1"/>
    </row>
    <row r="409" spans="8:18" x14ac:dyDescent="0.25">
      <c r="H409" s="1"/>
      <c r="R409" s="1"/>
    </row>
    <row r="410" spans="8:18" x14ac:dyDescent="0.25">
      <c r="H410" s="1"/>
      <c r="R410" s="1"/>
    </row>
    <row r="411" spans="8:18" x14ac:dyDescent="0.25">
      <c r="H411" s="1"/>
      <c r="R411" s="1"/>
    </row>
    <row r="412" spans="8:18" x14ac:dyDescent="0.25">
      <c r="H412" s="1"/>
      <c r="R412" s="1"/>
    </row>
    <row r="413" spans="8:18" x14ac:dyDescent="0.25">
      <c r="H413" s="1"/>
      <c r="R413" s="1"/>
    </row>
    <row r="414" spans="8:18" x14ac:dyDescent="0.25">
      <c r="H414" s="1"/>
      <c r="R414" s="1"/>
    </row>
    <row r="415" spans="8:18" x14ac:dyDescent="0.25">
      <c r="H415" s="1"/>
      <c r="R415" s="1"/>
    </row>
    <row r="416" spans="8:18" x14ac:dyDescent="0.25">
      <c r="H416" s="1"/>
      <c r="R416" s="1"/>
    </row>
    <row r="417" spans="8:18" x14ac:dyDescent="0.25">
      <c r="H417" s="1"/>
      <c r="R417" s="1"/>
    </row>
    <row r="418" spans="8:18" x14ac:dyDescent="0.25">
      <c r="H418" s="1"/>
      <c r="R418" s="1"/>
    </row>
    <row r="419" spans="8:18" x14ac:dyDescent="0.25">
      <c r="H419" s="1"/>
      <c r="R419" s="1"/>
    </row>
    <row r="420" spans="8:18" x14ac:dyDescent="0.25">
      <c r="H420" s="1"/>
      <c r="R420" s="1"/>
    </row>
    <row r="421" spans="8:18" x14ac:dyDescent="0.25">
      <c r="H421" s="1"/>
      <c r="R421" s="1"/>
    </row>
    <row r="422" spans="8:18" x14ac:dyDescent="0.25">
      <c r="H422" s="1"/>
      <c r="R422" s="1"/>
    </row>
    <row r="423" spans="8:18" x14ac:dyDescent="0.25">
      <c r="H423" s="1"/>
      <c r="R423" s="1"/>
    </row>
    <row r="424" spans="8:18" x14ac:dyDescent="0.25">
      <c r="H424" s="1"/>
      <c r="R424" s="1"/>
    </row>
    <row r="425" spans="8:18" x14ac:dyDescent="0.25">
      <c r="H425" s="1"/>
      <c r="R425" s="1"/>
    </row>
    <row r="426" spans="8:18" x14ac:dyDescent="0.25">
      <c r="H426" s="1"/>
      <c r="R426" s="1"/>
    </row>
    <row r="427" spans="8:18" x14ac:dyDescent="0.25">
      <c r="H427" s="1"/>
      <c r="R427" s="1"/>
    </row>
    <row r="428" spans="8:18" x14ac:dyDescent="0.25">
      <c r="H428" s="1"/>
      <c r="R428" s="1"/>
    </row>
    <row r="429" spans="8:18" x14ac:dyDescent="0.25">
      <c r="H429" s="1"/>
      <c r="R429" s="1"/>
    </row>
    <row r="430" spans="8:18" x14ac:dyDescent="0.25">
      <c r="H430" s="1"/>
      <c r="R430" s="1"/>
    </row>
    <row r="431" spans="8:18" x14ac:dyDescent="0.25">
      <c r="H431" s="1"/>
      <c r="R431" s="1"/>
    </row>
    <row r="432" spans="8:18" x14ac:dyDescent="0.25">
      <c r="H432" s="1"/>
      <c r="R432" s="1"/>
    </row>
    <row r="433" spans="8:18" x14ac:dyDescent="0.25">
      <c r="H433" s="1"/>
      <c r="R433" s="1"/>
    </row>
    <row r="434" spans="8:18" x14ac:dyDescent="0.25">
      <c r="H434" s="1"/>
      <c r="R434" s="1"/>
    </row>
    <row r="435" spans="8:18" x14ac:dyDescent="0.25">
      <c r="H435" s="1"/>
      <c r="R435" s="1"/>
    </row>
    <row r="436" spans="8:18" x14ac:dyDescent="0.25">
      <c r="H436" s="1"/>
      <c r="R436" s="1"/>
    </row>
    <row r="437" spans="8:18" x14ac:dyDescent="0.25">
      <c r="H437" s="1"/>
      <c r="R437" s="1"/>
    </row>
    <row r="438" spans="8:18" x14ac:dyDescent="0.25">
      <c r="H438" s="1"/>
      <c r="R438" s="1"/>
    </row>
    <row r="439" spans="8:18" x14ac:dyDescent="0.25">
      <c r="H439" s="1"/>
      <c r="R439" s="1"/>
    </row>
    <row r="440" spans="8:18" x14ac:dyDescent="0.25">
      <c r="H440" s="1"/>
      <c r="R440" s="1"/>
    </row>
    <row r="441" spans="8:18" x14ac:dyDescent="0.25">
      <c r="H441" s="1"/>
      <c r="R441" s="1"/>
    </row>
    <row r="442" spans="8:18" x14ac:dyDescent="0.25">
      <c r="H442" s="1"/>
      <c r="R442" s="1"/>
    </row>
    <row r="443" spans="8:18" x14ac:dyDescent="0.25">
      <c r="H443" s="1"/>
      <c r="R443" s="1"/>
    </row>
    <row r="444" spans="8:18" x14ac:dyDescent="0.25">
      <c r="H444" s="1"/>
      <c r="R444" s="1"/>
    </row>
    <row r="445" spans="8:18" x14ac:dyDescent="0.25">
      <c r="H445" s="1"/>
      <c r="R445" s="1"/>
    </row>
    <row r="446" spans="8:18" x14ac:dyDescent="0.25">
      <c r="H446" s="1"/>
      <c r="R446" s="1"/>
    </row>
    <row r="447" spans="8:18" x14ac:dyDescent="0.25">
      <c r="H447" s="1"/>
      <c r="R447" s="1"/>
    </row>
    <row r="448" spans="8:18" x14ac:dyDescent="0.25">
      <c r="H448" s="1"/>
      <c r="R448" s="1"/>
    </row>
    <row r="449" spans="8:18" x14ac:dyDescent="0.25">
      <c r="H449" s="1"/>
      <c r="R449" s="1"/>
    </row>
    <row r="450" spans="8:18" x14ac:dyDescent="0.25">
      <c r="H450" s="1"/>
      <c r="R450" s="1"/>
    </row>
    <row r="451" spans="8:18" x14ac:dyDescent="0.25">
      <c r="H451" s="1"/>
      <c r="R451" s="1"/>
    </row>
    <row r="452" spans="8:18" x14ac:dyDescent="0.25">
      <c r="H452" s="1"/>
      <c r="R452" s="1"/>
    </row>
    <row r="453" spans="8:18" x14ac:dyDescent="0.25">
      <c r="H453" s="1"/>
      <c r="R453" s="1"/>
    </row>
    <row r="454" spans="8:18" x14ac:dyDescent="0.25">
      <c r="H454" s="1"/>
      <c r="R454" s="1"/>
    </row>
    <row r="455" spans="8:18" x14ac:dyDescent="0.25">
      <c r="H455" s="1"/>
      <c r="R455" s="1"/>
    </row>
    <row r="456" spans="8:18" x14ac:dyDescent="0.25">
      <c r="H456" s="1"/>
      <c r="R456" s="1"/>
    </row>
    <row r="457" spans="8:18" x14ac:dyDescent="0.25">
      <c r="H457" s="1"/>
      <c r="R457" s="1"/>
    </row>
    <row r="458" spans="8:18" x14ac:dyDescent="0.25">
      <c r="H458" s="1"/>
      <c r="R458" s="1"/>
    </row>
    <row r="459" spans="8:18" x14ac:dyDescent="0.25">
      <c r="H459" s="1"/>
      <c r="R459" s="1"/>
    </row>
    <row r="460" spans="8:18" x14ac:dyDescent="0.25">
      <c r="H460" s="1"/>
      <c r="R460" s="1"/>
    </row>
    <row r="461" spans="8:18" x14ac:dyDescent="0.25">
      <c r="H461" s="1"/>
      <c r="R461" s="1"/>
    </row>
    <row r="462" spans="8:18" x14ac:dyDescent="0.25">
      <c r="H462" s="1"/>
      <c r="R462" s="1"/>
    </row>
    <row r="463" spans="8:18" x14ac:dyDescent="0.25">
      <c r="H463" s="1"/>
      <c r="R463" s="1"/>
    </row>
    <row r="464" spans="8:18" x14ac:dyDescent="0.25">
      <c r="H464" s="1"/>
      <c r="R464" s="1"/>
    </row>
    <row r="465" spans="8:18" x14ac:dyDescent="0.25">
      <c r="H465" s="1"/>
      <c r="R465" s="1"/>
    </row>
    <row r="466" spans="8:18" x14ac:dyDescent="0.25">
      <c r="H466" s="1"/>
      <c r="R466" s="1"/>
    </row>
    <row r="467" spans="8:18" x14ac:dyDescent="0.25">
      <c r="H467" s="1"/>
      <c r="R467" s="1"/>
    </row>
    <row r="468" spans="8:18" x14ac:dyDescent="0.25">
      <c r="H468" s="1"/>
      <c r="R468" s="1"/>
    </row>
    <row r="469" spans="8:18" x14ac:dyDescent="0.25">
      <c r="H469" s="1"/>
      <c r="R469" s="1"/>
    </row>
    <row r="470" spans="8:18" x14ac:dyDescent="0.25">
      <c r="H470" s="1"/>
      <c r="R470" s="1"/>
    </row>
    <row r="471" spans="8:18" x14ac:dyDescent="0.25">
      <c r="H471" s="1"/>
      <c r="R471" s="1"/>
    </row>
    <row r="472" spans="8:18" x14ac:dyDescent="0.25">
      <c r="H472" s="1"/>
      <c r="R472" s="1"/>
    </row>
    <row r="473" spans="8:18" x14ac:dyDescent="0.25">
      <c r="H473" s="1"/>
      <c r="R473" s="1"/>
    </row>
    <row r="474" spans="8:18" x14ac:dyDescent="0.25">
      <c r="H474" s="1"/>
      <c r="R474" s="1"/>
    </row>
    <row r="475" spans="8:18" x14ac:dyDescent="0.25">
      <c r="H475" s="1"/>
      <c r="R475" s="1"/>
    </row>
    <row r="476" spans="8:18" x14ac:dyDescent="0.25">
      <c r="H476" s="1"/>
      <c r="R476" s="1"/>
    </row>
    <row r="477" spans="8:18" x14ac:dyDescent="0.25">
      <c r="H477" s="1"/>
      <c r="R477" s="1"/>
    </row>
    <row r="478" spans="8:18" x14ac:dyDescent="0.25">
      <c r="H478" s="1"/>
      <c r="R478" s="1"/>
    </row>
    <row r="479" spans="8:18" x14ac:dyDescent="0.25">
      <c r="H479" s="1"/>
      <c r="R479" s="1"/>
    </row>
    <row r="480" spans="8:18" x14ac:dyDescent="0.25">
      <c r="H480" s="1"/>
      <c r="R480" s="1"/>
    </row>
    <row r="481" spans="8:18" x14ac:dyDescent="0.25">
      <c r="H481" s="1"/>
      <c r="R481" s="1"/>
    </row>
    <row r="482" spans="8:18" x14ac:dyDescent="0.25">
      <c r="H482" s="1"/>
      <c r="R482" s="1"/>
    </row>
    <row r="483" spans="8:18" x14ac:dyDescent="0.25">
      <c r="H483" s="1"/>
      <c r="R483" s="1"/>
    </row>
    <row r="484" spans="8:18" x14ac:dyDescent="0.25">
      <c r="H484" s="1"/>
      <c r="R484" s="1"/>
    </row>
    <row r="485" spans="8:18" x14ac:dyDescent="0.25">
      <c r="H485" s="1"/>
      <c r="R485" s="1"/>
    </row>
    <row r="486" spans="8:18" x14ac:dyDescent="0.25">
      <c r="H486" s="1"/>
      <c r="R486" s="1"/>
    </row>
    <row r="487" spans="8:18" x14ac:dyDescent="0.25">
      <c r="H487" s="1"/>
      <c r="R487" s="1"/>
    </row>
    <row r="488" spans="8:18" x14ac:dyDescent="0.25">
      <c r="H488" s="1"/>
      <c r="R488" s="1"/>
    </row>
    <row r="489" spans="8:18" x14ac:dyDescent="0.25">
      <c r="H489" s="1"/>
      <c r="R489" s="1"/>
    </row>
    <row r="490" spans="8:18" x14ac:dyDescent="0.25">
      <c r="H490" s="1"/>
      <c r="R490" s="1"/>
    </row>
    <row r="491" spans="8:18" x14ac:dyDescent="0.25">
      <c r="H491" s="1"/>
      <c r="R491" s="1"/>
    </row>
    <row r="492" spans="8:18" x14ac:dyDescent="0.25">
      <c r="H492" s="1"/>
      <c r="R492" s="1"/>
    </row>
    <row r="493" spans="8:18" x14ac:dyDescent="0.25">
      <c r="H493" s="1"/>
      <c r="R493" s="1"/>
    </row>
    <row r="494" spans="8:18" x14ac:dyDescent="0.25">
      <c r="H494" s="1"/>
      <c r="R494" s="1"/>
    </row>
    <row r="495" spans="8:18" x14ac:dyDescent="0.25">
      <c r="H495" s="1"/>
      <c r="R495" s="1"/>
    </row>
    <row r="496" spans="8:18" x14ac:dyDescent="0.25">
      <c r="H496" s="1"/>
      <c r="R496" s="1"/>
    </row>
    <row r="497" spans="8:18" x14ac:dyDescent="0.25">
      <c r="H497" s="1"/>
      <c r="R497" s="1"/>
    </row>
    <row r="498" spans="8:18" x14ac:dyDescent="0.25">
      <c r="H498" s="1"/>
      <c r="R498" s="1"/>
    </row>
    <row r="499" spans="8:18" x14ac:dyDescent="0.25">
      <c r="H499" s="1"/>
      <c r="R499" s="1"/>
    </row>
    <row r="500" spans="8:18" x14ac:dyDescent="0.25">
      <c r="H500" s="1"/>
      <c r="R500" s="1"/>
    </row>
    <row r="501" spans="8:18" x14ac:dyDescent="0.25">
      <c r="H501" s="1"/>
      <c r="R501" s="1"/>
    </row>
    <row r="502" spans="8:18" x14ac:dyDescent="0.25">
      <c r="H502" s="1"/>
      <c r="R502" s="1"/>
    </row>
    <row r="503" spans="8:18" x14ac:dyDescent="0.25">
      <c r="H503" s="1"/>
      <c r="R503" s="1"/>
    </row>
    <row r="504" spans="8:18" x14ac:dyDescent="0.25">
      <c r="H504" s="1"/>
      <c r="R504" s="1"/>
    </row>
    <row r="505" spans="8:18" x14ac:dyDescent="0.25">
      <c r="H505" s="1"/>
      <c r="R505" s="1"/>
    </row>
    <row r="506" spans="8:18" x14ac:dyDescent="0.25">
      <c r="H506" s="1"/>
      <c r="R506" s="1"/>
    </row>
    <row r="507" spans="8:18" x14ac:dyDescent="0.25">
      <c r="H507" s="1"/>
      <c r="R507" s="1"/>
    </row>
    <row r="508" spans="8:18" x14ac:dyDescent="0.25">
      <c r="H508" s="1"/>
      <c r="R508" s="1"/>
    </row>
    <row r="509" spans="8:18" x14ac:dyDescent="0.25">
      <c r="H509" s="1"/>
      <c r="R509" s="1"/>
    </row>
    <row r="510" spans="8:18" x14ac:dyDescent="0.25">
      <c r="H510" s="1"/>
      <c r="R510" s="1"/>
    </row>
    <row r="511" spans="8:18" x14ac:dyDescent="0.25">
      <c r="H511" s="1"/>
      <c r="R511" s="1"/>
    </row>
    <row r="512" spans="8:18" x14ac:dyDescent="0.25">
      <c r="H512" s="1"/>
      <c r="R512" s="1"/>
    </row>
    <row r="513" spans="8:18" x14ac:dyDescent="0.25">
      <c r="H513" s="1"/>
      <c r="R513" s="1"/>
    </row>
    <row r="514" spans="8:18" x14ac:dyDescent="0.25">
      <c r="H514" s="1"/>
      <c r="R514" s="1"/>
    </row>
    <row r="515" spans="8:18" x14ac:dyDescent="0.25">
      <c r="H515" s="1"/>
      <c r="R515" s="1"/>
    </row>
    <row r="516" spans="8:18" x14ac:dyDescent="0.25">
      <c r="H516" s="1"/>
      <c r="R516" s="1"/>
    </row>
    <row r="517" spans="8:18" x14ac:dyDescent="0.25">
      <c r="H517" s="1"/>
      <c r="R517" s="1"/>
    </row>
    <row r="518" spans="8:18" x14ac:dyDescent="0.25">
      <c r="H518" s="1"/>
      <c r="R518" s="1"/>
    </row>
    <row r="519" spans="8:18" x14ac:dyDescent="0.25">
      <c r="H519" s="1"/>
      <c r="R519" s="1"/>
    </row>
    <row r="520" spans="8:18" x14ac:dyDescent="0.25">
      <c r="H520" s="1"/>
      <c r="R520" s="1"/>
    </row>
    <row r="521" spans="8:18" x14ac:dyDescent="0.25">
      <c r="H521" s="1"/>
      <c r="R521" s="1"/>
    </row>
    <row r="522" spans="8:18" x14ac:dyDescent="0.25">
      <c r="H522" s="1"/>
      <c r="R522" s="1"/>
    </row>
    <row r="523" spans="8:18" x14ac:dyDescent="0.25">
      <c r="H523" s="1"/>
      <c r="R523" s="1"/>
    </row>
    <row r="524" spans="8:18" x14ac:dyDescent="0.25">
      <c r="H524" s="1"/>
      <c r="R524" s="1"/>
    </row>
    <row r="525" spans="8:18" x14ac:dyDescent="0.25">
      <c r="H525" s="1"/>
      <c r="R525" s="1"/>
    </row>
    <row r="526" spans="8:18" x14ac:dyDescent="0.25">
      <c r="H526" s="1"/>
      <c r="R526" s="1"/>
    </row>
    <row r="527" spans="8:18" x14ac:dyDescent="0.25">
      <c r="H527" s="1"/>
      <c r="R527" s="1"/>
    </row>
    <row r="528" spans="8:18" x14ac:dyDescent="0.25">
      <c r="H528" s="1"/>
      <c r="R528" s="1"/>
    </row>
    <row r="529" spans="8:18" x14ac:dyDescent="0.25">
      <c r="H529" s="1"/>
      <c r="R529" s="1"/>
    </row>
    <row r="530" spans="8:18" x14ac:dyDescent="0.25">
      <c r="H530" s="1"/>
      <c r="R530" s="1"/>
    </row>
    <row r="531" spans="8:18" x14ac:dyDescent="0.25">
      <c r="H531" s="1"/>
      <c r="R531" s="1"/>
    </row>
    <row r="532" spans="8:18" x14ac:dyDescent="0.25">
      <c r="H532" s="1"/>
      <c r="R532" s="1"/>
    </row>
    <row r="533" spans="8:18" x14ac:dyDescent="0.25">
      <c r="H533" s="1"/>
      <c r="R533" s="1"/>
    </row>
    <row r="534" spans="8:18" x14ac:dyDescent="0.25">
      <c r="H534" s="1"/>
      <c r="R534" s="1"/>
    </row>
    <row r="535" spans="8:18" x14ac:dyDescent="0.25">
      <c r="H535" s="1"/>
      <c r="R535" s="1"/>
    </row>
    <row r="536" spans="8:18" x14ac:dyDescent="0.25">
      <c r="H536" s="1"/>
      <c r="R536" s="1"/>
    </row>
    <row r="537" spans="8:18" x14ac:dyDescent="0.25">
      <c r="H537" s="1"/>
      <c r="R537" s="1"/>
    </row>
    <row r="538" spans="8:18" x14ac:dyDescent="0.25">
      <c r="H538" s="1"/>
      <c r="R538" s="1"/>
    </row>
    <row r="539" spans="8:18" x14ac:dyDescent="0.25">
      <c r="H539" s="1"/>
      <c r="R539" s="1"/>
    </row>
    <row r="540" spans="8:18" x14ac:dyDescent="0.25">
      <c r="H540" s="1"/>
      <c r="R540" s="1"/>
    </row>
    <row r="541" spans="8:18" x14ac:dyDescent="0.25">
      <c r="H541" s="1"/>
      <c r="R541" s="1"/>
    </row>
    <row r="542" spans="8:18" x14ac:dyDescent="0.25">
      <c r="H542" s="1"/>
      <c r="R542" s="1"/>
    </row>
    <row r="543" spans="8:18" x14ac:dyDescent="0.25">
      <c r="H543" s="1"/>
      <c r="R543" s="1"/>
    </row>
    <row r="544" spans="8:18" x14ac:dyDescent="0.25">
      <c r="H544" s="1"/>
      <c r="R544" s="1"/>
    </row>
    <row r="545" spans="8:18" x14ac:dyDescent="0.25">
      <c r="H545" s="1"/>
      <c r="R545" s="1"/>
    </row>
    <row r="546" spans="8:18" x14ac:dyDescent="0.25">
      <c r="H546" s="1"/>
      <c r="R546" s="1"/>
    </row>
    <row r="547" spans="8:18" x14ac:dyDescent="0.25">
      <c r="H547" s="1"/>
      <c r="R547" s="1"/>
    </row>
    <row r="548" spans="8:18" x14ac:dyDescent="0.25">
      <c r="H548" s="1"/>
      <c r="R548" s="1"/>
    </row>
    <row r="549" spans="8:18" x14ac:dyDescent="0.25">
      <c r="H549" s="1"/>
      <c r="R549" s="1"/>
    </row>
    <row r="550" spans="8:18" x14ac:dyDescent="0.25">
      <c r="H550" s="1"/>
      <c r="R550" s="1"/>
    </row>
    <row r="551" spans="8:18" x14ac:dyDescent="0.25">
      <c r="H551" s="1"/>
      <c r="R551" s="1"/>
    </row>
    <row r="552" spans="8:18" x14ac:dyDescent="0.25">
      <c r="H552" s="1"/>
      <c r="R552" s="1"/>
    </row>
    <row r="553" spans="8:18" x14ac:dyDescent="0.25">
      <c r="H553" s="1"/>
      <c r="R553" s="1"/>
    </row>
    <row r="554" spans="8:18" x14ac:dyDescent="0.25">
      <c r="H554" s="1"/>
      <c r="R554" s="1"/>
    </row>
    <row r="555" spans="8:18" x14ac:dyDescent="0.25">
      <c r="H555" s="1"/>
      <c r="R555" s="1"/>
    </row>
    <row r="556" spans="8:18" x14ac:dyDescent="0.25">
      <c r="H556" s="1"/>
      <c r="R556" s="1"/>
    </row>
    <row r="557" spans="8:18" x14ac:dyDescent="0.25">
      <c r="H557" s="1"/>
      <c r="R557" s="1"/>
    </row>
    <row r="558" spans="8:18" x14ac:dyDescent="0.25">
      <c r="H558" s="1"/>
      <c r="R558" s="1"/>
    </row>
    <row r="559" spans="8:18" x14ac:dyDescent="0.25">
      <c r="H559" s="1"/>
      <c r="R559" s="1"/>
    </row>
    <row r="560" spans="8:18" x14ac:dyDescent="0.25">
      <c r="H560" s="1"/>
      <c r="R560" s="1"/>
    </row>
    <row r="561" spans="8:18" x14ac:dyDescent="0.25">
      <c r="H561" s="1"/>
      <c r="R561" s="1"/>
    </row>
    <row r="562" spans="8:18" x14ac:dyDescent="0.25">
      <c r="H562" s="1"/>
      <c r="R562" s="1"/>
    </row>
    <row r="563" spans="8:18" x14ac:dyDescent="0.25">
      <c r="H563" s="1"/>
      <c r="R563" s="1"/>
    </row>
    <row r="564" spans="8:18" x14ac:dyDescent="0.25">
      <c r="H564" s="1"/>
      <c r="R564" s="1"/>
    </row>
    <row r="565" spans="8:18" x14ac:dyDescent="0.25">
      <c r="H565" s="1"/>
      <c r="R565" s="1"/>
    </row>
    <row r="566" spans="8:18" x14ac:dyDescent="0.25">
      <c r="H566" s="1"/>
      <c r="R566" s="1"/>
    </row>
    <row r="567" spans="8:18" x14ac:dyDescent="0.25">
      <c r="H567" s="1"/>
      <c r="R567" s="1"/>
    </row>
    <row r="568" spans="8:18" x14ac:dyDescent="0.25">
      <c r="H568" s="1"/>
      <c r="R568" s="1"/>
    </row>
    <row r="569" spans="8:18" x14ac:dyDescent="0.25">
      <c r="H569" s="1"/>
      <c r="R569" s="1"/>
    </row>
    <row r="570" spans="8:18" x14ac:dyDescent="0.25">
      <c r="H570" s="1"/>
      <c r="R570" s="1"/>
    </row>
    <row r="571" spans="8:18" x14ac:dyDescent="0.25">
      <c r="H571" s="1"/>
      <c r="R571" s="1"/>
    </row>
    <row r="572" spans="8:18" x14ac:dyDescent="0.25">
      <c r="H572" s="1"/>
      <c r="R572" s="1"/>
    </row>
    <row r="573" spans="8:18" x14ac:dyDescent="0.25">
      <c r="H573" s="1"/>
      <c r="R573" s="1"/>
    </row>
    <row r="574" spans="8:18" x14ac:dyDescent="0.25">
      <c r="H574" s="1"/>
      <c r="R574" s="1"/>
    </row>
    <row r="575" spans="8:18" x14ac:dyDescent="0.25">
      <c r="H575" s="1"/>
      <c r="R575" s="1"/>
    </row>
    <row r="576" spans="8:18" x14ac:dyDescent="0.25">
      <c r="H576" s="1"/>
      <c r="R576" s="1"/>
    </row>
    <row r="577" spans="8:18" x14ac:dyDescent="0.25">
      <c r="H577" s="1"/>
      <c r="R577" s="1"/>
    </row>
    <row r="578" spans="8:18" x14ac:dyDescent="0.25">
      <c r="H578" s="1"/>
      <c r="R578" s="1"/>
    </row>
    <row r="579" spans="8:18" x14ac:dyDescent="0.25">
      <c r="H579" s="1"/>
      <c r="R579" s="1"/>
    </row>
    <row r="580" spans="8:18" x14ac:dyDescent="0.25">
      <c r="H580" s="1"/>
      <c r="R580" s="1"/>
    </row>
    <row r="581" spans="8:18" x14ac:dyDescent="0.25">
      <c r="H581" s="1"/>
      <c r="R581" s="1"/>
    </row>
    <row r="582" spans="8:18" x14ac:dyDescent="0.25">
      <c r="H582" s="1"/>
      <c r="R582" s="1"/>
    </row>
    <row r="583" spans="8:18" x14ac:dyDescent="0.25">
      <c r="H583" s="1"/>
      <c r="R583" s="1"/>
    </row>
    <row r="584" spans="8:18" x14ac:dyDescent="0.25">
      <c r="H584" s="1"/>
      <c r="R584" s="1"/>
    </row>
    <row r="585" spans="8:18" x14ac:dyDescent="0.25">
      <c r="H585" s="1"/>
      <c r="R585" s="1"/>
    </row>
    <row r="586" spans="8:18" x14ac:dyDescent="0.25">
      <c r="H586" s="1"/>
      <c r="R586" s="1"/>
    </row>
    <row r="587" spans="8:18" x14ac:dyDescent="0.25">
      <c r="H587" s="1"/>
      <c r="R587" s="1"/>
    </row>
    <row r="588" spans="8:18" x14ac:dyDescent="0.25">
      <c r="H588" s="1"/>
      <c r="R588" s="1"/>
    </row>
    <row r="589" spans="8:18" x14ac:dyDescent="0.25">
      <c r="H589" s="1"/>
      <c r="R589" s="1"/>
    </row>
    <row r="590" spans="8:18" x14ac:dyDescent="0.25">
      <c r="H590" s="1"/>
      <c r="R590" s="1"/>
    </row>
    <row r="591" spans="8:18" x14ac:dyDescent="0.25">
      <c r="H591" s="1"/>
      <c r="R591" s="1"/>
    </row>
    <row r="592" spans="8:18" x14ac:dyDescent="0.25">
      <c r="H592" s="1"/>
      <c r="R592" s="1"/>
    </row>
    <row r="593" spans="8:18" x14ac:dyDescent="0.25">
      <c r="H593" s="1"/>
      <c r="R593" s="1"/>
    </row>
    <row r="594" spans="8:18" x14ac:dyDescent="0.25">
      <c r="H594" s="1"/>
      <c r="R594" s="1"/>
    </row>
    <row r="595" spans="8:18" x14ac:dyDescent="0.25">
      <c r="H595" s="1"/>
      <c r="R595" s="1"/>
    </row>
    <row r="596" spans="8:18" x14ac:dyDescent="0.25">
      <c r="H596" s="1"/>
      <c r="R596" s="1"/>
    </row>
    <row r="597" spans="8:18" x14ac:dyDescent="0.25">
      <c r="H597" s="1"/>
    </row>
    <row r="598" spans="8:18" x14ac:dyDescent="0.25">
      <c r="H598" s="1"/>
    </row>
    <row r="599" spans="8:18" x14ac:dyDescent="0.25">
      <c r="H599" s="1"/>
    </row>
    <row r="600" spans="8:18" x14ac:dyDescent="0.25">
      <c r="H600" s="1"/>
    </row>
    <row r="601" spans="8:18" x14ac:dyDescent="0.25">
      <c r="H601" s="1"/>
    </row>
    <row r="602" spans="8:18" x14ac:dyDescent="0.25">
      <c r="H602" s="1"/>
    </row>
    <row r="603" spans="8:18" x14ac:dyDescent="0.25">
      <c r="H603" s="1"/>
    </row>
    <row r="604" spans="8:18" x14ac:dyDescent="0.25">
      <c r="H604" s="1"/>
    </row>
    <row r="605" spans="8:18" x14ac:dyDescent="0.25">
      <c r="H605" s="1"/>
    </row>
    <row r="606" spans="8:18" x14ac:dyDescent="0.25">
      <c r="H606" s="1"/>
    </row>
    <row r="607" spans="8:18" x14ac:dyDescent="0.25">
      <c r="H607" s="1"/>
    </row>
    <row r="608" spans="8:1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</sheetData>
  <sortState ref="K2:R594">
    <sortCondition ref="M2:M59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sqref="A1:O1"/>
    </sheetView>
  </sheetViews>
  <sheetFormatPr defaultRowHeight="15" x14ac:dyDescent="0.25"/>
  <cols>
    <col min="11" max="11" width="10.7109375" bestFit="1" customWidth="1"/>
  </cols>
  <sheetData>
    <row r="1" spans="1:16" ht="15.75" x14ac:dyDescent="0.25">
      <c r="A1" s="14" t="s">
        <v>13</v>
      </c>
      <c r="B1" s="14" t="s">
        <v>14</v>
      </c>
      <c r="C1" s="14" t="s">
        <v>15</v>
      </c>
      <c r="D1" s="14" t="s">
        <v>12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8</v>
      </c>
      <c r="J1" s="14" t="s">
        <v>5</v>
      </c>
      <c r="K1" s="14" t="s">
        <v>20</v>
      </c>
      <c r="L1" s="14" t="s">
        <v>21</v>
      </c>
      <c r="M1" s="14" t="s">
        <v>22</v>
      </c>
      <c r="N1" s="14" t="s">
        <v>23</v>
      </c>
      <c r="O1" s="14" t="s">
        <v>24</v>
      </c>
      <c r="P1" s="15"/>
    </row>
    <row r="2" spans="1:16" ht="15.75" x14ac:dyDescent="0.25">
      <c r="A2" s="14" t="s">
        <v>25</v>
      </c>
      <c r="B2" s="14" t="s">
        <v>26</v>
      </c>
      <c r="C2" s="14" t="s">
        <v>26</v>
      </c>
      <c r="D2" s="14" t="s">
        <v>25</v>
      </c>
      <c r="E2" s="14" t="s">
        <v>27</v>
      </c>
      <c r="F2" s="14" t="s">
        <v>28</v>
      </c>
      <c r="G2" s="14" t="s">
        <v>29</v>
      </c>
      <c r="H2" s="14" t="s">
        <v>30</v>
      </c>
      <c r="I2" s="14" t="s">
        <v>31</v>
      </c>
      <c r="J2" s="16">
        <v>57</v>
      </c>
      <c r="K2" s="17">
        <v>23388</v>
      </c>
      <c r="L2" s="16">
        <v>20000</v>
      </c>
      <c r="M2" s="15"/>
      <c r="N2" s="15"/>
      <c r="O2" s="18" t="s">
        <v>32</v>
      </c>
      <c r="P2" s="15"/>
    </row>
    <row r="3" spans="1:16" ht="30" x14ac:dyDescent="0.25">
      <c r="A3" s="18" t="s">
        <v>25</v>
      </c>
      <c r="B3" s="18" t="s">
        <v>26</v>
      </c>
      <c r="C3" s="18" t="s">
        <v>26</v>
      </c>
      <c r="D3" s="18" t="s">
        <v>25</v>
      </c>
      <c r="E3" s="18" t="s">
        <v>33</v>
      </c>
      <c r="F3" s="18" t="s">
        <v>34</v>
      </c>
      <c r="G3" s="18" t="s">
        <v>35</v>
      </c>
      <c r="H3" s="18" t="s">
        <v>30</v>
      </c>
      <c r="I3" s="18" t="s">
        <v>31</v>
      </c>
      <c r="J3" s="19">
        <v>69</v>
      </c>
      <c r="K3" s="20">
        <v>18964</v>
      </c>
      <c r="L3" s="19">
        <v>5000</v>
      </c>
      <c r="M3" s="15"/>
      <c r="N3" s="15"/>
      <c r="O3" s="30" t="s">
        <v>36</v>
      </c>
      <c r="P3" s="30"/>
    </row>
    <row r="4" spans="1:16" ht="45" x14ac:dyDescent="0.25">
      <c r="A4" s="18" t="s">
        <v>25</v>
      </c>
      <c r="B4" s="18" t="s">
        <v>26</v>
      </c>
      <c r="C4" s="18" t="s">
        <v>0</v>
      </c>
      <c r="D4" s="18" t="s">
        <v>37</v>
      </c>
      <c r="E4" s="18" t="s">
        <v>38</v>
      </c>
      <c r="F4" s="18" t="s">
        <v>39</v>
      </c>
      <c r="G4" s="18" t="s">
        <v>40</v>
      </c>
      <c r="H4" s="18" t="s">
        <v>41</v>
      </c>
      <c r="I4" s="18" t="s">
        <v>42</v>
      </c>
      <c r="J4" s="19">
        <v>70</v>
      </c>
      <c r="K4" s="20">
        <v>18389</v>
      </c>
      <c r="L4" s="19">
        <v>34180</v>
      </c>
      <c r="M4" s="15"/>
      <c r="N4" s="15"/>
      <c r="O4" s="30" t="s">
        <v>43</v>
      </c>
      <c r="P4" s="30"/>
    </row>
    <row r="5" spans="1:16" ht="30" x14ac:dyDescent="0.25">
      <c r="A5" s="18" t="s">
        <v>25</v>
      </c>
      <c r="B5" s="18" t="s">
        <v>26</v>
      </c>
      <c r="C5" s="18" t="s">
        <v>0</v>
      </c>
      <c r="D5" s="18" t="s">
        <v>44</v>
      </c>
      <c r="E5" s="18" t="s">
        <v>45</v>
      </c>
      <c r="F5" s="18" t="s">
        <v>28</v>
      </c>
      <c r="G5" s="18" t="s">
        <v>46</v>
      </c>
      <c r="H5" s="18" t="s">
        <v>30</v>
      </c>
      <c r="I5" s="18" t="s">
        <v>47</v>
      </c>
      <c r="J5" s="19">
        <v>62</v>
      </c>
      <c r="K5" s="20">
        <v>21731</v>
      </c>
      <c r="L5" s="19">
        <v>1800</v>
      </c>
      <c r="M5" s="15"/>
      <c r="N5" s="15"/>
      <c r="O5" s="15"/>
      <c r="P5" s="15"/>
    </row>
    <row r="6" spans="1:16" ht="15.75" x14ac:dyDescent="0.25">
      <c r="A6" s="18" t="s">
        <v>25</v>
      </c>
      <c r="B6" s="18" t="s">
        <v>26</v>
      </c>
      <c r="C6" s="18" t="s">
        <v>0</v>
      </c>
      <c r="D6" s="18" t="s">
        <v>48</v>
      </c>
      <c r="E6" s="18" t="s">
        <v>49</v>
      </c>
      <c r="F6" s="18" t="s">
        <v>50</v>
      </c>
      <c r="G6" s="18" t="s">
        <v>51</v>
      </c>
      <c r="H6" s="18" t="s">
        <v>41</v>
      </c>
      <c r="I6" s="18" t="s">
        <v>52</v>
      </c>
      <c r="J6" s="19">
        <v>68</v>
      </c>
      <c r="K6" s="20">
        <v>19177</v>
      </c>
      <c r="L6" s="19">
        <v>7509</v>
      </c>
      <c r="M6" s="15"/>
      <c r="N6" s="15"/>
      <c r="O6" s="19">
        <v>10024</v>
      </c>
      <c r="P6" s="15"/>
    </row>
    <row r="7" spans="1:16" ht="15.75" x14ac:dyDescent="0.25">
      <c r="A7" s="18" t="s">
        <v>25</v>
      </c>
      <c r="B7" s="18" t="s">
        <v>26</v>
      </c>
      <c r="C7" s="18" t="s">
        <v>0</v>
      </c>
      <c r="D7" s="18" t="s">
        <v>53</v>
      </c>
      <c r="E7" s="18" t="s">
        <v>54</v>
      </c>
      <c r="F7" s="18" t="s">
        <v>55</v>
      </c>
      <c r="G7" s="18" t="s">
        <v>56</v>
      </c>
      <c r="H7" s="18" t="s">
        <v>41</v>
      </c>
      <c r="I7" s="18" t="s">
        <v>57</v>
      </c>
      <c r="J7" s="19">
        <v>65</v>
      </c>
      <c r="K7" s="20">
        <v>20390</v>
      </c>
      <c r="L7" s="15"/>
      <c r="M7" s="15"/>
      <c r="N7" s="15"/>
      <c r="O7" s="15"/>
      <c r="P7" s="15"/>
    </row>
    <row r="8" spans="1:16" ht="30" x14ac:dyDescent="0.25">
      <c r="A8" s="18" t="s">
        <v>25</v>
      </c>
      <c r="B8" s="18" t="s">
        <v>26</v>
      </c>
      <c r="C8" s="18" t="s">
        <v>0</v>
      </c>
      <c r="D8" s="18" t="s">
        <v>58</v>
      </c>
      <c r="E8" s="18" t="s">
        <v>59</v>
      </c>
      <c r="F8" s="18" t="s">
        <v>60</v>
      </c>
      <c r="G8" s="18" t="s">
        <v>61</v>
      </c>
      <c r="H8" s="18" t="s">
        <v>30</v>
      </c>
      <c r="I8" s="18"/>
      <c r="J8" s="19">
        <v>64</v>
      </c>
      <c r="K8" s="20">
        <v>20743</v>
      </c>
      <c r="L8" s="15"/>
      <c r="M8" s="15"/>
      <c r="N8" s="15"/>
      <c r="O8" s="15"/>
      <c r="P8" s="15"/>
    </row>
    <row r="9" spans="1:16" ht="15.75" x14ac:dyDescent="0.25">
      <c r="A9" s="18" t="s">
        <v>25</v>
      </c>
      <c r="B9" s="18" t="s">
        <v>26</v>
      </c>
      <c r="C9" s="18" t="s">
        <v>0</v>
      </c>
      <c r="D9" s="18" t="s">
        <v>58</v>
      </c>
      <c r="E9" s="18" t="s">
        <v>62</v>
      </c>
      <c r="F9" s="18" t="s">
        <v>63</v>
      </c>
      <c r="G9" s="18" t="s">
        <v>64</v>
      </c>
      <c r="H9" s="18" t="s">
        <v>30</v>
      </c>
      <c r="I9" s="15"/>
      <c r="J9" s="19">
        <v>76</v>
      </c>
      <c r="K9" s="20">
        <v>16253</v>
      </c>
      <c r="L9" s="15"/>
      <c r="M9" s="15"/>
      <c r="N9" s="15"/>
      <c r="O9" s="15"/>
      <c r="P9" s="15"/>
    </row>
    <row r="10" spans="1:16" ht="30" x14ac:dyDescent="0.25">
      <c r="A10" s="18" t="s">
        <v>25</v>
      </c>
      <c r="B10" s="18" t="s">
        <v>26</v>
      </c>
      <c r="C10" s="18" t="s">
        <v>0</v>
      </c>
      <c r="D10" s="18" t="s">
        <v>58</v>
      </c>
      <c r="E10" s="18" t="s">
        <v>65</v>
      </c>
      <c r="F10" s="18" t="s">
        <v>66</v>
      </c>
      <c r="G10" s="18" t="s">
        <v>67</v>
      </c>
      <c r="H10" s="18" t="s">
        <v>41</v>
      </c>
      <c r="I10" s="18" t="s">
        <v>31</v>
      </c>
      <c r="J10" s="19">
        <v>64</v>
      </c>
      <c r="K10" s="20">
        <v>19905</v>
      </c>
      <c r="L10" s="15"/>
      <c r="M10" s="15"/>
      <c r="N10" s="15"/>
      <c r="O10" s="15"/>
      <c r="P10" s="15"/>
    </row>
    <row r="11" spans="1:16" ht="15.75" x14ac:dyDescent="0.25">
      <c r="A11" s="18" t="s">
        <v>25</v>
      </c>
      <c r="B11" s="18" t="s">
        <v>26</v>
      </c>
      <c r="C11" s="18" t="s">
        <v>0</v>
      </c>
      <c r="D11" s="15"/>
      <c r="E11" s="18" t="s">
        <v>68</v>
      </c>
      <c r="F11" s="18" t="s">
        <v>28</v>
      </c>
      <c r="G11" s="18" t="s">
        <v>69</v>
      </c>
      <c r="H11" s="18" t="s">
        <v>30</v>
      </c>
      <c r="I11" s="18" t="s">
        <v>52</v>
      </c>
      <c r="J11" s="19">
        <v>61</v>
      </c>
      <c r="K11" s="20">
        <v>21731</v>
      </c>
      <c r="L11" s="15"/>
      <c r="M11" s="15"/>
      <c r="N11" s="15"/>
      <c r="O11" s="15"/>
      <c r="P11" s="15"/>
    </row>
    <row r="12" spans="1:16" ht="15.75" x14ac:dyDescent="0.25">
      <c r="A12" s="18" t="s">
        <v>25</v>
      </c>
      <c r="B12" s="18" t="s">
        <v>0</v>
      </c>
      <c r="C12" s="18" t="s">
        <v>26</v>
      </c>
      <c r="D12" s="18" t="s">
        <v>25</v>
      </c>
      <c r="E12" s="18" t="s">
        <v>70</v>
      </c>
      <c r="F12" s="18" t="s">
        <v>71</v>
      </c>
      <c r="G12" s="18" t="s">
        <v>72</v>
      </c>
      <c r="H12" s="18" t="s">
        <v>30</v>
      </c>
      <c r="I12" s="18" t="s">
        <v>31</v>
      </c>
      <c r="J12" s="18" t="s">
        <v>58</v>
      </c>
      <c r="K12" s="18" t="s">
        <v>58</v>
      </c>
      <c r="L12" s="15"/>
      <c r="M12" s="15"/>
      <c r="N12" s="15"/>
      <c r="O12" s="30" t="s">
        <v>73</v>
      </c>
      <c r="P12" s="30"/>
    </row>
    <row r="13" spans="1:16" ht="15.75" x14ac:dyDescent="0.25">
      <c r="A13" s="18" t="s">
        <v>25</v>
      </c>
      <c r="B13" s="18" t="s">
        <v>26</v>
      </c>
      <c r="C13" s="18" t="s">
        <v>26</v>
      </c>
      <c r="D13" s="18" t="s">
        <v>25</v>
      </c>
      <c r="E13" s="18" t="s">
        <v>74</v>
      </c>
      <c r="F13" s="18" t="s">
        <v>75</v>
      </c>
      <c r="G13" s="18" t="s">
        <v>76</v>
      </c>
      <c r="H13" s="18" t="s">
        <v>30</v>
      </c>
      <c r="I13" s="18" t="s">
        <v>31</v>
      </c>
      <c r="J13" s="19">
        <v>48</v>
      </c>
      <c r="K13" s="20">
        <v>26845</v>
      </c>
      <c r="L13" s="15"/>
      <c r="M13" s="15"/>
      <c r="N13" s="15"/>
      <c r="O13" s="15"/>
      <c r="P13" s="15"/>
    </row>
    <row r="14" spans="1:16" ht="15.75" x14ac:dyDescent="0.25">
      <c r="A14" s="18" t="s">
        <v>25</v>
      </c>
      <c r="B14" s="18" t="s">
        <v>26</v>
      </c>
      <c r="C14" s="18" t="s">
        <v>26</v>
      </c>
      <c r="D14" s="18" t="s">
        <v>25</v>
      </c>
      <c r="E14" s="18" t="s">
        <v>77</v>
      </c>
      <c r="F14" s="18" t="s">
        <v>1</v>
      </c>
      <c r="G14" s="18" t="s">
        <v>78</v>
      </c>
      <c r="H14" s="18" t="s">
        <v>30</v>
      </c>
      <c r="I14" s="18" t="s">
        <v>31</v>
      </c>
      <c r="J14" s="19">
        <v>53</v>
      </c>
      <c r="K14" s="20">
        <v>24850</v>
      </c>
      <c r="L14" s="15"/>
      <c r="M14" s="15"/>
      <c r="N14" s="15"/>
      <c r="O14" s="15"/>
      <c r="P14" s="15"/>
    </row>
    <row r="15" spans="1:16" x14ac:dyDescent="0.25">
      <c r="A15" s="18" t="s">
        <v>25</v>
      </c>
      <c r="B15" s="18" t="s">
        <v>26</v>
      </c>
      <c r="C15" s="18" t="s">
        <v>26</v>
      </c>
      <c r="D15" s="18" t="s">
        <v>25</v>
      </c>
      <c r="E15" s="18" t="s">
        <v>74</v>
      </c>
      <c r="F15" s="18" t="s">
        <v>50</v>
      </c>
      <c r="G15" s="18" t="s">
        <v>79</v>
      </c>
      <c r="H15" s="18" t="s">
        <v>30</v>
      </c>
      <c r="I15" s="18" t="s">
        <v>31</v>
      </c>
      <c r="J15" s="18" t="s">
        <v>58</v>
      </c>
      <c r="K15" s="20">
        <v>23192</v>
      </c>
      <c r="L15" s="13"/>
      <c r="M15" s="13"/>
      <c r="N15" s="13"/>
      <c r="O15" s="13"/>
      <c r="P15" s="13"/>
    </row>
  </sheetData>
  <mergeCells count="3">
    <mergeCell ref="O3:P3"/>
    <mergeCell ref="O4:P4"/>
    <mergeCell ref="O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Board &amp; Executives</vt:lpstr>
      <vt:lpstr>Stergios Theologides</vt:lpstr>
      <vt:lpstr>Richard Blackley</vt:lpstr>
      <vt:lpstr>Karin Kimbrough</vt:lpstr>
      <vt:lpstr>Michael Heid</vt:lpstr>
      <vt:lpstr>Renee Glover</vt:lpstr>
      <vt:lpstr>Robert Herz</vt:lpstr>
      <vt:lpstr>Sheila Bair</vt:lpstr>
      <vt:lpstr>Company PAC</vt:lpstr>
      <vt:lpstr>Amazon Example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Matt Marnell</cp:lastModifiedBy>
  <dcterms:created xsi:type="dcterms:W3CDTF">2021-06-27T17:25:36Z</dcterms:created>
  <dcterms:modified xsi:type="dcterms:W3CDTF">2021-08-02T15:44:56Z</dcterms:modified>
</cp:coreProperties>
</file>