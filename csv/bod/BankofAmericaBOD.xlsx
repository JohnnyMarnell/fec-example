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3040" windowHeight="9720"/>
  </bookViews>
  <sheets>
    <sheet name="Board &amp; Executives" sheetId="4" r:id="rId1"/>
    <sheet name="Andrea Smith" sheetId="16" r:id="rId2"/>
    <sheet name="Thomas Montag" sheetId="15" r:id="rId3"/>
    <sheet name="Paul Donofrio" sheetId="14" r:id="rId4"/>
    <sheet name="Sheri Bronstein" sheetId="13" r:id="rId5"/>
    <sheet name="Catherine Bessant" sheetId="12" r:id="rId6"/>
    <sheet name="R David Yost" sheetId="11" r:id="rId7"/>
    <sheet name="Clayton Rose" sheetId="10" r:id="rId8"/>
    <sheet name="Monica Lozano" sheetId="9" r:id="rId9"/>
    <sheet name="Linda Hudson" sheetId="8" r:id="rId10"/>
    <sheet name="Brian Moynihan" sheetId="6" r:id="rId11"/>
    <sheet name="Jack O. Bovender" sheetId="7" r:id="rId12"/>
    <sheet name="Company PAC" sheetId="2" r:id="rId13"/>
  </sheets>
  <definedNames>
    <definedName name="_xlnm._FilterDatabase" localSheetId="5" hidden="1">'Catherine Bessant'!$A$1:$CA$1</definedName>
  </definedNames>
  <calcPr calcId="152511"/>
  <pivotCaches>
    <pivotCache cacheId="0" r:id="rId14"/>
    <pivotCache cacheId="3" r:id="rId15"/>
    <pivotCache cacheId="6" r:id="rId16"/>
    <pivotCache cacheId="9" r:id="rId17"/>
    <pivotCache cacheId="12" r:id="rId18"/>
    <pivotCache cacheId="15" r:id="rId19"/>
    <pivotCache cacheId="18" r:id="rId20"/>
    <pivotCache cacheId="21" r:id="rId21"/>
  </pivotCaches>
</workbook>
</file>

<file path=xl/calcChain.xml><?xml version="1.0" encoding="utf-8"?>
<calcChain xmlns="http://schemas.openxmlformats.org/spreadsheetml/2006/main">
  <c r="V50" i="16" l="1"/>
  <c r="V89" i="15"/>
  <c r="V43" i="13"/>
  <c r="V49" i="12"/>
  <c r="V5" i="11"/>
  <c r="M17" i="4"/>
  <c r="AJ5" i="11"/>
  <c r="V15" i="10"/>
  <c r="V11" i="7"/>
  <c r="V5" i="6"/>
  <c r="V36" i="9"/>
  <c r="V6" i="8"/>
  <c r="L10" i="4"/>
  <c r="AJ5" i="8"/>
  <c r="N24" i="4"/>
  <c r="M23" i="4"/>
  <c r="N22" i="4"/>
  <c r="N21" i="4"/>
  <c r="N20" i="4"/>
  <c r="L14" i="4"/>
  <c r="L11" i="4"/>
  <c r="N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2" i="4"/>
  <c r="Q23" i="4"/>
  <c r="Q24" i="4"/>
  <c r="Q25" i="4"/>
  <c r="Q2" i="4"/>
  <c r="M3" i="4"/>
</calcChain>
</file>

<file path=xl/sharedStrings.xml><?xml version="1.0" encoding="utf-8"?>
<sst xmlns="http://schemas.openxmlformats.org/spreadsheetml/2006/main" count="10653" uniqueCount="1224">
  <si>
    <t>N</t>
  </si>
  <si>
    <t>R</t>
  </si>
  <si>
    <t>Republican</t>
  </si>
  <si>
    <t>Independent</t>
  </si>
  <si>
    <t>Democratic</t>
  </si>
  <si>
    <t>Age</t>
  </si>
  <si>
    <t>Political Affiliation</t>
  </si>
  <si>
    <t>From Open Secrets.com</t>
  </si>
  <si>
    <t>State</t>
  </si>
  <si>
    <t>%Republican</t>
  </si>
  <si>
    <t>%Democrat</t>
  </si>
  <si>
    <t>Company PAC Name</t>
  </si>
  <si>
    <t>Employer</t>
  </si>
  <si>
    <t>Company</t>
  </si>
  <si>
    <t>Board</t>
  </si>
  <si>
    <t>Exec</t>
  </si>
  <si>
    <t>Fname</t>
  </si>
  <si>
    <t>MI</t>
  </si>
  <si>
    <t>Lname</t>
  </si>
  <si>
    <t>Gender</t>
  </si>
  <si>
    <t>DOB</t>
  </si>
  <si>
    <t>Dem </t>
  </si>
  <si>
    <t>Rep </t>
  </si>
  <si>
    <t>Reg</t>
  </si>
  <si>
    <t>Address</t>
  </si>
  <si>
    <t>Y</t>
  </si>
  <si>
    <t>P</t>
  </si>
  <si>
    <t>M</t>
  </si>
  <si>
    <t>B</t>
  </si>
  <si>
    <t>S</t>
  </si>
  <si>
    <t>F</t>
  </si>
  <si>
    <t>A</t>
  </si>
  <si>
    <t>NY</t>
  </si>
  <si>
    <t>J</t>
  </si>
  <si>
    <t>Thomas</t>
  </si>
  <si>
    <t>O</t>
  </si>
  <si>
    <t>Q</t>
  </si>
  <si>
    <t>T</t>
  </si>
  <si>
    <t>Neu</t>
  </si>
  <si>
    <t xml:space="preserve">Brian </t>
  </si>
  <si>
    <t xml:space="preserve">T. </t>
  </si>
  <si>
    <t>Moynihan</t>
  </si>
  <si>
    <t>BOA CHAIRMAN &amp; CEO</t>
  </si>
  <si>
    <t>BankofAmerica</t>
  </si>
  <si>
    <t xml:space="preserve">Jack </t>
  </si>
  <si>
    <t xml:space="preserve">O. </t>
  </si>
  <si>
    <t>Bovender, Jr.</t>
  </si>
  <si>
    <t xml:space="preserve">Lionel </t>
  </si>
  <si>
    <t xml:space="preserve">L. </t>
  </si>
  <si>
    <t>Nowell III</t>
  </si>
  <si>
    <t xml:space="preserve">Sharon </t>
  </si>
  <si>
    <t>Allen</t>
  </si>
  <si>
    <t xml:space="preserve">LEAD INDEPENDENT DIRECTOR, former COO HCA, BOD Duke U, </t>
  </si>
  <si>
    <t>LEAD INDEPENDENT DIRECTOR SUCCESSOR, former Treasurer Pepsico, CFO &amp; Controller</t>
  </si>
  <si>
    <t>Director, former chairman of Deloitte, former directory Albertsons</t>
  </si>
  <si>
    <t>Susan</t>
  </si>
  <si>
    <t xml:space="preserve"> S. </t>
  </si>
  <si>
    <t>Bies</t>
  </si>
  <si>
    <t>Director,Former Member, Federal Reserve Board of Governors</t>
  </si>
  <si>
    <t>Frank</t>
  </si>
  <si>
    <t xml:space="preserve"> P. </t>
  </si>
  <si>
    <t>Bramble, Sr.</t>
  </si>
  <si>
    <t>Director,Former Executive Vice Chairman, MBNA Corporation</t>
  </si>
  <si>
    <t>Pierre</t>
  </si>
  <si>
    <t xml:space="preserve"> J.P. </t>
  </si>
  <si>
    <t>de Weck</t>
  </si>
  <si>
    <t>Director, Former Chairman and Global Head of Private Wealth Management, Deutsche Bank</t>
  </si>
  <si>
    <t xml:space="preserve">Arnold </t>
  </si>
  <si>
    <t xml:space="preserve">W. </t>
  </si>
  <si>
    <t>Donald</t>
  </si>
  <si>
    <t>Director,President and Chief Executive Officer, Carnival</t>
  </si>
  <si>
    <t xml:space="preserve">Linda </t>
  </si>
  <si>
    <t xml:space="preserve">P. </t>
  </si>
  <si>
    <t>Hudson</t>
  </si>
  <si>
    <t>Director,Former Chairman and Chief Executive Officer, The Cardea Group, LLC; Former President and Chief Executive Officer, BAE</t>
  </si>
  <si>
    <t xml:space="preserve">Monica </t>
  </si>
  <si>
    <t>C.</t>
  </si>
  <si>
    <t xml:space="preserve"> Lozano</t>
  </si>
  <si>
    <t>Director, Chief Executive Officer, College Futures Foundation; Former Chairman, US Hispanic Media Inc.</t>
  </si>
  <si>
    <t xml:space="preserve">Thomas </t>
  </si>
  <si>
    <t xml:space="preserve">J. </t>
  </si>
  <si>
    <t>May</t>
  </si>
  <si>
    <t>Director,Former Chairman, President, and Chief Executive Officer, Eversource Energy</t>
  </si>
  <si>
    <t xml:space="preserve">Denise </t>
  </si>
  <si>
    <t>Ramos</t>
  </si>
  <si>
    <t>Director, Former Chief Executive Officer and President, ITT Inc.</t>
  </si>
  <si>
    <t>Clayton</t>
  </si>
  <si>
    <t>Rose</t>
  </si>
  <si>
    <t>Director, President, Bowdoin College</t>
  </si>
  <si>
    <t xml:space="preserve">Michael </t>
  </si>
  <si>
    <t xml:space="preserve">D. </t>
  </si>
  <si>
    <t>White</t>
  </si>
  <si>
    <t>Director, Former Chairman, President, and Chief Executive Officer, DIRECTV; Lead Director, Kimberly-Clark Corporation</t>
  </si>
  <si>
    <t xml:space="preserve"> D. </t>
  </si>
  <si>
    <t>Woods</t>
  </si>
  <si>
    <t>Director, Former Vice Chairman and Senior Executive Vice President of CIBC; Former Chairman, Hydro One Limited</t>
  </si>
  <si>
    <t xml:space="preserve">R. </t>
  </si>
  <si>
    <t xml:space="preserve">David </t>
  </si>
  <si>
    <t>Yost</t>
  </si>
  <si>
    <t>Director, Former Chief Executive Officer, AmerisourceBergen</t>
  </si>
  <si>
    <t xml:space="preserve">Maria </t>
  </si>
  <si>
    <t>Zuber</t>
  </si>
  <si>
    <t>Director, Vice President for Research and E. A. Griswold Professor of Geophysics, MIT</t>
  </si>
  <si>
    <t xml:space="preserve">Raul </t>
  </si>
  <si>
    <t xml:space="preserve">A. </t>
  </si>
  <si>
    <t>Anaya</t>
  </si>
  <si>
    <t>President of Business Banking</t>
  </si>
  <si>
    <t>LA CA</t>
  </si>
  <si>
    <t xml:space="preserve">Catherine </t>
  </si>
  <si>
    <t>P.</t>
  </si>
  <si>
    <t xml:space="preserve"> Bessant</t>
  </si>
  <si>
    <t>Chief Operations and Technology Officer</t>
  </si>
  <si>
    <t>Charlotte NC</t>
  </si>
  <si>
    <t>Sheri</t>
  </si>
  <si>
    <t>Bronstein</t>
  </si>
  <si>
    <t>Chief Human Resources Officer</t>
  </si>
  <si>
    <t xml:space="preserve">Paul </t>
  </si>
  <si>
    <t>Donofrio</t>
  </si>
  <si>
    <t>Chief Financial Officer</t>
  </si>
  <si>
    <t>K.</t>
  </si>
  <si>
    <t xml:space="preserve"> Montag</t>
  </si>
  <si>
    <t>Chief Operating Officer</t>
  </si>
  <si>
    <t xml:space="preserve">Andrea </t>
  </si>
  <si>
    <t xml:space="preserve">B. </t>
  </si>
  <si>
    <t>Smith</t>
  </si>
  <si>
    <t>Chief Administrative Officer</t>
  </si>
  <si>
    <t xml:space="preserve">Andy </t>
  </si>
  <si>
    <t>Sieg</t>
  </si>
  <si>
    <t>President, Merrill Lynch Wealth Management</t>
  </si>
  <si>
    <t>Greenwich Conn</t>
  </si>
  <si>
    <t>NC</t>
  </si>
  <si>
    <t>committee_id</t>
  </si>
  <si>
    <t>committee_name</t>
  </si>
  <si>
    <t>report_year</t>
  </si>
  <si>
    <t>report_type</t>
  </si>
  <si>
    <t>image_number</t>
  </si>
  <si>
    <t>line_number</t>
  </si>
  <si>
    <t>transaction_id</t>
  </si>
  <si>
    <t>file_number</t>
  </si>
  <si>
    <t>entity_type</t>
  </si>
  <si>
    <t>entity_type_desc</t>
  </si>
  <si>
    <t>unused_contbr_id</t>
  </si>
  <si>
    <t>contributor_prefix</t>
  </si>
  <si>
    <t>contributor_name</t>
  </si>
  <si>
    <t>recipient_committee_type</t>
  </si>
  <si>
    <t>recipient_committee_org_type</t>
  </si>
  <si>
    <t>recipient_committee_designation</t>
  </si>
  <si>
    <t>contributor_first_name</t>
  </si>
  <si>
    <t>contributor_middle_name</t>
  </si>
  <si>
    <t>contributor_last_name</t>
  </si>
  <si>
    <t>contributor_suffix</t>
  </si>
  <si>
    <t>contributor_street_1</t>
  </si>
  <si>
    <t>contributor_street_2</t>
  </si>
  <si>
    <t>contributor_city</t>
  </si>
  <si>
    <t>contributor_state</t>
  </si>
  <si>
    <t>contributor_zip</t>
  </si>
  <si>
    <t>contributor_employer</t>
  </si>
  <si>
    <t>contributor_occupation</t>
  </si>
  <si>
    <t>contributor_id</t>
  </si>
  <si>
    <t>receipt_type</t>
  </si>
  <si>
    <t>receipt_type_desc</t>
  </si>
  <si>
    <t>receipt_type_full</t>
  </si>
  <si>
    <t>memo_code</t>
  </si>
  <si>
    <t>memo_code_full</t>
  </si>
  <si>
    <t>contribution_receipt_date</t>
  </si>
  <si>
    <t>contribution_receipt_amount</t>
  </si>
  <si>
    <t>contributor_aggregate_ytd</t>
  </si>
  <si>
    <t>candidate_id</t>
  </si>
  <si>
    <t>candidate_name</t>
  </si>
  <si>
    <t>candidate_first_name</t>
  </si>
  <si>
    <t>candidate_last_name</t>
  </si>
  <si>
    <t>candidate_middle_name</t>
  </si>
  <si>
    <t>candidate_prefix</t>
  </si>
  <si>
    <t>candidate_suffix</t>
  </si>
  <si>
    <t>candidate_office</t>
  </si>
  <si>
    <t>candidate_office_full</t>
  </si>
  <si>
    <t>candidate_office_state</t>
  </si>
  <si>
    <t>candidate_office_state_full</t>
  </si>
  <si>
    <t>candidate_office_district</t>
  </si>
  <si>
    <t>conduit_committee_id</t>
  </si>
  <si>
    <t>conduit_committee_name</t>
  </si>
  <si>
    <t>conduit_committee_street1</t>
  </si>
  <si>
    <t>conduit_committee_street2</t>
  </si>
  <si>
    <t>conduit_committee_city</t>
  </si>
  <si>
    <t>conduit_committee_state</t>
  </si>
  <si>
    <t>conduit_committee_zip</t>
  </si>
  <si>
    <t>donor_committee_name</t>
  </si>
  <si>
    <t>national_committee_nonfederal_account</t>
  </si>
  <si>
    <t>election_type</t>
  </si>
  <si>
    <t>election_type_full</t>
  </si>
  <si>
    <t>fec_election_type_desc</t>
  </si>
  <si>
    <t>fec_election_year</t>
  </si>
  <si>
    <t>amendment_indicator</t>
  </si>
  <si>
    <t>amendment_indicator_desc</t>
  </si>
  <si>
    <t>schedule_type_full</t>
  </si>
  <si>
    <t>load_date</t>
  </si>
  <si>
    <t>original_sub_id</t>
  </si>
  <si>
    <t>back_reference_transaction_id</t>
  </si>
  <si>
    <t>back_reference_schedule_name</t>
  </si>
  <si>
    <t>filing_form</t>
  </si>
  <si>
    <t>link_id</t>
  </si>
  <si>
    <t>is_individual</t>
  </si>
  <si>
    <t>memo_text</t>
  </si>
  <si>
    <t>two_year_transaction_period</t>
  </si>
  <si>
    <t>schedule_type</t>
  </si>
  <si>
    <t>increased_limit</t>
  </si>
  <si>
    <t>sub_id</t>
  </si>
  <si>
    <t>pdf_url</t>
  </si>
  <si>
    <t>line_number_label</t>
  </si>
  <si>
    <t>C00364778</t>
  </si>
  <si>
    <t>BANK OF AMERICA CORPORATION FEDERAL PAC</t>
  </si>
  <si>
    <t>M6</t>
  </si>
  <si>
    <t>11AI</t>
  </si>
  <si>
    <t>A2019-1081936</t>
  </si>
  <si>
    <t>IND</t>
  </si>
  <si>
    <t>INDIVIDUAL</t>
  </si>
  <si>
    <t>MOYNIHAN, BRIAN T</t>
  </si>
  <si>
    <t>C</t>
  </si>
  <si>
    <t>BRIAN</t>
  </si>
  <si>
    <t>MOYNIHAN</t>
  </si>
  <si>
    <t>100 N TRYON ST</t>
  </si>
  <si>
    <t>CHARLOTTE</t>
  </si>
  <si>
    <t>BANK OF AMERICA</t>
  </si>
  <si>
    <t>CHAIRMAN AND CEO</t>
  </si>
  <si>
    <t>CONTRIBUTION</t>
  </si>
  <si>
    <t>PRIMARY</t>
  </si>
  <si>
    <t>NO CHANGE</t>
  </si>
  <si>
    <t>ITEMIZED RECEIPTS</t>
  </si>
  <si>
    <t>F3X</t>
  </si>
  <si>
    <t>t</t>
  </si>
  <si>
    <t>SA</t>
  </si>
  <si>
    <t>http://docquery.fec.gov/cgi-bin/fecimg/?201908029161350986</t>
  </si>
  <si>
    <t>Contributions From Individuals/Persons Other Than Political Committees</t>
  </si>
  <si>
    <t>Transfers from Authorized Committees</t>
  </si>
  <si>
    <t>http://docquery.fec.gov/cgi-bin/fecimg/?202009209275399018</t>
  </si>
  <si>
    <t>JFC ATTRIB: NRSC TARGETED STATE VICTORY</t>
  </si>
  <si>
    <t>SA12</t>
  </si>
  <si>
    <t>SA12.15788904</t>
  </si>
  <si>
    <t>ADD</t>
  </si>
  <si>
    <t>X</t>
  </si>
  <si>
    <t>TRANSFER</t>
  </si>
  <si>
    <t>MEMO (FILER'S % OF CONTRIBUTION GIVEN TO JOIN</t>
  </si>
  <si>
    <t>15J</t>
  </si>
  <si>
    <t>RETIRED</t>
  </si>
  <si>
    <t>TN</t>
  </si>
  <si>
    <t>NASHVILLE</t>
  </si>
  <si>
    <t>620 BELLE MEADE BLVD</t>
  </si>
  <si>
    <t>BOVENDER</t>
  </si>
  <si>
    <t>JACK</t>
  </si>
  <si>
    <t>U</t>
  </si>
  <si>
    <t>BOVENDER, JACK</t>
  </si>
  <si>
    <t>SA12.15788919</t>
  </si>
  <si>
    <t>M7</t>
  </si>
  <si>
    <t>NRSC</t>
  </si>
  <si>
    <t>C00027466</t>
  </si>
  <si>
    <t>http://docquery.fec.gov/cgi-bin/fecimg/?202007159250150135</t>
  </si>
  <si>
    <t>520 BELLE MEADE BLVD</t>
  </si>
  <si>
    <t>BOVENDER, JR.</t>
  </si>
  <si>
    <t>JACK O.</t>
  </si>
  <si>
    <t>BOVENDER, JR., JACK O.</t>
  </si>
  <si>
    <t>ADA791344E6304AB5BD7</t>
  </si>
  <si>
    <t>Q2</t>
  </si>
  <si>
    <t>SENATE EAGLE PAC</t>
  </si>
  <si>
    <t>C00719971</t>
  </si>
  <si>
    <t>http://docquery.fec.gov/cgi-bin/fecimg/?202007159244634217</t>
  </si>
  <si>
    <t>JR.</t>
  </si>
  <si>
    <t>O.</t>
  </si>
  <si>
    <t>BOVENDER, JACK O. JR.</t>
  </si>
  <si>
    <t>SA11AI.4334</t>
  </si>
  <si>
    <t>NRSC TARGETED STATE VICTORY</t>
  </si>
  <si>
    <t>C00724344</t>
  </si>
  <si>
    <t>http://docquery.fec.gov/cgi-bin/fecimg/?202008209266413628</t>
  </si>
  <si>
    <t>NON-FEDERAL RECEIPT FROM PERSONS</t>
  </si>
  <si>
    <t>SA11AI.4232</t>
  </si>
  <si>
    <t>M8</t>
  </si>
  <si>
    <t>STANDING WITH CONSERVATIVES</t>
  </si>
  <si>
    <t>C00750505</t>
  </si>
  <si>
    <t>https://docquery.fec.gov/cgi-bin/fecimg/?202106309450865950</t>
  </si>
  <si>
    <t>F3</t>
  </si>
  <si>
    <t>P2020</t>
  </si>
  <si>
    <t>EXECUTIVE</t>
  </si>
  <si>
    <t>HCA</t>
  </si>
  <si>
    <t>AFE6E99BABCBC45C98DE</t>
  </si>
  <si>
    <t>Q3</t>
  </si>
  <si>
    <t>COLLINS FOR SENATOR</t>
  </si>
  <si>
    <t>C00314575</t>
  </si>
  <si>
    <t>http://docquery.fec.gov/cgi-bin/fecimg/?201910209165196132</t>
  </si>
  <si>
    <t>BOVENDER, JACK O. MR. JR.</t>
  </si>
  <si>
    <t>MR.</t>
  </si>
  <si>
    <t>SA11A.14219924</t>
  </si>
  <si>
    <t>M10</t>
  </si>
  <si>
    <t>http://docquery.fec.gov/cgi-bin/fecimg/?201910159164272261</t>
  </si>
  <si>
    <t>A6F8ECAFE5CE141F79F8</t>
  </si>
  <si>
    <t>TEAM HAGERTY</t>
  </si>
  <si>
    <t>C00718627</t>
  </si>
  <si>
    <t>http://docquery.fec.gov/cgi-bin/fecimg/?201910159164272166</t>
  </si>
  <si>
    <t>GENERAL</t>
  </si>
  <si>
    <t>G2020</t>
  </si>
  <si>
    <t>AAF2B069FA3BD497E83C</t>
  </si>
  <si>
    <t>Row Labels</t>
  </si>
  <si>
    <t>Grand Total</t>
  </si>
  <si>
    <t>Sum of contribution_receipt_amount</t>
  </si>
  <si>
    <t>No FEC Data</t>
  </si>
  <si>
    <t>St Louis MO</t>
  </si>
  <si>
    <t>MO</t>
  </si>
  <si>
    <t>MA</t>
  </si>
  <si>
    <t>C00641381</t>
  </si>
  <si>
    <t>MCCREADY FOR CONGRESS</t>
  </si>
  <si>
    <t>VTEP0X1NDF4</t>
  </si>
  <si>
    <t>HUDSON, LINDA</t>
  </si>
  <si>
    <t>H</t>
  </si>
  <si>
    <t>LINDA</t>
  </si>
  <si>
    <t>HUDSON</t>
  </si>
  <si>
    <t>156 BALLANTYNE COUNTRY CLUB DR</t>
  </si>
  <si>
    <t>THE CARDEA GROUP</t>
  </si>
  <si>
    <t>S2019</t>
  </si>
  <si>
    <t>SPECIAL GENERAL</t>
  </si>
  <si>
    <t>SPECIAL</t>
  </si>
  <si>
    <t>http://docquery.fec.gov/cgi-bin/fecimg/?201908139162850079</t>
  </si>
  <si>
    <t>C00709410</t>
  </si>
  <si>
    <t>CAL FOR NC</t>
  </si>
  <si>
    <t>VVC0QRVGNC5</t>
  </si>
  <si>
    <t>15611 BALLANTYNE COUNTRY CLUB DR</t>
  </si>
  <si>
    <t>CHAIRMAN</t>
  </si>
  <si>
    <t>15E</t>
  </si>
  <si>
    <t>EARMARKED CONTRIBUTION</t>
  </si>
  <si>
    <t>VVC0QRVGNC5E</t>
  </si>
  <si>
    <t>SA11AI</t>
  </si>
  <si>
    <t>* EARMARKED CONTRIBUTION: SEE BELOW</t>
  </si>
  <si>
    <t>http://docquery.fec.gov/cgi-bin/fecimg/?202012019337317795</t>
  </si>
  <si>
    <t>VVC0QTXBWE8</t>
  </si>
  <si>
    <t>VVC0QTXBWE8E</t>
  </si>
  <si>
    <t>https://docquery.fec.gov/cgi-bin/fecimg/?202012019337362836</t>
  </si>
  <si>
    <t>D</t>
  </si>
  <si>
    <t>C00666149</t>
  </si>
  <si>
    <t>XOCHITL FOR NEW MEXICO</t>
  </si>
  <si>
    <t>VVBGKK5TBW9</t>
  </si>
  <si>
    <t>C00401224</t>
  </si>
  <si>
    <t>LOZANO, MONICA</t>
  </si>
  <si>
    <t>MONICA</t>
  </si>
  <si>
    <t>LOZANO</t>
  </si>
  <si>
    <t>5610 GOLDEN GATE AVE</t>
  </si>
  <si>
    <t>OAKLAND</t>
  </si>
  <si>
    <t>CA</t>
  </si>
  <si>
    <t>COLLEGE FUTURES FOUNDATION</t>
  </si>
  <si>
    <t>PRESIDENT</t>
  </si>
  <si>
    <t>VVBGKK5TBW9E</t>
  </si>
  <si>
    <t>http://docquery.fec.gov/cgi-bin/fecimg/?201907159150759713</t>
  </si>
  <si>
    <t>ACTBLUE</t>
  </si>
  <si>
    <t>MY</t>
  </si>
  <si>
    <t>SA11AI_153688256</t>
  </si>
  <si>
    <t>W</t>
  </si>
  <si>
    <t>5610 GOLDEN GATE AVENUE</t>
  </si>
  <si>
    <t>COLELGE FUTURES FOUNDATION</t>
  </si>
  <si>
    <t>EARMARK</t>
  </si>
  <si>
    <t>EARMARKED FOR JULIAN FOR THE FUTURE (C00693044)</t>
  </si>
  <si>
    <t>http://docquery.fec.gov/cgi-bin/fecimg/?201907299155217123</t>
  </si>
  <si>
    <t>C00650648</t>
  </si>
  <si>
    <t>CISNEROS FOR CONGRESS</t>
  </si>
  <si>
    <t>PHILANTHROPIST</t>
  </si>
  <si>
    <t>2292811E</t>
  </si>
  <si>
    <t>http://docquery.fec.gov/cgi-bin/fecimg/?201910159164206248</t>
  </si>
  <si>
    <t>C00703975</t>
  </si>
  <si>
    <t>BIDEN FOR PRESIDENT</t>
  </si>
  <si>
    <t>17A</t>
  </si>
  <si>
    <t>516084E</t>
  </si>
  <si>
    <t>SA17A</t>
  </si>
  <si>
    <t>F3P</t>
  </si>
  <si>
    <t>http://docquery.fec.gov/cgi-bin/fecimg/?201910219165257480</t>
  </si>
  <si>
    <t>C00155952</t>
  </si>
  <si>
    <t>DEMOCRATIC PARTY OF VIRGINIA</t>
  </si>
  <si>
    <t>30G</t>
  </si>
  <si>
    <t>* BIDEN VICTORY FUND</t>
  </si>
  <si>
    <t>https://docquery.fec.gov/cgi-bin/fecimg/?202104269445489336</t>
  </si>
  <si>
    <t>C00016899</t>
  </si>
  <si>
    <t>OHIO DEMOCRATIC PARTY</t>
  </si>
  <si>
    <t>11AI-000586421</t>
  </si>
  <si>
    <t>BIDEN VICTORY FUND</t>
  </si>
  <si>
    <t>https://docquery.fec.gov/cgi-bin/fecimg/?202105119446445367</t>
  </si>
  <si>
    <t>C00165688</t>
  </si>
  <si>
    <t>NORTH CAROLINA DEMOCRATIC PARTY - FEDERAL</t>
  </si>
  <si>
    <t>11AI-000226869</t>
  </si>
  <si>
    <t>https://docquery.fec.gov/cgi-bin/fecimg/?202103049440175440</t>
  </si>
  <si>
    <t>12P</t>
  </si>
  <si>
    <t>CEO</t>
  </si>
  <si>
    <t>2734868E</t>
  </si>
  <si>
    <t>http://docquery.fec.gov/cgi-bin/fecimg/?202007099244397711</t>
  </si>
  <si>
    <t>C00010603</t>
  </si>
  <si>
    <t>DNC SERVICES CORP / DEMOCRATIC NATIONAL COMMITTEE</t>
  </si>
  <si>
    <t>M9</t>
  </si>
  <si>
    <t>https://docquery.fec.gov/cgi-bin/fecimg/?202012149387340909</t>
  </si>
  <si>
    <t>C00696419</t>
  </si>
  <si>
    <t>AMY FOR AMERICA</t>
  </si>
  <si>
    <t>M3</t>
  </si>
  <si>
    <t>1358716E</t>
  </si>
  <si>
    <t>http://docquery.fec.gov/cgi-bin/fecimg/?202007159249941502</t>
  </si>
  <si>
    <t>C00161786</t>
  </si>
  <si>
    <t>COLORADO DEMOCRATIC PARTY</t>
  </si>
  <si>
    <t>11AI-000297494</t>
  </si>
  <si>
    <t>https://docquery.fec.gov/cgi-bin/fecimg/?202104059443068389</t>
  </si>
  <si>
    <t>SA18</t>
  </si>
  <si>
    <t>http://docquery.fec.gov/cgi-bin/fecimg/?202009209276532811</t>
  </si>
  <si>
    <t>Transfers From Other Authorized Committees</t>
  </si>
  <si>
    <t>C00003988</t>
  </si>
  <si>
    <t>NEBRASKA DEMOCRATIC PARTY</t>
  </si>
  <si>
    <t>11AI-000268859</t>
  </si>
  <si>
    <t>https://docquery.fec.gov/cgi-bin/fecimg/?202105129446683762</t>
  </si>
  <si>
    <t>C00178038</t>
  </si>
  <si>
    <t>NEW HAMPSHIRE DEMOCRATIC PARTY</t>
  </si>
  <si>
    <t>* BIDEN VICTORY FUND 2020</t>
  </si>
  <si>
    <t>https://docquery.fec.gov/cgi-bin/fecimg/?202102229428801573</t>
  </si>
  <si>
    <t>C00476523</t>
  </si>
  <si>
    <t>KAREN BASS FOR CONGRESS</t>
  </si>
  <si>
    <t>VTE63YA8GG5</t>
  </si>
  <si>
    <t>http://docquery.fec.gov/cgi-bin/fecimg/?202010159294319294</t>
  </si>
  <si>
    <t>C00025254</t>
  </si>
  <si>
    <t>MINNESOTA DEMOCRATIC-FARMER-LABOR PARTY</t>
  </si>
  <si>
    <t>https://docquery.fec.gov/cgi-bin/fecimg/?202105059446293282</t>
  </si>
  <si>
    <t>C00744946</t>
  </si>
  <si>
    <t>http://docquery.fec.gov/cgi-bin/fecimg/?202010129285124833</t>
  </si>
  <si>
    <t>C00019331</t>
  </si>
  <si>
    <t>DEMOCRATIC PARTY OF WISCONSIN</t>
  </si>
  <si>
    <t>12G</t>
  </si>
  <si>
    <t>11AI-001044851</t>
  </si>
  <si>
    <t>https://docquery.fec.gov/cgi-bin/fecimg/?202105189446939171</t>
  </si>
  <si>
    <t>C00099267</t>
  </si>
  <si>
    <t>TEXAS DEMOCRATIC PARTY</t>
  </si>
  <si>
    <t>11AI-000790088</t>
  </si>
  <si>
    <t>https://docquery.fec.gov/cgi-bin/fecimg/?202105209447029705</t>
  </si>
  <si>
    <t>11AI-000792313</t>
  </si>
  <si>
    <t>https://docquery.fec.gov/cgi-bin/fecimg/?202105209447030233</t>
  </si>
  <si>
    <t>https://docquery.fec.gov/cgi-bin/fecimg/?202101149404578135</t>
  </si>
  <si>
    <t>https://docquery.fec.gov/cgi-bin/fecimg/?202101149404627361</t>
  </si>
  <si>
    <t>https://docquery.fec.gov/cgi-bin/fecimg/?202101149404598724</t>
  </si>
  <si>
    <t>C00041269</t>
  </si>
  <si>
    <t>GEORGIA FEDERAL ELECTIONS COMMITTEE</t>
  </si>
  <si>
    <t>http://docquery.fec.gov/cgi-bin/fecimg/?202012039340789580</t>
  </si>
  <si>
    <t>C00031054</t>
  </si>
  <si>
    <t>MICHIGAN DEMOCRATIC STATE CENTRAL COMMITTEE</t>
  </si>
  <si>
    <t>* BIDEN VICTORY FUND JOINT FUNDRAISING PROCEEDS</t>
  </si>
  <si>
    <t>https://docquery.fec.gov/cgi-bin/fecimg/?202105179446836053</t>
  </si>
  <si>
    <t>C00005561</t>
  </si>
  <si>
    <t>DEMOCRATIC EXECUTIVE COMMITTEE OF FLORIDA</t>
  </si>
  <si>
    <t>https://docquery.fec.gov/cgi-bin/fecimg/?202105179446843583</t>
  </si>
  <si>
    <t>C00694455</t>
  </si>
  <si>
    <t>KAMALA HARRIS FOR THE PEOPLE</t>
  </si>
  <si>
    <t>https://docquery.fec.gov/cgi-bin/fecimg/?202107279452029915</t>
  </si>
  <si>
    <t>C00208991</t>
  </si>
  <si>
    <t>NEVADA STATE DEMOCRATIC PARTY</t>
  </si>
  <si>
    <t>11AI-000090538</t>
  </si>
  <si>
    <t>https://docquery.fec.gov/cgi-bin/fecimg/?202105319447491129</t>
  </si>
  <si>
    <t>https://docquery.fec.gov/cgi-bin/fecimg/?202102249428870928</t>
  </si>
  <si>
    <t>https://docquery.fec.gov/cgi-bin/fecimg/?202102249428873436</t>
  </si>
  <si>
    <t>C00166710</t>
  </si>
  <si>
    <t>ARIZONA DEMOCRATIC PARTY</t>
  </si>
  <si>
    <t>11AI-000458119</t>
  </si>
  <si>
    <t>https://docquery.fec.gov/cgi-bin/fecimg/?202103049440168791</t>
  </si>
  <si>
    <t>C00000935</t>
  </si>
  <si>
    <t>DCCC</t>
  </si>
  <si>
    <t>M2</t>
  </si>
  <si>
    <t>28575715E</t>
  </si>
  <si>
    <t>* EARMARKED CONTRIBUTION: SEE BELOW EARMARKED THROUGH ACTBLUE</t>
  </si>
  <si>
    <t>https://docquery.fec.gov/cgi-bin/fecimg/?202103239441845195</t>
  </si>
  <si>
    <t>C00167130</t>
  </si>
  <si>
    <t>PENNSYLVANIA DEMOCRATIC PARTY</t>
  </si>
  <si>
    <t>11AI-000118199</t>
  </si>
  <si>
    <t>https://docquery.fec.gov/cgi-bin/fecimg/?202103319442966697</t>
  </si>
  <si>
    <t>15611 BALLANTYNE COUNTRY CLUB DR CHARLOTTE NC 282771406</t>
  </si>
  <si>
    <t>5610 GOLDEN GATE AVENUE OAKLAND CA 94618</t>
  </si>
  <si>
    <t>ROSE, CLAYTON J</t>
  </si>
  <si>
    <t>CLAYTON</t>
  </si>
  <si>
    <t>ROSE</t>
  </si>
  <si>
    <t>100 FEDERAL ST</t>
  </si>
  <si>
    <t>FL 11</t>
  </si>
  <si>
    <t>BOSTON</t>
  </si>
  <si>
    <t>BOWDOIN COLLEGE</t>
  </si>
  <si>
    <t>https://docquery.fec.gov/cgi-bin/fecimg/?202104269445489146</t>
  </si>
  <si>
    <t>11AI-000585531</t>
  </si>
  <si>
    <t>ROSE, CLAYTON</t>
  </si>
  <si>
    <t>100 FEDERAL STREET, 11TH FLOOR</t>
  </si>
  <si>
    <t>https://docquery.fec.gov/cgi-bin/fecimg/?202105119446445006</t>
  </si>
  <si>
    <t>11AI-000997372</t>
  </si>
  <si>
    <t>100 FEDERAL STREET</t>
  </si>
  <si>
    <t>11TH FLOOR</t>
  </si>
  <si>
    <t>https://docquery.fec.gov/cgi-bin/fecimg/?202105179446842029</t>
  </si>
  <si>
    <t>11AI-000268182</t>
  </si>
  <si>
    <t>https://docquery.fec.gov/cgi-bin/fecimg/?202105129446683549</t>
  </si>
  <si>
    <t>https://docquery.fec.gov/cgi-bin/fecimg/?202105059446291974</t>
  </si>
  <si>
    <t>11AI-000791467</t>
  </si>
  <si>
    <t xml:space="preserve">BOWDOIN COLLEGE	</t>
  </si>
  <si>
    <t>https://docquery.fec.gov/cgi-bin/fecimg/?202105209447030036</t>
  </si>
  <si>
    <t>11AI-000793757</t>
  </si>
  <si>
    <t>https://docquery.fec.gov/cgi-bin/fecimg/?202105209447030617</t>
  </si>
  <si>
    <t>https://docquery.fec.gov/cgi-bin/fecimg/?202101149404678131</t>
  </si>
  <si>
    <t>11AI-000087847</t>
  </si>
  <si>
    <t>https://docquery.fec.gov/cgi-bin/fecimg/?202101119398389220</t>
  </si>
  <si>
    <t>11AI-000428114</t>
  </si>
  <si>
    <t>CHANGE</t>
  </si>
  <si>
    <t>https://docquery.fec.gov/cgi-bin/fecimg/?202104199443819999</t>
  </si>
  <si>
    <t>https://docquery.fec.gov/cgi-bin/fecimg/?202102249428871192</t>
  </si>
  <si>
    <t>11AI-000117490</t>
  </si>
  <si>
    <t>https://docquery.fec.gov/cgi-bin/fecimg/?202103319442966378</t>
  </si>
  <si>
    <t>PA</t>
  </si>
  <si>
    <t>100 N TRYON ST CHARLOTTE NC 28255</t>
  </si>
  <si>
    <t>620 BELLE MEADE BLVD NASHVILLE TN 372053878</t>
  </si>
  <si>
    <t>100 FEDERAL STREET BOSTON MA 21101802</t>
  </si>
  <si>
    <t>C00694323</t>
  </si>
  <si>
    <t>WINRED</t>
  </si>
  <si>
    <t>YE</t>
  </si>
  <si>
    <t>A82669328F0804D8F988</t>
  </si>
  <si>
    <t>C00719294</t>
  </si>
  <si>
    <t>YOST, R DAVID</t>
  </si>
  <si>
    <t>V</t>
  </si>
  <si>
    <t>R DAVID</t>
  </si>
  <si>
    <t>YOST</t>
  </si>
  <si>
    <t>502 GLENVIEW RD</t>
  </si>
  <si>
    <t>BRYN MAWR</t>
  </si>
  <si>
    <t>EARMARKED FOR AUGUST PFLUGER FOR CONGRESS (C00719294)</t>
  </si>
  <si>
    <t>H0TX11230</t>
  </si>
  <si>
    <t>https://docquery.fec.gov/cgi-bin/fecimg/?202101079395257093</t>
  </si>
  <si>
    <t>C00747121</t>
  </si>
  <si>
    <t>RED SENATE</t>
  </si>
  <si>
    <t>SA11AI.16306</t>
  </si>
  <si>
    <t>502 GLENVIEW ROAD</t>
  </si>
  <si>
    <t>http://docquery.fec.gov/cgi-bin/fecimg/?202010159293902663</t>
  </si>
  <si>
    <t>502 GLENVIEW ROAD BRYN MAWR PA19010</t>
  </si>
  <si>
    <t>https://docquery.fec.gov/cgi-bin/fecimg/?202101259405394702</t>
  </si>
  <si>
    <t>CHIEF OPS &amp; TECHNOLOGY OFFICER</t>
  </si>
  <si>
    <t>BESSANT</t>
  </si>
  <si>
    <t>CATHERINE</t>
  </si>
  <si>
    <t>BESSANT, CATHERINE P</t>
  </si>
  <si>
    <t>A2020-2739497</t>
  </si>
  <si>
    <t>https://docquery.fec.gov/cgi-bin/fecimg/?202101259405394701</t>
  </si>
  <si>
    <t>A2020-2705514</t>
  </si>
  <si>
    <t>A2020-2582606</t>
  </si>
  <si>
    <t>http://docquery.fec.gov/cgi-bin/fecimg/?202010169296946518</t>
  </si>
  <si>
    <t>A2020-2136004</t>
  </si>
  <si>
    <t>http://docquery.fec.gov/cgi-bin/fecimg/?202010169296946517</t>
  </si>
  <si>
    <t>A2020-1978852</t>
  </si>
  <si>
    <t>http://docquery.fec.gov/cgi-bin/fecimg/?202009179267228632</t>
  </si>
  <si>
    <t>A2020-1880439</t>
  </si>
  <si>
    <t>http://docquery.fec.gov/cgi-bin/fecimg/?202009179267228631</t>
  </si>
  <si>
    <t>A2020-1687974</t>
  </si>
  <si>
    <t>http://docquery.fec.gov/cgi-bin/fecimg/?202007209260106131</t>
  </si>
  <si>
    <t>A2020-1376825</t>
  </si>
  <si>
    <t>http://docquery.fec.gov/cgi-bin/fecimg/?202007209260106130</t>
  </si>
  <si>
    <t>A2020-1335423</t>
  </si>
  <si>
    <t>https://docquery.fec.gov/cgi-bin/fecimg/?202012029337415073</t>
  </si>
  <si>
    <t>A2020-2422097</t>
  </si>
  <si>
    <t>https://docquery.fec.gov/cgi-bin/fecimg/?202012029337415072</t>
  </si>
  <si>
    <t>A2020-2353456</t>
  </si>
  <si>
    <t>A2020-2214950</t>
  </si>
  <si>
    <t>http://docquery.fec.gov/cgi-bin/fecimg/?202006159239782121</t>
  </si>
  <si>
    <t>A2020-1110344</t>
  </si>
  <si>
    <t>A2020-1062945</t>
  </si>
  <si>
    <t>http://docquery.fec.gov/cgi-bin/fecimg/?202005159232750191</t>
  </si>
  <si>
    <t>A2020-856839</t>
  </si>
  <si>
    <t>M5</t>
  </si>
  <si>
    <t>A2020-806731</t>
  </si>
  <si>
    <t>http://docquery.fec.gov/cgi-bin/fecimg/?202008149261305064</t>
  </si>
  <si>
    <t>A2020-1602195</t>
  </si>
  <si>
    <t>http://docquery.fec.gov/cgi-bin/fecimg/?202004169219662922</t>
  </si>
  <si>
    <t>A2020-576127</t>
  </si>
  <si>
    <t>M4</t>
  </si>
  <si>
    <t>A2020-434726</t>
  </si>
  <si>
    <t>A2020-1623279</t>
  </si>
  <si>
    <t>http://docquery.fec.gov/cgi-bin/fecimg/?202003169203834851</t>
  </si>
  <si>
    <t>A2020-280487</t>
  </si>
  <si>
    <t>http://docquery.fec.gov/cgi-bin/fecimg/?202003169203834852</t>
  </si>
  <si>
    <t>A2020-314015</t>
  </si>
  <si>
    <t>http://docquery.fec.gov/cgi-bin/fecimg/?202002149186505258</t>
  </si>
  <si>
    <t>A2020-66622</t>
  </si>
  <si>
    <t>http://docquery.fec.gov/cgi-bin/fecimg/?201912169166292150</t>
  </si>
  <si>
    <t>A2019-2730308</t>
  </si>
  <si>
    <t>M12</t>
  </si>
  <si>
    <t>A2019-2695169</t>
  </si>
  <si>
    <t>http://docquery.fec.gov/cgi-bin/fecimg/?201911149165501059</t>
  </si>
  <si>
    <t>A2019-2516923</t>
  </si>
  <si>
    <t>M11</t>
  </si>
  <si>
    <t>http://docquery.fec.gov/cgi-bin/fecimg/?201911149165501058</t>
  </si>
  <si>
    <t>A2019-2452584</t>
  </si>
  <si>
    <t>http://docquery.fec.gov/cgi-bin/fecimg/?201910169164983805</t>
  </si>
  <si>
    <t>A2019-2244236</t>
  </si>
  <si>
    <t>A2019-2194590</t>
  </si>
  <si>
    <t>http://docquery.fec.gov/cgi-bin/fecimg/?201909139163316601</t>
  </si>
  <si>
    <t>A2019-1969032</t>
  </si>
  <si>
    <t>A2019-1841581</t>
  </si>
  <si>
    <t>http://docquery.fec.gov/cgi-bin/fecimg/?201908029161351107</t>
  </si>
  <si>
    <t>A2019-1380858</t>
  </si>
  <si>
    <t>A2019-1193467</t>
  </si>
  <si>
    <t>http://docquery.fec.gov/cgi-bin/fecimg/?201908029161350878</t>
  </si>
  <si>
    <t>A2019-1109407</t>
  </si>
  <si>
    <t>A2019-949366</t>
  </si>
  <si>
    <t>http://docquery.fec.gov/cgi-bin/fecimg/?202001209167275042</t>
  </si>
  <si>
    <t>A2019-2983832</t>
  </si>
  <si>
    <t>A2019-2942847</t>
  </si>
  <si>
    <t>http://docquery.fec.gov/cgi-bin/fecimg/?201908169162884457</t>
  </si>
  <si>
    <t>A2019-1686379</t>
  </si>
  <si>
    <t>A2019-1509442</t>
  </si>
  <si>
    <t>http://docquery.fec.gov/cgi-bin/fecimg/?201905149149695863</t>
  </si>
  <si>
    <t>A2019-842965</t>
  </si>
  <si>
    <t>A2019-793285</t>
  </si>
  <si>
    <t>http://docquery.fec.gov/cgi-bin/fecimg/?201904129146103817</t>
  </si>
  <si>
    <t>A2019-545258</t>
  </si>
  <si>
    <t>A2019-518258</t>
  </si>
  <si>
    <t>http://docquery.fec.gov/cgi-bin/fecimg/?201903159145712528</t>
  </si>
  <si>
    <t>A2019-340858</t>
  </si>
  <si>
    <t>A2019-299689</t>
  </si>
  <si>
    <t>http://docquery.fec.gov/cgi-bin/fecimg/?201902159145519675</t>
  </si>
  <si>
    <t>A2019-83355</t>
  </si>
  <si>
    <t>Sheri B Bronstein</t>
  </si>
  <si>
    <t>https://docquery.fec.gov/cgi-bin/fecimg/?202101259405394729</t>
  </si>
  <si>
    <t>CHIEF HUMAN RESOURCES OFFICER</t>
  </si>
  <si>
    <t>NEW YORK</t>
  </si>
  <si>
    <t>ONE BRYANT PARK</t>
  </si>
  <si>
    <t>BRONSTEIN</t>
  </si>
  <si>
    <t>SHERI</t>
  </si>
  <si>
    <t>BRONSTEIN, SHERI</t>
  </si>
  <si>
    <t>A2020-2741016</t>
  </si>
  <si>
    <t>https://docquery.fec.gov/cgi-bin/fecimg/?202101259405394728</t>
  </si>
  <si>
    <t>A2020-2707033</t>
  </si>
  <si>
    <t>A2020-2584125</t>
  </si>
  <si>
    <t>http://docquery.fec.gov/cgi-bin/fecimg/?202010169296946526</t>
  </si>
  <si>
    <t>A2020-2137530</t>
  </si>
  <si>
    <t>A2020-1980382</t>
  </si>
  <si>
    <t>http://docquery.fec.gov/cgi-bin/fecimg/?202009179267228640</t>
  </si>
  <si>
    <t>A2020-1881970</t>
  </si>
  <si>
    <t>http://docquery.fec.gov/cgi-bin/fecimg/?202009179267228639</t>
  </si>
  <si>
    <t>A2020-1689511</t>
  </si>
  <si>
    <t>http://docquery.fec.gov/cgi-bin/fecimg/?202007209260106135</t>
  </si>
  <si>
    <t>A2020-1379255</t>
  </si>
  <si>
    <t>A2020-1337854</t>
  </si>
  <si>
    <t>https://docquery.fec.gov/cgi-bin/fecimg/?202012029337415090</t>
  </si>
  <si>
    <t>A2020-2423619</t>
  </si>
  <si>
    <t>A2020-2354979</t>
  </si>
  <si>
    <t>https://docquery.fec.gov/cgi-bin/fecimg/?202012029337415089</t>
  </si>
  <si>
    <t>A2020-2216474</t>
  </si>
  <si>
    <t>http://docquery.fec.gov/cgi-bin/fecimg/?202006159239782125</t>
  </si>
  <si>
    <t>A2020-1112824</t>
  </si>
  <si>
    <t>A2020-1065431</t>
  </si>
  <si>
    <t>http://docquery.fec.gov/cgi-bin/fecimg/?202005159232750193</t>
  </si>
  <si>
    <t>A2020-859330</t>
  </si>
  <si>
    <t>A2020-809230</t>
  </si>
  <si>
    <t>http://docquery.fec.gov/cgi-bin/fecimg/?202008149261305070</t>
  </si>
  <si>
    <t>A2020-1603738</t>
  </si>
  <si>
    <t>http://docquery.fec.gov/cgi-bin/fecimg/?202008149261305071</t>
  </si>
  <si>
    <t>A2020-1624819</t>
  </si>
  <si>
    <t>http://docquery.fec.gov/cgi-bin/fecimg/?202004169219662924</t>
  </si>
  <si>
    <t>A2020-578488</t>
  </si>
  <si>
    <t>A2020-437102</t>
  </si>
  <si>
    <t>http://docquery.fec.gov/cgi-bin/fecimg/?201912169166292165</t>
  </si>
  <si>
    <t>A2019-2696008</t>
  </si>
  <si>
    <t>http://docquery.fec.gov/cgi-bin/fecimg/?201911149165501069</t>
  </si>
  <si>
    <t>A2019-2517763</t>
  </si>
  <si>
    <t>http://docquery.fec.gov/cgi-bin/fecimg/?201911149165501068</t>
  </si>
  <si>
    <t>A2019-2453429</t>
  </si>
  <si>
    <t>A2019-2732717</t>
  </si>
  <si>
    <t>http://docquery.fec.gov/cgi-bin/fecimg/?201910169164983814</t>
  </si>
  <si>
    <t>GLOBAL HUMAN RESOURCES EXEC</t>
  </si>
  <si>
    <t>A2019-2245082</t>
  </si>
  <si>
    <t>A2019-2195437</t>
  </si>
  <si>
    <t>http://docquery.fec.gov/cgi-bin/fecimg/?201909139163316611</t>
  </si>
  <si>
    <t>A2019-1970057</t>
  </si>
  <si>
    <t>A2019-1842466</t>
  </si>
  <si>
    <t>http://docquery.fec.gov/cgi-bin/fecimg/?201908029161351114</t>
  </si>
  <si>
    <t>A2019-1383448</t>
  </si>
  <si>
    <t>A2019-1196075</t>
  </si>
  <si>
    <t>http://docquery.fec.gov/cgi-bin/fecimg/?201908029161350883</t>
  </si>
  <si>
    <t>A2019-1108387</t>
  </si>
  <si>
    <t>A2019-952018</t>
  </si>
  <si>
    <t>http://docquery.fec.gov/cgi-bin/fecimg/?202001209167275059</t>
  </si>
  <si>
    <t>A2019-2986235</t>
  </si>
  <si>
    <t>A2019-2945254</t>
  </si>
  <si>
    <t>http://docquery.fec.gov/cgi-bin/fecimg/?201908169162884466</t>
  </si>
  <si>
    <t>A2019-1688954</t>
  </si>
  <si>
    <t>http://docquery.fec.gov/cgi-bin/fecimg/?201908169162884465</t>
  </si>
  <si>
    <t>A2019-1512024</t>
  </si>
  <si>
    <t>http://docquery.fec.gov/cgi-bin/fecimg/?201905149149695866</t>
  </si>
  <si>
    <t>A2019-844627</t>
  </si>
  <si>
    <t>A2019-794436</t>
  </si>
  <si>
    <t>http://docquery.fec.gov/cgi-bin/fecimg/?201904129146103820</t>
  </si>
  <si>
    <t>A2019-546273</t>
  </si>
  <si>
    <t>http://docquery.fec.gov/cgi-bin/fecimg/?201904129146103819</t>
  </si>
  <si>
    <t>A2019-519279</t>
  </si>
  <si>
    <t>ONE BRYANT PARK NEW YORK NY 10036</t>
  </si>
  <si>
    <t>A2019-1508788</t>
  </si>
  <si>
    <t>DONOFRIO, PAUL M</t>
  </si>
  <si>
    <t>PAUL</t>
  </si>
  <si>
    <t>DONOFRIO</t>
  </si>
  <si>
    <t>CHIEF FINANCIAL OFFICER</t>
  </si>
  <si>
    <t>http://docquery.fec.gov/cgi-bin/fecimg/?201908169162884507</t>
  </si>
  <si>
    <t>A2019-1685727</t>
  </si>
  <si>
    <t>http://docquery.fec.gov/cgi-bin/fecimg/?201908169162884508</t>
  </si>
  <si>
    <t>A2019-2943870</t>
  </si>
  <si>
    <t>http://docquery.fec.gov/cgi-bin/fecimg/?202001209167275125</t>
  </si>
  <si>
    <t>A2019-2984852</t>
  </si>
  <si>
    <t>http://docquery.fec.gov/cgi-bin/fecimg/?202001209167275126</t>
  </si>
  <si>
    <t>A2019-1192810</t>
  </si>
  <si>
    <t>http://docquery.fec.gov/cgi-bin/fecimg/?201908029161351150</t>
  </si>
  <si>
    <t>A2019-1380201</t>
  </si>
  <si>
    <t>A2019-1840982</t>
  </si>
  <si>
    <t>http://docquery.fec.gov/cgi-bin/fecimg/?201909139163316658</t>
  </si>
  <si>
    <t>A2019-1967613</t>
  </si>
  <si>
    <t>http://docquery.fec.gov/cgi-bin/fecimg/?201909139163316659</t>
  </si>
  <si>
    <t>A2019-2193417</t>
  </si>
  <si>
    <t>http://docquery.fec.gov/cgi-bin/fecimg/?201910169164983864</t>
  </si>
  <si>
    <t>A2019-2243068</t>
  </si>
  <si>
    <t>A2019-2693996</t>
  </si>
  <si>
    <t>http://docquery.fec.gov/cgi-bin/fecimg/?201912169166292230</t>
  </si>
  <si>
    <t>A2019-2731332</t>
  </si>
  <si>
    <t>A2019-2451416</t>
  </si>
  <si>
    <t>http://docquery.fec.gov/cgi-bin/fecimg/?201911149165501120</t>
  </si>
  <si>
    <t>A2019-2515758</t>
  </si>
  <si>
    <t>A2020-1622593</t>
  </si>
  <si>
    <t>http://docquery.fec.gov/cgi-bin/fecimg/?202008149261305110</t>
  </si>
  <si>
    <t>A2020-1601507</t>
  </si>
  <si>
    <t>A2020-2214272</t>
  </si>
  <si>
    <t>https://docquery.fec.gov/cgi-bin/fecimg/?202012029337415169</t>
  </si>
  <si>
    <t>A2020-2352783</t>
  </si>
  <si>
    <t>A2020-2421424</t>
  </si>
  <si>
    <t>https://docquery.fec.gov/cgi-bin/fecimg/?202012029337415170</t>
  </si>
  <si>
    <t>A2020-1336502</t>
  </si>
  <si>
    <t>http://docquery.fec.gov/cgi-bin/fecimg/?202007209260106170</t>
  </si>
  <si>
    <t>A2020-1377904</t>
  </si>
  <si>
    <t>A2020-1687289</t>
  </si>
  <si>
    <t>http://docquery.fec.gov/cgi-bin/fecimg/?202009179267228683</t>
  </si>
  <si>
    <t>A2020-1879757</t>
  </si>
  <si>
    <t>A2020-1978173</t>
  </si>
  <si>
    <t>http://docquery.fec.gov/cgi-bin/fecimg/?202010169296946572</t>
  </si>
  <si>
    <t>A2020-2135325</t>
  </si>
  <si>
    <t>A2020-2581935</t>
  </si>
  <si>
    <t>https://docquery.fec.gov/cgi-bin/fecimg/?202101259405394822</t>
  </si>
  <si>
    <t>A2020-2704843</t>
  </si>
  <si>
    <t>A2020-2738826</t>
  </si>
  <si>
    <t>ONE BRYANT PARK NEW YORK NY 10037</t>
  </si>
  <si>
    <t>C00370056</t>
  </si>
  <si>
    <t>DEVIN NUNES CAMPAIGN COMMITTEE</t>
  </si>
  <si>
    <t>Q1</t>
  </si>
  <si>
    <t>A8A06EDE5B6524991B6F</t>
  </si>
  <si>
    <t>MONTAG, THOMAS</t>
  </si>
  <si>
    <t>THOMAS</t>
  </si>
  <si>
    <t>MONTAG</t>
  </si>
  <si>
    <t>127 E 73RD ST</t>
  </si>
  <si>
    <t>COO</t>
  </si>
  <si>
    <t>AF978B0A2FE2B4C5B9C8</t>
  </si>
  <si>
    <t>http://docquery.fec.gov/cgi-bin/fecimg/?201907159150604201</t>
  </si>
  <si>
    <t>Transfers from authorized committees</t>
  </si>
  <si>
    <t>AE8CA03E4223B41728D1</t>
  </si>
  <si>
    <t>A0AB6B94AEA1F4BC2AAB</t>
  </si>
  <si>
    <t>http://docquery.fec.gov/cgi-bin/fecimg/?201907159150604212</t>
  </si>
  <si>
    <t>C00551275</t>
  </si>
  <si>
    <t>FRENCH HILL FOR ARKANSAS</t>
  </si>
  <si>
    <t>SA12.10212</t>
  </si>
  <si>
    <t>MONTAG, THOMAS MR.</t>
  </si>
  <si>
    <t>127 EAST 73RD STREET</t>
  </si>
  <si>
    <t>SA12.10143</t>
  </si>
  <si>
    <t>JFC ATTRIB: TAKE BACK THE HOUSE 2020</t>
  </si>
  <si>
    <t>http://docquery.fec.gov/cgi-bin/fecimg/?201908239163101342</t>
  </si>
  <si>
    <t>SA12.10210</t>
  </si>
  <si>
    <t>SA12.10144</t>
  </si>
  <si>
    <t>http://docquery.fec.gov/cgi-bin/fecimg/?201908239163101357</t>
  </si>
  <si>
    <t>C00662650</t>
  </si>
  <si>
    <t>BALDERSON FOR CONGRESS</t>
  </si>
  <si>
    <t>AF98594688AEF4D63847</t>
  </si>
  <si>
    <t>AEC113F4AED7542E1A2E</t>
  </si>
  <si>
    <t>http://docquery.fec.gov/cgi-bin/fecimg/?201908269163104886</t>
  </si>
  <si>
    <t>C00629949</t>
  </si>
  <si>
    <t>ALEX MOONEY FOR CONGRESS</t>
  </si>
  <si>
    <t>SA12.22557</t>
  </si>
  <si>
    <t>127 E 73RD ST.</t>
  </si>
  <si>
    <t>SA12.22462</t>
  </si>
  <si>
    <t>https://docquery.fec.gov/cgi-bin/fecimg/?202104049443062349</t>
  </si>
  <si>
    <t>C00499236</t>
  </si>
  <si>
    <t>GEORGE HOLDING FOR CONGRESS INC.</t>
  </si>
  <si>
    <t>SA12-TI68-12</t>
  </si>
  <si>
    <t>TRANSFER IN AFFILIATED</t>
  </si>
  <si>
    <t>TAKE BACK THE HOUSE 2020</t>
  </si>
  <si>
    <t>http://docquery.fec.gov/cgi-bin/fecimg/?201904159146156641</t>
  </si>
  <si>
    <t>C00200584</t>
  </si>
  <si>
    <t>UPTON FOR ALL OF US</t>
  </si>
  <si>
    <t>A0F26B28663C24330B76</t>
  </si>
  <si>
    <t>A01D3BDD21E974F85ACC</t>
  </si>
  <si>
    <t>http://docquery.fec.gov/cgi-bin/fecimg/?201904159146201998</t>
  </si>
  <si>
    <t>C00509422</t>
  </si>
  <si>
    <t>DOUG LAMALFA COMMITTEE</t>
  </si>
  <si>
    <t>IDTA382</t>
  </si>
  <si>
    <t>P.O. BOX 30844</t>
  </si>
  <si>
    <t>BETHESDA</t>
  </si>
  <si>
    <t>MD</t>
  </si>
  <si>
    <t>INCA6250</t>
  </si>
  <si>
    <t>http://docquery.fec.gov/cgi-bin/fecimg/?201906059149930841</t>
  </si>
  <si>
    <t>C00660795</t>
  </si>
  <si>
    <t>DAN CRENSHAW FOR CONGRESS</t>
  </si>
  <si>
    <t>A3FC01698873245299B8</t>
  </si>
  <si>
    <t>A1AA4651CF89B4DF0B62</t>
  </si>
  <si>
    <t>http://docquery.fec.gov/cgi-bin/fecimg/?201904159146346790</t>
  </si>
  <si>
    <t>C00662767</t>
  </si>
  <si>
    <t>CHIP ROY FOR CONGRESS</t>
  </si>
  <si>
    <t>SA12.12525</t>
  </si>
  <si>
    <t>SA12.12492</t>
  </si>
  <si>
    <t>http://docquery.fec.gov/cgi-bin/fecimg/?201904159146170808</t>
  </si>
  <si>
    <t>C00373001</t>
  </si>
  <si>
    <t>CITIZENS FOR TURNER</t>
  </si>
  <si>
    <t>A90980EB059D34DF08C5</t>
  </si>
  <si>
    <t>AA5FE2A2980CC458099A</t>
  </si>
  <si>
    <t>http://docquery.fec.gov/cgi-bin/fecimg/?201904159146360044</t>
  </si>
  <si>
    <t>C00527457</t>
  </si>
  <si>
    <t>FRIENDS OF DAVE JOYCE</t>
  </si>
  <si>
    <t>A786728708555463AA95</t>
  </si>
  <si>
    <t>A5069661D0E914823955</t>
  </si>
  <si>
    <t>http://docquery.fec.gov/cgi-bin/fecimg/?201904159146171979</t>
  </si>
  <si>
    <t>A2B62F90B2B3F42D4985</t>
  </si>
  <si>
    <t>A45D20F100A22429E904</t>
  </si>
  <si>
    <t>http://docquery.fec.gov/cgi-bin/fecimg/?201904159146171992</t>
  </si>
  <si>
    <t>C00575167</t>
  </si>
  <si>
    <t>DON BACON FOR CONGRESS</t>
  </si>
  <si>
    <t>AD29701CC3CB140DD8F6</t>
  </si>
  <si>
    <t>AB5ED80FB6E554FF3AC6</t>
  </si>
  <si>
    <t>TAKE BACK THE HOUSE TRANSFER MEMO</t>
  </si>
  <si>
    <t>http://docquery.fec.gov/cgi-bin/fecimg/?201907139150587553</t>
  </si>
  <si>
    <t>C00545467</t>
  </si>
  <si>
    <t>HURD FOR CONGRESS</t>
  </si>
  <si>
    <t>SA12.58942</t>
  </si>
  <si>
    <t>JFC TRANSFER: TAKE BACK THE HOUSE [SA12.54376]</t>
  </si>
  <si>
    <t>http://docquery.fec.gov/cgi-bin/fecimg/?201907229151614283</t>
  </si>
  <si>
    <t>C00677286</t>
  </si>
  <si>
    <t>STEIL FOR WISCONSIN, INC.</t>
  </si>
  <si>
    <t>AA92E907DBFFC4575B1D</t>
  </si>
  <si>
    <t>A0294E4D1449B4699B4D</t>
  </si>
  <si>
    <t>http://docquery.fec.gov/cgi-bin/fecimg/?201907159150998463</t>
  </si>
  <si>
    <t>A0F28D5E6F24245DF908</t>
  </si>
  <si>
    <t>A325F370CFE854A9D9E8</t>
  </si>
  <si>
    <t>http://docquery.fec.gov/cgi-bin/fecimg/?201907159150998471</t>
  </si>
  <si>
    <t>C00660050</t>
  </si>
  <si>
    <t>COMMITTEE TO RE-ELECT STEVE WATKINS</t>
  </si>
  <si>
    <t>AB3926BF1261640379FE</t>
  </si>
  <si>
    <t>A8C490F2A64184F05BB0</t>
  </si>
  <si>
    <t>http://docquery.fec.gov/cgi-bin/fecimg/?201907159150896218</t>
  </si>
  <si>
    <t>C00540617</t>
  </si>
  <si>
    <t>FRIENDS OF DAVID SCHWEIKERT</t>
  </si>
  <si>
    <t>ABFB61C230FC44118826</t>
  </si>
  <si>
    <t>A701E59EC73974E42961</t>
  </si>
  <si>
    <t>http://docquery.fec.gov/cgi-bin/fecimg/?201904159146333859</t>
  </si>
  <si>
    <t>C00663914</t>
  </si>
  <si>
    <t>DEBBIE LESKO FOR CONGRESS</t>
  </si>
  <si>
    <t>ADE9417B3DE9F43F5A55</t>
  </si>
  <si>
    <t>127 E. 73RD STREET</t>
  </si>
  <si>
    <t>AEB33E23199684E29A6C</t>
  </si>
  <si>
    <t>http://docquery.fec.gov/cgi-bin/fecimg/?201904159146162354</t>
  </si>
  <si>
    <t>C00096412</t>
  </si>
  <si>
    <t>FRIENDS OF CHRIS SMITH</t>
  </si>
  <si>
    <t>ACA8ADE04DD5E4AF79D9</t>
  </si>
  <si>
    <t>A25EB3FD32F174DE4A44</t>
  </si>
  <si>
    <t>http://docquery.fec.gov/cgi-bin/fecimg/?201904159146386427</t>
  </si>
  <si>
    <t>C00012229</t>
  </si>
  <si>
    <t>ALASKANS FOR DON YOUNG</t>
  </si>
  <si>
    <t>AB7E50C6ACC224477ADF</t>
  </si>
  <si>
    <t>A628151178B6E42448F2</t>
  </si>
  <si>
    <t>http://docquery.fec.gov/cgi-bin/fecimg/?202001209167277812</t>
  </si>
  <si>
    <t>C00546499</t>
  </si>
  <si>
    <t>MIKE BOST FOR CONGRESS COMMITTEE</t>
  </si>
  <si>
    <t>A10890455726749A3B80</t>
  </si>
  <si>
    <t>AEC02A7CB062A491599E</t>
  </si>
  <si>
    <t>http://docquery.fec.gov/cgi-bin/fecimg/?201904159146199971</t>
  </si>
  <si>
    <t>C00547893</t>
  </si>
  <si>
    <t>ELISE FOR CONGRESS</t>
  </si>
  <si>
    <t>SA12.17706</t>
  </si>
  <si>
    <t>SA12.17672</t>
  </si>
  <si>
    <t>http://docquery.fec.gov/cgi-bin/fecimg/?201904159146171777</t>
  </si>
  <si>
    <t>C00390476</t>
  </si>
  <si>
    <t>CATHY MCMORRIS RODGERS FOR CONGRESS</t>
  </si>
  <si>
    <t>SA12.103478</t>
  </si>
  <si>
    <t>SA12.103434</t>
  </si>
  <si>
    <t>http://docquery.fec.gov/cgi-bin/fecimg/?201904159146170059</t>
  </si>
  <si>
    <t>C00390724</t>
  </si>
  <si>
    <t>WALBERG FOR CONGRESS</t>
  </si>
  <si>
    <t>AB46B891E20634B52831</t>
  </si>
  <si>
    <t>A38B2ADE61B754826B93</t>
  </si>
  <si>
    <t>TRANSFER OF JOINT FUNDRAISING PROCEEDS</t>
  </si>
  <si>
    <t>http://docquery.fec.gov/cgi-bin/fecimg/?201904159146345618</t>
  </si>
  <si>
    <t>C00550707</t>
  </si>
  <si>
    <t>FRIENDS OF HAGEDORN</t>
  </si>
  <si>
    <t>A31DBC6D0AE994E1C8B0</t>
  </si>
  <si>
    <t>A29208D256E3F4E7B84E</t>
  </si>
  <si>
    <t>http://docquery.fec.gov/cgi-bin/fecimg/?201904119146072449</t>
  </si>
  <si>
    <t>C00552547</t>
  </si>
  <si>
    <t>ZELDIN FOR CONGRESS</t>
  </si>
  <si>
    <t>SA12.94023.41</t>
  </si>
  <si>
    <t>JFC-TBTH</t>
  </si>
  <si>
    <t>SA12.94023</t>
  </si>
  <si>
    <t>http://docquery.fec.gov/cgi-bin/fecimg/?201904159146369644</t>
  </si>
  <si>
    <t>SA12.94118.18</t>
  </si>
  <si>
    <t>SA12.94118</t>
  </si>
  <si>
    <t>http://docquery.fec.gov/cgi-bin/fecimg/?201904159146369653</t>
  </si>
  <si>
    <t>C00556365</t>
  </si>
  <si>
    <t>KATKO FOR CONGRESS</t>
  </si>
  <si>
    <t>AE88D56BC0AF4439E8CD</t>
  </si>
  <si>
    <t>A55B7F7F06EA54E6F8C8</t>
  </si>
  <si>
    <t>http://docquery.fec.gov/cgi-bin/fecimg/?201904159146157854</t>
  </si>
  <si>
    <t>AB7FD990C65E7473AA31</t>
  </si>
  <si>
    <t>A4D9FC3FFFA2B442B947</t>
  </si>
  <si>
    <t>http://docquery.fec.gov/cgi-bin/fecimg/?201904159146157865</t>
  </si>
  <si>
    <t>C00392688</t>
  </si>
  <si>
    <t>MCCAUL FOR CONGRESS, INC</t>
  </si>
  <si>
    <t>SA1958</t>
  </si>
  <si>
    <t>JFC ALLOCATION</t>
  </si>
  <si>
    <t>http://docquery.fec.gov/cgi-bin/fecimg/?201904149146122893</t>
  </si>
  <si>
    <t>C00393348</t>
  </si>
  <si>
    <t>KENNY MARCHANT FOR CONGRESS</t>
  </si>
  <si>
    <t>AF9F535BBB3B143F9958</t>
  </si>
  <si>
    <t>AA8AD42EC02CF413AA9E</t>
  </si>
  <si>
    <t>http://docquery.fec.gov/cgi-bin/fecimg/?201904139146114506</t>
  </si>
  <si>
    <t>C00561597</t>
  </si>
  <si>
    <t>GLENN GROTHMAN FOR CONGRESS</t>
  </si>
  <si>
    <t>SA12.14817</t>
  </si>
  <si>
    <t>SA12.14714</t>
  </si>
  <si>
    <t>http://docquery.fec.gov/cgi-bin/fecimg/?201904159146344587</t>
  </si>
  <si>
    <t>C00412759</t>
  </si>
  <si>
    <t>VERN BUCHANAN FOR CONGRESS</t>
  </si>
  <si>
    <t>A70C1F47F26594AA48DA</t>
  </si>
  <si>
    <t>A500C34880A4E4CBC887</t>
  </si>
  <si>
    <t>http://docquery.fec.gov/cgi-bin/fecimg/?201904159146217694</t>
  </si>
  <si>
    <t>C00420935</t>
  </si>
  <si>
    <t>KEVIN MCCARTHY FOR CONGRESS</t>
  </si>
  <si>
    <t>ABF69BABA713F406B863</t>
  </si>
  <si>
    <t>CHIEF OPERATING OFFICER</t>
  </si>
  <si>
    <t>A3270D63DB83C426399C</t>
  </si>
  <si>
    <t>http://docquery.fec.gov/cgi-bin/fecimg/?201904159146153334</t>
  </si>
  <si>
    <t>A063DB580FA8A46FEA02</t>
  </si>
  <si>
    <t>A145338C3F3664A04BD9</t>
  </si>
  <si>
    <t>http://docquery.fec.gov/cgi-bin/fecimg/?201904159146153403</t>
  </si>
  <si>
    <t>C00428052</t>
  </si>
  <si>
    <t>MAJORITY COMMITTEE PAC--MC PAC</t>
  </si>
  <si>
    <t>A74F88E3483094E1DACA</t>
  </si>
  <si>
    <t>CO-CHIEF OPERATING OFFICER</t>
  </si>
  <si>
    <t>BANK OF AMERICA CORPORATION</t>
  </si>
  <si>
    <t>A177DC506B74B45869CE</t>
  </si>
  <si>
    <t>http://docquery.fec.gov/cgi-bin/fecimg/?201904189149494895</t>
  </si>
  <si>
    <t>C00614776</t>
  </si>
  <si>
    <t>TED BUDD FOR CONGRESS</t>
  </si>
  <si>
    <t>SA12-TI8-9</t>
  </si>
  <si>
    <t>http://docquery.fec.gov/cgi-bin/fecimg/?201904159146158485</t>
  </si>
  <si>
    <t>SA12-TI9-37</t>
  </si>
  <si>
    <t>http://docquery.fec.gov/cgi-bin/fecimg/?201904159146158496</t>
  </si>
  <si>
    <t>C00437913</t>
  </si>
  <si>
    <t>OLSON FOR CONGRESS COMMITTEE</t>
  </si>
  <si>
    <t>SA2165</t>
  </si>
  <si>
    <t>http://docquery.fec.gov/cgi-bin/fecimg/?201904149146122737</t>
  </si>
  <si>
    <t>C00441014</t>
  </si>
  <si>
    <t>ROB WITTMAN FOR CONGRESS</t>
  </si>
  <si>
    <t>SA12.22913</t>
  </si>
  <si>
    <t>SA12.22807</t>
  </si>
  <si>
    <t>http://docquery.fec.gov/cgi-bin/fecimg/?201904159146388250</t>
  </si>
  <si>
    <t>C00446815</t>
  </si>
  <si>
    <t>MCCLINTOCK FOR CONGRESS</t>
  </si>
  <si>
    <t>IDTA55</t>
  </si>
  <si>
    <t>P. O. BOX 30844</t>
  </si>
  <si>
    <t>http://docquery.fec.gov/cgi-bin/fecimg/?201904129146091362</t>
  </si>
  <si>
    <t>C00459297</t>
  </si>
  <si>
    <t>HUIZENGA FOR CONGRESS</t>
  </si>
  <si>
    <t>A26F304C559734768B86</t>
  </si>
  <si>
    <t>AFE3E713847894B6BBEE</t>
  </si>
  <si>
    <t>http://docquery.fec.gov/cgi-bin/fecimg/?201904159146133098</t>
  </si>
  <si>
    <t>A898CFE25DA4344F09B7</t>
  </si>
  <si>
    <t>AF2690A4727B441EAB0C</t>
  </si>
  <si>
    <t>http://docquery.fec.gov/cgi-bin/fecimg/?201904159146133107</t>
  </si>
  <si>
    <t>C00631945</t>
  </si>
  <si>
    <t>GREG FOR MONTANA</t>
  </si>
  <si>
    <t>AE79C6DAE004D4B748A7</t>
  </si>
  <si>
    <t>A1B6A19F789854265A8E</t>
  </si>
  <si>
    <t>http://docquery.fec.gov/cgi-bin/fecimg/?201904139146114589</t>
  </si>
  <si>
    <t>C00632257</t>
  </si>
  <si>
    <t>MAST FOR CONGRESS</t>
  </si>
  <si>
    <t>SA12.243793</t>
  </si>
  <si>
    <t>SA12.243659</t>
  </si>
  <si>
    <t>http://docquery.fec.gov/cgi-bin/fecimg/?201904119146071904</t>
  </si>
  <si>
    <t>C00464032</t>
  </si>
  <si>
    <t>TOM REED FOR CONGRESS</t>
  </si>
  <si>
    <t>AA4BE1ADFBD3E4BC7863</t>
  </si>
  <si>
    <t>A47DDE73C79624F7482E</t>
  </si>
  <si>
    <t>http://docquery.fec.gov/cgi-bin/fecimg/?201904159146384675</t>
  </si>
  <si>
    <t>A0E72A71E6FE24FD0944</t>
  </si>
  <si>
    <t>A84AC36A76E694ACEBFE</t>
  </si>
  <si>
    <t>http://docquery.fec.gov/cgi-bin/fecimg/?201904159146384684</t>
  </si>
  <si>
    <t>C00468579</t>
  </si>
  <si>
    <t>WALORSKI FOR CONGRESS INC</t>
  </si>
  <si>
    <t>SA12.30828</t>
  </si>
  <si>
    <t>SA12.30729</t>
  </si>
  <si>
    <t>http://docquery.fec.gov/cgi-bin/fecimg/?201904159146192008</t>
  </si>
  <si>
    <t>SA12.30838</t>
  </si>
  <si>
    <t>SA12.30730</t>
  </si>
  <si>
    <t>http://docquery.fec.gov/cgi-bin/fecimg/?201904159146192016</t>
  </si>
  <si>
    <t>C00272211</t>
  </si>
  <si>
    <t>PETE KING FOR CONGRESS COMMITTEE</t>
  </si>
  <si>
    <t>SA12-TI1-40</t>
  </si>
  <si>
    <t>http://docquery.fec.gov/cgi-bin/fecimg/?201904159146141196</t>
  </si>
  <si>
    <t>C00472704</t>
  </si>
  <si>
    <t>JAIME FOR CONGRESS</t>
  </si>
  <si>
    <t>A753958653D0F4A98B6B</t>
  </si>
  <si>
    <t>AE6FD3BEB740349EC92D</t>
  </si>
  <si>
    <t>http://docquery.fec.gov/cgi-bin/fecimg/?201904159146184225</t>
  </si>
  <si>
    <t>C00474189</t>
  </si>
  <si>
    <t>MIKE KELLY FOR CONGRESS</t>
  </si>
  <si>
    <t>http://docquery.fec.gov/cgi-bin/fecimg/?201904159146138493</t>
  </si>
  <si>
    <t>SA12-TI10-11</t>
  </si>
  <si>
    <t>http://docquery.fec.gov/cgi-bin/fecimg/?201904159146138500</t>
  </si>
  <si>
    <t>C00301838</t>
  </si>
  <si>
    <t>STEVE CHABOT FOR CONGRESS</t>
  </si>
  <si>
    <t>A2C70346AE7B44A91A5C</t>
  </si>
  <si>
    <t>C00695585</t>
  </si>
  <si>
    <t>EARMARKED (NON-DIRECTED) THROUGH TAKE BACK THE HOUSE 2020</t>
  </si>
  <si>
    <t>http://docquery.fec.gov/cgi-bin/fecimg/?201905069149632099</t>
  </si>
  <si>
    <t>C00650697</t>
  </si>
  <si>
    <t>PETE STAUBER FOR CONGRESS</t>
  </si>
  <si>
    <t>SA12-TI3-37</t>
  </si>
  <si>
    <t>http://docquery.fec.gov/cgi-bin/fecimg/?201904159146376439</t>
  </si>
  <si>
    <t>C00495846</t>
  </si>
  <si>
    <t>ANN WAGNER FOR CONGRESS</t>
  </si>
  <si>
    <t>SA12.10004</t>
  </si>
  <si>
    <t>SA12.9956</t>
  </si>
  <si>
    <t>http://docquery.fec.gov/cgi-bin/fecimg/?201904159146339462</t>
  </si>
  <si>
    <t>SA12.10024</t>
  </si>
  <si>
    <t>SA12.9957</t>
  </si>
  <si>
    <t>http://docquery.fec.gov/cgi-bin/fecimg/?201904159146339470</t>
  </si>
  <si>
    <t>SA12-TI67-36</t>
  </si>
  <si>
    <t>http://docquery.fec.gov/cgi-bin/fecimg/?201904159146156634</t>
  </si>
  <si>
    <t>C00653634</t>
  </si>
  <si>
    <t>VAN TAYLOR CAMPAIGN</t>
  </si>
  <si>
    <t>SA12.4801</t>
  </si>
  <si>
    <t>SA12.4753</t>
  </si>
  <si>
    <t>http://docquery.fec.gov/cgi-bin/fecimg/?201904159146344140</t>
  </si>
  <si>
    <t>C00501643</t>
  </si>
  <si>
    <t>DAVID ROUZER FOR CONGRESS</t>
  </si>
  <si>
    <t>SA12-TI6-37</t>
  </si>
  <si>
    <t>127 73RD ST E</t>
  </si>
  <si>
    <t>http://docquery.fec.gov/cgi-bin/fecimg/?201904159146132360</t>
  </si>
  <si>
    <t>C00075820</t>
  </si>
  <si>
    <t>NRCC</t>
  </si>
  <si>
    <t>SA12.18032116</t>
  </si>
  <si>
    <t>MONTAG, THOMAS K. MR.</t>
  </si>
  <si>
    <t>127 E. 73RD ST.</t>
  </si>
  <si>
    <t>BANK OF AMERICA MERRILL LYNCH</t>
  </si>
  <si>
    <t>SA12.18032069</t>
  </si>
  <si>
    <t>http://docquery.fec.gov/cgi-bin/fecimg/?201908289163111172</t>
  </si>
  <si>
    <t>C00662171</t>
  </si>
  <si>
    <t>RON WRIGHT FOR CONGRESS</t>
  </si>
  <si>
    <t>SA12.7667</t>
  </si>
  <si>
    <t>127 E 73RD STREET</t>
  </si>
  <si>
    <t>http://docquery.fec.gov/cgi-bin/fecimg/?201909189163373024</t>
  </si>
  <si>
    <t>C00467571</t>
  </si>
  <si>
    <t>ANDY BARR FOR CONGRESS, INC.</t>
  </si>
  <si>
    <t>A7CF34CB996424D5B92C</t>
  </si>
  <si>
    <t>A1194E72816804FE8983</t>
  </si>
  <si>
    <t>http://docquery.fec.gov/cgi-bin/fecimg/?201909199163407320</t>
  </si>
  <si>
    <t>A8C511CAB8E5342F382A</t>
  </si>
  <si>
    <t>ABC80664D43BF4D4CBEF</t>
  </si>
  <si>
    <t>http://docquery.fec.gov/cgi-bin/fecimg/?201909199163407334</t>
  </si>
  <si>
    <t>C00470757</t>
  </si>
  <si>
    <t>VOTETIPTON.COM</t>
  </si>
  <si>
    <t>AC0C7E0E6BB004632800</t>
  </si>
  <si>
    <t>ABFE69E9ECAF346109CC</t>
  </si>
  <si>
    <t>http://docquery.fec.gov/cgi-bin/fecimg/?201910159164216954</t>
  </si>
  <si>
    <t>AE8F62567B6344DFF8D0</t>
  </si>
  <si>
    <t>A4AD7DC27A4364A3CA23</t>
  </si>
  <si>
    <t>http://docquery.fec.gov/cgi-bin/fecimg/?201910159164216961</t>
  </si>
  <si>
    <t>C00607416</t>
  </si>
  <si>
    <t>BRIAN FITZPATRICK FOR CONGRESS</t>
  </si>
  <si>
    <t>A-78995</t>
  </si>
  <si>
    <t>A-78900</t>
  </si>
  <si>
    <t>MEMO TRANSFER FROM JOINT FUNDRAISER-TAKE BACK THE HOUSE 2020</t>
  </si>
  <si>
    <t>http://docquery.fec.gov/cgi-bin/fecimg/?201910159164579322</t>
  </si>
  <si>
    <t>SA17.18428960</t>
  </si>
  <si>
    <t>32J</t>
  </si>
  <si>
    <t>MEMO RECEIPT FROM INDIVIDUAL -  JF RECOUNT ACCOUNT</t>
  </si>
  <si>
    <t>SA17.18417298</t>
  </si>
  <si>
    <t>SA17</t>
  </si>
  <si>
    <t>LEGAL PROCEEDINGS ACCOUNT; JFC ATTRIB: MVF</t>
  </si>
  <si>
    <t>http://docquery.fec.gov/cgi-bin/fecimg/?201910209165195402</t>
  </si>
  <si>
    <t>Other Federal Receipts (Dividends, Interest, etc.).</t>
  </si>
  <si>
    <t>SA17.18428956</t>
  </si>
  <si>
    <t>31J</t>
  </si>
  <si>
    <t>MEMO RECEIPT FROM INDIVIDUAL - JF HEADQUARTERS ACCOUNT</t>
  </si>
  <si>
    <t>SA17.18417297</t>
  </si>
  <si>
    <t>HEADQUARTERS ACCOUNT; JFC ATTRIB: MVF</t>
  </si>
  <si>
    <t>http://docquery.fec.gov/cgi-bin/fecimg/?201910209165195393</t>
  </si>
  <si>
    <t>C00504522</t>
  </si>
  <si>
    <t>HUDSON FOR CONGRESS</t>
  </si>
  <si>
    <t>A1EA3B22638F04B48B1F</t>
  </si>
  <si>
    <t>A93148AAC20B245B4A36</t>
  </si>
  <si>
    <t>http://docquery.fec.gov/cgi-bin/fecimg/?202008189261361232</t>
  </si>
  <si>
    <t>A582343BB349449A1BDC</t>
  </si>
  <si>
    <t>A6FAD0286FA6F4499A06</t>
  </si>
  <si>
    <t>http://docquery.fec.gov/cgi-bin/fecimg/?202008189261361245</t>
  </si>
  <si>
    <t>C00680488</t>
  </si>
  <si>
    <t>FRIENDS OF DENVER RIGGLEMAN, INC.</t>
  </si>
  <si>
    <t>ACA8FB1B576E5407889D</t>
  </si>
  <si>
    <t>CONVENTION</t>
  </si>
  <si>
    <t>A8591D8E3D2984A62A9E</t>
  </si>
  <si>
    <t>http://docquery.fec.gov/cgi-bin/fecimg/?202004159216730032</t>
  </si>
  <si>
    <t>A5FBE315022684A1FB05</t>
  </si>
  <si>
    <t>P2019</t>
  </si>
  <si>
    <t>ANNUAL</t>
  </si>
  <si>
    <t>http://docquery.fec.gov/cgi-bin/fecimg/?201904159146152024</t>
  </si>
  <si>
    <t>C00498121</t>
  </si>
  <si>
    <t>ROGER WILLIAMS FOR U S CONGRESS COMMITTEE</t>
  </si>
  <si>
    <t>SA12.5077.10</t>
  </si>
  <si>
    <t>JOINT FUNDRAISER - TAKE BACK THE HOUSE 2020</t>
  </si>
  <si>
    <t>SA12.5077</t>
  </si>
  <si>
    <t>http://docquery.fec.gov/cgi-bin/fecimg/?202010159295833582</t>
  </si>
  <si>
    <t>SA12.5078.9</t>
  </si>
  <si>
    <t>SA12.5078</t>
  </si>
  <si>
    <t>http://docquery.fec.gov/cgi-bin/fecimg/?202010159295833595</t>
  </si>
  <si>
    <t>AC8B01995D66144419A3</t>
  </si>
  <si>
    <t>A4412B426E290473AA47</t>
  </si>
  <si>
    <t>http://docquery.fec.gov/cgi-bin/fecimg/?202008209261592961</t>
  </si>
  <si>
    <t>A54EE975041974E7FBA8</t>
  </si>
  <si>
    <t>http://docquery.fec.gov/cgi-bin/fecimg/?202007159244966543</t>
  </si>
  <si>
    <t>C00371203</t>
  </si>
  <si>
    <t>JOHN CARTER FOR CONGRESS</t>
  </si>
  <si>
    <t>0030229-0042</t>
  </si>
  <si>
    <t>JOINT FUNDRAISER - TAKE BACK THE HOUSE 2020 (JOINT FUNDRAISER)</t>
  </si>
  <si>
    <t>http://docquery.fec.gov/cgi-bin/fecimg/?202007159244898889</t>
  </si>
  <si>
    <t>SA12.20241407</t>
  </si>
  <si>
    <t>SA12.20207610</t>
  </si>
  <si>
    <t>JFC ATTRIB: TBTH</t>
  </si>
  <si>
    <t>http://docquery.fec.gov/cgi-bin/fecimg/?202009219284468682</t>
  </si>
  <si>
    <t>SA17.20241449</t>
  </si>
  <si>
    <t>SA17.20207606</t>
  </si>
  <si>
    <t>LEGAL PROCEEDINGS ACCOUNT; JFC ATTRIB: TBTH</t>
  </si>
  <si>
    <t>http://docquery.fec.gov/cgi-bin/fecimg/?202009219284468716</t>
  </si>
  <si>
    <t>SA17.20241445</t>
  </si>
  <si>
    <t>SA17.20207608</t>
  </si>
  <si>
    <t>HEADQUARTERS ACCOUNT; JFC ATTRIB: TBTH</t>
  </si>
  <si>
    <t>http://docquery.fec.gov/cgi-bin/fecimg/?202009219284468719</t>
  </si>
  <si>
    <t>C00676668</t>
  </si>
  <si>
    <t>ROSS SPANO FOR CONGRESS</t>
  </si>
  <si>
    <t>SA12.4287.38</t>
  </si>
  <si>
    <t>SA12.4287</t>
  </si>
  <si>
    <t>https://docquery.fec.gov/cgi-bin/fecimg/?202104149443332048</t>
  </si>
  <si>
    <t>https://docquery.fec.gov/cgi-bin/fecimg/?202101269413414717</t>
  </si>
  <si>
    <t>127 E 73RD ST NEW YORK NY 100213502</t>
  </si>
  <si>
    <t>A2019-517160</t>
  </si>
  <si>
    <t>SMITH, ANDREA B</t>
  </si>
  <si>
    <t>ANDREA</t>
  </si>
  <si>
    <t>SMITH</t>
  </si>
  <si>
    <t>CHIEF ADMINISTRATIVE OFFICER</t>
  </si>
  <si>
    <t>http://docquery.fec.gov/cgi-bin/fecimg/?201904129146103886</t>
  </si>
  <si>
    <t>A2019-298508</t>
  </si>
  <si>
    <t>http://docquery.fec.gov/cgi-bin/fecimg/?201903159145712554</t>
  </si>
  <si>
    <t>A2019-82224</t>
  </si>
  <si>
    <t>http://docquery.fec.gov/cgi-bin/fecimg/?201902159145519680</t>
  </si>
  <si>
    <t>A2019-339759</t>
  </si>
  <si>
    <t>A2019-547990</t>
  </si>
  <si>
    <t>http://docquery.fec.gov/cgi-bin/fecimg/?201904129146103887</t>
  </si>
  <si>
    <t>A2019-792099</t>
  </si>
  <si>
    <t>http://docquery.fec.gov/cgi-bin/fecimg/?201905149149695965</t>
  </si>
  <si>
    <t>A2019-844091</t>
  </si>
  <si>
    <t>A2019-2944190</t>
  </si>
  <si>
    <t>http://docquery.fec.gov/cgi-bin/fecimg/?202001209167275401</t>
  </si>
  <si>
    <t>A2019-1511501</t>
  </si>
  <si>
    <t>http://docquery.fec.gov/cgi-bin/fecimg/?201908169162884688</t>
  </si>
  <si>
    <t>A2019-1688431</t>
  </si>
  <si>
    <t>A2019-2985172</t>
  </si>
  <si>
    <t>A2019-1195547</t>
  </si>
  <si>
    <t>http://docquery.fec.gov/cgi-bin/fecimg/?201908029161351312</t>
  </si>
  <si>
    <t>A2019-951484</t>
  </si>
  <si>
    <t>http://docquery.fec.gov/cgi-bin/fecimg/?201908029161351029</t>
  </si>
  <si>
    <t>A2019-1111616</t>
  </si>
  <si>
    <t>A2019-1382924</t>
  </si>
  <si>
    <t>http://docquery.fec.gov/cgi-bin/fecimg/?201908029161351313</t>
  </si>
  <si>
    <t>A2019-1840250</t>
  </si>
  <si>
    <t>http://docquery.fec.gov/cgi-bin/fecimg/?201909139163316844</t>
  </si>
  <si>
    <t>A2019-1968001</t>
  </si>
  <si>
    <t>A2019-2193738</t>
  </si>
  <si>
    <t>http://docquery.fec.gov/cgi-bin/fecimg/?201910169164984054</t>
  </si>
  <si>
    <t>A2019-2243389</t>
  </si>
  <si>
    <t>A2019-2451737</t>
  </si>
  <si>
    <t>http://docquery.fec.gov/cgi-bin/fecimg/?201911149165501326</t>
  </si>
  <si>
    <t>A2019-2516079</t>
  </si>
  <si>
    <t>http://docquery.fec.gov/cgi-bin/fecimg/?201911149165501327</t>
  </si>
  <si>
    <t>A2019-2694317</t>
  </si>
  <si>
    <t>http://docquery.fec.gov/cgi-bin/fecimg/?201912169166292498</t>
  </si>
  <si>
    <t>A2019-2731653</t>
  </si>
  <si>
    <t>A2020-28678</t>
  </si>
  <si>
    <t>http://docquery.fec.gov/cgi-bin/fecimg/?202002149186505261</t>
  </si>
  <si>
    <t>A2020-67951</t>
  </si>
  <si>
    <t>A2020-281812</t>
  </si>
  <si>
    <t>http://docquery.fec.gov/cgi-bin/fecimg/?202003169203834870</t>
  </si>
  <si>
    <t>A2020-315339</t>
  </si>
  <si>
    <t>A2020-1622905</t>
  </si>
  <si>
    <t>http://docquery.fec.gov/cgi-bin/fecimg/?202008149261305256</t>
  </si>
  <si>
    <t>A2020-436046</t>
  </si>
  <si>
    <t>http://docquery.fec.gov/cgi-bin/fecimg/?202004169219662977</t>
  </si>
  <si>
    <t>A2020-577441</t>
  </si>
  <si>
    <t>A2020-1601820</t>
  </si>
  <si>
    <t>A2020-808184</t>
  </si>
  <si>
    <t>http://docquery.fec.gov/cgi-bin/fecimg/?202005159232750268</t>
  </si>
  <si>
    <t>A2020-858288</t>
  </si>
  <si>
    <t>http://docquery.fec.gov/cgi-bin/fecimg/?202005159232750269</t>
  </si>
  <si>
    <t>A2020-1111787</t>
  </si>
  <si>
    <t>http://docquery.fec.gov/cgi-bin/fecimg/?202006159239782247</t>
  </si>
  <si>
    <t>A2020-1064392</t>
  </si>
  <si>
    <t>A2020-2214579</t>
  </si>
  <si>
    <t>https://docquery.fec.gov/cgi-bin/fecimg/?202012029337415493</t>
  </si>
  <si>
    <t>A2020-2353088</t>
  </si>
  <si>
    <t>A2020-2421729</t>
  </si>
  <si>
    <t>https://docquery.fec.gov/cgi-bin/fecimg/?202012029337415494</t>
  </si>
  <si>
    <t>A2020-1336817</t>
  </si>
  <si>
    <t>http://docquery.fec.gov/cgi-bin/fecimg/?202007209260106304</t>
  </si>
  <si>
    <t>A2020-1378218</t>
  </si>
  <si>
    <t>A2020-1687601</t>
  </si>
  <si>
    <t>http://docquery.fec.gov/cgi-bin/fecimg/?202009179267228857</t>
  </si>
  <si>
    <t>A2020-1880068</t>
  </si>
  <si>
    <t>A2020-1978481</t>
  </si>
  <si>
    <t>http://docquery.fec.gov/cgi-bin/fecimg/?202010169296946758</t>
  </si>
  <si>
    <t>A2020-2135633</t>
  </si>
  <si>
    <t>http://docquery.fec.gov/cgi-bin/fecimg/?202010169296946759</t>
  </si>
  <si>
    <t>A2020-2582240</t>
  </si>
  <si>
    <t>https://docquery.fec.gov/cgi-bin/fecimg/?202101259405395218</t>
  </si>
  <si>
    <t>A2020-2705148</t>
  </si>
  <si>
    <t>https://docquery.fec.gov/cgi-bin/fecimg/?202101259405395219</t>
  </si>
  <si>
    <t>A2020-2739131</t>
  </si>
  <si>
    <t>Many of the Board and Executives did not appear in the Aristotle DB</t>
  </si>
  <si>
    <t>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</si>
</sst>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1"/>
      <name val="Times New Roman"/>
      <family val="1"/>
    </font>
    <font>
      <sz val="8"/>
      <name val="Times New Roman"/>
      <family val="1"/>
    </font>
    <font>
      <u/>
      <sz val="11"/>
      <color theme="10"/>
      <name val="Calibri"/>
      <family val="2"/>
    </font>
    <font>
      <u/>
      <sz val="11"/>
      <name val="Times New Roman"/>
      <family val="1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212B4A"/>
      <name val="Arial"/>
      <family val="2"/>
    </font>
    <font>
      <b/>
      <u/>
      <sz val="11"/>
      <color rgb="FF000000"/>
      <name val="Times New Roman"/>
      <family val="1"/>
    </font>
    <font>
      <b/>
      <u/>
      <sz val="1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43" fontId="14" fillId="0" borderId="0" applyFont="0" applyFill="0" applyBorder="0" applyAlignment="0" applyProtection="0"/>
    <xf numFmtId="0" fontId="2" fillId="0" borderId="0"/>
    <xf numFmtId="0" fontId="1" fillId="0" borderId="0"/>
  </cellStyleXfs>
  <cellXfs count="32">
    <xf numFmtId="0" fontId="0" fillId="0" borderId="0" xfId="0"/>
    <xf numFmtId="14" fontId="0" fillId="0" borderId="0" xfId="0" applyNumberFormat="1"/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9" fillId="0" borderId="0" xfId="0" applyFont="1"/>
    <xf numFmtId="0" fontId="10" fillId="0" borderId="0" xfId="0" applyFont="1"/>
    <xf numFmtId="3" fontId="11" fillId="0" borderId="0" xfId="0" applyNumberFormat="1" applyFont="1"/>
    <xf numFmtId="0" fontId="11" fillId="0" borderId="0" xfId="0" applyNumberFormat="1" applyFont="1"/>
    <xf numFmtId="0" fontId="8" fillId="0" borderId="0" xfId="0" applyFont="1"/>
    <xf numFmtId="0" fontId="12" fillId="2" borderId="0" xfId="0" applyFont="1" applyFill="1" applyAlignment="1">
      <alignment wrapText="1"/>
    </xf>
    <xf numFmtId="0" fontId="13" fillId="0" borderId="0" xfId="0" applyFont="1"/>
    <xf numFmtId="22" fontId="0" fillId="0" borderId="0" xfId="0" applyNumberFormat="1"/>
    <xf numFmtId="47" fontId="0" fillId="0" borderId="0" xfId="0" applyNumberFormat="1"/>
    <xf numFmtId="10" fontId="10" fillId="0" borderId="0" xfId="0" applyNumberFormat="1" applyFont="1"/>
    <xf numFmtId="0" fontId="2" fillId="0" borderId="0" xfId="3"/>
    <xf numFmtId="47" fontId="2" fillId="0" borderId="0" xfId="3" applyNumberFormat="1"/>
    <xf numFmtId="22" fontId="2" fillId="0" borderId="0" xfId="3" applyNumberFormat="1"/>
    <xf numFmtId="0" fontId="0" fillId="0" borderId="0" xfId="0" pivotButton="1"/>
    <xf numFmtId="0" fontId="0" fillId="0" borderId="0" xfId="0" applyAlignment="1">
      <alignment horizontal="left"/>
    </xf>
    <xf numFmtId="164" fontId="3" fillId="0" borderId="0" xfId="2" applyNumberFormat="1" applyFont="1"/>
    <xf numFmtId="15" fontId="3" fillId="0" borderId="0" xfId="0" applyNumberFormat="1" applyFont="1"/>
    <xf numFmtId="0" fontId="15" fillId="0" borderId="0" xfId="0" applyFont="1"/>
    <xf numFmtId="43" fontId="0" fillId="0" borderId="0" xfId="0" applyNumberFormat="1"/>
    <xf numFmtId="0" fontId="1" fillId="0" borderId="0" xfId="4"/>
    <xf numFmtId="0" fontId="1" fillId="0" borderId="0" xfId="4" applyNumberFormat="1"/>
    <xf numFmtId="0" fontId="1" fillId="0" borderId="0" xfId="4" applyAlignment="1">
      <alignment horizontal="left"/>
    </xf>
    <xf numFmtId="0" fontId="1" fillId="0" borderId="0" xfId="4" pivotButton="1"/>
    <xf numFmtId="47" fontId="1" fillId="0" borderId="0" xfId="4" applyNumberFormat="1"/>
    <xf numFmtId="22" fontId="1" fillId="0" borderId="0" xfId="4" applyNumberFormat="1"/>
  </cellXfs>
  <cellStyles count="5">
    <cellStyle name="Comma" xfId="2" builtinId="3"/>
    <cellStyle name="Hyperlink" xfId="1" builtinId="8"/>
    <cellStyle name="Normal" xfId="0" builtinId="0"/>
    <cellStyle name="Normal 2" xfId="3"/>
    <cellStyle name="Normal 3" xfId="4"/>
  </cellStyles>
  <dxfs count="2"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microsoft.com/office/2006/relationships/xlExternalLinkPath/xlPathMissing" Target="BankofAmericaBOD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t Marnell" refreshedDate="44410.740899189812" createdVersion="5" refreshedVersion="5" minRefreshableVersion="3" recordCount="8">
  <cacheSource type="worksheet">
    <worksheetSource ref="A1:CA9" sheet="Jack O. Bovender"/>
  </cacheSource>
  <cacheFields count="79">
    <cacheField name="committee_id" numFmtId="0">
      <sharedItems/>
    </cacheField>
    <cacheField name="committee_name" numFmtId="0">
      <sharedItems count="6">
        <s v="TEAM HAGERTY"/>
        <s v="NRSC"/>
        <s v="COLLINS FOR SENATOR"/>
        <s v="STANDING WITH CONSERVATIVES"/>
        <s v="NRSC TARGETED STATE VICTORY"/>
        <s v="SENATE EAGLE PA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10159164272E+17" maxValue="2.0210630945086499E+17"/>
    </cacheField>
    <cacheField name="line_number" numFmtId="0">
      <sharedItems containsMixedTypes="1" containsNumber="1" containsInteger="1" minValue="12" maxValue="12"/>
    </cacheField>
    <cacheField name="transaction_id" numFmtId="0">
      <sharedItems/>
    </cacheField>
    <cacheField name="file_number" numFmtId="0">
      <sharedItems containsSemiMixedTypes="0" containsString="0" containsNumber="1" containsInteger="1" minValue="1358443" maxValue="1521918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37205" maxValue="372053878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MixedTypes="1" containsNumber="1" containsInteger="1" minValue="10" maxValue="15"/>
    </cacheField>
    <cacheField name="receipt_type_desc" numFmtId="0">
      <sharedItems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9-23T00:00:00" maxDate="2020-07-28T00:00:00"/>
    </cacheField>
    <cacheField name="contribution_receipt_amount" numFmtId="0">
      <sharedItems containsSemiMixedTypes="0" containsString="0" containsNumber="1" containsInteger="1" minValue="2800" maxValue="35500"/>
    </cacheField>
    <cacheField name="contributor_aggregate_ytd" numFmtId="0">
      <sharedItems containsSemiMixedTypes="0" containsString="0" containsNumber="1" containsInteger="1" minValue="2800" maxValue="355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10-25T02:43:11" maxDate="2021-07-07T03:34:19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701202113196201E+18" maxValue="4.1020201916749302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707202113197998E+18" maxValue="4.10302019167618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tt Marnell" refreshedDate="44411.327869097222" createdVersion="5" refreshedVersion="5" minRefreshableVersion="3" recordCount="33">
  <cacheSource type="worksheet">
    <worksheetSource ref="A1:CA34" sheet="Monica Lozano"/>
  </cacheSource>
  <cacheFields count="79">
    <cacheField name="committee_id" numFmtId="0">
      <sharedItems/>
    </cacheField>
    <cacheField name="committee_name" numFmtId="0">
      <sharedItems count="25">
        <s v="XOCHITL FOR NEW MEXICO"/>
        <s v="ACTBLUE"/>
        <s v="CISNEROS FOR CONGRESS"/>
        <s v="BIDEN FOR PRESIDENT"/>
        <s v="DEMOCRATIC PARTY OF VIRGINIA"/>
        <s v="OHIO DEMOCRATIC PARTY"/>
        <s v="NORTH CAROLINA DEMOCRATIC PARTY - FEDERAL"/>
        <s v="DNC SERVICES CORP / DEMOCRATIC NATIONAL COMMITTEE"/>
        <s v="AMY FOR AMERICA"/>
        <s v="COLORADO DEMOCRATIC PARTY"/>
        <s v="NEBRASKA DEMOCRATIC PARTY"/>
        <s v="NEW HAMPSHIRE DEMOCRATIC PARTY"/>
        <s v="KAREN BASS FOR CONGRESS"/>
        <s v="MINNESOTA DEMOCRATIC-FARMER-LABOR PARTY"/>
        <s v="BIDEN VICTORY FUND"/>
        <s v="DEMOCRATIC PARTY OF WISCONSIN"/>
        <s v="TEXAS DEMOCRATIC PARTY"/>
        <s v="GEORGIA FEDERAL ELECTIONS COMMITTEE"/>
        <s v="MICHIGAN DEMOCRATIC STATE CENTRAL COMMITTEE"/>
        <s v="DEMOCRATIC EXECUTIVE COMMITTEE OF FLORIDA"/>
        <s v="KAMALA HARRIS FOR THE PEOPLE"/>
        <s v="NEVADA STATE DEMOCRATIC PARTY"/>
        <s v="ARIZONA DEMOCRATIC PARTY"/>
        <s v="DCCC"/>
        <s v="PENNSYLVANIA DEMOCRATIC PARTY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715915075901E+17" maxValue="2.0210727945202899E+17"/>
    </cacheField>
    <cacheField name="line_number" numFmtId="0">
      <sharedItems containsMixedTypes="1" containsNumber="1" containsInteger="1" minValue="12" maxValue="18"/>
    </cacheField>
    <cacheField name="transaction_id" numFmtId="0">
      <sharedItems containsMixedTypes="1" containsNumber="1" containsInteger="1" minValue="516084" maxValue="37448076"/>
    </cacheField>
    <cacheField name="file_number" numFmtId="0">
      <sharedItems containsSemiMixedTypes="0" containsString="0" containsNumber="1" containsInteger="1" minValue="1339820" maxValue="1530939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94618" maxValue="946182113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Blank="1" containsMixedTypes="1" containsNumber="1" containsInteger="1" minValue="15" maxValue="15"/>
    </cacheField>
    <cacheField name="receipt_type_desc" numFmtId="0">
      <sharedItems containsBlank="1"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564" maxValue="44089"/>
    </cacheField>
    <cacheField name="contribution_receipt_amount" numFmtId="0">
      <sharedItems containsSemiMixedTypes="0" containsString="0" containsNumber="1" minValue="50" maxValue="25000"/>
    </cacheField>
    <cacheField name="contributor_aggregate_ytd" numFmtId="0">
      <sharedItems containsSemiMixedTypes="0" containsString="0" containsNumber="1" minValue="100" maxValue="4785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 containsBlank="1"/>
    </cacheField>
    <cacheField name="election_type_full" numFmtId="0">
      <sharedItems containsNonDate="0" containsString="0" containsBlank="1"/>
    </cacheField>
    <cacheField name="fec_election_type_desc" numFmtId="0">
      <sharedItems containsBlank="1"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666.146225636578" maxValue="44407.152507094906"/>
    </cacheField>
    <cacheField name="original_sub_id" numFmtId="0">
      <sharedItems containsNonDate="0" containsString="0" containsBlank="1"/>
    </cacheField>
    <cacheField name="back_reference_transaction_id" numFmtId="0">
      <sharedItems containsBlank="1" containsMixedTypes="1" containsNumber="1" containsInteger="1" minValue="2171087" maxValue="37430300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15202120936602E+18" maxValue="4.1216202019742802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2032021201869E+18" maxValue="4.12182020197703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tt Marnell" refreshedDate="44411.440100462962" createdVersion="5" refreshedVersion="5" minRefreshableVersion="3" recordCount="12">
  <cacheSource type="worksheet">
    <worksheetSource ref="A1:CA13" sheet="Clayton Rose"/>
  </cacheSource>
  <cacheFields count="79">
    <cacheField name="committee_id" numFmtId="0">
      <sharedItems/>
    </cacheField>
    <cacheField name="committee_name" numFmtId="0">
      <sharedItems count="11">
        <s v="DEMOCRATIC PARTY OF VIRGINIA"/>
        <s v="OHIO DEMOCRATIC PARTY"/>
        <s v="DEMOCRATIC PARTY OF WISCONSIN"/>
        <s v="NEBRASKA DEMOCRATIC PARTY"/>
        <s v="MINNESOTA DEMOCRATIC-FARMER-LABOR PARTY"/>
        <s v="TEXAS DEMOCRATIC PARTY"/>
        <s v="BIDEN VICTORY FUND"/>
        <s v="NEVADA STATE DEMOCRATIC PARTY"/>
        <s v="ARIZONA DEMOCRATIC PARTY"/>
        <s v="DNC SERVICES CORP / DEMOCRATIC NATIONAL COMMITTEE"/>
        <s v="PENNSYLVANIA DEMOCRATIC PARTY"/>
      </sharedItems>
    </cacheField>
    <cacheField name="report_year" numFmtId="0">
      <sharedItems containsSemiMixedTypes="0" containsString="0" containsNumber="1" containsInteger="1" minValue="2020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210111939838899E+17" maxValue="2.0210520944703002E+17"/>
    </cacheField>
    <cacheField name="line_number" numFmtId="0">
      <sharedItems containsMixedTypes="1" containsNumber="1" containsInteger="1" minValue="12" maxValue="12"/>
    </cacheField>
    <cacheField name="transaction_id" numFmtId="0">
      <sharedItems containsMixedTypes="1" containsNumber="1" containsInteger="1" minValue="3839018" maxValue="37439342"/>
    </cacheField>
    <cacheField name="file_number" numFmtId="0">
      <sharedItems containsSemiMixedTypes="0" containsString="0" containsNumber="1" containsInteger="1" minValue="1486674" maxValue="1517435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110" maxValue="21101802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4053" maxValue="44053"/>
    </cacheField>
    <cacheField name="contribution_receipt_amount" numFmtId="0">
      <sharedItems containsSemiMixedTypes="0" containsString="0" containsNumber="1" minValue="3926.66" maxValue="100000"/>
    </cacheField>
    <cacheField name="contributor_aggregate_ytd" numFmtId="0">
      <sharedItems containsSemiMixedTypes="0" containsString="0" containsNumber="1" minValue="3926.66" maxValue="100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20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4226.156994131947" maxValue="44343.161362881947"/>
    </cacheField>
    <cacheField name="original_sub_id" numFmtId="0">
      <sharedItems containsNonDate="0" containsString="0" containsBlank="1"/>
    </cacheField>
    <cacheField name="back_reference_transaction_id" numFmtId="0">
      <sharedItems containsString="0" containsBlank="1" containsNumber="1" containsInteger="1" minValue="3835551" maxValue="36773706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12202120917002E+18" maxValue="4.05212021129677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30202121391498E+18" maxValue="4.05272021129737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Matt Marnell" refreshedDate="44411.478939351851" createdVersion="5" refreshedVersion="5" minRefreshableVersion="3" recordCount="46">
  <cacheSource type="worksheet">
    <worksheetSource ref="A1:CA47" sheet="Catherine Bessant" r:id="rId2"/>
  </cacheSource>
  <cacheFields count="79">
    <cacheField name="committee_id" numFmtId="0">
      <sharedItems/>
    </cacheField>
    <cacheField name="committee_name" numFmtId="0">
      <sharedItems count="1">
        <s v="BANK OF AMERICA CORPORATION FEDERAL PA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215914551901E+17" maxValue="2.0210125940539398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16134" maxValue="1490358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8255" maxValue="28255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1-31T00:00:00" maxDate="2021-01-01T00:00:00"/>
    </cacheField>
    <cacheField name="contribution_receipt_amount" numFmtId="0">
      <sharedItems containsSemiMixedTypes="0" containsString="0" containsNumber="1" containsInteger="1" minValue="110" maxValue="110"/>
    </cacheField>
    <cacheField name="contributor_aggregate_ytd" numFmtId="0">
      <sharedItems containsSemiMixedTypes="0" containsString="0" containsNumber="1" containsInteger="1" minValue="220" maxValue="264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03-01T03:27:19" maxDate="2021-01-27T03:36:45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0202016853202E+18" maxValue="4.1216201916815201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016853601E+18" maxValue="4.1218202019773599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Matt Marnell" refreshedDate="44411.482450810188" createdVersion="5" refreshedVersion="5" minRefreshableVersion="3" recordCount="40">
  <cacheSource type="worksheet">
    <worksheetSource ref="A1:CA41" sheet="Sheri Bronstein"/>
  </cacheSource>
  <cacheFields count="79">
    <cacheField name="committee_id" numFmtId="0">
      <sharedItems/>
    </cacheField>
    <cacheField name="committee_name" numFmtId="0">
      <sharedItems count="1">
        <s v="BANK OF AMERICA CORPORATION FEDERAL PA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412914610301E+17" maxValue="2.0210125940539398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24297" maxValue="1490358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NonDate="0" containsString="0"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36" maxValue="10036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22">
      <sharedItems containsSemiMixedTypes="0" containsNonDate="0" containsDate="1" containsString="0" minDate="2019-03-15T00:00:00" maxDate="2021-01-01T00:00:00"/>
    </cacheField>
    <cacheField name="contribution_receipt_amount" numFmtId="0">
      <sharedItems containsSemiMixedTypes="0" containsString="0" containsNumber="1" containsInteger="1" minValue="50" maxValue="50"/>
    </cacheField>
    <cacheField name="contributor_aggregate_ytd" numFmtId="0">
      <sharedItems containsSemiMixedTypes="0" containsString="0" containsNumber="1" containsInteger="1" minValue="250" maxValue="12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47">
      <sharedItems containsSemiMixedTypes="0" containsNonDate="0" containsDate="1" containsString="0" minDate="2019-04-13T02:40:12" maxDate="2021-01-27T03:36:45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0202016853202E+18" maxValue="4.1216201916815201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016853601E+18" maxValue="4.1218202019773599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Matt Marnell" refreshedDate="44411.484586226848" createdVersion="5" refreshedVersion="5" minRefreshableVersion="3" recordCount="28">
  <cacheSource type="worksheet">
    <worksheetSource ref="A1:CA29" sheet="Paul Donofrio"/>
  </cacheSource>
  <cacheFields count="79">
    <cacheField name="committee_id" numFmtId="0">
      <sharedItems/>
    </cacheField>
    <cacheField name="committee_name" numFmtId="0">
      <sharedItems count="1">
        <s v="BANK OF AMERICA CORPORATION FEDERAL PA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802916135101E+17" maxValue="2.0210125940539398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46685" maxValue="1490358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36" maxValue="10036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631" maxValue="44196"/>
    </cacheField>
    <cacheField name="contribution_receipt_amount" numFmtId="0">
      <sharedItems containsSemiMixedTypes="0" containsString="0" containsNumber="1" containsInteger="1" minValue="20" maxValue="20"/>
    </cacheField>
    <cacheField name="contributor_aggregate_ytd" numFmtId="0">
      <sharedItems containsSemiMixedTypes="0" containsString="0" containsNumber="1" containsInteger="1" minValue="220" maxValue="48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680.112697199074" maxValue="44223.150519849536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0202016853202E+18" maxValue="4.1216201916815201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016853601E+18" maxValue="4.1218202019773599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Matt Marnell" refreshedDate="44411.487575347222" createdVersion="5" refreshedVersion="5" minRefreshableVersion="3" recordCount="86">
  <cacheSource type="worksheet">
    <worksheetSource ref="A1:CA87" sheet="Thomas Montag"/>
  </cacheSource>
  <cacheFields count="79">
    <cacheField name="committee_id" numFmtId="0">
      <sharedItems/>
    </cacheField>
    <cacheField name="committee_name" numFmtId="0">
      <sharedItems count="60">
        <s v="DEVIN NUNES CAMPAIGN COMMITTEE"/>
        <s v="FRENCH HILL FOR ARKANSAS"/>
        <s v="BALDERSON FOR CONGRESS"/>
        <s v="ALEX MOONEY FOR CONGRESS"/>
        <s v="GEORGE HOLDING FOR CONGRESS INC."/>
        <s v="UPTON FOR ALL OF US"/>
        <s v="DOUG LAMALFA COMMITTEE"/>
        <s v="DAN CRENSHAW FOR CONGRESS"/>
        <s v="CHIP ROY FOR CONGRESS"/>
        <s v="CITIZENS FOR TURNER"/>
        <s v="FRIENDS OF DAVE JOYCE"/>
        <s v="DON BACON FOR CONGRESS"/>
        <s v="HURD FOR CONGRESS"/>
        <s v="STEIL FOR WISCONSIN, INC."/>
        <s v="COMMITTEE TO RE-ELECT STEVE WATKINS"/>
        <s v="FRIENDS OF DAVID SCHWEIKERT"/>
        <s v="DEBBIE LESKO FOR CONGRESS"/>
        <s v="FRIENDS OF CHRIS SMITH"/>
        <s v="ALASKANS FOR DON YOUNG"/>
        <s v="MIKE BOST FOR CONGRESS COMMITTEE"/>
        <s v="ELISE FOR CONGRESS"/>
        <s v="CATHY MCMORRIS RODGERS FOR CONGRESS"/>
        <s v="WALBERG FOR CONGRESS"/>
        <s v="FRIENDS OF HAGEDORN"/>
        <s v="ZELDIN FOR CONGRESS"/>
        <s v="KATKO FOR CONGRESS"/>
        <s v="MCCAUL FOR CONGRESS, INC"/>
        <s v="KENNY MARCHANT FOR CONGRESS"/>
        <s v="GLENN GROTHMAN FOR CONGRESS"/>
        <s v="VERN BUCHANAN FOR CONGRESS"/>
        <s v="KEVIN MCCARTHY FOR CONGRESS"/>
        <s v="MAJORITY COMMITTEE PAC--MC PAC"/>
        <s v="TED BUDD FOR CONGRESS"/>
        <s v="OLSON FOR CONGRESS COMMITTEE"/>
        <s v="ROB WITTMAN FOR CONGRESS"/>
        <s v="MCCLINTOCK FOR CONGRESS"/>
        <s v="HUIZENGA FOR CONGRESS"/>
        <s v="GREG FOR MONTANA"/>
        <s v="MAST FOR CONGRESS"/>
        <s v="TOM REED FOR CONGRESS"/>
        <s v="WALORSKI FOR CONGRESS INC"/>
        <s v="PETE KING FOR CONGRESS COMMITTEE"/>
        <s v="JAIME FOR CONGRESS"/>
        <s v="MIKE KELLY FOR CONGRESS"/>
        <s v="STEVE CHABOT FOR CONGRESS"/>
        <s v="PETE STAUBER FOR CONGRESS"/>
        <s v="ANN WAGNER FOR CONGRESS"/>
        <s v="VAN TAYLOR CAMPAIGN"/>
        <s v="DAVID ROUZER FOR CONGRESS"/>
        <s v="NRCC"/>
        <s v="RON WRIGHT FOR CONGRESS"/>
        <s v="ANDY BARR FOR CONGRESS, INC."/>
        <s v="VOTETIPTON.COM"/>
        <s v="BRIAN FITZPATRICK FOR CONGRESS"/>
        <s v="HUDSON FOR CONGRESS"/>
        <s v="FRIENDS OF DENVER RIGGLEMAN, INC."/>
        <s v="TAKE BACK THE HOUSE 2020"/>
        <s v="ROGER WILLIAMS FOR U S CONGRESS COMMITTEE"/>
        <s v="JOHN CARTER FOR CONGRESS"/>
        <s v="ROSS SPANO FOR CONGRESS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411914607101E+17" maxValue="2.02104149443332E+17"/>
    </cacheField>
    <cacheField name="line_number" numFmtId="0">
      <sharedItems containsMixedTypes="1" containsNumber="1" containsInteger="1" minValue="12" maxValue="17"/>
    </cacheField>
    <cacheField name="transaction_id" numFmtId="0">
      <sharedItems/>
    </cacheField>
    <cacheField name="file_number" numFmtId="0">
      <sharedItems containsSemiMixedTypes="0" containsString="0" containsNumber="1" containsInteger="1" minValue="1323775" maxValue="1510400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Blank="1"/>
    </cacheField>
    <cacheField name="contributor_prefix" numFmtId="0">
      <sharedItems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 containsNonDate="0" containsString="0" containsBlank="1"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 containsBlank="1"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10021" maxValue="100213502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Blank="1"/>
    </cacheField>
    <cacheField name="receipt_type" numFmtId="0">
      <sharedItems containsMixedTypes="1" containsNumber="1" containsInteger="1" minValue="15" maxValue="15"/>
    </cacheField>
    <cacheField name="receipt_type_desc" numFmtId="0">
      <sharedItems/>
    </cacheField>
    <cacheField name="receipt_type_full" numFmtId="0">
      <sharedItems containsBlank="1"/>
    </cacheField>
    <cacheField name="memo_code" numFmtId="0">
      <sharedItems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539" maxValue="44012"/>
    </cacheField>
    <cacheField name="contribution_receipt_amount" numFmtId="0">
      <sharedItems containsSemiMixedTypes="0" containsString="0" containsNumber="1" minValue="2651.21" maxValue="250000"/>
    </cacheField>
    <cacheField name="contributor_aggregate_ytd" numFmtId="0">
      <sharedItems containsSemiMixedTypes="0" containsString="0" containsNumber="1" minValue="2651.21" maxValue="250000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Blank="1"/>
    </cacheField>
    <cacheField name="conduit_committee_street1" numFmtId="0">
      <sharedItems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Blank="1"/>
    </cacheField>
    <cacheField name="conduit_committee_state" numFmtId="0">
      <sharedItems containsBlank="1"/>
    </cacheField>
    <cacheField name="conduit_committee_zip" numFmtId="0">
      <sharedItems containsString="0" containsBlank="1" containsNumber="1" containsInteger="1" minValue="20824" maxValue="20824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Blank="1"/>
    </cacheField>
    <cacheField name="fec_election_type_desc" numFmtId="0">
      <sharedItems/>
    </cacheField>
    <cacheField name="fec_election_year" numFmtId="0">
      <sharedItems containsString="0" containsBlank="1" containsNumber="1" containsInteger="1" minValue="2019" maxValue="2020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567.131016585648" maxValue="44303.150050543984"/>
    </cacheField>
    <cacheField name="original_sub_id" numFmtId="0">
      <sharedItems containsNonDate="0" containsString="0" containsBlank="1"/>
    </cacheField>
    <cacheField name="back_reference_transaction_id" numFmtId="0">
      <sharedItems containsBlank="1"/>
    </cacheField>
    <cacheField name="back_reference_schedule_name" numFmtId="0">
      <sharedItems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0202016853202E+18" maxValue="4.1020201916749302E+18"/>
    </cacheField>
    <cacheField name="is_individual" numFmtId="0">
      <sharedItems/>
    </cacheField>
    <cacheField name="memo_text" numFmtId="0">
      <sharedItems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016853601E+18" maxValue="4.1110202018933299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Matt Marnell" refreshedDate="44411.509893981478" createdVersion="5" refreshedVersion="5" minRefreshableVersion="3" recordCount="47">
  <cacheSource type="worksheet">
    <worksheetSource ref="A1:CA48" sheet="Andrea Smith"/>
  </cacheSource>
  <cacheFields count="79">
    <cacheField name="committee_id" numFmtId="0">
      <sharedItems/>
    </cacheField>
    <cacheField name="committee_name" numFmtId="0">
      <sharedItems count="1">
        <s v="BANK OF AMERICA CORPORATION FEDERAL PAC"/>
      </sharedItems>
    </cacheField>
    <cacheField name="report_year" numFmtId="0">
      <sharedItems containsSemiMixedTypes="0" containsString="0" containsNumber="1" containsInteger="1" minValue="2019" maxValue="2020"/>
    </cacheField>
    <cacheField name="report_type" numFmtId="0">
      <sharedItems/>
    </cacheField>
    <cacheField name="image_number" numFmtId="0">
      <sharedItems containsSemiMixedTypes="0" containsString="0" containsNumber="1" containsInteger="1" minValue="2.0190215914551901E+17" maxValue="2.0210125940539501E+17"/>
    </cacheField>
    <cacheField name="line_number" numFmtId="0">
      <sharedItems/>
    </cacheField>
    <cacheField name="transaction_id" numFmtId="0">
      <sharedItems/>
    </cacheField>
    <cacheField name="file_number" numFmtId="0">
      <sharedItems containsSemiMixedTypes="0" containsString="0" containsNumber="1" containsInteger="1" minValue="1316134" maxValue="1490358"/>
    </cacheField>
    <cacheField name="committee_name2" numFmtId="0">
      <sharedItems containsNonDate="0" containsString="0" containsBlank="1"/>
    </cacheField>
    <cacheField name="entity_type" numFmtId="0">
      <sharedItems/>
    </cacheField>
    <cacheField name="entity_type_desc" numFmtId="0">
      <sharedItems/>
    </cacheField>
    <cacheField name="unused_contbr_id" numFmtId="0">
      <sharedItems containsNonDate="0" containsString="0" containsBlank="1"/>
    </cacheField>
    <cacheField name="contributor_prefix" numFmtId="0">
      <sharedItems containsNonDate="0" containsString="0" containsBlank="1"/>
    </cacheField>
    <cacheField name="contributor_name" numFmtId="0">
      <sharedItems/>
    </cacheField>
    <cacheField name="recipient_committee_type" numFmtId="0">
      <sharedItems/>
    </cacheField>
    <cacheField name="recipient_committee_org_type" numFmtId="0">
      <sharedItems/>
    </cacheField>
    <cacheField name="recipient_committee_designation" numFmtId="0">
      <sharedItems/>
    </cacheField>
    <cacheField name="contributor_first_name" numFmtId="0">
      <sharedItems/>
    </cacheField>
    <cacheField name="contributor_middle_name" numFmtId="0">
      <sharedItems/>
    </cacheField>
    <cacheField name="contributor_last_name" numFmtId="0">
      <sharedItems/>
    </cacheField>
    <cacheField name="contributor_suffix" numFmtId="0">
      <sharedItems containsNonDate="0" containsString="0" containsBlank="1"/>
    </cacheField>
    <cacheField name="contributor_street_1" numFmtId="0">
      <sharedItems/>
    </cacheField>
    <cacheField name="contributor_street_2" numFmtId="0">
      <sharedItems containsNonDate="0" containsString="0" containsBlank="1"/>
    </cacheField>
    <cacheField name="contributor_city" numFmtId="0">
      <sharedItems/>
    </cacheField>
    <cacheField name="contributor_state" numFmtId="0">
      <sharedItems/>
    </cacheField>
    <cacheField name="contributor_zip" numFmtId="0">
      <sharedItems containsSemiMixedTypes="0" containsString="0" containsNumber="1" containsInteger="1" minValue="28255" maxValue="28255"/>
    </cacheField>
    <cacheField name="contributor_employer" numFmtId="0">
      <sharedItems/>
    </cacheField>
    <cacheField name="contributor_occupation" numFmtId="0">
      <sharedItems/>
    </cacheField>
    <cacheField name="contributor_id" numFmtId="0">
      <sharedItems containsNonDate="0" containsString="0" containsBlank="1"/>
    </cacheField>
    <cacheField name="receipt_type" numFmtId="0">
      <sharedItems containsSemiMixedTypes="0" containsString="0" containsNumber="1" containsInteger="1" minValue="15" maxValue="15"/>
    </cacheField>
    <cacheField name="receipt_type_desc" numFmtId="0">
      <sharedItems/>
    </cacheField>
    <cacheField name="receipt_type_full" numFmtId="0">
      <sharedItems containsNonDate="0" containsString="0" containsBlank="1"/>
    </cacheField>
    <cacheField name="memo_code" numFmtId="0">
      <sharedItems containsNonDate="0" containsString="0" containsBlank="1"/>
    </cacheField>
    <cacheField name="memo_code_full" numFmtId="0">
      <sharedItems containsNonDate="0" containsString="0" containsBlank="1"/>
    </cacheField>
    <cacheField name="contribution_receipt_date" numFmtId="0">
      <sharedItems containsSemiMixedTypes="0" containsString="0" containsNumber="1" containsInteger="1" minValue="43496" maxValue="44196"/>
    </cacheField>
    <cacheField name="contribution_receipt_amount" numFmtId="0">
      <sharedItems containsSemiMixedTypes="0" containsString="0" containsNumber="1" minValue="175" maxValue="208.32"/>
    </cacheField>
    <cacheField name="contributor_aggregate_ytd" numFmtId="0">
      <sharedItems containsSemiMixedTypes="0" containsString="0" containsNumber="1" minValue="208.32" maxValue="4999.68"/>
    </cacheField>
    <cacheField name="candidate_id" numFmtId="0">
      <sharedItems containsNonDate="0" containsString="0" containsBlank="1"/>
    </cacheField>
    <cacheField name="candidate_name" numFmtId="0">
      <sharedItems containsNonDate="0" containsString="0" containsBlank="1"/>
    </cacheField>
    <cacheField name="candidate_first_name" numFmtId="0">
      <sharedItems containsNonDate="0" containsString="0" containsBlank="1"/>
    </cacheField>
    <cacheField name="candidate_last_name" numFmtId="0">
      <sharedItems containsNonDate="0" containsString="0" containsBlank="1"/>
    </cacheField>
    <cacheField name="candidate_middle_name" numFmtId="0">
      <sharedItems containsNonDate="0" containsString="0" containsBlank="1"/>
    </cacheField>
    <cacheField name="candidate_prefix" numFmtId="0">
      <sharedItems containsNonDate="0" containsString="0" containsBlank="1"/>
    </cacheField>
    <cacheField name="candidate_suffix" numFmtId="0">
      <sharedItems containsNonDate="0" containsString="0" containsBlank="1"/>
    </cacheField>
    <cacheField name="candidate_office" numFmtId="0">
      <sharedItems containsNonDate="0" containsString="0" containsBlank="1"/>
    </cacheField>
    <cacheField name="candidate_office_full" numFmtId="0">
      <sharedItems containsNonDate="0" containsString="0" containsBlank="1"/>
    </cacheField>
    <cacheField name="candidate_office_state" numFmtId="0">
      <sharedItems containsNonDate="0" containsString="0" containsBlank="1"/>
    </cacheField>
    <cacheField name="candidate_office_state_full" numFmtId="0">
      <sharedItems containsNonDate="0" containsString="0" containsBlank="1"/>
    </cacheField>
    <cacheField name="candidate_office_district" numFmtId="0">
      <sharedItems containsNonDate="0" containsString="0" containsBlank="1"/>
    </cacheField>
    <cacheField name="conduit_committee_id" numFmtId="0">
      <sharedItems containsNonDate="0" containsString="0" containsBlank="1"/>
    </cacheField>
    <cacheField name="conduit_committee_name" numFmtId="0">
      <sharedItems containsNonDate="0" containsString="0" containsBlank="1"/>
    </cacheField>
    <cacheField name="conduit_committee_street1" numFmtId="0">
      <sharedItems containsNonDate="0" containsString="0" containsBlank="1"/>
    </cacheField>
    <cacheField name="conduit_committee_street2" numFmtId="0">
      <sharedItems containsNonDate="0" containsString="0" containsBlank="1"/>
    </cacheField>
    <cacheField name="conduit_committee_city" numFmtId="0">
      <sharedItems containsNonDate="0" containsString="0" containsBlank="1"/>
    </cacheField>
    <cacheField name="conduit_committee_state" numFmtId="0">
      <sharedItems containsNonDate="0" containsString="0" containsBlank="1"/>
    </cacheField>
    <cacheField name="conduit_committee_zip" numFmtId="0">
      <sharedItems containsNonDate="0" containsString="0" containsBlank="1"/>
    </cacheField>
    <cacheField name="donor_committee_name" numFmtId="0">
      <sharedItems containsNonDate="0" containsString="0" containsBlank="1"/>
    </cacheField>
    <cacheField name="national_committee_nonfederal_account" numFmtId="0">
      <sharedItems containsNonDate="0" containsString="0" containsBlank="1"/>
    </cacheField>
    <cacheField name="election_type" numFmtId="0">
      <sharedItems/>
    </cacheField>
    <cacheField name="election_type_full" numFmtId="0">
      <sharedItems containsNonDate="0" containsString="0" containsBlank="1"/>
    </cacheField>
    <cacheField name="fec_election_type_desc" numFmtId="0">
      <sharedItems/>
    </cacheField>
    <cacheField name="fec_election_year" numFmtId="0">
      <sharedItems containsNonDate="0" containsString="0" containsBlank="1"/>
    </cacheField>
    <cacheField name="amendment_indicator" numFmtId="0">
      <sharedItems/>
    </cacheField>
    <cacheField name="amendment_indicator_desc" numFmtId="0">
      <sharedItems/>
    </cacheField>
    <cacheField name="schedule_type_full" numFmtId="0">
      <sharedItems/>
    </cacheField>
    <cacheField name="load_date" numFmtId="0">
      <sharedItems containsSemiMixedTypes="0" containsString="0" containsNumber="1" minValue="43525.143971724538" maxValue="44223.15055677083"/>
    </cacheField>
    <cacheField name="original_sub_id" numFmtId="0">
      <sharedItems containsNonDate="0" containsString="0" containsBlank="1"/>
    </cacheField>
    <cacheField name="back_reference_transaction_id" numFmtId="0">
      <sharedItems containsNonDate="0" containsString="0" containsBlank="1"/>
    </cacheField>
    <cacheField name="back_reference_schedule_name" numFmtId="0">
      <sharedItems containsNonDate="0" containsString="0" containsBlank="1"/>
    </cacheField>
    <cacheField name="filing_form" numFmtId="0">
      <sharedItems/>
    </cacheField>
    <cacheField name="link_id" numFmtId="0">
      <sharedItems containsSemiMixedTypes="0" containsString="0" containsNumber="1" containsInteger="1" minValue="4.0120202016853202E+18" maxValue="4.1216201916815201E+18"/>
    </cacheField>
    <cacheField name="is_individual" numFmtId="0">
      <sharedItems/>
    </cacheField>
    <cacheField name="memo_text" numFmtId="0">
      <sharedItems containsNonDate="0" containsString="0" containsBlank="1"/>
    </cacheField>
    <cacheField name="two_year_transaction_period" numFmtId="0">
      <sharedItems containsSemiMixedTypes="0" containsString="0" containsNumber="1" containsInteger="1" minValue="2020" maxValue="2020"/>
    </cacheField>
    <cacheField name="schedule_type" numFmtId="0">
      <sharedItems/>
    </cacheField>
    <cacheField name="increased_limit" numFmtId="0">
      <sharedItems containsNonDate="0" containsString="0" containsBlank="1"/>
    </cacheField>
    <cacheField name="sub_id" numFmtId="0">
      <sharedItems containsSemiMixedTypes="0" containsString="0" containsNumber="1" containsInteger="1" minValue="4.0121202016853601E+18" maxValue="4.1218202019773701E+18"/>
    </cacheField>
    <cacheField name="pdf_url" numFmtId="0">
      <sharedItems/>
    </cacheField>
    <cacheField name="line_number_lab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s v="C00718627"/>
    <x v="0"/>
    <n v="2019"/>
    <s v="Q3"/>
    <n v="2.01910159164272E+17"/>
    <s v="11AI"/>
    <s v="AAF2B069FA3BD497E83C"/>
    <n v="1358443"/>
    <m/>
    <s v="IND"/>
    <s v="INDIVIDUAL"/>
    <m/>
    <m/>
    <s v="BOVENDER, JR., JACK O."/>
    <s v="S"/>
    <m/>
    <s v="P"/>
    <s v="JACK O."/>
    <m/>
    <s v="BOVENDER, JR."/>
    <m/>
    <s v="520 BELLE MEADE BLVD"/>
    <m/>
    <s v="NASHVILLE"/>
    <s v="TN"/>
    <n v="372053424"/>
    <s v="RETIRED"/>
    <s v="RETIRED"/>
    <m/>
    <n v="15"/>
    <s v="CONTRIBUTION"/>
    <m/>
    <m/>
    <m/>
    <d v="2019-09-23T00:00:00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d v="2019-10-25T02:43:11"/>
    <m/>
    <m/>
    <m/>
    <s v="F3"/>
    <n v="4.1015201916742001E+18"/>
    <s v="t"/>
    <m/>
    <n v="2020"/>
    <s v="SA"/>
    <m/>
    <n v="4.1024201916753603E+18"/>
    <s v="http://docquery.fec.gov/cgi-bin/fecimg/?201910159164272166"/>
    <s v="Contributions From Individuals/Persons Other Than Political Committees"/>
  </r>
  <r>
    <s v="C00718627"/>
    <x v="0"/>
    <n v="2019"/>
    <s v="Q3"/>
    <n v="2.01910159164272E+17"/>
    <s v="11AI"/>
    <s v="A6F8ECAFE5CE141F79F8"/>
    <n v="1358443"/>
    <m/>
    <s v="IND"/>
    <s v="INDIVIDUAL"/>
    <m/>
    <m/>
    <s v="BOVENDER, JR., JACK O."/>
    <s v="S"/>
    <m/>
    <s v="P"/>
    <s v="JACK O."/>
    <m/>
    <s v="BOVENDER, JR."/>
    <m/>
    <s v="520 BELLE MEADE BLVD"/>
    <m/>
    <s v="NASHVILLE"/>
    <s v="TN"/>
    <n v="372053424"/>
    <s v="RETIRED"/>
    <s v="RETIRED"/>
    <m/>
    <n v="15"/>
    <s v="CONTRIBUTION"/>
    <m/>
    <m/>
    <m/>
    <d v="2019-09-23T00:00:00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19-10-25T02:43:11"/>
    <m/>
    <m/>
    <m/>
    <s v="F3"/>
    <n v="4.1015201916742001E+18"/>
    <s v="t"/>
    <m/>
    <n v="2020"/>
    <s v="SA"/>
    <m/>
    <n v="4.1024201916753603E+18"/>
    <s v="http://docquery.fec.gov/cgi-bin/fecimg/?201910159164272261"/>
    <s v="Contributions From Individuals/Persons Other Than Political Committees"/>
  </r>
  <r>
    <s v="C00027466"/>
    <x v="1"/>
    <n v="2019"/>
    <s v="M10"/>
    <n v="2.01910209165196E+17"/>
    <s v="11AI"/>
    <s v="SA11A.14219924"/>
    <n v="1360336"/>
    <m/>
    <s v="IND"/>
    <s v="INDIVIDUAL"/>
    <m/>
    <s v="MR."/>
    <s v="BOVENDER, JACK O. MR. JR."/>
    <s v="Y"/>
    <m/>
    <s v="U"/>
    <s v="JACK"/>
    <s v="O."/>
    <s v="BOVENDER"/>
    <s v="JR."/>
    <s v="520 BELLE MEADE BLVD"/>
    <m/>
    <s v="NASHVILLE"/>
    <s v="TN"/>
    <n v="372053424"/>
    <s v="RETIRED"/>
    <s v="RETIRED"/>
    <m/>
    <n v="15"/>
    <s v="CONTRIBUTION"/>
    <s v="CONTRIBUTION"/>
    <m/>
    <m/>
    <d v="2019-09-23T00:00:00"/>
    <n v="35500"/>
    <n v="35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31T02:44:03"/>
    <m/>
    <m/>
    <m/>
    <s v="F3X"/>
    <n v="4.1020201916749302E+18"/>
    <s v="t"/>
    <m/>
    <n v="2020"/>
    <s v="SA"/>
    <m/>
    <n v="4.10302019167618E+18"/>
    <s v="http://docquery.fec.gov/cgi-bin/fecimg/?201910209165196132"/>
    <s v="Contributions From Individuals/Persons Other Than Political Committees"/>
  </r>
  <r>
    <s v="C00314575"/>
    <x v="2"/>
    <n v="2020"/>
    <s v="Q3"/>
    <n v="2.0210630945086499E+17"/>
    <s v="11AI"/>
    <s v="AFE6E99BABCBC45C98DE"/>
    <n v="1521918"/>
    <m/>
    <s v="IND"/>
    <s v="INDIVIDUAL"/>
    <m/>
    <m/>
    <s v="BOVENDER, JACK"/>
    <s v="S"/>
    <m/>
    <s v="P"/>
    <s v="JACK"/>
    <m/>
    <s v="BOVENDER"/>
    <m/>
    <s v="520 BELLE MEADE BLVD"/>
    <m/>
    <s v="NASHVILLE"/>
    <s v="TN"/>
    <n v="372053424"/>
    <s v="HCA"/>
    <s v="EXECUTIVE"/>
    <m/>
    <n v="15"/>
    <s v="CONTRIBUTION"/>
    <m/>
    <m/>
    <m/>
    <d v="2020-07-13T00:00:00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d v="2021-07-07T03:34:19"/>
    <m/>
    <m/>
    <m/>
    <s v="F3"/>
    <n v="4.0701202113196201E+18"/>
    <s v="t"/>
    <m/>
    <n v="2020"/>
    <s v="SA"/>
    <m/>
    <n v="4.0707202113197998E+18"/>
    <s v="https://docquery.fec.gov/cgi-bin/fecimg/?202106309450865950"/>
    <s v="Contributions From Individuals/Persons Other Than Political Committees"/>
  </r>
  <r>
    <s v="C00750505"/>
    <x v="3"/>
    <n v="2020"/>
    <s v="M8"/>
    <n v="2.0200820926641299E+17"/>
    <s v="11AI"/>
    <s v="SA11AI.4232"/>
    <n v="1434635"/>
    <m/>
    <s v="IND"/>
    <s v="INDIVIDUAL"/>
    <m/>
    <m/>
    <s v="BOVENDER, JACK O. JR."/>
    <s v="O"/>
    <m/>
    <s v="U"/>
    <s v="JACK"/>
    <s v="O."/>
    <s v="BOVENDER"/>
    <s v="JR."/>
    <s v="520 BELLE MEADE BLVD"/>
    <m/>
    <s v="NASHVILLE"/>
    <s v="TN"/>
    <n v="37205"/>
    <s v="RETIRED"/>
    <s v="RETIRED"/>
    <m/>
    <n v="10"/>
    <s v="NON-FEDERAL RECEIPT FROM PERSONS"/>
    <m/>
    <m/>
    <m/>
    <d v="2020-07-27T00:00:00"/>
    <n v="20000"/>
    <n v="20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01T04:22:28"/>
    <m/>
    <m/>
    <m/>
    <s v="F3X"/>
    <n v="4.0822202018295301E+18"/>
    <s v="t"/>
    <m/>
    <n v="2020"/>
    <s v="SA"/>
    <m/>
    <n v="4.0901202018339E+18"/>
    <s v="http://docquery.fec.gov/cgi-bin/fecimg/?202008209266413628"/>
    <s v="Contributions From Individuals/Persons Other Than Political Committees"/>
  </r>
  <r>
    <s v="C00724344"/>
    <x v="4"/>
    <n v="2020"/>
    <s v="Q2"/>
    <n v="2.0200715924463398E+17"/>
    <s v="11AI"/>
    <s v="SA11AI.4334"/>
    <n v="1422075"/>
    <m/>
    <s v="IND"/>
    <s v="INDIVIDUAL"/>
    <m/>
    <m/>
    <s v="BOVENDER, JACK O. JR."/>
    <s v="N"/>
    <m/>
    <s v="J"/>
    <s v="JACK"/>
    <s v="O."/>
    <s v="BOVENDER"/>
    <s v="JR."/>
    <s v="520 BELLE MEADE BLVD"/>
    <m/>
    <s v="NASHVILLE"/>
    <s v="TN"/>
    <n v="37205"/>
    <s v="RETIRED"/>
    <s v="RETIRED"/>
    <m/>
    <n v="15"/>
    <s v="CONTRIBUTION"/>
    <m/>
    <m/>
    <m/>
    <d v="2020-06-26T00:00:00"/>
    <n v="35500"/>
    <n v="35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7T02:48:31"/>
    <m/>
    <m/>
    <m/>
    <s v="F3X"/>
    <n v="4.0715202017906099E+18"/>
    <s v="t"/>
    <m/>
    <n v="2020"/>
    <s v="SA"/>
    <m/>
    <n v="4.07162020179089E+18"/>
    <s v="http://docquery.fec.gov/cgi-bin/fecimg/?202007159244634217"/>
    <s v="Contributions From Individuals/Persons Other Than Political Committees"/>
  </r>
  <r>
    <s v="C00719971"/>
    <x v="5"/>
    <n v="2020"/>
    <s v="Q2"/>
    <n v="2.0200715925015002E+17"/>
    <s v="11AI"/>
    <s v="ADA791344E6304AB5BD7"/>
    <n v="1425049"/>
    <m/>
    <s v="IND"/>
    <s v="INDIVIDUAL"/>
    <m/>
    <m/>
    <s v="BOVENDER, JR., JACK O."/>
    <s v="Q"/>
    <m/>
    <s v="U"/>
    <s v="JACK O."/>
    <m/>
    <s v="BOVENDER, JR."/>
    <m/>
    <s v="520 BELLE MEADE BLVD"/>
    <m/>
    <s v="NASHVILLE"/>
    <s v="TN"/>
    <n v="372053424"/>
    <s v="RETIRED"/>
    <s v="RETIRED"/>
    <m/>
    <n v="15"/>
    <s v="CONTRIBUTION"/>
    <m/>
    <m/>
    <m/>
    <d v="2020-06-05T00:00:00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18T01:22:58"/>
    <m/>
    <m/>
    <m/>
    <s v="F3X"/>
    <n v="4.0716202017908598E+18"/>
    <s v="t"/>
    <m/>
    <n v="2020"/>
    <s v="SA"/>
    <m/>
    <n v="4.0717202017910298E+18"/>
    <s v="http://docquery.fec.gov/cgi-bin/fecimg/?202007159250150135"/>
    <s v="Contributions From Individuals/Persons Other Than Political Committees"/>
  </r>
  <r>
    <s v="C00027466"/>
    <x v="1"/>
    <n v="2020"/>
    <s v="M7"/>
    <n v="2.0200920927539901E+17"/>
    <n v="12"/>
    <s v="SA12.15788919"/>
    <n v="1439993"/>
    <m/>
    <s v="IND"/>
    <s v="INDIVIDUAL"/>
    <m/>
    <m/>
    <s v="BOVENDER, JACK"/>
    <s v="Y"/>
    <m/>
    <s v="U"/>
    <s v="JACK"/>
    <m/>
    <s v="BOVENDER"/>
    <m/>
    <s v="620 BELLE MEADE BLVD"/>
    <m/>
    <s v="NASHVILLE"/>
    <s v="TN"/>
    <n v="372053878"/>
    <s v="RETIRED"/>
    <s v="RETIRED"/>
    <m/>
    <s v="15J"/>
    <s v="MEMO (FILER'S % OF CONTRIBUTION GIVEN TO JOIN"/>
    <s v="TRANSFER"/>
    <s v="X"/>
    <m/>
    <d v="2020-06-26T00:00:00"/>
    <n v="35500"/>
    <n v="35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0-03T03:42:12"/>
    <m/>
    <s v="SA12.15788904"/>
    <s v="SA12"/>
    <s v="F3X"/>
    <n v="4.0921202018491699E+18"/>
    <s v="t"/>
    <s v="JFC ATTRIB: NRSC TARGETED STATE VICTORY"/>
    <n v="2020"/>
    <s v="SA"/>
    <m/>
    <n v="4.1003202018561101E+18"/>
    <s v="http://docquery.fec.gov/cgi-bin/fecimg/?202009209275399018"/>
    <s v="Transfers from Authorized Committe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">
  <r>
    <s v="C00666149"/>
    <x v="0"/>
    <n v="2019"/>
    <s v="Q2"/>
    <n v="2.0190715915075901E+17"/>
    <s v="11AI"/>
    <s v="VVBGKK5TBW9"/>
    <n v="1339820"/>
    <m/>
    <s v="IND"/>
    <s v="INDIVIDUAL"/>
    <s v="C00401224"/>
    <m/>
    <s v="LOZANO, MONICA"/>
    <s v="H"/>
    <m/>
    <s v="P"/>
    <s v="MONICA"/>
    <m/>
    <s v="LOZANO"/>
    <m/>
    <s v="5610 GOLDEN GATE AVE"/>
    <m/>
    <s v="OAKLAND"/>
    <s v="CA"/>
    <n v="946182113"/>
    <s v="COLLEGE FUTURES FOUNDATION"/>
    <s v="PRESIDENT"/>
    <s v="C00401224"/>
    <s v="15E"/>
    <s v="EARMARKED CONTRIBUTION"/>
    <m/>
    <m/>
    <m/>
    <n v="43582"/>
    <n v="250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666.146225636578"/>
    <m/>
    <s v="VVBGKK5TBW9E"/>
    <s v="SA11AI"/>
    <s v="F3"/>
    <n v="4.07152019165954E+18"/>
    <s v="t"/>
    <s v="* EARMARKED CONTRIBUTION: SEE BELOW"/>
    <n v="2020"/>
    <s v="SA"/>
    <m/>
    <n v="4.0719201916606403E+18"/>
    <s v="http://docquery.fec.gov/cgi-bin/fecimg/?201907159150759713"/>
    <s v="Contributions From Individuals/Persons Other Than Political Committees"/>
  </r>
  <r>
    <s v="C00401224"/>
    <x v="1"/>
    <n v="2019"/>
    <s v="MY"/>
    <n v="2.0190729915521699E+17"/>
    <s v="11AI"/>
    <s v="SA11AI_153688256"/>
    <n v="1344765"/>
    <m/>
    <s v="IND"/>
    <s v="INDIVIDUAL"/>
    <m/>
    <m/>
    <s v="LOZANO, MONICA"/>
    <s v="W"/>
    <m/>
    <s v="U"/>
    <s v="MONICA"/>
    <m/>
    <s v="LOZANO"/>
    <m/>
    <s v="5610 GOLDEN GATE AVENUE"/>
    <m/>
    <s v="OAKLAND"/>
    <s v="CA"/>
    <n v="94618"/>
    <s v="COLELGE FUTURES FOUNDATION"/>
    <s v="PRESIDENT"/>
    <m/>
    <m/>
    <m/>
    <s v="EARMARK"/>
    <m/>
    <m/>
    <n v="43564"/>
    <n v="100"/>
    <n v="100"/>
    <m/>
    <m/>
    <m/>
    <m/>
    <m/>
    <m/>
    <m/>
    <m/>
    <m/>
    <m/>
    <m/>
    <m/>
    <m/>
    <m/>
    <m/>
    <m/>
    <m/>
    <m/>
    <m/>
    <m/>
    <m/>
    <m/>
    <m/>
    <m/>
    <m/>
    <s v="A"/>
    <s v="ADD"/>
    <s v="ITEMIZED RECEIPTS"/>
    <n v="43706.636727592595"/>
    <m/>
    <m/>
    <m/>
    <s v="F3X"/>
    <n v="4.0801201916624399E+18"/>
    <s v="t"/>
    <s v="EARMARKED FOR JULIAN FOR THE FUTURE (C00693044)"/>
    <n v="2020"/>
    <s v="SA"/>
    <m/>
    <n v="4.0828201911201398E+18"/>
    <s v="http://docquery.fec.gov/cgi-bin/fecimg/?201907299155217123"/>
    <s v="Contributions From Individuals/Persons Other Than Political Committees"/>
  </r>
  <r>
    <s v="C00650648"/>
    <x v="2"/>
    <n v="2019"/>
    <s v="Q3"/>
    <n v="2.0191015916420602E+17"/>
    <s v="11AI"/>
    <n v="2292811"/>
    <n v="1358125"/>
    <m/>
    <s v="IND"/>
    <s v="INDIVIDUAL"/>
    <s v="C00401224"/>
    <m/>
    <s v="LOZANO, MONICA"/>
    <s v="H"/>
    <m/>
    <s v="P"/>
    <s v="MONICA"/>
    <m/>
    <s v="LOZANO"/>
    <m/>
    <s v="5610 GOLDEN GATE AVE"/>
    <m/>
    <s v="OAKLAND"/>
    <s v="CA"/>
    <n v="946182113"/>
    <s v="COLLEGE FUTURES FOUNDATION"/>
    <s v="PHILANTHROPIST"/>
    <s v="C00401224"/>
    <s v="15E"/>
    <s v="EARMARKED CONTRIBUTION"/>
    <m/>
    <m/>
    <m/>
    <n v="43733"/>
    <n v="250"/>
    <n v="25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761.115905891202"/>
    <m/>
    <s v="2292811E"/>
    <s v="SA11AI"/>
    <s v="F3"/>
    <n v="4.1015201916742001E+18"/>
    <s v="t"/>
    <s v="* EARMARKED CONTRIBUTION: SEE BELOW"/>
    <n v="2020"/>
    <s v="SA"/>
    <m/>
    <n v="4.1022201916751099E+18"/>
    <s v="http://docquery.fec.gov/cgi-bin/fecimg/?201910159164206248"/>
    <s v="Contributions From Individuals/Persons Other Than Political Committees"/>
  </r>
  <r>
    <s v="C00703975"/>
    <x v="3"/>
    <n v="2019"/>
    <s v="Q2"/>
    <n v="2.0191021916525699E+17"/>
    <s v="17A"/>
    <n v="516084"/>
    <n v="1360571"/>
    <m/>
    <s v="IND"/>
    <s v="INDIVIDUAL"/>
    <s v="C00401224"/>
    <m/>
    <s v="LOZANO, MONICA"/>
    <s v="P"/>
    <m/>
    <s v="P"/>
    <s v="MONICA"/>
    <m/>
    <s v="LOZANO"/>
    <m/>
    <s v="5610 GOLDEN GATE AVE"/>
    <m/>
    <s v="OAKLAND"/>
    <s v="CA"/>
    <n v="946182113"/>
    <s v="COLLEGE FUTURES FOUNDATION"/>
    <s v="PRESIDENT"/>
    <s v="C00401224"/>
    <s v="15E"/>
    <s v="EARMARKED CONTRIBUTION"/>
    <m/>
    <m/>
    <m/>
    <n v="43582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68.112303229165"/>
    <m/>
    <s v="516084E"/>
    <s v="SA17A"/>
    <s v="F3P"/>
    <n v="4.1021201916749701E+18"/>
    <s v="t"/>
    <s v="* EARMARKED CONTRIBUTION: SEE BELOW"/>
    <n v="2020"/>
    <s v="SA"/>
    <m/>
    <n v="4.1029201916759798E+18"/>
    <s v="http://docquery.fec.gov/cgi-bin/fecimg/?201910219165257480"/>
    <s v="Contributions From Individuals/Persons Other Than Political Committees"/>
  </r>
  <r>
    <s v="C00155952"/>
    <x v="4"/>
    <n v="2020"/>
    <s v="30G"/>
    <n v="2.0210426944548899E+17"/>
    <n v="12"/>
    <n v="10904247"/>
    <n v="1514451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636.66"/>
    <n v="63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5.150081793981"/>
    <m/>
    <n v="10519213"/>
    <s v="SA12"/>
    <s v="F3X"/>
    <n v="4.0426202112790702E+18"/>
    <s v="t"/>
    <s v="* BIDEN VICTORY FUND"/>
    <n v="2020"/>
    <s v="SA"/>
    <m/>
    <n v="4.0509202112926899E+18"/>
    <s v="https://docquery.fec.gov/cgi-bin/fecimg/?202104269445489336"/>
    <s v="Transfers from Authorized Committees"/>
  </r>
  <r>
    <s v="C00016899"/>
    <x v="5"/>
    <n v="2020"/>
    <s v="30G"/>
    <n v="2.0210511944644499E+17"/>
    <s v="11AI"/>
    <s v="11AI-000586421"/>
    <n v="1515686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"/>
    <n v="63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9.15079890046"/>
    <m/>
    <m/>
    <m/>
    <s v="F3X"/>
    <n v="4.05122021129282E+18"/>
    <s v="t"/>
    <s v="BIDEN VICTORY FUND"/>
    <n v="2020"/>
    <s v="SA"/>
    <m/>
    <n v="4.0513202112928998E+18"/>
    <s v="https://docquery.fec.gov/cgi-bin/fecimg/?202105119446445367"/>
    <s v="Contributions From Individuals/Persons Other Than Political Committees"/>
  </r>
  <r>
    <s v="C00165688"/>
    <x v="6"/>
    <n v="2020"/>
    <s v="M10"/>
    <n v="2.0210304944017501E+17"/>
    <s v="11AI"/>
    <s v="11AI-000226869"/>
    <n v="1502854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64.156958391206"/>
    <m/>
    <m/>
    <m/>
    <s v="F3X"/>
    <n v="4.03042021122526E+18"/>
    <s v="t"/>
    <s v="BIDEN VICTORY FUND"/>
    <n v="2020"/>
    <s v="SA"/>
    <m/>
    <n v="4.0309202112277801E+18"/>
    <s v="https://docquery.fec.gov/cgi-bin/fecimg/?202103049440175440"/>
    <s v="Contributions From Individuals/Persons Other Than Political Committees"/>
  </r>
  <r>
    <s v="C00650648"/>
    <x v="2"/>
    <n v="2020"/>
    <s v="12P"/>
    <n v="2.0200709924439699E+17"/>
    <s v="11AI"/>
    <n v="2734868"/>
    <n v="1418380"/>
    <m/>
    <s v="IND"/>
    <s v="INDIVIDUAL"/>
    <s v="C00401224"/>
    <m/>
    <s v="LOZANO, MONICA"/>
    <s v="H"/>
    <m/>
    <s v="P"/>
    <s v="MONICA"/>
    <m/>
    <s v="LOZANO"/>
    <m/>
    <s v="5610 GOLDEN GATE AVE"/>
    <m/>
    <s v="OAKLAND"/>
    <s v="CA"/>
    <n v="946182113"/>
    <s v="COLLEGE FUTURES FOUNDATION"/>
    <s v="CEO"/>
    <s v="C00401224"/>
    <s v="15E"/>
    <s v="EARMARKED CONTRIBUTION"/>
    <m/>
    <m/>
    <m/>
    <n v="43872"/>
    <n v="250"/>
    <n v="5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027.076414374998"/>
    <m/>
    <s v="2734868E"/>
    <s v="SA11AI"/>
    <s v="F3"/>
    <n v="4.0709202017799598E+18"/>
    <s v="t"/>
    <s v="* EARMARKED CONTRIBUTION: SEE BELOW"/>
    <n v="2020"/>
    <s v="SA"/>
    <m/>
    <n v="4.0714202017905603E+18"/>
    <s v="http://docquery.fec.gov/cgi-bin/fecimg/?202007099244397711"/>
    <s v="Contributions From Individuals/Persons Other Than Political Committees"/>
  </r>
  <r>
    <s v="C00010603"/>
    <x v="7"/>
    <n v="2020"/>
    <s v="M9"/>
    <n v="2.0201214938734E+17"/>
    <n v="12"/>
    <n v="36779590"/>
    <n v="1482850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35"/>
    <n v="25000"/>
    <n v="250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83.153593622686"/>
    <m/>
    <n v="36524305"/>
    <s v="SA12"/>
    <s v="F3X"/>
    <n v="4.1216202019742802E+18"/>
    <s v="t"/>
    <s v="* BIDEN VICTORY FUND"/>
    <n v="2020"/>
    <s v="SA"/>
    <m/>
    <n v="4.1218202019770301E+18"/>
    <s v="https://docquery.fec.gov/cgi-bin/fecimg/?202012149387340909"/>
    <s v="Transfers from Authorized Committees"/>
  </r>
  <r>
    <s v="C00696419"/>
    <x v="8"/>
    <n v="2020"/>
    <s v="M3"/>
    <n v="2.0200715924994099E+17"/>
    <s v="17A"/>
    <n v="1358716"/>
    <n v="1424472"/>
    <m/>
    <s v="IND"/>
    <s v="INDIVIDUAL"/>
    <m/>
    <m/>
    <s v="LOZANO, MONICA"/>
    <s v="P"/>
    <m/>
    <s v="P"/>
    <s v="MONICA"/>
    <m/>
    <s v="LOZANO"/>
    <m/>
    <s v="5610 GOLDEN GATE AVE"/>
    <m/>
    <s v="OAKLAND"/>
    <s v="CA"/>
    <n v="946182113"/>
    <s v="COLLEGE FUTURES FOUNDATION"/>
    <s v="PRESIDENT"/>
    <m/>
    <s v="15E"/>
    <s v="EARMARKED CONTRIBUTION"/>
    <m/>
    <m/>
    <m/>
    <n v="43868"/>
    <n v="1000"/>
    <n v="10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033.136137280089"/>
    <m/>
    <s v="1358716E"/>
    <s v="SA17A"/>
    <s v="F3P"/>
    <n v="4.0716202017908598E+18"/>
    <s v="t"/>
    <s v="* EARMARKED CONTRIBUTION: SEE BELOW"/>
    <n v="2020"/>
    <s v="SA"/>
    <m/>
    <n v="4.0720202017919401E+18"/>
    <s v="http://docquery.fec.gov/cgi-bin/fecimg/?202007159249941502"/>
    <s v="Contributions From Individuals/Persons Other Than Political Committees"/>
  </r>
  <r>
    <s v="C00161786"/>
    <x v="9"/>
    <n v="2020"/>
    <s v="30G"/>
    <n v="2.02104059443068E+17"/>
    <s v="11AI"/>
    <s v="11AI-000297494"/>
    <n v="1507807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94.182206678241"/>
    <m/>
    <m/>
    <m/>
    <s v="F3X"/>
    <n v="4.04072021127648E+18"/>
    <s v="t"/>
    <s v="BIDEN VICTORY FUND"/>
    <n v="2020"/>
    <s v="SA"/>
    <m/>
    <n v="4.0407202112764902E+18"/>
    <s v="https://docquery.fec.gov/cgi-bin/fecimg/?202104059443068389"/>
    <s v="Contributions From Individuals/Persons Other Than Political Committees"/>
  </r>
  <r>
    <s v="C00703975"/>
    <x v="3"/>
    <n v="2020"/>
    <s v="M9"/>
    <n v="2.02009209276532E+17"/>
    <n v="18"/>
    <n v="13826562"/>
    <n v="1440320"/>
    <m/>
    <s v="IND"/>
    <s v="INDIVIDUAL"/>
    <m/>
    <m/>
    <s v="LOZANO, MONICA"/>
    <s v="P"/>
    <m/>
    <s v="P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3952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04.184709814814"/>
    <m/>
    <n v="9226555"/>
    <s v="SA18"/>
    <s v="F3P"/>
    <n v="4.0922202018492001E+18"/>
    <s v="t"/>
    <s v="* BIDEN VICTORY FUND"/>
    <n v="2020"/>
    <s v="SA"/>
    <m/>
    <n v="4.09302020185346E+18"/>
    <s v="http://docquery.fec.gov/cgi-bin/fecimg/?202009209276532811"/>
    <s v="Transfers From Other Authorized Committees"/>
  </r>
  <r>
    <s v="C00003988"/>
    <x v="10"/>
    <n v="2020"/>
    <s v="30G"/>
    <n v="2.0210512944668301E+17"/>
    <s v="11AI"/>
    <s v="11AI-000268859"/>
    <n v="1515964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30.149919456017"/>
    <m/>
    <m/>
    <m/>
    <s v="F3X"/>
    <n v="4.0513202112928799E+18"/>
    <s v="t"/>
    <s v="BIDEN VICTORY FUND"/>
    <n v="2020"/>
    <s v="SA"/>
    <m/>
    <n v="4.0514202112929802E+18"/>
    <s v="https://docquery.fec.gov/cgi-bin/fecimg/?202105129446683762"/>
    <s v="Contributions From Individuals/Persons Other Than Political Committees"/>
  </r>
  <r>
    <s v="C00178038"/>
    <x v="11"/>
    <n v="2020"/>
    <s v="30G"/>
    <n v="2.0210222942880099E+17"/>
    <n v="12"/>
    <n v="10874206"/>
    <n v="1501777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58.579054074071"/>
    <m/>
    <n v="10873130"/>
    <s v="SA12"/>
    <s v="F3X"/>
    <n v="4.02232021116399E+18"/>
    <s v="t"/>
    <s v="* BIDEN VICTORY FUND 2020"/>
    <n v="2020"/>
    <s v="SA"/>
    <m/>
    <n v="4.0302202111904701E+18"/>
    <s v="https://docquery.fec.gov/cgi-bin/fecimg/?202102229428801573"/>
    <s v="Transfers from Authorized Committees"/>
  </r>
  <r>
    <s v="C00476523"/>
    <x v="12"/>
    <n v="2020"/>
    <s v="Q3"/>
    <n v="2.0201015929431901E+17"/>
    <s v="11AI"/>
    <s v="VTE63YA8GG5"/>
    <n v="1450186"/>
    <m/>
    <s v="IND"/>
    <s v="INDIVIDUAL"/>
    <m/>
    <m/>
    <s v="LOZANO, MONICA"/>
    <s v="H"/>
    <m/>
    <s v="P"/>
    <s v="MONICA"/>
    <m/>
    <s v="LOZANO"/>
    <m/>
    <s v="5610 GOLDEN GATE AVE"/>
    <m/>
    <s v="OAKLAND"/>
    <s v="CA"/>
    <n v="946182113"/>
    <s v="COLLEGE FUTURES FOUNDATION"/>
    <s v="CEO"/>
    <m/>
    <n v="15"/>
    <s v="CONTRIBUTION"/>
    <m/>
    <m/>
    <m/>
    <n v="44035"/>
    <n v="1000"/>
    <n v="10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121.715806805558"/>
    <m/>
    <m/>
    <m/>
    <s v="F3"/>
    <n v="4.1016202018576502E+18"/>
    <s v="t"/>
    <m/>
    <n v="2020"/>
    <s v="SA"/>
    <m/>
    <n v="4.10162020187966E+18"/>
    <s v="http://docquery.fec.gov/cgi-bin/fecimg/?202010159294319294"/>
    <s v="Contributions From Individuals/Persons Other Than Political Committees"/>
  </r>
  <r>
    <s v="C00025254"/>
    <x v="13"/>
    <n v="2020"/>
    <s v="30G"/>
    <n v="2.0210505944629299E+17"/>
    <n v="12"/>
    <n v="4043683"/>
    <n v="1515204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4.198585729166"/>
    <m/>
    <n v="4035333"/>
    <s v="SA12"/>
    <s v="F3X"/>
    <n v="4.0506202112853499E+18"/>
    <s v="t"/>
    <s v="* BIDEN VICTORY FUND"/>
    <n v="2020"/>
    <s v="SA"/>
    <m/>
    <n v="4.0508202112871598E+18"/>
    <s v="https://docquery.fec.gov/cgi-bin/fecimg/?202105059446293282"/>
    <s v="Transfers from Authorized Committees"/>
  </r>
  <r>
    <s v="C00744946"/>
    <x v="14"/>
    <n v="2020"/>
    <s v="Q2"/>
    <n v="2.02010129285124E+17"/>
    <s v="11AI"/>
    <n v="4527488"/>
    <n v="1446418"/>
    <m/>
    <s v="IND"/>
    <s v="INDIVIDUAL"/>
    <m/>
    <m/>
    <s v="LOZANO, MONICA"/>
    <s v="N"/>
    <m/>
    <s v="J"/>
    <s v="MONICA"/>
    <m/>
    <s v="LOZANO"/>
    <m/>
    <s v="5610 GOLDEN GATE AVE"/>
    <m/>
    <s v="OAKLAND"/>
    <s v="CA"/>
    <n v="946182113"/>
    <s v="COLLEGE FUTURES FOUNDATION"/>
    <s v="CEO"/>
    <m/>
    <n v="15"/>
    <s v="CONTRIBUTION"/>
    <m/>
    <m/>
    <m/>
    <n v="43952"/>
    <n v="2800"/>
    <n v="2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25.151650254629"/>
    <m/>
    <m/>
    <m/>
    <s v="F3X"/>
    <n v="4.10132020185747E+18"/>
    <s v="t"/>
    <m/>
    <n v="2020"/>
    <s v="SA"/>
    <m/>
    <n v="4.10212020188226E+18"/>
    <s v="http://docquery.fec.gov/cgi-bin/fecimg/?202010129285124833"/>
    <s v="Contributions From Individuals/Persons Other Than Political Committees"/>
  </r>
  <r>
    <s v="C00019331"/>
    <x v="15"/>
    <n v="2020"/>
    <s v="12G"/>
    <n v="2.0210518944693901E+17"/>
    <s v="11AI"/>
    <s v="11AI-001044851"/>
    <n v="1516754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"/>
    <n v="63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3.161150891203"/>
    <m/>
    <m/>
    <m/>
    <s v="F3X"/>
    <n v="4.0519202112947999E+18"/>
    <s v="t"/>
    <s v="BIDEN VICTORY FUND"/>
    <n v="2020"/>
    <s v="SA"/>
    <m/>
    <n v="4.0527202112973701E+18"/>
    <s v="https://docquery.fec.gov/cgi-bin/fecimg/?202105189446939171"/>
    <s v="Contributions From Individuals/Persons Other Than Political Committees"/>
  </r>
  <r>
    <s v="C00099267"/>
    <x v="16"/>
    <n v="2020"/>
    <s v="30G"/>
    <n v="2.0210520944702899E+17"/>
    <s v="11AI"/>
    <s v="11AI-000790088"/>
    <n v="1517435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"/>
    <n v="63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3.161261643516"/>
    <m/>
    <m/>
    <m/>
    <s v="F3X"/>
    <n v="4.05212021129677E+18"/>
    <s v="t"/>
    <s v="BIDEN VICTORY FUND"/>
    <n v="2020"/>
    <s v="SA"/>
    <m/>
    <n v="4.0527202112973701E+18"/>
    <s v="https://docquery.fec.gov/cgi-bin/fecimg/?202105209447029705"/>
    <s v="Contributions From Individuals/Persons Other Than Political Committees"/>
  </r>
  <r>
    <s v="C00099267"/>
    <x v="16"/>
    <n v="2020"/>
    <s v="30G"/>
    <n v="2.0210520944703002E+17"/>
    <s v="11AI"/>
    <s v="11AI-000792313"/>
    <n v="1517435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"/>
    <n v="1273.3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3.161336944446"/>
    <m/>
    <m/>
    <m/>
    <s v="F3X"/>
    <n v="4.05212021129677E+18"/>
    <s v="t"/>
    <s v="BIDEN VICTORY FUND"/>
    <n v="2020"/>
    <s v="SA"/>
    <m/>
    <n v="4.0527202112973701E+18"/>
    <s v="https://docquery.fec.gov/cgi-bin/fecimg/?202105209447030233"/>
    <s v="Contributions From Individuals/Persons Other Than Political Committees"/>
  </r>
  <r>
    <s v="C00744946"/>
    <x v="14"/>
    <n v="2020"/>
    <s v="Q3"/>
    <n v="2.0210114940457798E+17"/>
    <s v="11AI"/>
    <n v="8123540"/>
    <n v="1487959"/>
    <m/>
    <s v="IND"/>
    <s v="INDIVIDUAL"/>
    <m/>
    <m/>
    <s v="LOZANO, MONICA"/>
    <s v="N"/>
    <m/>
    <s v="J"/>
    <s v="MONICA"/>
    <m/>
    <s v="LOZANO"/>
    <m/>
    <s v="5610 GOLDEN GATE AVE"/>
    <m/>
    <s v="OAKLAND"/>
    <s v="CA"/>
    <n v="946182113"/>
    <s v="COLLEGE FUTURES FOUNDATION"/>
    <s v="EXECUTIVE"/>
    <m/>
    <n v="15"/>
    <s v="CONTRIBUTION"/>
    <m/>
    <m/>
    <m/>
    <n v="44035"/>
    <n v="25000"/>
    <n v="27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30941863429"/>
    <m/>
    <m/>
    <m/>
    <s v="F3X"/>
    <n v="4.0115202120936602E+18"/>
    <s v="t"/>
    <m/>
    <n v="2020"/>
    <s v="SA"/>
    <m/>
    <n v="4.02032021201869E+18"/>
    <s v="https://docquery.fec.gov/cgi-bin/fecimg/?202101149404578135"/>
    <s v="Contributions From Individuals/Persons Other Than Political Committees"/>
  </r>
  <r>
    <s v="C00744946"/>
    <x v="14"/>
    <n v="2020"/>
    <s v="Q3"/>
    <n v="2.0210114940462701E+17"/>
    <s v="11AI"/>
    <n v="14460924"/>
    <n v="1487959"/>
    <m/>
    <s v="IND"/>
    <s v="INDIVIDUAL"/>
    <m/>
    <m/>
    <s v="LOZANO, MONICA"/>
    <s v="N"/>
    <m/>
    <s v="J"/>
    <s v="MONICA"/>
    <m/>
    <s v="LOZANO"/>
    <m/>
    <s v="5610 GOLDEN GATE AVE"/>
    <m/>
    <s v="OAKLAND"/>
    <s v="CA"/>
    <n v="946182113"/>
    <s v="COLLEGE FUTURES FOUNDATION"/>
    <s v="EXECUTIVE"/>
    <m/>
    <n v="15"/>
    <s v="CONTRIBUTION"/>
    <m/>
    <m/>
    <m/>
    <n v="44086"/>
    <n v="20000"/>
    <n v="478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32460914351"/>
    <m/>
    <m/>
    <m/>
    <s v="F3X"/>
    <n v="4.0115202120936602E+18"/>
    <s v="t"/>
    <m/>
    <n v="2020"/>
    <s v="SA"/>
    <m/>
    <n v="4.0203202120188401E+18"/>
    <s v="https://docquery.fec.gov/cgi-bin/fecimg/?202101149404627361"/>
    <s v="Contributions From Individuals/Persons Other Than Political Committees"/>
  </r>
  <r>
    <s v="C00744946"/>
    <x v="14"/>
    <n v="2020"/>
    <s v="Q3"/>
    <n v="2.0210114940459802E+17"/>
    <s v="11AI"/>
    <n v="9708302"/>
    <n v="1487959"/>
    <m/>
    <s v="IND"/>
    <s v="INDIVIDUAL"/>
    <m/>
    <m/>
    <s v="LOZANO, MONICA"/>
    <s v="N"/>
    <m/>
    <s v="J"/>
    <s v="MONICA"/>
    <m/>
    <s v="LOZANO"/>
    <m/>
    <s v="5610 GOLDEN GATE AVE"/>
    <m/>
    <s v="OAKLAND"/>
    <s v="CA"/>
    <n v="946182113"/>
    <s v="COLLEGE FUTURES FOUNDATION"/>
    <s v="EXECUTIVE"/>
    <m/>
    <n v="15"/>
    <s v="CONTRIBUTION"/>
    <m/>
    <m/>
    <m/>
    <n v="44055"/>
    <n v="50"/>
    <n v="278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32836018517"/>
    <m/>
    <m/>
    <m/>
    <s v="F3X"/>
    <n v="4.0115202120936602E+18"/>
    <s v="t"/>
    <m/>
    <n v="2020"/>
    <s v="SA"/>
    <m/>
    <n v="4.0203202120187602E+18"/>
    <s v="https://docquery.fec.gov/cgi-bin/fecimg/?202101149404598724"/>
    <s v="Contributions From Individuals/Persons Other Than Political Committees"/>
  </r>
  <r>
    <s v="C00041269"/>
    <x v="17"/>
    <n v="2020"/>
    <s v="M10"/>
    <n v="2.0201203934078899E+17"/>
    <n v="12"/>
    <n v="7327358"/>
    <n v="1480291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175.153324375002"/>
    <m/>
    <n v="7288843"/>
    <s v="SA12"/>
    <s v="F3X"/>
    <n v="4.1204202019634299E+18"/>
    <s v="t"/>
    <s v="* BIDEN VICTORY FUND"/>
    <n v="2020"/>
    <s v="SA"/>
    <m/>
    <n v="4.1210202019677798E+18"/>
    <s v="http://docquery.fec.gov/cgi-bin/fecimg/?202012039340789580"/>
    <s v="Transfers from Authorized Committees"/>
  </r>
  <r>
    <s v="C00031054"/>
    <x v="18"/>
    <n v="2020"/>
    <s v="M10"/>
    <n v="2.02105179446836E+17"/>
    <n v="12"/>
    <n v="5833017"/>
    <n v="1516549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9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38.150035254628"/>
    <m/>
    <n v="5831693"/>
    <s v="SA12"/>
    <s v="F3X"/>
    <n v="4.05182021129474E+18"/>
    <s v="t"/>
    <s v="* BIDEN VICTORY FUND JOINT FUNDRAISING PROCEEDS"/>
    <n v="2020"/>
    <s v="SA"/>
    <m/>
    <n v="4.0522202112968899E+18"/>
    <s v="https://docquery.fec.gov/cgi-bin/fecimg/?202105179446836053"/>
    <s v="Transfers from Authorized Committees"/>
  </r>
  <r>
    <s v="C00005561"/>
    <x v="19"/>
    <n v="2020"/>
    <s v="12G"/>
    <n v="2.0210517944684301E+17"/>
    <n v="12"/>
    <n v="2134975"/>
    <n v="1516565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338.150242291667"/>
    <m/>
    <n v="2171087"/>
    <s v="SA12"/>
    <s v="F3X"/>
    <n v="4.0519202112947999E+18"/>
    <s v="t"/>
    <s v="* BIDEN VICTORY FUND"/>
    <n v="2020"/>
    <s v="SA"/>
    <m/>
    <n v="4.0522202112968899E+18"/>
    <s v="https://docquery.fec.gov/cgi-bin/fecimg/?202105179446843583"/>
    <s v="Transfers from Authorized Committees"/>
  </r>
  <r>
    <s v="C00694455"/>
    <x v="20"/>
    <n v="2019"/>
    <s v="Q2"/>
    <n v="2.0210727945202899E+17"/>
    <s v="17A"/>
    <n v="1807677"/>
    <n v="1530939"/>
    <m/>
    <s v="IND"/>
    <s v="INDIVIDUAL"/>
    <m/>
    <m/>
    <s v="LOZANO, MONICA"/>
    <s v="P"/>
    <m/>
    <s v="P"/>
    <s v="MONICA"/>
    <m/>
    <s v="LOZANO"/>
    <m/>
    <s v="5610 GOLDEN GATE AVE"/>
    <m/>
    <s v="OAKLAND"/>
    <s v="CA"/>
    <n v="946182113"/>
    <s v="COLLEGE FUTURES FOUNDATION"/>
    <s v="CEO"/>
    <m/>
    <n v="15"/>
    <s v="CONTRIBUTION"/>
    <m/>
    <m/>
    <m/>
    <n v="43593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4407.152507094906"/>
    <m/>
    <m/>
    <m/>
    <s v="F3P"/>
    <n v="4.0728202113229599E+18"/>
    <s v="t"/>
    <m/>
    <n v="2020"/>
    <s v="SA"/>
    <m/>
    <n v="4.0730202113236301E+18"/>
    <s v="https://docquery.fec.gov/cgi-bin/fecimg/?202107279452029915"/>
    <s v="Contributions From Individuals/Persons Other Than Political Committees"/>
  </r>
  <r>
    <s v="C00208991"/>
    <x v="21"/>
    <n v="2020"/>
    <s v="30G"/>
    <n v="2.0210531944749101E+17"/>
    <s v="11AI"/>
    <s v="11AI-000090538"/>
    <n v="1518334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51.157657997683"/>
    <m/>
    <m/>
    <m/>
    <s v="F3X"/>
    <n v="4.0601202112997202E+18"/>
    <s v="t"/>
    <s v="BIDEN VICTORY FUND"/>
    <n v="2020"/>
    <s v="SA"/>
    <m/>
    <n v="4.0603202112997801E+18"/>
    <s v="https://docquery.fec.gov/cgi-bin/fecimg/?202105319447491129"/>
    <s v="Contributions From Individuals/Persons Other Than Political Committees"/>
  </r>
  <r>
    <s v="C00010603"/>
    <x v="7"/>
    <n v="2020"/>
    <s v="M10"/>
    <n v="2.0210224942887002E+17"/>
    <n v="12"/>
    <n v="37440069"/>
    <n v="1502017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55"/>
    <n v="50"/>
    <n v="2505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253.168322800928"/>
    <m/>
    <n v="36773706"/>
    <s v="SA12"/>
    <s v="F3X"/>
    <n v="4.0226202111890698E+18"/>
    <s v="t"/>
    <s v="* BIDEN VICTORY FUND"/>
    <n v="2020"/>
    <s v="SA"/>
    <m/>
    <n v="4.0226202111896899E+18"/>
    <s v="https://docquery.fec.gov/cgi-bin/fecimg/?202102249428870928"/>
    <s v="Transfers from Authorized Committees"/>
  </r>
  <r>
    <s v="C00010603"/>
    <x v="7"/>
    <n v="2020"/>
    <s v="M10"/>
    <n v="2.0210224942887299E+17"/>
    <n v="12"/>
    <n v="37448076"/>
    <n v="1502017"/>
    <m/>
    <s v="IND"/>
    <s v="INDIVIDUAL"/>
    <m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EXECUTIVE"/>
    <m/>
    <s v="15J"/>
    <s v="MEMO (FILER'S % OF CONTRIBUTION GIVEN TO JOIN"/>
    <m/>
    <s v="X"/>
    <m/>
    <n v="44086"/>
    <n v="10450"/>
    <n v="355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253.16860164352"/>
    <m/>
    <n v="37430300"/>
    <s v="SA12"/>
    <s v="F3X"/>
    <n v="4.0226202111890698E+18"/>
    <s v="t"/>
    <s v="* BIDEN VICTORY FUND"/>
    <n v="2020"/>
    <s v="SA"/>
    <m/>
    <n v="4.0226202111896899E+18"/>
    <s v="https://docquery.fec.gov/cgi-bin/fecimg/?202102249428873436"/>
    <s v="Transfers from Authorized Committees"/>
  </r>
  <r>
    <s v="C00166710"/>
    <x v="22"/>
    <n v="2020"/>
    <s v="30G"/>
    <n v="2.02103049440168E+17"/>
    <s v="11AI"/>
    <s v="11AI-000458119"/>
    <n v="1502847"/>
    <m/>
    <s v="IND"/>
    <s v="INDIVIDUAL"/>
    <m/>
    <m/>
    <s v="LOZANO, MONICA"/>
    <s v="Y"/>
    <m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999999999996"/>
    <n v="636.6699999999999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61.155524571761"/>
    <m/>
    <m/>
    <m/>
    <s v="F3X"/>
    <n v="4.03042021122526E+18"/>
    <s v="t"/>
    <s v="BIDEN VICTORY FUND"/>
    <n v="2020"/>
    <s v="SA"/>
    <m/>
    <n v="4.0306202112263598E+18"/>
    <s v="https://docquery.fec.gov/cgi-bin/fecimg/?202103049440168791"/>
    <s v="Contributions From Individuals/Persons Other Than Political Committees"/>
  </r>
  <r>
    <s v="C00000935"/>
    <x v="23"/>
    <n v="2020"/>
    <s v="M2"/>
    <n v="2.0210323944184499E+17"/>
    <s v="11AI"/>
    <n v="28575715"/>
    <n v="1506046"/>
    <m/>
    <s v="IND"/>
    <s v="INDIVIDUAL"/>
    <s v="C00401224"/>
    <m/>
    <s v="LOZANO, MONICA"/>
    <s v="Y"/>
    <m/>
    <s v="U"/>
    <s v="MONICA"/>
    <m/>
    <s v="LOZANO"/>
    <m/>
    <s v="5610 GOLDEN GATE AVE"/>
    <m/>
    <s v="OAKLAND"/>
    <s v="CA"/>
    <n v="946182113"/>
    <s v="COLLEGE FUTURES FOUNDATION"/>
    <s v="CEO"/>
    <s v="C00401224"/>
    <s v="15E"/>
    <s v="EARMARKED CONTRIBUTION"/>
    <m/>
    <m/>
    <m/>
    <n v="43861"/>
    <n v="250"/>
    <n v="25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85.434929594907"/>
    <m/>
    <s v="28575715E"/>
    <s v="SA11AI"/>
    <s v="F3X"/>
    <n v="4.0324202112620401E+18"/>
    <s v="t"/>
    <s v="* EARMARKED CONTRIBUTION: SEE BELOW EARMARKED THROUGH ACTBLUE"/>
    <n v="2020"/>
    <s v="SA"/>
    <m/>
    <n v="4.0330202112703601E+18"/>
    <s v="https://docquery.fec.gov/cgi-bin/fecimg/?202103239441845195"/>
    <s v="Contributions From Individuals/Persons Other Than Political Committees"/>
  </r>
  <r>
    <s v="C00167130"/>
    <x v="24"/>
    <n v="2020"/>
    <s v="M10"/>
    <n v="2.0210331944296602E+17"/>
    <s v="11AI"/>
    <s v="11AI-000118199"/>
    <n v="1506833"/>
    <m/>
    <s v="IND"/>
    <s v="INDIVIDUAL"/>
    <m/>
    <m/>
    <s v="LOZANO, MONICA"/>
    <s v="Y"/>
    <s v="C"/>
    <s v="U"/>
    <s v="MONICA"/>
    <m/>
    <s v="LOZANO"/>
    <m/>
    <s v="5610 GOLDEN GATE AVENUE"/>
    <m/>
    <s v="OAKLAND"/>
    <s v="CA"/>
    <n v="94618"/>
    <s v="COLLEGE FUTURES FOUNDATION"/>
    <s v="EXECUTIVE"/>
    <m/>
    <s v="15J"/>
    <s v="MEMO (FILER'S % OF CONTRIBUTION GIVEN TO JOIN"/>
    <m/>
    <s v="X"/>
    <m/>
    <n v="44086"/>
    <n v="636.66"/>
    <n v="63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88.166709988429"/>
    <m/>
    <m/>
    <m/>
    <s v="F3X"/>
    <n v="4.0401202112704901E+18"/>
    <s v="t"/>
    <s v="BIDEN VICTORY FUND"/>
    <n v="2020"/>
    <s v="SA"/>
    <m/>
    <n v="4.0402202112747402E+18"/>
    <s v="https://docquery.fec.gov/cgi-bin/fecimg/?202103319442966697"/>
    <s v="Contributions From Individuals/Persons Other Than Political Committe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">
  <r>
    <s v="C00155952"/>
    <x v="0"/>
    <n v="2020"/>
    <s v="30G"/>
    <n v="2.0210426944548899E+17"/>
    <n v="12"/>
    <n v="10904762"/>
    <n v="1514451"/>
    <m/>
    <s v="IND"/>
    <s v="INDIVIDUAL"/>
    <m/>
    <m/>
    <s v="ROSE, CLAYTON J"/>
    <s v="Y"/>
    <m/>
    <s v="U"/>
    <s v="CLAYTON"/>
    <s v="J"/>
    <s v="ROSE"/>
    <m/>
    <s v="100 FEDERAL ST"/>
    <s v="FL 11"/>
    <s v="BOSTON"/>
    <s v="MA"/>
    <n v="21101802"/>
    <s v="BOWDOIN COLLEGE"/>
    <s v="PRESIDENT"/>
    <m/>
    <s v="15J"/>
    <s v="MEMO (FILER'S % OF CONTRIBUTION GIVEN TO JOIN"/>
    <m/>
    <s v="X"/>
    <m/>
    <n v="44053"/>
    <n v="3926.66"/>
    <n v="392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5.150081192129"/>
    <m/>
    <n v="10236887"/>
    <s v="SA12"/>
    <s v="F3X"/>
    <n v="4.0426202112790702E+18"/>
    <s v="t"/>
    <s v="* BIDEN VICTORY FUND"/>
    <n v="2020"/>
    <s v="SA"/>
    <m/>
    <n v="4.0509202112926899E+18"/>
    <s v="https://docquery.fec.gov/cgi-bin/fecimg/?202104269445489146"/>
    <s v="Transfers from Authorized Committees"/>
  </r>
  <r>
    <s v="C00016899"/>
    <x v="1"/>
    <n v="2020"/>
    <s v="30G"/>
    <n v="2.0210511944644499E+17"/>
    <s v="11AI"/>
    <s v="11AI-000585531"/>
    <n v="1515686"/>
    <m/>
    <s v="IND"/>
    <s v="INDIVIDUAL"/>
    <m/>
    <m/>
    <s v="ROSE, CLAYTON"/>
    <s v="Y"/>
    <m/>
    <s v="U"/>
    <s v="CLAYTON"/>
    <m/>
    <s v="ROSE"/>
    <m/>
    <s v="100 FEDERAL STREET, 11TH FLOOR"/>
    <m/>
    <s v="BOSTON"/>
    <s v="MA"/>
    <n v="2110"/>
    <s v="BOWDOIN COLLEGE"/>
    <s v="PRESIDENT"/>
    <m/>
    <s v="15J"/>
    <s v="MEMO (FILER'S % OF CONTRIBUTION GIVEN TO JOIN"/>
    <m/>
    <s v="X"/>
    <m/>
    <n v="44053"/>
    <n v="3926.66"/>
    <n v="392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9.15075320602"/>
    <m/>
    <m/>
    <m/>
    <s v="F3X"/>
    <n v="4.05122021129282E+18"/>
    <s v="t"/>
    <s v="BIDEN VICTORY FUND"/>
    <n v="2020"/>
    <s v="SA"/>
    <m/>
    <n v="4.0513202112928998E+18"/>
    <s v="https://docquery.fec.gov/cgi-bin/fecimg/?202105119446445006"/>
    <s v="Contributions From Individuals/Persons Other Than Political Committees"/>
  </r>
  <r>
    <s v="C00019331"/>
    <x v="2"/>
    <n v="2020"/>
    <s v="M10"/>
    <n v="2.0210517944684198E+17"/>
    <s v="11AI"/>
    <s v="11AI-000997372"/>
    <n v="1516564"/>
    <m/>
    <s v="IND"/>
    <s v="INDIVIDUAL"/>
    <m/>
    <m/>
    <s v="ROSE, CLAYTON"/>
    <s v="Y"/>
    <m/>
    <s v="U"/>
    <s v="CLAYTON"/>
    <m/>
    <s v="ROSE"/>
    <m/>
    <s v="100 FEDERAL STREET"/>
    <s v="11TH FLOOR"/>
    <s v="BOSTON"/>
    <s v="MA"/>
    <n v="2110"/>
    <s v="BOWDOIN COLLEGE"/>
    <s v="PRESIDENT"/>
    <m/>
    <s v="15J"/>
    <s v="MEMO (FILER'S % OF CONTRIBUTION GIVEN TO JOIN"/>
    <m/>
    <s v="X"/>
    <m/>
    <n v="44053"/>
    <n v="3926.66"/>
    <n v="392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2.149490243057"/>
    <m/>
    <m/>
    <m/>
    <s v="F3X"/>
    <n v="4.0519202112947999E+18"/>
    <s v="t"/>
    <s v="BIDEN VICTORY FUND"/>
    <n v="2020"/>
    <s v="SA"/>
    <m/>
    <n v="4.0526202112972298E+18"/>
    <s v="https://docquery.fec.gov/cgi-bin/fecimg/?202105179446842029"/>
    <s v="Contributions From Individuals/Persons Other Than Political Committees"/>
  </r>
  <r>
    <s v="C00003988"/>
    <x v="3"/>
    <n v="2020"/>
    <s v="30G"/>
    <n v="2.0210512944668301E+17"/>
    <s v="11AI"/>
    <s v="11AI-000268182"/>
    <n v="1515964"/>
    <m/>
    <s v="IND"/>
    <s v="INDIVIDUAL"/>
    <m/>
    <m/>
    <s v="ROSE, CLAYTON"/>
    <s v="Y"/>
    <m/>
    <s v="U"/>
    <s v="CLAYTON"/>
    <m/>
    <s v="ROSE"/>
    <m/>
    <s v="100 FEDERAL STREET, 11TH FLOOR"/>
    <m/>
    <s v="BOSTON"/>
    <s v="MA"/>
    <n v="2110"/>
    <s v="BOWDOIN COLLEGE"/>
    <s v="PRESIDENT"/>
    <m/>
    <s v="15J"/>
    <s v="MEMO (FILER'S % OF CONTRIBUTION GIVEN TO JOIN"/>
    <m/>
    <s v="X"/>
    <m/>
    <n v="44053"/>
    <n v="3926.67"/>
    <n v="3926.6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30.14991886574"/>
    <m/>
    <m/>
    <m/>
    <s v="F3X"/>
    <n v="4.0513202112928799E+18"/>
    <s v="t"/>
    <s v="BIDEN VICTORY FUND"/>
    <n v="2020"/>
    <s v="SA"/>
    <m/>
    <n v="4.0514202112929802E+18"/>
    <s v="https://docquery.fec.gov/cgi-bin/fecimg/?202105129446683549"/>
    <s v="Contributions From Individuals/Persons Other Than Political Committees"/>
  </r>
  <r>
    <s v="C00025254"/>
    <x v="4"/>
    <n v="2020"/>
    <s v="12G"/>
    <n v="2.0210505944629101E+17"/>
    <n v="12"/>
    <n v="3839018"/>
    <n v="1515203"/>
    <m/>
    <s v="IND"/>
    <s v="INDIVIDUAL"/>
    <m/>
    <m/>
    <s v="ROSE, CLAYTON"/>
    <s v="Y"/>
    <m/>
    <s v="U"/>
    <s v="CLAYTON"/>
    <m/>
    <s v="ROSE"/>
    <m/>
    <s v="100 FEDERAL ST"/>
    <s v="FL 11"/>
    <s v="BOSTON"/>
    <s v="MA"/>
    <n v="21101802"/>
    <s v="BOWDOIN COLLEGE"/>
    <s v="PRESIDENT"/>
    <m/>
    <s v="15J"/>
    <s v="MEMO (FILER'S % OF CONTRIBUTION GIVEN TO JOIN"/>
    <m/>
    <s v="X"/>
    <m/>
    <n v="44053"/>
    <n v="3926.67"/>
    <n v="3926.6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24.198819699071"/>
    <m/>
    <n v="3835551"/>
    <s v="SA12"/>
    <s v="F3X"/>
    <n v="4.0506202112853499E+18"/>
    <s v="t"/>
    <s v="* BIDEN VICTORY FUND"/>
    <n v="2020"/>
    <s v="SA"/>
    <m/>
    <n v="4.0508202112871598E+18"/>
    <s v="https://docquery.fec.gov/cgi-bin/fecimg/?202105059446291974"/>
    <s v="Transfers from Authorized Committees"/>
  </r>
  <r>
    <s v="C00099267"/>
    <x v="5"/>
    <n v="2020"/>
    <s v="30G"/>
    <n v="2.0210520944703002E+17"/>
    <s v="11AI"/>
    <s v="11AI-000791467"/>
    <n v="1517435"/>
    <m/>
    <s v="IND"/>
    <s v="INDIVIDUAL"/>
    <m/>
    <m/>
    <s v="ROSE, CLAYTON"/>
    <s v="Y"/>
    <m/>
    <s v="U"/>
    <s v="CLAYTON"/>
    <m/>
    <s v="ROSE"/>
    <m/>
    <s v="100 FEDERAL STREET"/>
    <s v="11TH FLOOR"/>
    <s v="BOSTON"/>
    <s v="MA"/>
    <n v="2110"/>
    <s v="BOWDOIN COLLEGE_x0009_"/>
    <s v="PRESIDENT"/>
    <m/>
    <s v="15J"/>
    <s v="MEMO (FILER'S % OF CONTRIBUTION GIVEN TO JOIN"/>
    <m/>
    <s v="X"/>
    <m/>
    <n v="44053"/>
    <n v="3926.66"/>
    <n v="392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3.161306793983"/>
    <m/>
    <m/>
    <m/>
    <s v="F3X"/>
    <n v="4.05212021129677E+18"/>
    <s v="t"/>
    <s v="BIDEN VICTORY FUND"/>
    <n v="2020"/>
    <s v="SA"/>
    <m/>
    <n v="4.0527202112973701E+18"/>
    <s v="https://docquery.fec.gov/cgi-bin/fecimg/?202105209447030036"/>
    <s v="Contributions From Individuals/Persons Other Than Political Committees"/>
  </r>
  <r>
    <s v="C00099267"/>
    <x v="5"/>
    <n v="2020"/>
    <s v="30G"/>
    <n v="2.0210520944703002E+17"/>
    <s v="11AI"/>
    <s v="11AI-000793757"/>
    <n v="1517435"/>
    <m/>
    <s v="IND"/>
    <s v="INDIVIDUAL"/>
    <m/>
    <m/>
    <s v="ROSE, CLAYTON"/>
    <s v="Y"/>
    <m/>
    <s v="U"/>
    <s v="CLAYTON"/>
    <m/>
    <s v="ROSE"/>
    <m/>
    <s v="100 FEDERAL STREET"/>
    <s v="11TH FLOOR"/>
    <s v="BOSTON"/>
    <s v="MA"/>
    <n v="2110"/>
    <s v="BOWDOIN COLLEGE_x0009_"/>
    <s v="PRESIDENT"/>
    <m/>
    <s v="15J"/>
    <s v="MEMO (FILER'S % OF CONTRIBUTION GIVEN TO JOIN"/>
    <m/>
    <s v="X"/>
    <m/>
    <n v="44053"/>
    <n v="3926.66"/>
    <n v="7853.32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343.161362881947"/>
    <m/>
    <m/>
    <m/>
    <s v="F3X"/>
    <n v="4.05212021129677E+18"/>
    <s v="t"/>
    <s v="BIDEN VICTORY FUND"/>
    <n v="2020"/>
    <s v="SA"/>
    <m/>
    <n v="4.0527202112973701E+18"/>
    <s v="https://docquery.fec.gov/cgi-bin/fecimg/?202105209447030617"/>
    <s v="Contributions From Individuals/Persons Other Than Political Committees"/>
  </r>
  <r>
    <s v="C00744946"/>
    <x v="6"/>
    <n v="2020"/>
    <s v="Q3"/>
    <n v="2.0210114940467802E+17"/>
    <s v="11AI"/>
    <n v="9254118"/>
    <n v="1487959"/>
    <m/>
    <s v="IND"/>
    <s v="INDIVIDUAL"/>
    <m/>
    <m/>
    <s v="ROSE, CLAYTON"/>
    <s v="N"/>
    <m/>
    <s v="J"/>
    <s v="CLAYTON"/>
    <m/>
    <s v="ROSE"/>
    <m/>
    <s v="100 FEDERAL ST"/>
    <m/>
    <s v="BOSTON"/>
    <s v="MA"/>
    <n v="21101802"/>
    <s v="BOWDOIN COLLEGE"/>
    <s v="PRESIDENT"/>
    <m/>
    <n v="15"/>
    <s v="CONTRIBUTION"/>
    <m/>
    <m/>
    <m/>
    <n v="44053"/>
    <n v="100000"/>
    <n v="100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31.444417997685"/>
    <m/>
    <m/>
    <m/>
    <s v="F3X"/>
    <n v="4.0115202120936602E+18"/>
    <s v="t"/>
    <m/>
    <n v="2020"/>
    <s v="SA"/>
    <m/>
    <n v="4.0203202120189901E+18"/>
    <s v="https://docquery.fec.gov/cgi-bin/fecimg/?202101149404678131"/>
    <s v="Contributions From Individuals/Persons Other Than Political Committees"/>
  </r>
  <r>
    <s v="C00208991"/>
    <x v="7"/>
    <n v="2020"/>
    <s v="12G"/>
    <n v="2.0210111939838899E+17"/>
    <s v="11AI"/>
    <s v="11AI-000087847"/>
    <n v="1486674"/>
    <m/>
    <s v="IND"/>
    <s v="INDIVIDUAL"/>
    <m/>
    <m/>
    <s v="ROSE, CLAYTON"/>
    <s v="Y"/>
    <m/>
    <s v="U"/>
    <s v="CLAYTON"/>
    <m/>
    <s v="ROSE"/>
    <m/>
    <s v="100 FEDERAL STREET"/>
    <s v="11TH FLOOR"/>
    <s v="BOSTON"/>
    <s v="MA"/>
    <n v="2110"/>
    <s v="BOWDOIN COLLEGE"/>
    <s v="PRESIDENT"/>
    <m/>
    <s v="15J"/>
    <s v="MEMO (FILER'S % OF CONTRIBUTION GIVEN TO JOIN"/>
    <m/>
    <s v="X"/>
    <m/>
    <n v="44053"/>
    <n v="3926.67"/>
    <n v="3926.67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26.156994131947"/>
    <m/>
    <m/>
    <m/>
    <s v="F3X"/>
    <n v="4.0112202120917002E+18"/>
    <s v="t"/>
    <s v="BIDEN VICTORY FUND"/>
    <n v="2020"/>
    <s v="SA"/>
    <m/>
    <n v="4.0130202121391498E+18"/>
    <s v="https://docquery.fec.gov/cgi-bin/fecimg/?202101119398389220"/>
    <s v="Contributions From Individuals/Persons Other Than Political Committees"/>
  </r>
  <r>
    <s v="C00166710"/>
    <x v="8"/>
    <n v="2020"/>
    <s v="12G"/>
    <n v="2.0210419944381901E+17"/>
    <s v="11AI"/>
    <s v="11AI-000428114"/>
    <n v="1513234"/>
    <m/>
    <s v="IND"/>
    <s v="INDIVIDUAL"/>
    <m/>
    <m/>
    <s v="ROSE, CLAYTON"/>
    <s v="Y"/>
    <m/>
    <s v="U"/>
    <s v="CLAYTON"/>
    <m/>
    <s v="ROSE"/>
    <m/>
    <s v="100 FEDERAL STREET"/>
    <s v="11TH FLOOR"/>
    <s v="BOSTON"/>
    <s v="MA"/>
    <n v="2110"/>
    <s v="BOWDOIN COLLEGE"/>
    <s v="PRESIDENT"/>
    <m/>
    <s v="15J"/>
    <s v="MEMO (FILER'S % OF CONTRIBUTION GIVEN TO JOIN"/>
    <m/>
    <s v="X"/>
    <m/>
    <n v="44053"/>
    <n v="3926.67"/>
    <n v="3926.67"/>
    <m/>
    <m/>
    <m/>
    <m/>
    <m/>
    <m/>
    <m/>
    <m/>
    <m/>
    <m/>
    <m/>
    <m/>
    <m/>
    <m/>
    <m/>
    <m/>
    <m/>
    <m/>
    <m/>
    <m/>
    <m/>
    <s v="P"/>
    <m/>
    <s v="PRIMARY"/>
    <m/>
    <s v="C"/>
    <s v="CHANGE"/>
    <s v="ITEMIZED RECEIPTS"/>
    <n v="44316.157645370367"/>
    <m/>
    <m/>
    <m/>
    <s v="F3X"/>
    <n v="4.0420202112781599E+18"/>
    <s v="t"/>
    <s v="BIDEN VICTORY FUND"/>
    <n v="2020"/>
    <s v="SA"/>
    <m/>
    <n v="4.04302021128493E+18"/>
    <s v="https://docquery.fec.gov/cgi-bin/fecimg/?202104199443819999"/>
    <s v="Contributions From Individuals/Persons Other Than Political Committees"/>
  </r>
  <r>
    <s v="C00010603"/>
    <x v="9"/>
    <n v="2020"/>
    <s v="M10"/>
    <n v="2.0210224942887101E+17"/>
    <n v="12"/>
    <n v="37439342"/>
    <n v="1502017"/>
    <m/>
    <s v="IND"/>
    <s v="INDIVIDUAL"/>
    <m/>
    <m/>
    <s v="ROSE, CLAYTON"/>
    <s v="Y"/>
    <m/>
    <s v="U"/>
    <s v="CLAYTON"/>
    <m/>
    <s v="ROSE"/>
    <m/>
    <s v="100 FEDERAL ST"/>
    <m/>
    <s v="BOSTON"/>
    <s v="MA"/>
    <n v="21101802"/>
    <s v="BOWDOIN COLLEGE"/>
    <s v="PRESIDENT"/>
    <m/>
    <s v="15J"/>
    <s v="MEMO (FILER'S % OF CONTRIBUTION GIVEN TO JOIN"/>
    <m/>
    <s v="X"/>
    <m/>
    <n v="44053"/>
    <n v="35500"/>
    <n v="355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4253.168367812497"/>
    <m/>
    <n v="36773706"/>
    <s v="SA12"/>
    <s v="F3X"/>
    <n v="4.0226202111890698E+18"/>
    <s v="t"/>
    <s v="* BIDEN VICTORY FUND"/>
    <n v="2020"/>
    <s v="SA"/>
    <m/>
    <n v="4.0226202111896899E+18"/>
    <s v="https://docquery.fec.gov/cgi-bin/fecimg/?202102249428871192"/>
    <s v="Transfers from Authorized Committees"/>
  </r>
  <r>
    <s v="C00167130"/>
    <x v="10"/>
    <n v="2020"/>
    <s v="M10"/>
    <n v="2.0210331944296602E+17"/>
    <s v="11AI"/>
    <s v="11AI-000117490"/>
    <n v="1506833"/>
    <m/>
    <s v="IND"/>
    <s v="INDIVIDUAL"/>
    <m/>
    <m/>
    <s v="ROSE, CLAYTON"/>
    <s v="Y"/>
    <s v="C"/>
    <s v="U"/>
    <s v="CLAYTON"/>
    <m/>
    <s v="ROSE"/>
    <m/>
    <s v="100 FEDERAL STREET"/>
    <s v="11TH FLOOR"/>
    <s v="BOSTON"/>
    <s v="MA"/>
    <n v="2110"/>
    <s v="BOWDOIN COLLEGE"/>
    <s v="PRESIDENT"/>
    <m/>
    <s v="15J"/>
    <s v="MEMO (FILER'S % OF CONTRIBUTION GIVEN TO JOIN"/>
    <m/>
    <s v="X"/>
    <m/>
    <n v="44053"/>
    <n v="3926.66"/>
    <n v="3926.66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4288.166654826389"/>
    <m/>
    <m/>
    <m/>
    <s v="F3X"/>
    <n v="4.0401202112704901E+18"/>
    <s v="t"/>
    <s v="BIDEN VICTORY FUND"/>
    <n v="2020"/>
    <s v="SA"/>
    <m/>
    <n v="4.0402202112747402E+18"/>
    <s v="https://docquery.fec.gov/cgi-bin/fecimg/?202103319442966378"/>
    <s v="Contributions From Individuals/Persons Other Than Political Committees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6">
  <r>
    <s v="C00364778"/>
    <x v="0"/>
    <n v="2019"/>
    <s v="M2"/>
    <n v="2.0190215914551901E+17"/>
    <s v="11AI"/>
    <s v="A2019-83355"/>
    <n v="1316134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1-31T00:00:00"/>
    <n v="110"/>
    <n v="2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3-01T03:27:19"/>
    <m/>
    <m/>
    <m/>
    <s v="F3X"/>
    <n v="4.02152019163953E+18"/>
    <s v="t"/>
    <m/>
    <n v="2020"/>
    <s v="SA"/>
    <m/>
    <n v="4.0228201916446602E+18"/>
    <s v="http://docquery.fec.gov/cgi-bin/fecimg/?201902159145519675"/>
    <s v="Contributions From Individuals/Persons Other Than Political Committees"/>
  </r>
  <r>
    <s v="C00364778"/>
    <x v="0"/>
    <n v="2019"/>
    <s v="M3"/>
    <n v="2.01903159145712E+17"/>
    <s v="11AI"/>
    <s v="A2019-299689"/>
    <n v="1319532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2-15T00:00:00"/>
    <n v="110"/>
    <n v="3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3-19T03:04:48"/>
    <m/>
    <m/>
    <m/>
    <s v="F3X"/>
    <n v="4.0315201916450601E+18"/>
    <s v="t"/>
    <m/>
    <n v="2020"/>
    <s v="SA"/>
    <m/>
    <n v="4.03182019164514E+18"/>
    <s v="http://docquery.fec.gov/cgi-bin/fecimg/?201903159145712528"/>
    <s v="Contributions From Individuals/Persons Other Than Political Committees"/>
  </r>
  <r>
    <s v="C00364778"/>
    <x v="0"/>
    <n v="2019"/>
    <s v="M3"/>
    <n v="2.01903159145712E+17"/>
    <s v="11AI"/>
    <s v="A2019-340858"/>
    <n v="1319532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2-28T00:00:00"/>
    <n v="110"/>
    <n v="4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3-19T03:04:48"/>
    <m/>
    <m/>
    <m/>
    <s v="F3X"/>
    <n v="4.0315201916450601E+18"/>
    <s v="t"/>
    <m/>
    <n v="2020"/>
    <s v="SA"/>
    <m/>
    <n v="4.03182019164514E+18"/>
    <s v="http://docquery.fec.gov/cgi-bin/fecimg/?201903159145712528"/>
    <s v="Contributions From Individuals/Persons Other Than Political Committees"/>
  </r>
  <r>
    <s v="C00364778"/>
    <x v="0"/>
    <n v="2019"/>
    <s v="M4"/>
    <n v="2.0190412914610301E+17"/>
    <s v="11AI"/>
    <s v="A2019-518258"/>
    <n v="1324297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3-15T00:00:00"/>
    <n v="11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4-13T02:40:12"/>
    <m/>
    <m/>
    <m/>
    <s v="F3X"/>
    <n v="4.0412201916462198E+18"/>
    <s v="t"/>
    <m/>
    <n v="2020"/>
    <s v="SA"/>
    <m/>
    <n v="4.0412201916462602E+18"/>
    <s v="http://docquery.fec.gov/cgi-bin/fecimg/?201904129146103817"/>
    <s v="Contributions From Individuals/Persons Other Than Political Committees"/>
  </r>
  <r>
    <s v="C00364778"/>
    <x v="0"/>
    <n v="2019"/>
    <s v="M4"/>
    <n v="2.0190412914610301E+17"/>
    <s v="11AI"/>
    <s v="A2019-545258"/>
    <n v="1324297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3-31T00:00:00"/>
    <n v="110"/>
    <n v="6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4-13T02:40:12"/>
    <m/>
    <m/>
    <m/>
    <s v="F3X"/>
    <n v="4.0412201916462198E+18"/>
    <s v="t"/>
    <m/>
    <n v="2020"/>
    <s v="SA"/>
    <m/>
    <n v="4.0412201916462602E+18"/>
    <s v="http://docquery.fec.gov/cgi-bin/fecimg/?201904129146103817"/>
    <s v="Contributions From Individuals/Persons Other Than Political Committees"/>
  </r>
  <r>
    <s v="C00364778"/>
    <x v="0"/>
    <n v="2019"/>
    <s v="M5"/>
    <n v="2.0190514914969501E+17"/>
    <s v="11AI"/>
    <s v="A2019-793285"/>
    <n v="133060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4-15T00:00:00"/>
    <n v="110"/>
    <n v="7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5-15T08:35:56"/>
    <m/>
    <m/>
    <m/>
    <s v="F3X"/>
    <n v="4.0514201916518502E+18"/>
    <s v="t"/>
    <m/>
    <n v="2020"/>
    <s v="SA"/>
    <m/>
    <n v="4.0514201916567798E+18"/>
    <s v="http://docquery.fec.gov/cgi-bin/fecimg/?201905149149695863"/>
    <s v="Contributions From Individuals/Persons Other Than Political Committees"/>
  </r>
  <r>
    <s v="C00364778"/>
    <x v="0"/>
    <n v="2019"/>
    <s v="M5"/>
    <n v="2.0190514914969501E+17"/>
    <s v="11AI"/>
    <s v="A2019-842965"/>
    <n v="133060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4-30T00:00:00"/>
    <n v="110"/>
    <n v="8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5-15T08:35:56"/>
    <m/>
    <m/>
    <m/>
    <s v="F3X"/>
    <n v="4.0514201916518502E+18"/>
    <s v="t"/>
    <m/>
    <n v="2020"/>
    <s v="SA"/>
    <m/>
    <n v="4.0514201916567798E+18"/>
    <s v="http://docquery.fec.gov/cgi-bin/fecimg/?201905149149695863"/>
    <s v="Contributions From Individuals/Persons Other Than Political Committees"/>
  </r>
  <r>
    <s v="C00364778"/>
    <x v="0"/>
    <n v="2019"/>
    <s v="M8"/>
    <n v="2.01908169162884E+17"/>
    <s v="11AI"/>
    <s v="A2019-1509442"/>
    <n v="134808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7-15T00:00:00"/>
    <n v="110"/>
    <n v="14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17T02:39:00"/>
    <m/>
    <m/>
    <m/>
    <s v="F3X"/>
    <n v="4.0816201916633702E+18"/>
    <s v="t"/>
    <m/>
    <n v="2020"/>
    <s v="SA"/>
    <m/>
    <n v="4.0816201916633902E+18"/>
    <s v="http://docquery.fec.gov/cgi-bin/fecimg/?201908169162884457"/>
    <s v="Contributions From Individuals/Persons Other Than Political Committees"/>
  </r>
  <r>
    <s v="C00364778"/>
    <x v="0"/>
    <n v="2019"/>
    <s v="M8"/>
    <n v="2.01908169162884E+17"/>
    <s v="11AI"/>
    <s v="A2019-1686379"/>
    <n v="134808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7-31T00:00:00"/>
    <n v="110"/>
    <n v="15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17T02:39:00"/>
    <m/>
    <m/>
    <m/>
    <s v="F3X"/>
    <n v="4.0816201916633702E+18"/>
    <s v="t"/>
    <m/>
    <n v="2020"/>
    <s v="SA"/>
    <m/>
    <n v="4.0816201916633902E+18"/>
    <s v="http://docquery.fec.gov/cgi-bin/fecimg/?201908169162884457"/>
    <s v="Contributions From Individuals/Persons Other Than Political Committees"/>
  </r>
  <r>
    <s v="C00364778"/>
    <x v="0"/>
    <n v="2019"/>
    <s v="YE"/>
    <n v="2.0200120916727501E+17"/>
    <s v="11AI"/>
    <s v="A2019-2942847"/>
    <n v="1371432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2-15T00:00:00"/>
    <n v="110"/>
    <n v="25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1-22T01:37:49"/>
    <m/>
    <m/>
    <m/>
    <s v="F3X"/>
    <n v="4.0120202016853202E+18"/>
    <s v="t"/>
    <m/>
    <n v="2020"/>
    <s v="SA"/>
    <m/>
    <n v="4.0121202016853601E+18"/>
    <s v="http://docquery.fec.gov/cgi-bin/fecimg/?202001209167275042"/>
    <s v="Contributions From Individuals/Persons Other Than Political Committees"/>
  </r>
  <r>
    <s v="C00364778"/>
    <x v="0"/>
    <n v="2019"/>
    <s v="YE"/>
    <n v="2.0200120916727501E+17"/>
    <s v="11AI"/>
    <s v="A2019-2983832"/>
    <n v="1371432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2-31T00:00:00"/>
    <n v="110"/>
    <n v="26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1-22T01:37:49"/>
    <m/>
    <m/>
    <m/>
    <s v="F3X"/>
    <n v="4.0120202016853202E+18"/>
    <s v="t"/>
    <m/>
    <n v="2020"/>
    <s v="SA"/>
    <m/>
    <n v="4.0121202016853601E+18"/>
    <s v="http://docquery.fec.gov/cgi-bin/fecimg/?202001209167275042"/>
    <s v="Contributions From Individuals/Persons Other Than Political Committees"/>
  </r>
  <r>
    <s v="C00364778"/>
    <x v="0"/>
    <n v="2019"/>
    <s v="M6"/>
    <n v="2.0190802916135002E+17"/>
    <s v="11AI"/>
    <s v="A2019-949366"/>
    <n v="134668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5-15T00:00:00"/>
    <n v="110"/>
    <n v="99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0"/>
    <m/>
    <m/>
    <m/>
    <s v="F3X"/>
    <n v="4.0802201916626898E+18"/>
    <s v="t"/>
    <m/>
    <n v="2020"/>
    <s v="SA"/>
    <m/>
    <n v="4.0802201916628797E+18"/>
    <s v="http://docquery.fec.gov/cgi-bin/fecimg/?201908029161350878"/>
    <s v="Contributions From Individuals/Persons Other Than Political Committees"/>
  </r>
  <r>
    <s v="C00364778"/>
    <x v="0"/>
    <n v="2019"/>
    <s v="M6"/>
    <n v="2.0190802916135002E+17"/>
    <s v="11AI"/>
    <s v="A2019-1109407"/>
    <n v="134668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5-31T00:00:00"/>
    <n v="110"/>
    <n v="11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0"/>
    <m/>
    <m/>
    <m/>
    <s v="F3X"/>
    <n v="4.0802201916626898E+18"/>
    <s v="t"/>
    <m/>
    <n v="2020"/>
    <s v="SA"/>
    <m/>
    <n v="4.0802201916628797E+18"/>
    <s v="http://docquery.fec.gov/cgi-bin/fecimg/?201908029161350878"/>
    <s v="Contributions From Individuals/Persons Other Than Political Committees"/>
  </r>
  <r>
    <s v="C00364778"/>
    <x v="0"/>
    <n v="2019"/>
    <s v="M7"/>
    <n v="2.0190802916135101E+17"/>
    <s v="11AI"/>
    <s v="A2019-1193467"/>
    <n v="1346685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6-15T00:00:00"/>
    <n v="110"/>
    <n v="121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7"/>
    <m/>
    <m/>
    <m/>
    <s v="F3X"/>
    <n v="4.0802201916626898E+18"/>
    <s v="t"/>
    <m/>
    <n v="2020"/>
    <s v="SA"/>
    <m/>
    <n v="4.0802201916628797E+18"/>
    <s v="http://docquery.fec.gov/cgi-bin/fecimg/?201908029161351107"/>
    <s v="Contributions From Individuals/Persons Other Than Political Committees"/>
  </r>
  <r>
    <s v="C00364778"/>
    <x v="0"/>
    <n v="2019"/>
    <s v="M7"/>
    <n v="2.0190802916135101E+17"/>
    <s v="11AI"/>
    <s v="A2019-1380858"/>
    <n v="1346685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6-30T00:00:00"/>
    <n v="110"/>
    <n v="132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7"/>
    <m/>
    <m/>
    <m/>
    <s v="F3X"/>
    <n v="4.0802201916626898E+18"/>
    <s v="t"/>
    <m/>
    <n v="2020"/>
    <s v="SA"/>
    <m/>
    <n v="4.0802201916628797E+18"/>
    <s v="http://docquery.fec.gov/cgi-bin/fecimg/?201908029161351107"/>
    <s v="Contributions From Individuals/Persons Other Than Political Committees"/>
  </r>
  <r>
    <s v="C00364778"/>
    <x v="0"/>
    <n v="2019"/>
    <s v="M9"/>
    <n v="2.01909139163316E+17"/>
    <s v="11AI"/>
    <s v="A2019-1841581"/>
    <n v="1351825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8-15T00:00:00"/>
    <n v="110"/>
    <n v="1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14T03:00:23"/>
    <m/>
    <m/>
    <m/>
    <s v="F3X"/>
    <n v="4.09132019167264E+18"/>
    <s v="t"/>
    <m/>
    <n v="2020"/>
    <s v="SA"/>
    <m/>
    <n v="4.09132019167266E+18"/>
    <s v="http://docquery.fec.gov/cgi-bin/fecimg/?201909139163316601"/>
    <s v="Contributions From Individuals/Persons Other Than Political Committees"/>
  </r>
  <r>
    <s v="C00364778"/>
    <x v="0"/>
    <n v="2019"/>
    <s v="M9"/>
    <n v="2.01909139163316E+17"/>
    <s v="11AI"/>
    <s v="A2019-1969032"/>
    <n v="1351825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8-31T00:00:00"/>
    <n v="110"/>
    <n v="17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14T03:00:23"/>
    <m/>
    <m/>
    <m/>
    <s v="F3X"/>
    <n v="4.09132019167264E+18"/>
    <s v="t"/>
    <m/>
    <n v="2020"/>
    <s v="SA"/>
    <m/>
    <n v="4.09132019167266E+18"/>
    <s v="http://docquery.fec.gov/cgi-bin/fecimg/?201909139163316601"/>
    <s v="Contributions From Individuals/Persons Other Than Political Committees"/>
  </r>
  <r>
    <s v="C00364778"/>
    <x v="0"/>
    <n v="2019"/>
    <s v="M10"/>
    <n v="2.0191016916498301E+17"/>
    <s v="11AI"/>
    <s v="A2019-2194590"/>
    <n v="135907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9-15T00:00:00"/>
    <n v="110"/>
    <n v="18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17T02:47:30"/>
    <m/>
    <m/>
    <m/>
    <s v="F3X"/>
    <n v="4.1016201916743598E+18"/>
    <s v="t"/>
    <m/>
    <n v="2020"/>
    <s v="SA"/>
    <m/>
    <n v="4.1016201916744899E+18"/>
    <s v="http://docquery.fec.gov/cgi-bin/fecimg/?201910169164983805"/>
    <s v="Contributions From Individuals/Persons Other Than Political Committees"/>
  </r>
  <r>
    <s v="C00364778"/>
    <x v="0"/>
    <n v="2019"/>
    <s v="M10"/>
    <n v="2.0191016916498301E+17"/>
    <s v="11AI"/>
    <s v="A2019-2244236"/>
    <n v="135907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09-30T00:00:00"/>
    <n v="110"/>
    <n v="19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17T02:47:30"/>
    <m/>
    <m/>
    <m/>
    <s v="F3X"/>
    <n v="4.1016201916743598E+18"/>
    <s v="t"/>
    <m/>
    <n v="2020"/>
    <s v="SA"/>
    <m/>
    <n v="4.1016201916744899E+18"/>
    <s v="http://docquery.fec.gov/cgi-bin/fecimg/?201910169164983805"/>
    <s v="Contributions From Individuals/Persons Other Than Political Committees"/>
  </r>
  <r>
    <s v="C00364778"/>
    <x v="0"/>
    <n v="2019"/>
    <s v="M11"/>
    <n v="2.0191114916550099E+17"/>
    <s v="11AI"/>
    <s v="A2019-2452584"/>
    <n v="136266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0-15T00:00:00"/>
    <n v="110"/>
    <n v="209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15T02:12:40"/>
    <m/>
    <m/>
    <m/>
    <s v="F3X"/>
    <n v="4.1114201916786601E+18"/>
    <s v="t"/>
    <m/>
    <n v="2020"/>
    <s v="SA"/>
    <m/>
    <n v="4.1114201916786801E+18"/>
    <s v="http://docquery.fec.gov/cgi-bin/fecimg/?201911149165501058"/>
    <s v="Contributions From Individuals/Persons Other Than Political Committees"/>
  </r>
  <r>
    <s v="C00364778"/>
    <x v="0"/>
    <n v="2019"/>
    <s v="M11"/>
    <n v="2.0191114916550099E+17"/>
    <s v="11AI"/>
    <s v="A2019-2516923"/>
    <n v="136266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0-31T00:00:00"/>
    <n v="110"/>
    <n v="2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15T02:12:40"/>
    <m/>
    <m/>
    <m/>
    <s v="F3X"/>
    <n v="4.1114201916786601E+18"/>
    <s v="t"/>
    <m/>
    <n v="2020"/>
    <s v="SA"/>
    <m/>
    <n v="4.1114201916786801E+18"/>
    <s v="http://docquery.fec.gov/cgi-bin/fecimg/?201911149165501059"/>
    <s v="Contributions From Individuals/Persons Other Than Political Committees"/>
  </r>
  <r>
    <s v="C00364778"/>
    <x v="0"/>
    <n v="2019"/>
    <s v="M12"/>
    <n v="2.01912169166292E+17"/>
    <s v="11AI"/>
    <s v="A2019-2695169"/>
    <n v="1366330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1-15T00:00:00"/>
    <n v="110"/>
    <n v="23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28"/>
    <m/>
    <m/>
    <m/>
    <s v="F3X"/>
    <n v="4.1216201916815201E+18"/>
    <s v="t"/>
    <m/>
    <n v="2020"/>
    <s v="SA"/>
    <m/>
    <n v="4.1216201916815401E+18"/>
    <s v="http://docquery.fec.gov/cgi-bin/fecimg/?201912169166292150"/>
    <s v="Contributions From Individuals/Persons Other Than Political Committees"/>
  </r>
  <r>
    <s v="C00364778"/>
    <x v="0"/>
    <n v="2019"/>
    <s v="M12"/>
    <n v="2.01912169166292E+17"/>
    <s v="11AI"/>
    <s v="A2019-2730308"/>
    <n v="1366330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19-11-30T00:00:00"/>
    <n v="110"/>
    <n v="24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28"/>
    <m/>
    <m/>
    <m/>
    <s v="F3X"/>
    <n v="4.1216201916815201E+18"/>
    <s v="t"/>
    <m/>
    <n v="2020"/>
    <s v="SA"/>
    <m/>
    <n v="4.1216201916815401E+18"/>
    <s v="http://docquery.fec.gov/cgi-bin/fecimg/?201912169166292150"/>
    <s v="Contributions From Individuals/Persons Other Than Political Committees"/>
  </r>
  <r>
    <s v="C00364778"/>
    <x v="0"/>
    <n v="2020"/>
    <s v="M2"/>
    <n v="2.0200214918650499E+17"/>
    <s v="11AI"/>
    <s v="A2020-66622"/>
    <n v="138231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1-31T00:00:00"/>
    <n v="110"/>
    <n v="2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2-25T01:39:36"/>
    <m/>
    <m/>
    <m/>
    <s v="F3X"/>
    <n v="4.0215202016924498E+18"/>
    <s v="t"/>
    <m/>
    <n v="2020"/>
    <s v="SA"/>
    <m/>
    <n v="4.0224202016939602E+18"/>
    <s v="http://docquery.fec.gov/cgi-bin/fecimg/?202002149186505258"/>
    <s v="Contributions From Individuals/Persons Other Than Political Committees"/>
  </r>
  <r>
    <s v="C00364778"/>
    <x v="0"/>
    <n v="2020"/>
    <s v="M3"/>
    <n v="2.0200316920383398E+17"/>
    <s v="11AI"/>
    <s v="A2020-314015"/>
    <n v="138978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2-29T00:00:00"/>
    <n v="110"/>
    <n v="4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17T02:32:50"/>
    <m/>
    <m/>
    <m/>
    <s v="F3X"/>
    <n v="4.0316202017031598E+18"/>
    <s v="t"/>
    <m/>
    <n v="2020"/>
    <s v="SA"/>
    <m/>
    <n v="4.03162020170319E+18"/>
    <s v="http://docquery.fec.gov/cgi-bin/fecimg/?202003169203834852"/>
    <s v="Contributions From Individuals/Persons Other Than Political Committees"/>
  </r>
  <r>
    <s v="C00364778"/>
    <x v="0"/>
    <n v="2020"/>
    <s v="M3"/>
    <n v="2.0200316920383398E+17"/>
    <s v="11AI"/>
    <s v="A2020-280487"/>
    <n v="138978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2-15T00:00:00"/>
    <n v="110"/>
    <n v="3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3-17T02:32:50"/>
    <m/>
    <m/>
    <m/>
    <s v="F3X"/>
    <n v="4.0316202017031598E+18"/>
    <s v="t"/>
    <m/>
    <n v="2020"/>
    <s v="SA"/>
    <m/>
    <n v="4.03162020170319E+18"/>
    <s v="http://docquery.fec.gov/cgi-bin/fecimg/?202003169203834851"/>
    <s v="Contributions From Individuals/Persons Other Than Political Committees"/>
  </r>
  <r>
    <s v="C00364778"/>
    <x v="0"/>
    <n v="2020"/>
    <s v="M8"/>
    <n v="2.0200814926130499E+17"/>
    <s v="11AI"/>
    <s v="A2020-1623279"/>
    <n v="143222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7-31T00:00:00"/>
    <n v="110"/>
    <n v="15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6T03:48:50"/>
    <m/>
    <m/>
    <m/>
    <s v="F3X"/>
    <n v="4.08152020182882E+18"/>
    <s v="t"/>
    <m/>
    <n v="2020"/>
    <s v="SA"/>
    <m/>
    <n v="4.0826202018309699E+18"/>
    <s v="http://docquery.fec.gov/cgi-bin/fecimg/?202008149261305064"/>
    <s v="Contributions From Individuals/Persons Other Than Political Committees"/>
  </r>
  <r>
    <s v="C00364778"/>
    <x v="0"/>
    <n v="2020"/>
    <s v="M4"/>
    <n v="2.0200416921966202E+17"/>
    <s v="11AI"/>
    <s v="A2020-434726"/>
    <n v="140111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3-15T00:00:00"/>
    <n v="11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18T01:39:18"/>
    <m/>
    <m/>
    <m/>
    <s v="F3X"/>
    <n v="4.0416202017369098E+18"/>
    <s v="t"/>
    <m/>
    <n v="2020"/>
    <s v="SA"/>
    <m/>
    <n v="4.0417202017372498E+18"/>
    <s v="http://docquery.fec.gov/cgi-bin/fecimg/?202004169219662922"/>
    <s v="Contributions From Individuals/Persons Other Than Political Committees"/>
  </r>
  <r>
    <s v="C00364778"/>
    <x v="0"/>
    <n v="2020"/>
    <s v="M4"/>
    <n v="2.0200416921966202E+17"/>
    <s v="11AI"/>
    <s v="A2020-576127"/>
    <n v="140111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3-31T00:00:00"/>
    <n v="110"/>
    <n v="6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18T01:39:18"/>
    <m/>
    <m/>
    <m/>
    <s v="F3X"/>
    <n v="4.0416202017369098E+18"/>
    <s v="t"/>
    <m/>
    <n v="2020"/>
    <s v="SA"/>
    <m/>
    <n v="4.0417202017372498E+18"/>
    <s v="http://docquery.fec.gov/cgi-bin/fecimg/?202004169219662922"/>
    <s v="Contributions From Individuals/Persons Other Than Political Committees"/>
  </r>
  <r>
    <s v="C00364778"/>
    <x v="0"/>
    <n v="2020"/>
    <s v="M8"/>
    <n v="2.0200814926130499E+17"/>
    <s v="11AI"/>
    <s v="A2020-1602195"/>
    <n v="143222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7-15T00:00:00"/>
    <n v="110"/>
    <n v="14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6T04:14:16"/>
    <m/>
    <m/>
    <m/>
    <s v="F3X"/>
    <n v="4.08152020182882E+18"/>
    <s v="t"/>
    <m/>
    <n v="2020"/>
    <s v="SA"/>
    <m/>
    <n v="4.0826202018309699E+18"/>
    <s v="http://docquery.fec.gov/cgi-bin/fecimg/?202008149261305064"/>
    <s v="Contributions From Individuals/Persons Other Than Political Committees"/>
  </r>
  <r>
    <s v="C00364778"/>
    <x v="0"/>
    <n v="2020"/>
    <s v="M5"/>
    <n v="2.0200515923275002E+17"/>
    <s v="11AI"/>
    <s v="A2020-806731"/>
    <n v="1405926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4-15T00:00:00"/>
    <n v="110"/>
    <n v="7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2:44"/>
    <m/>
    <m/>
    <m/>
    <s v="F3X"/>
    <n v="4.0516202017614397E+18"/>
    <s v="t"/>
    <m/>
    <n v="2020"/>
    <s v="SA"/>
    <m/>
    <n v="4.0518202017615099E+18"/>
    <s v="http://docquery.fec.gov/cgi-bin/fecimg/?202005159232750191"/>
    <s v="Contributions From Individuals/Persons Other Than Political Committees"/>
  </r>
  <r>
    <s v="C00364778"/>
    <x v="0"/>
    <n v="2020"/>
    <s v="M5"/>
    <n v="2.0200515923275002E+17"/>
    <s v="11AI"/>
    <s v="A2020-856839"/>
    <n v="1405926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4-30T00:00:00"/>
    <n v="110"/>
    <n v="8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2:44"/>
    <m/>
    <m/>
    <m/>
    <s v="F3X"/>
    <n v="4.0516202017614397E+18"/>
    <s v="t"/>
    <m/>
    <n v="2020"/>
    <s v="SA"/>
    <m/>
    <n v="4.0518202017615099E+18"/>
    <s v="http://docquery.fec.gov/cgi-bin/fecimg/?202005159232750191"/>
    <s v="Contributions From Individuals/Persons Other Than Political Committees"/>
  </r>
  <r>
    <s v="C00364778"/>
    <x v="0"/>
    <n v="2020"/>
    <s v="M6"/>
    <n v="2.0200615923978202E+17"/>
    <s v="11AI"/>
    <s v="A2020-1062945"/>
    <n v="1411779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5-15T00:00:00"/>
    <n v="110"/>
    <n v="99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16T01:38:53"/>
    <m/>
    <m/>
    <m/>
    <s v="F3X"/>
    <n v="4.0615202017748398E+18"/>
    <s v="t"/>
    <m/>
    <n v="2020"/>
    <s v="SA"/>
    <m/>
    <n v="4.0615202017749299E+18"/>
    <s v="http://docquery.fec.gov/cgi-bin/fecimg/?202006159239782121"/>
    <s v="Contributions From Individuals/Persons Other Than Political Committees"/>
  </r>
  <r>
    <s v="C00364778"/>
    <x v="0"/>
    <n v="2020"/>
    <s v="M6"/>
    <n v="2.0200615923978202E+17"/>
    <s v="11AI"/>
    <s v="A2020-1110344"/>
    <n v="1411779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5-31T00:00:00"/>
    <n v="110"/>
    <n v="11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16T01:38:53"/>
    <m/>
    <m/>
    <m/>
    <s v="F3X"/>
    <n v="4.0615202017748398E+18"/>
    <s v="t"/>
    <m/>
    <n v="2020"/>
    <s v="SA"/>
    <m/>
    <n v="4.0615202017749299E+18"/>
    <s v="http://docquery.fec.gov/cgi-bin/fecimg/?202006159239782121"/>
    <s v="Contributions From Individuals/Persons Other Than Political Committees"/>
  </r>
  <r>
    <s v="C00364778"/>
    <x v="0"/>
    <n v="2020"/>
    <s v="30G"/>
    <n v="2.0201202933741501E+17"/>
    <s v="11AI"/>
    <s v="A2020-2214950"/>
    <n v="1476126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0-15T00:00:00"/>
    <n v="110"/>
    <n v="209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72"/>
    <s v="Contributions From Individuals/Persons Other Than Political Committees"/>
  </r>
  <r>
    <s v="C00364778"/>
    <x v="0"/>
    <n v="2020"/>
    <s v="30G"/>
    <n v="2.0201202933741501E+17"/>
    <s v="11AI"/>
    <s v="A2020-2353456"/>
    <n v="1476126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0-31T00:00:00"/>
    <n v="110"/>
    <n v="2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72"/>
    <s v="Contributions From Individuals/Persons Other Than Political Committees"/>
  </r>
  <r>
    <s v="C00364778"/>
    <x v="0"/>
    <n v="2020"/>
    <s v="30G"/>
    <n v="2.0201202933741501E+17"/>
    <s v="11AI"/>
    <s v="A2020-2422097"/>
    <n v="1476126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1-15T00:00:00"/>
    <n v="110"/>
    <n v="23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73"/>
    <s v="Contributions From Individuals/Persons Other Than Political Committees"/>
  </r>
  <r>
    <s v="C00364778"/>
    <x v="0"/>
    <n v="2020"/>
    <s v="M7"/>
    <n v="2.0200720926010598E+17"/>
    <s v="11AI"/>
    <s v="A2020-1335423"/>
    <n v="142730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6-15T00:00:00"/>
    <n v="110"/>
    <n v="121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1T03:49:28"/>
    <m/>
    <m/>
    <m/>
    <s v="F3X"/>
    <n v="4.0720202017911798E+18"/>
    <s v="t"/>
    <m/>
    <n v="2020"/>
    <s v="SA"/>
    <m/>
    <n v="4.0731202018101898E+18"/>
    <s v="http://docquery.fec.gov/cgi-bin/fecimg/?202007209260106130"/>
    <s v="Contributions From Individuals/Persons Other Than Political Committees"/>
  </r>
  <r>
    <s v="C00364778"/>
    <x v="0"/>
    <n v="2020"/>
    <s v="M7"/>
    <n v="2.0200720926010598E+17"/>
    <s v="11AI"/>
    <s v="A2020-1376825"/>
    <n v="1427301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6-30T00:00:00"/>
    <n v="110"/>
    <n v="13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1T03:49:28"/>
    <m/>
    <m/>
    <m/>
    <s v="F3X"/>
    <n v="4.0720202017911798E+18"/>
    <s v="t"/>
    <m/>
    <n v="2020"/>
    <s v="SA"/>
    <m/>
    <n v="4.0731202018101898E+18"/>
    <s v="http://docquery.fec.gov/cgi-bin/fecimg/?202007209260106131"/>
    <s v="Contributions From Individuals/Persons Other Than Political Committees"/>
  </r>
  <r>
    <s v="C00364778"/>
    <x v="0"/>
    <n v="2020"/>
    <s v="M9"/>
    <n v="2.02009179267228E+17"/>
    <s v="11AI"/>
    <s v="A2020-1687974"/>
    <n v="143870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8-15T00:00:00"/>
    <n v="110"/>
    <n v="1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04"/>
    <m/>
    <m/>
    <m/>
    <s v="F3X"/>
    <n v="4.0918202018489201E+18"/>
    <s v="t"/>
    <m/>
    <n v="2020"/>
    <s v="SA"/>
    <m/>
    <n v="4.0919202018490701E+18"/>
    <s v="http://docquery.fec.gov/cgi-bin/fecimg/?202009179267228631"/>
    <s v="Contributions From Individuals/Persons Other Than Political Committees"/>
  </r>
  <r>
    <s v="C00364778"/>
    <x v="0"/>
    <n v="2020"/>
    <s v="M9"/>
    <n v="2.02009179267228E+17"/>
    <s v="11AI"/>
    <s v="A2020-1880439"/>
    <n v="143870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8-31T00:00:00"/>
    <n v="110"/>
    <n v="17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04"/>
    <m/>
    <m/>
    <m/>
    <s v="F3X"/>
    <n v="4.0918202018489201E+18"/>
    <s v="t"/>
    <m/>
    <n v="2020"/>
    <s v="SA"/>
    <m/>
    <n v="4.0919202018490701E+18"/>
    <s v="http://docquery.fec.gov/cgi-bin/fecimg/?202009179267228632"/>
    <s v="Contributions From Individuals/Persons Other Than Political Committees"/>
  </r>
  <r>
    <s v="C00364778"/>
    <x v="0"/>
    <n v="2020"/>
    <s v="M10"/>
    <n v="2.0201016929694598E+17"/>
    <s v="11AI"/>
    <s v="A2020-1978852"/>
    <n v="145332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9-15T00:00:00"/>
    <n v="110"/>
    <n v="187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1T03:52:09"/>
    <m/>
    <m/>
    <m/>
    <s v="F3X"/>
    <n v="4.10162020185858E+18"/>
    <s v="t"/>
    <m/>
    <n v="2020"/>
    <s v="SA"/>
    <m/>
    <n v="4.1121202019599201E+18"/>
    <s v="http://docquery.fec.gov/cgi-bin/fecimg/?202010169296946517"/>
    <s v="Contributions From Individuals/Persons Other Than Political Committees"/>
  </r>
  <r>
    <s v="C00364778"/>
    <x v="0"/>
    <n v="2020"/>
    <s v="M10"/>
    <n v="2.0201016929694598E+17"/>
    <s v="11AI"/>
    <s v="A2020-2136004"/>
    <n v="1453323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09-30T00:00:00"/>
    <n v="110"/>
    <n v="19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1T03:52:09"/>
    <m/>
    <m/>
    <m/>
    <s v="F3X"/>
    <n v="4.10162020185858E+18"/>
    <s v="t"/>
    <m/>
    <n v="2020"/>
    <s v="SA"/>
    <m/>
    <n v="4.1121202019599201E+18"/>
    <s v="http://docquery.fec.gov/cgi-bin/fecimg/?202010169296946518"/>
    <s v="Contributions From Individuals/Persons Other Than Political Committees"/>
  </r>
  <r>
    <s v="C00364778"/>
    <x v="0"/>
    <n v="2020"/>
    <s v="YE"/>
    <n v="2.0210125940539398E+17"/>
    <s v="11AI"/>
    <s v="A2020-2582606"/>
    <n v="149035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1-30T00:00:00"/>
    <n v="110"/>
    <n v="24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01"/>
    <s v="Contributions From Individuals/Persons Other Than Political Committees"/>
  </r>
  <r>
    <s v="C00364778"/>
    <x v="0"/>
    <n v="2020"/>
    <s v="YE"/>
    <n v="2.0210125940539398E+17"/>
    <s v="11AI"/>
    <s v="A2020-2705514"/>
    <n v="149035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2-15T00:00:00"/>
    <n v="110"/>
    <n v="253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01"/>
    <s v="Contributions From Individuals/Persons Other Than Political Committees"/>
  </r>
  <r>
    <s v="C00364778"/>
    <x v="0"/>
    <n v="2020"/>
    <s v="YE"/>
    <n v="2.0210125940539398E+17"/>
    <s v="11AI"/>
    <s v="A2020-2739497"/>
    <n v="1490358"/>
    <m/>
    <s v="IND"/>
    <s v="INDIVIDUAL"/>
    <m/>
    <m/>
    <s v="BESSANT, CATHERINE P"/>
    <s v="Q"/>
    <s v="C"/>
    <s v="B"/>
    <s v="CATHERINE"/>
    <s v="P"/>
    <s v="BESSANT"/>
    <m/>
    <s v="100 N TRYON ST"/>
    <m/>
    <s v="CHARLOTTE"/>
    <s v="NC"/>
    <n v="28255"/>
    <s v="BANK OF AMERICA"/>
    <s v="CHIEF OPS &amp; TECHNOLOGY OFFICER"/>
    <m/>
    <n v="15"/>
    <s v="CONTRIBUTION"/>
    <m/>
    <m/>
    <m/>
    <d v="2020-12-31T00:00:00"/>
    <n v="110"/>
    <n v="26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02"/>
    <s v="Contributions From Individuals/Persons Other Than Political Committee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0">
  <r>
    <s v="C00364778"/>
    <x v="0"/>
    <n v="2019"/>
    <s v="M4"/>
    <n v="2.0190412914610301E+17"/>
    <s v="11AI"/>
    <s v="A2019-519279"/>
    <n v="1324297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3-15T00:00:00"/>
    <n v="50"/>
    <n v="2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4-13T02:40:12"/>
    <m/>
    <m/>
    <m/>
    <s v="F3X"/>
    <n v="4.0412201916462198E+18"/>
    <s v="t"/>
    <m/>
    <n v="2020"/>
    <s v="SA"/>
    <m/>
    <n v="4.0412201916462602E+18"/>
    <s v="http://docquery.fec.gov/cgi-bin/fecimg/?201904129146103819"/>
    <s v="Contributions From Individuals/Persons Other Than Political Committees"/>
  </r>
  <r>
    <s v="C00364778"/>
    <x v="0"/>
    <n v="2019"/>
    <s v="M4"/>
    <n v="2.0190412914610301E+17"/>
    <s v="11AI"/>
    <s v="A2019-546273"/>
    <n v="1324297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3-31T00:00:00"/>
    <n v="5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4-13T02:40:12"/>
    <m/>
    <m/>
    <m/>
    <s v="F3X"/>
    <n v="4.0412201916462198E+18"/>
    <s v="t"/>
    <m/>
    <n v="2020"/>
    <s v="SA"/>
    <m/>
    <n v="4.0412201916462602E+18"/>
    <s v="http://docquery.fec.gov/cgi-bin/fecimg/?201904129146103820"/>
    <s v="Contributions From Individuals/Persons Other Than Political Committees"/>
  </r>
  <r>
    <s v="C00364778"/>
    <x v="0"/>
    <n v="2019"/>
    <s v="M5"/>
    <n v="2.0190514914969501E+17"/>
    <s v="11AI"/>
    <s v="A2019-794436"/>
    <n v="133060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4-15T00:00:00"/>
    <n v="50"/>
    <n v="3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5-15T08:35:56"/>
    <m/>
    <m/>
    <m/>
    <s v="F3X"/>
    <n v="4.0514201916518502E+18"/>
    <s v="t"/>
    <m/>
    <n v="2020"/>
    <s v="SA"/>
    <m/>
    <n v="4.0514201916567798E+18"/>
    <s v="http://docquery.fec.gov/cgi-bin/fecimg/?201905149149695866"/>
    <s v="Contributions From Individuals/Persons Other Than Political Committees"/>
  </r>
  <r>
    <s v="C00364778"/>
    <x v="0"/>
    <n v="2019"/>
    <s v="M5"/>
    <n v="2.0190514914969501E+17"/>
    <s v="11AI"/>
    <s v="A2019-844627"/>
    <n v="133060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4-30T00:00:00"/>
    <n v="5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5-15T08:35:56"/>
    <m/>
    <m/>
    <m/>
    <s v="F3X"/>
    <n v="4.0514201916518502E+18"/>
    <s v="t"/>
    <m/>
    <n v="2020"/>
    <s v="SA"/>
    <m/>
    <n v="4.0514201916567798E+18"/>
    <s v="http://docquery.fec.gov/cgi-bin/fecimg/?201905149149695866"/>
    <s v="Contributions From Individuals/Persons Other Than Political Committees"/>
  </r>
  <r>
    <s v="C00364778"/>
    <x v="0"/>
    <n v="2019"/>
    <s v="M8"/>
    <n v="2.01908169162884E+17"/>
    <s v="11AI"/>
    <s v="A2019-1512024"/>
    <n v="134808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7-15T00:00:00"/>
    <n v="50"/>
    <n v="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17T02:39:00"/>
    <m/>
    <m/>
    <m/>
    <s v="F3X"/>
    <n v="4.0816201916633702E+18"/>
    <s v="t"/>
    <m/>
    <n v="2020"/>
    <s v="SA"/>
    <m/>
    <n v="4.0816201916633902E+18"/>
    <s v="http://docquery.fec.gov/cgi-bin/fecimg/?201908169162884465"/>
    <s v="Contributions From Individuals/Persons Other Than Political Committees"/>
  </r>
  <r>
    <s v="C00364778"/>
    <x v="0"/>
    <n v="2019"/>
    <s v="M8"/>
    <n v="2.01908169162884E+17"/>
    <s v="11AI"/>
    <s v="A2019-1688954"/>
    <n v="134808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7-31T00:00:00"/>
    <n v="50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8-17T02:39:00"/>
    <m/>
    <m/>
    <m/>
    <s v="F3X"/>
    <n v="4.0816201916633702E+18"/>
    <s v="t"/>
    <m/>
    <n v="2020"/>
    <s v="SA"/>
    <m/>
    <n v="4.0816201916633902E+18"/>
    <s v="http://docquery.fec.gov/cgi-bin/fecimg/?201908169162884466"/>
    <s v="Contributions From Individuals/Persons Other Than Political Committees"/>
  </r>
  <r>
    <s v="C00364778"/>
    <x v="0"/>
    <n v="2019"/>
    <s v="YE"/>
    <n v="2.0200120916727501E+17"/>
    <s v="11AI"/>
    <s v="A2019-2945254"/>
    <n v="1371432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2-15T00:00:00"/>
    <n v="50"/>
    <n v="11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1-22T01:37:49"/>
    <m/>
    <m/>
    <m/>
    <s v="F3X"/>
    <n v="4.0120202016853202E+18"/>
    <s v="t"/>
    <m/>
    <n v="2020"/>
    <s v="SA"/>
    <m/>
    <n v="4.0121202016853601E+18"/>
    <s v="http://docquery.fec.gov/cgi-bin/fecimg/?202001209167275059"/>
    <s v="Contributions From Individuals/Persons Other Than Political Committees"/>
  </r>
  <r>
    <s v="C00364778"/>
    <x v="0"/>
    <n v="2019"/>
    <s v="YE"/>
    <n v="2.0200120916727501E+17"/>
    <s v="11AI"/>
    <s v="A2019-2986235"/>
    <n v="1371432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2-31T00:00:00"/>
    <n v="5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1-22T01:37:49"/>
    <m/>
    <m/>
    <m/>
    <s v="F3X"/>
    <n v="4.0120202016853202E+18"/>
    <s v="t"/>
    <m/>
    <n v="2020"/>
    <s v="SA"/>
    <m/>
    <n v="4.0121202016853601E+18"/>
    <s v="http://docquery.fec.gov/cgi-bin/fecimg/?202001209167275059"/>
    <s v="Contributions From Individuals/Persons Other Than Political Committees"/>
  </r>
  <r>
    <s v="C00364778"/>
    <x v="0"/>
    <n v="2019"/>
    <s v="M6"/>
    <n v="2.0190802916135002E+17"/>
    <s v="11AI"/>
    <s v="A2019-952018"/>
    <n v="134668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5-15T00:00:00"/>
    <n v="50"/>
    <n v="45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0"/>
    <m/>
    <m/>
    <m/>
    <s v="F3X"/>
    <n v="4.0802201916626898E+18"/>
    <s v="t"/>
    <m/>
    <n v="2020"/>
    <s v="SA"/>
    <m/>
    <n v="4.0802201916628797E+18"/>
    <s v="http://docquery.fec.gov/cgi-bin/fecimg/?201908029161350883"/>
    <s v="Contributions From Individuals/Persons Other Than Political Committees"/>
  </r>
  <r>
    <s v="C00364778"/>
    <x v="0"/>
    <n v="2019"/>
    <s v="M6"/>
    <n v="2.0190802916135002E+17"/>
    <s v="11AI"/>
    <s v="A2019-1108387"/>
    <n v="134668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5-31T00:00:00"/>
    <n v="50"/>
    <n v="5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0"/>
    <m/>
    <m/>
    <m/>
    <s v="F3X"/>
    <n v="4.0802201916626898E+18"/>
    <s v="t"/>
    <m/>
    <n v="2020"/>
    <s v="SA"/>
    <m/>
    <n v="4.0802201916628797E+18"/>
    <s v="http://docquery.fec.gov/cgi-bin/fecimg/?201908029161350883"/>
    <s v="Contributions From Individuals/Persons Other Than Political Committees"/>
  </r>
  <r>
    <s v="C00364778"/>
    <x v="0"/>
    <n v="2019"/>
    <s v="M7"/>
    <n v="2.0190802916135101E+17"/>
    <s v="11AI"/>
    <s v="A2019-1196075"/>
    <n v="1346685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6-15T00:00:00"/>
    <n v="50"/>
    <n v="55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7"/>
    <m/>
    <m/>
    <m/>
    <s v="F3X"/>
    <n v="4.0802201916626898E+18"/>
    <s v="t"/>
    <m/>
    <n v="2020"/>
    <s v="SA"/>
    <m/>
    <n v="4.0802201916628797E+18"/>
    <s v="http://docquery.fec.gov/cgi-bin/fecimg/?201908029161351114"/>
    <s v="Contributions From Individuals/Persons Other Than Political Committees"/>
  </r>
  <r>
    <s v="C00364778"/>
    <x v="0"/>
    <n v="2019"/>
    <s v="M7"/>
    <n v="2.0190802916135101E+17"/>
    <s v="11AI"/>
    <s v="A2019-1383448"/>
    <n v="1346685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6-30T00:00:00"/>
    <n v="50"/>
    <n v="6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d v="2019-08-03T02:42:17"/>
    <m/>
    <m/>
    <m/>
    <s v="F3X"/>
    <n v="4.0802201916626898E+18"/>
    <s v="t"/>
    <m/>
    <n v="2020"/>
    <s v="SA"/>
    <m/>
    <n v="4.0802201916628797E+18"/>
    <s v="http://docquery.fec.gov/cgi-bin/fecimg/?201908029161351114"/>
    <s v="Contributions From Individuals/Persons Other Than Political Committees"/>
  </r>
  <r>
    <s v="C00364778"/>
    <x v="0"/>
    <n v="2019"/>
    <s v="M9"/>
    <n v="2.01909139163316E+17"/>
    <s v="11AI"/>
    <s v="A2019-1842466"/>
    <n v="1351825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8-15T00:00:00"/>
    <n v="50"/>
    <n v="7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14T03:00:23"/>
    <m/>
    <m/>
    <m/>
    <s v="F3X"/>
    <n v="4.09132019167264E+18"/>
    <s v="t"/>
    <m/>
    <n v="2020"/>
    <s v="SA"/>
    <m/>
    <n v="4.09132019167266E+18"/>
    <s v="http://docquery.fec.gov/cgi-bin/fecimg/?201909139163316611"/>
    <s v="Contributions From Individuals/Persons Other Than Political Committees"/>
  </r>
  <r>
    <s v="C00364778"/>
    <x v="0"/>
    <n v="2019"/>
    <s v="M9"/>
    <n v="2.01909139163316E+17"/>
    <s v="11AI"/>
    <s v="A2019-1970057"/>
    <n v="1351825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8-31T00:00:00"/>
    <n v="5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09-14T03:00:23"/>
    <m/>
    <m/>
    <m/>
    <s v="F3X"/>
    <n v="4.09132019167264E+18"/>
    <s v="t"/>
    <m/>
    <n v="2020"/>
    <s v="SA"/>
    <m/>
    <n v="4.09132019167266E+18"/>
    <s v="http://docquery.fec.gov/cgi-bin/fecimg/?201909139163316611"/>
    <s v="Contributions From Individuals/Persons Other Than Political Committees"/>
  </r>
  <r>
    <s v="C00364778"/>
    <x v="0"/>
    <n v="2019"/>
    <s v="M10"/>
    <n v="2.0191016916498301E+17"/>
    <s v="11AI"/>
    <s v="A2019-2195437"/>
    <n v="135907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9-15T00:00:00"/>
    <n v="50"/>
    <n v="8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17T02:47:30"/>
    <m/>
    <m/>
    <m/>
    <s v="F3X"/>
    <n v="4.1016201916743598E+18"/>
    <s v="t"/>
    <m/>
    <n v="2020"/>
    <s v="SA"/>
    <m/>
    <n v="4.1016201916744899E+18"/>
    <s v="http://docquery.fec.gov/cgi-bin/fecimg/?201910169164983814"/>
    <s v="Contributions From Individuals/Persons Other Than Political Committees"/>
  </r>
  <r>
    <s v="C00364778"/>
    <x v="0"/>
    <n v="2019"/>
    <s v="M10"/>
    <n v="2.0191016916498301E+17"/>
    <s v="11AI"/>
    <s v="A2019-2245082"/>
    <n v="135907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GLOBAL HUMAN RESOURCES EXEC"/>
    <m/>
    <n v="15"/>
    <s v="CONTRIBUTION"/>
    <m/>
    <m/>
    <m/>
    <d v="2019-09-30T00:00:00"/>
    <n v="50"/>
    <n v="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0-17T02:47:30"/>
    <m/>
    <m/>
    <m/>
    <s v="F3X"/>
    <n v="4.1016201916743598E+18"/>
    <s v="t"/>
    <m/>
    <n v="2020"/>
    <s v="SA"/>
    <m/>
    <n v="4.1016201916744899E+18"/>
    <s v="http://docquery.fec.gov/cgi-bin/fecimg/?201910169164983814"/>
    <s v="Contributions From Individuals/Persons Other Than Political Committees"/>
  </r>
  <r>
    <s v="C00364778"/>
    <x v="0"/>
    <n v="2019"/>
    <s v="M12"/>
    <n v="2.01912169166292E+17"/>
    <s v="11AI"/>
    <s v="A2019-2732717"/>
    <n v="1366330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1-30T00:00:00"/>
    <n v="50"/>
    <n v="11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28"/>
    <m/>
    <m/>
    <m/>
    <s v="F3X"/>
    <n v="4.1216201916815201E+18"/>
    <s v="t"/>
    <m/>
    <n v="2020"/>
    <s v="SA"/>
    <m/>
    <n v="4.1216201916815401E+18"/>
    <s v="http://docquery.fec.gov/cgi-bin/fecimg/?201912169166292165"/>
    <s v="Contributions From Individuals/Persons Other Than Political Committees"/>
  </r>
  <r>
    <s v="C00364778"/>
    <x v="0"/>
    <n v="2019"/>
    <s v="M11"/>
    <n v="2.0191114916550099E+17"/>
    <s v="11AI"/>
    <s v="A2019-2453429"/>
    <n v="136266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0-15T00:00:00"/>
    <n v="50"/>
    <n v="9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15T02:12:40"/>
    <m/>
    <m/>
    <m/>
    <s v="F3X"/>
    <n v="4.1114201916786601E+18"/>
    <s v="t"/>
    <m/>
    <n v="2020"/>
    <s v="SA"/>
    <m/>
    <n v="4.1114201916786801E+18"/>
    <s v="http://docquery.fec.gov/cgi-bin/fecimg/?201911149165501068"/>
    <s v="Contributions From Individuals/Persons Other Than Political Committees"/>
  </r>
  <r>
    <s v="C00364778"/>
    <x v="0"/>
    <n v="2019"/>
    <s v="M11"/>
    <n v="2.0191114916550099E+17"/>
    <s v="11AI"/>
    <s v="A2019-2517763"/>
    <n v="136266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0-31T00:00:00"/>
    <n v="50"/>
    <n v="1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1-15T02:12:40"/>
    <m/>
    <m/>
    <m/>
    <s v="F3X"/>
    <n v="4.1114201916786601E+18"/>
    <s v="t"/>
    <m/>
    <n v="2020"/>
    <s v="SA"/>
    <m/>
    <n v="4.1114201916786801E+18"/>
    <s v="http://docquery.fec.gov/cgi-bin/fecimg/?201911149165501069"/>
    <s v="Contributions From Individuals/Persons Other Than Political Committees"/>
  </r>
  <r>
    <s v="C00364778"/>
    <x v="0"/>
    <n v="2019"/>
    <s v="M12"/>
    <n v="2.01912169166292E+17"/>
    <s v="11AI"/>
    <s v="A2019-2696008"/>
    <n v="1366330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19-11-15T00:00:00"/>
    <n v="50"/>
    <n v="10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19-12-17T01:37:28"/>
    <m/>
    <m/>
    <m/>
    <s v="F3X"/>
    <n v="4.1216201916815201E+18"/>
    <s v="t"/>
    <m/>
    <n v="2020"/>
    <s v="SA"/>
    <m/>
    <n v="4.1216201916815401E+18"/>
    <s v="http://docquery.fec.gov/cgi-bin/fecimg/?201912169166292165"/>
    <s v="Contributions From Individuals/Persons Other Than Political Committees"/>
  </r>
  <r>
    <s v="C00364778"/>
    <x v="0"/>
    <n v="2020"/>
    <s v="M4"/>
    <n v="2.0200416921966202E+17"/>
    <s v="11AI"/>
    <s v="A2020-437102"/>
    <n v="140111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3-15T00:00:00"/>
    <n v="50"/>
    <n v="2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18T01:39:18"/>
    <m/>
    <m/>
    <m/>
    <s v="F3X"/>
    <n v="4.0416202017369098E+18"/>
    <s v="t"/>
    <m/>
    <n v="2020"/>
    <s v="SA"/>
    <m/>
    <n v="4.0417202017372498E+18"/>
    <s v="http://docquery.fec.gov/cgi-bin/fecimg/?202004169219662924"/>
    <s v="Contributions From Individuals/Persons Other Than Political Committees"/>
  </r>
  <r>
    <s v="C00364778"/>
    <x v="0"/>
    <n v="2020"/>
    <s v="M4"/>
    <n v="2.0200416921966202E+17"/>
    <s v="11AI"/>
    <s v="A2020-578488"/>
    <n v="140111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3-31T00:00:00"/>
    <n v="5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4-18T01:39:18"/>
    <m/>
    <m/>
    <m/>
    <s v="F3X"/>
    <n v="4.0416202017369098E+18"/>
    <s v="t"/>
    <m/>
    <n v="2020"/>
    <s v="SA"/>
    <m/>
    <n v="4.0417202017372498E+18"/>
    <s v="http://docquery.fec.gov/cgi-bin/fecimg/?202004169219662924"/>
    <s v="Contributions From Individuals/Persons Other Than Political Committees"/>
  </r>
  <r>
    <s v="C00364778"/>
    <x v="0"/>
    <n v="2020"/>
    <s v="M8"/>
    <n v="2.0200814926130499E+17"/>
    <s v="11AI"/>
    <s v="A2020-1624819"/>
    <n v="143222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7-31T00:00:00"/>
    <n v="50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6T04:09:14"/>
    <m/>
    <m/>
    <m/>
    <s v="F3X"/>
    <n v="4.08152020182882E+18"/>
    <s v="t"/>
    <m/>
    <n v="2020"/>
    <s v="SA"/>
    <m/>
    <n v="4.0826202018309699E+18"/>
    <s v="http://docquery.fec.gov/cgi-bin/fecimg/?202008149261305071"/>
    <s v="Contributions From Individuals/Persons Other Than Political Committees"/>
  </r>
  <r>
    <s v="C00364778"/>
    <x v="0"/>
    <n v="2020"/>
    <s v="M8"/>
    <n v="2.0200814926130499E+17"/>
    <s v="11AI"/>
    <s v="A2020-1603738"/>
    <n v="143222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7-15T00:00:00"/>
    <n v="50"/>
    <n v="6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8-26T04:14:16"/>
    <m/>
    <m/>
    <m/>
    <s v="F3X"/>
    <n v="4.08152020182882E+18"/>
    <s v="t"/>
    <m/>
    <n v="2020"/>
    <s v="SA"/>
    <m/>
    <n v="4.0826202018309699E+18"/>
    <s v="http://docquery.fec.gov/cgi-bin/fecimg/?202008149261305070"/>
    <s v="Contributions From Individuals/Persons Other Than Political Committees"/>
  </r>
  <r>
    <s v="C00364778"/>
    <x v="0"/>
    <n v="2020"/>
    <s v="M5"/>
    <n v="2.0200515923275002E+17"/>
    <s v="11AI"/>
    <s v="A2020-809230"/>
    <n v="1405926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4-15T00:00:00"/>
    <n v="50"/>
    <n v="3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2:44"/>
    <m/>
    <m/>
    <m/>
    <s v="F3X"/>
    <n v="4.0516202017614397E+18"/>
    <s v="t"/>
    <m/>
    <n v="2020"/>
    <s v="SA"/>
    <m/>
    <n v="4.0518202017615099E+18"/>
    <s v="http://docquery.fec.gov/cgi-bin/fecimg/?202005159232750193"/>
    <s v="Contributions From Individuals/Persons Other Than Political Committees"/>
  </r>
  <r>
    <s v="C00364778"/>
    <x v="0"/>
    <n v="2020"/>
    <s v="M5"/>
    <n v="2.0200515923275002E+17"/>
    <s v="11AI"/>
    <s v="A2020-859330"/>
    <n v="1405926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4-30T00:00:00"/>
    <n v="5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5-19T01:22:44"/>
    <m/>
    <m/>
    <m/>
    <s v="F3X"/>
    <n v="4.0516202017614397E+18"/>
    <s v="t"/>
    <m/>
    <n v="2020"/>
    <s v="SA"/>
    <m/>
    <n v="4.0518202017615099E+18"/>
    <s v="http://docquery.fec.gov/cgi-bin/fecimg/?202005159232750193"/>
    <s v="Contributions From Individuals/Persons Other Than Political Committees"/>
  </r>
  <r>
    <s v="C00364778"/>
    <x v="0"/>
    <n v="2020"/>
    <s v="M6"/>
    <n v="2.0200615923978202E+17"/>
    <s v="11AI"/>
    <s v="A2020-1065431"/>
    <n v="1411779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5-15T00:00:00"/>
    <n v="50"/>
    <n v="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16T01:38:53"/>
    <m/>
    <m/>
    <m/>
    <s v="F3X"/>
    <n v="4.0615202017748398E+18"/>
    <s v="t"/>
    <m/>
    <n v="2020"/>
    <s v="SA"/>
    <m/>
    <n v="4.0615202017749299E+18"/>
    <s v="http://docquery.fec.gov/cgi-bin/fecimg/?202006159239782125"/>
    <s v="Contributions From Individuals/Persons Other Than Political Committees"/>
  </r>
  <r>
    <s v="C00364778"/>
    <x v="0"/>
    <n v="2020"/>
    <s v="M6"/>
    <n v="2.0200615923978202E+17"/>
    <s v="11AI"/>
    <s v="A2020-1112824"/>
    <n v="1411779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5-31T00:00:00"/>
    <n v="50"/>
    <n v="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6-16T01:38:53"/>
    <m/>
    <m/>
    <m/>
    <s v="F3X"/>
    <n v="4.0615202017748398E+18"/>
    <s v="t"/>
    <m/>
    <n v="2020"/>
    <s v="SA"/>
    <m/>
    <n v="4.0615202017749299E+18"/>
    <s v="http://docquery.fec.gov/cgi-bin/fecimg/?202006159239782125"/>
    <s v="Contributions From Individuals/Persons Other Than Political Committees"/>
  </r>
  <r>
    <s v="C00364778"/>
    <x v="0"/>
    <n v="2020"/>
    <s v="30G"/>
    <n v="2.0201202933741501E+17"/>
    <s v="11AI"/>
    <s v="A2020-2216474"/>
    <n v="1476126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0-15T00:00:00"/>
    <n v="50"/>
    <n v="9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89"/>
    <s v="Contributions From Individuals/Persons Other Than Political Committees"/>
  </r>
  <r>
    <s v="C00364778"/>
    <x v="0"/>
    <n v="2020"/>
    <s v="30G"/>
    <n v="2.0201202933741501E+17"/>
    <s v="11AI"/>
    <s v="A2020-2354979"/>
    <n v="1476126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0-31T00:00:00"/>
    <n v="50"/>
    <n v="1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90"/>
    <s v="Contributions From Individuals/Persons Other Than Political Committees"/>
  </r>
  <r>
    <s v="C00364778"/>
    <x v="0"/>
    <n v="2020"/>
    <s v="30G"/>
    <n v="2.0201202933741501E+17"/>
    <s v="11AI"/>
    <s v="A2020-2423619"/>
    <n v="1476126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1-15T00:00:00"/>
    <n v="50"/>
    <n v="10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2-18T03:46:43"/>
    <m/>
    <m/>
    <m/>
    <s v="F3X"/>
    <n v="4.1203202019631401E+18"/>
    <s v="t"/>
    <m/>
    <n v="2020"/>
    <s v="SA"/>
    <m/>
    <n v="4.1218202019773599E+18"/>
    <s v="https://docquery.fec.gov/cgi-bin/fecimg/?202012029337415090"/>
    <s v="Contributions From Individuals/Persons Other Than Political Committees"/>
  </r>
  <r>
    <s v="C00364778"/>
    <x v="0"/>
    <n v="2020"/>
    <s v="M7"/>
    <n v="2.0200720926010598E+17"/>
    <s v="11AI"/>
    <s v="A2020-1337854"/>
    <n v="142730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6-15T00:00:00"/>
    <n v="50"/>
    <n v="5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1T03:49:28"/>
    <m/>
    <m/>
    <m/>
    <s v="F3X"/>
    <n v="4.0720202017911798E+18"/>
    <s v="t"/>
    <m/>
    <n v="2020"/>
    <s v="SA"/>
    <m/>
    <n v="4.0731202018101898E+18"/>
    <s v="http://docquery.fec.gov/cgi-bin/fecimg/?202007209260106135"/>
    <s v="Contributions From Individuals/Persons Other Than Political Committees"/>
  </r>
  <r>
    <s v="C00364778"/>
    <x v="0"/>
    <n v="2020"/>
    <s v="M7"/>
    <n v="2.0200720926010598E+17"/>
    <s v="11AI"/>
    <s v="A2020-1379255"/>
    <n v="1427301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6-30T00:00:00"/>
    <n v="50"/>
    <n v="6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7-31T03:49:28"/>
    <m/>
    <m/>
    <m/>
    <s v="F3X"/>
    <n v="4.0720202017911798E+18"/>
    <s v="t"/>
    <m/>
    <n v="2020"/>
    <s v="SA"/>
    <m/>
    <n v="4.0731202018101898E+18"/>
    <s v="http://docquery.fec.gov/cgi-bin/fecimg/?202007209260106135"/>
    <s v="Contributions From Individuals/Persons Other Than Political Committees"/>
  </r>
  <r>
    <s v="C00364778"/>
    <x v="0"/>
    <n v="2020"/>
    <s v="M9"/>
    <n v="2.02009179267228E+17"/>
    <s v="11AI"/>
    <s v="A2020-1689511"/>
    <n v="143870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8-15T00:00:00"/>
    <n v="50"/>
    <n v="7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04"/>
    <m/>
    <m/>
    <m/>
    <s v="F3X"/>
    <n v="4.0918202018489201E+18"/>
    <s v="t"/>
    <m/>
    <n v="2020"/>
    <s v="SA"/>
    <m/>
    <n v="4.0919202018490701E+18"/>
    <s v="http://docquery.fec.gov/cgi-bin/fecimg/?202009179267228639"/>
    <s v="Contributions From Individuals/Persons Other Than Political Committees"/>
  </r>
  <r>
    <s v="C00364778"/>
    <x v="0"/>
    <n v="2020"/>
    <s v="M9"/>
    <n v="2.02009179267228E+17"/>
    <s v="11AI"/>
    <s v="A2020-1881970"/>
    <n v="143870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8-31T00:00:00"/>
    <n v="50"/>
    <n v="8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09-19T03:37:04"/>
    <m/>
    <m/>
    <m/>
    <s v="F3X"/>
    <n v="4.0918202018489201E+18"/>
    <s v="t"/>
    <m/>
    <n v="2020"/>
    <s v="SA"/>
    <m/>
    <n v="4.0919202018490701E+18"/>
    <s v="http://docquery.fec.gov/cgi-bin/fecimg/?202009179267228640"/>
    <s v="Contributions From Individuals/Persons Other Than Political Committees"/>
  </r>
  <r>
    <s v="C00364778"/>
    <x v="0"/>
    <n v="2020"/>
    <s v="M10"/>
    <n v="2.0201016929694598E+17"/>
    <s v="11AI"/>
    <s v="A2020-1980382"/>
    <n v="145332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9-15T00:00:00"/>
    <n v="50"/>
    <n v="8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1T03:52:09"/>
    <m/>
    <m/>
    <m/>
    <s v="F3X"/>
    <n v="4.10162020185858E+18"/>
    <s v="t"/>
    <m/>
    <n v="2020"/>
    <s v="SA"/>
    <m/>
    <n v="4.1121202019599201E+18"/>
    <s v="http://docquery.fec.gov/cgi-bin/fecimg/?202010169296946526"/>
    <s v="Contributions From Individuals/Persons Other Than Political Committees"/>
  </r>
  <r>
    <s v="C00364778"/>
    <x v="0"/>
    <n v="2020"/>
    <s v="M10"/>
    <n v="2.0201016929694598E+17"/>
    <s v="11AI"/>
    <s v="A2020-2137530"/>
    <n v="1453323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09-30T00:00:00"/>
    <n v="50"/>
    <n v="9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0-11-21T03:52:09"/>
    <m/>
    <m/>
    <m/>
    <s v="F3X"/>
    <n v="4.10162020185858E+18"/>
    <s v="t"/>
    <m/>
    <n v="2020"/>
    <s v="SA"/>
    <m/>
    <n v="4.1121202019599201E+18"/>
    <s v="http://docquery.fec.gov/cgi-bin/fecimg/?202010169296946526"/>
    <s v="Contributions From Individuals/Persons Other Than Political Committees"/>
  </r>
  <r>
    <s v="C00364778"/>
    <x v="0"/>
    <n v="2020"/>
    <s v="YE"/>
    <n v="2.0210125940539398E+17"/>
    <s v="11AI"/>
    <s v="A2020-2584125"/>
    <n v="149035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1-30T00:00:00"/>
    <n v="50"/>
    <n v="11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28"/>
    <s v="Contributions From Individuals/Persons Other Than Political Committees"/>
  </r>
  <r>
    <s v="C00364778"/>
    <x v="0"/>
    <n v="2020"/>
    <s v="YE"/>
    <n v="2.0210125940539398E+17"/>
    <s v="11AI"/>
    <s v="A2020-2707033"/>
    <n v="149035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2-15T00:00:00"/>
    <n v="50"/>
    <n v="11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28"/>
    <s v="Contributions From Individuals/Persons Other Than Political Committees"/>
  </r>
  <r>
    <s v="C00364778"/>
    <x v="0"/>
    <n v="2020"/>
    <s v="YE"/>
    <n v="2.0210125940539398E+17"/>
    <s v="11AI"/>
    <s v="A2020-2741016"/>
    <n v="1490358"/>
    <m/>
    <s v="IND"/>
    <s v="INDIVIDUAL"/>
    <m/>
    <m/>
    <s v="BRONSTEIN, SHERI"/>
    <s v="Q"/>
    <s v="C"/>
    <s v="B"/>
    <s v="SHERI"/>
    <m/>
    <s v="BRONSTEIN"/>
    <m/>
    <s v="ONE BRYANT PARK"/>
    <m/>
    <s v="NEW YORK"/>
    <s v="NY"/>
    <n v="10036"/>
    <s v="BANK OF AMERICA"/>
    <s v="CHIEF HUMAN RESOURCES OFFICER"/>
    <m/>
    <n v="15"/>
    <s v="CONTRIBUTION"/>
    <m/>
    <m/>
    <m/>
    <d v="2020-12-31T00:00:00"/>
    <n v="50"/>
    <n v="12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d v="2021-01-27T03:36:45"/>
    <m/>
    <m/>
    <m/>
    <s v="F3X"/>
    <n v="4.0125202121377597E+18"/>
    <s v="t"/>
    <m/>
    <n v="2020"/>
    <s v="SA"/>
    <m/>
    <n v="4.01272021213811E+18"/>
    <s v="https://docquery.fec.gov/cgi-bin/fecimg/?202101259405394729"/>
    <s v="Contributions From Individuals/Persons Other Than Political Committees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8">
  <r>
    <s v="C00364778"/>
    <x v="0"/>
    <n v="2019"/>
    <s v="M8"/>
    <n v="2.01908169162884E+17"/>
    <s v="11AI"/>
    <s v="A2019-1508788"/>
    <n v="134808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661"/>
    <n v="20"/>
    <n v="2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94.110414421295"/>
    <m/>
    <m/>
    <m/>
    <s v="F3X"/>
    <n v="4.0816201916633702E+18"/>
    <s v="t"/>
    <m/>
    <n v="2020"/>
    <s v="SA"/>
    <m/>
    <n v="4.0816201916633902E+18"/>
    <s v="http://docquery.fec.gov/cgi-bin/fecimg/?201908169162884507"/>
    <s v="Contributions From Individuals/Persons Other Than Political Committees"/>
  </r>
  <r>
    <s v="C00364778"/>
    <x v="0"/>
    <n v="2019"/>
    <s v="M8"/>
    <n v="2.01908169162884E+17"/>
    <s v="11AI"/>
    <s v="A2019-1685727"/>
    <n v="134808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677"/>
    <n v="20"/>
    <n v="2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94.110414421295"/>
    <m/>
    <m/>
    <m/>
    <s v="F3X"/>
    <n v="4.0816201916633702E+18"/>
    <s v="t"/>
    <m/>
    <n v="2020"/>
    <s v="SA"/>
    <m/>
    <n v="4.0816201916633902E+18"/>
    <s v="http://docquery.fec.gov/cgi-bin/fecimg/?201908169162884508"/>
    <s v="Contributions From Individuals/Persons Other Than Political Committees"/>
  </r>
  <r>
    <s v="C00364778"/>
    <x v="0"/>
    <n v="2019"/>
    <s v="YE"/>
    <n v="2.0200120916727501E+17"/>
    <s v="11AI"/>
    <s v="A2019-2943870"/>
    <n v="1371432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814"/>
    <n v="20"/>
    <n v="4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52.067933449071"/>
    <m/>
    <m/>
    <m/>
    <s v="F3X"/>
    <n v="4.0120202016853202E+18"/>
    <s v="t"/>
    <m/>
    <n v="2020"/>
    <s v="SA"/>
    <m/>
    <n v="4.0121202016853601E+18"/>
    <s v="http://docquery.fec.gov/cgi-bin/fecimg/?202001209167275125"/>
    <s v="Contributions From Individuals/Persons Other Than Political Committees"/>
  </r>
  <r>
    <s v="C00364778"/>
    <x v="0"/>
    <n v="2019"/>
    <s v="YE"/>
    <n v="2.0200120916727501E+17"/>
    <s v="11AI"/>
    <s v="A2019-2984852"/>
    <n v="1371432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830"/>
    <n v="20"/>
    <n v="4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52.067933449071"/>
    <m/>
    <m/>
    <m/>
    <s v="F3X"/>
    <n v="4.0120202016853202E+18"/>
    <s v="t"/>
    <m/>
    <n v="2020"/>
    <s v="SA"/>
    <m/>
    <n v="4.0121202016853601E+18"/>
    <s v="http://docquery.fec.gov/cgi-bin/fecimg/?202001209167275126"/>
    <s v="Contributions From Individuals/Persons Other Than Political Committees"/>
  </r>
  <r>
    <s v="C00364778"/>
    <x v="0"/>
    <n v="2019"/>
    <s v="M7"/>
    <n v="2.0190802916135101E+17"/>
    <s v="11AI"/>
    <s v="A2019-1192810"/>
    <n v="1346685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631"/>
    <n v="20"/>
    <n v="22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97199074"/>
    <m/>
    <m/>
    <m/>
    <s v="F3X"/>
    <n v="4.0802201916626898E+18"/>
    <s v="t"/>
    <m/>
    <n v="2020"/>
    <s v="SA"/>
    <m/>
    <n v="4.0802201916628797E+18"/>
    <s v="http://docquery.fec.gov/cgi-bin/fecimg/?201908029161351150"/>
    <s v="Contributions From Individuals/Persons Other Than Political Committees"/>
  </r>
  <r>
    <s v="C00364778"/>
    <x v="0"/>
    <n v="2019"/>
    <s v="M7"/>
    <n v="2.0190802916135101E+17"/>
    <s v="11AI"/>
    <s v="A2019-1380201"/>
    <n v="1346685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646"/>
    <n v="20"/>
    <n v="24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97199074"/>
    <m/>
    <m/>
    <m/>
    <s v="F3X"/>
    <n v="4.0802201916626898E+18"/>
    <s v="t"/>
    <m/>
    <n v="2020"/>
    <s v="SA"/>
    <m/>
    <n v="4.0802201916628797E+18"/>
    <s v="http://docquery.fec.gov/cgi-bin/fecimg/?201908029161351150"/>
    <s v="Contributions From Individuals/Persons Other Than Political Committees"/>
  </r>
  <r>
    <s v="C00364778"/>
    <x v="0"/>
    <n v="2019"/>
    <s v="M9"/>
    <n v="2.01909139163316E+17"/>
    <s v="11AI"/>
    <s v="A2019-1840982"/>
    <n v="1351825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692"/>
    <n v="2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22.125268171294"/>
    <m/>
    <m/>
    <m/>
    <s v="F3X"/>
    <n v="4.09132019167264E+18"/>
    <s v="t"/>
    <m/>
    <n v="2020"/>
    <s v="SA"/>
    <m/>
    <n v="4.09132019167266E+18"/>
    <s v="http://docquery.fec.gov/cgi-bin/fecimg/?201909139163316658"/>
    <s v="Contributions From Individuals/Persons Other Than Political Committees"/>
  </r>
  <r>
    <s v="C00364778"/>
    <x v="0"/>
    <n v="2019"/>
    <s v="M9"/>
    <n v="2.01909139163316E+17"/>
    <s v="11AI"/>
    <s v="A2019-1967613"/>
    <n v="1351825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08"/>
    <n v="20"/>
    <n v="3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22.125268171294"/>
    <m/>
    <m/>
    <m/>
    <s v="F3X"/>
    <n v="4.09132019167264E+18"/>
    <s v="t"/>
    <m/>
    <n v="2020"/>
    <s v="SA"/>
    <m/>
    <n v="4.09132019167266E+18"/>
    <s v="http://docquery.fec.gov/cgi-bin/fecimg/?201909139163316659"/>
    <s v="Contributions From Individuals/Persons Other Than Political Committees"/>
  </r>
  <r>
    <s v="C00364778"/>
    <x v="0"/>
    <n v="2019"/>
    <s v="M10"/>
    <n v="2.0191016916498301E+17"/>
    <s v="11AI"/>
    <s v="A2019-2193417"/>
    <n v="135907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23"/>
    <n v="20"/>
    <n v="3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55.116320312503"/>
    <m/>
    <m/>
    <m/>
    <s v="F3X"/>
    <n v="4.1016201916743598E+18"/>
    <s v="t"/>
    <m/>
    <n v="2020"/>
    <s v="SA"/>
    <m/>
    <n v="4.1016201916744899E+18"/>
    <s v="http://docquery.fec.gov/cgi-bin/fecimg/?201910169164983864"/>
    <s v="Contributions From Individuals/Persons Other Than Political Committees"/>
  </r>
  <r>
    <s v="C00364778"/>
    <x v="0"/>
    <n v="2019"/>
    <s v="M10"/>
    <n v="2.0191016916498301E+17"/>
    <s v="11AI"/>
    <s v="A2019-2243068"/>
    <n v="135907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38"/>
    <n v="20"/>
    <n v="3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55.116320312503"/>
    <m/>
    <m/>
    <m/>
    <s v="F3X"/>
    <n v="4.1016201916743598E+18"/>
    <s v="t"/>
    <m/>
    <n v="2020"/>
    <s v="SA"/>
    <m/>
    <n v="4.1016201916744899E+18"/>
    <s v="http://docquery.fec.gov/cgi-bin/fecimg/?201910169164983864"/>
    <s v="Contributions From Individuals/Persons Other Than Political Committees"/>
  </r>
  <r>
    <s v="C00364778"/>
    <x v="0"/>
    <n v="2019"/>
    <s v="M12"/>
    <n v="2.01912169166292E+17"/>
    <s v="11AI"/>
    <s v="A2019-2693996"/>
    <n v="1366330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84"/>
    <n v="20"/>
    <n v="4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688645831"/>
    <m/>
    <m/>
    <m/>
    <s v="F3X"/>
    <n v="4.1216201916815201E+18"/>
    <s v="t"/>
    <m/>
    <n v="2020"/>
    <s v="SA"/>
    <m/>
    <n v="4.1216201916815401E+18"/>
    <s v="http://docquery.fec.gov/cgi-bin/fecimg/?201912169166292230"/>
    <s v="Contributions From Individuals/Persons Other Than Political Committees"/>
  </r>
  <r>
    <s v="C00364778"/>
    <x v="0"/>
    <n v="2019"/>
    <s v="M12"/>
    <n v="2.01912169166292E+17"/>
    <s v="11AI"/>
    <s v="A2019-2731332"/>
    <n v="1366330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99"/>
    <n v="20"/>
    <n v="4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688645831"/>
    <m/>
    <m/>
    <m/>
    <s v="F3X"/>
    <n v="4.1216201916815201E+18"/>
    <s v="t"/>
    <m/>
    <n v="2020"/>
    <s v="SA"/>
    <m/>
    <n v="4.1216201916815401E+18"/>
    <s v="http://docquery.fec.gov/cgi-bin/fecimg/?201912169166292230"/>
    <s v="Contributions From Individuals/Persons Other Than Political Committees"/>
  </r>
  <r>
    <s v="C00364778"/>
    <x v="0"/>
    <n v="2019"/>
    <s v="M11"/>
    <n v="2.0191114916550099E+17"/>
    <s v="11AI"/>
    <s v="A2019-2451416"/>
    <n v="1362663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53"/>
    <n v="20"/>
    <n v="3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84.092124675924"/>
    <m/>
    <m/>
    <m/>
    <s v="F3X"/>
    <n v="4.1114201916786601E+18"/>
    <s v="t"/>
    <m/>
    <n v="2020"/>
    <s v="SA"/>
    <m/>
    <n v="4.1114201916786801E+18"/>
    <s v="http://docquery.fec.gov/cgi-bin/fecimg/?201911149165501120"/>
    <s v="Contributions From Individuals/Persons Other Than Political Committees"/>
  </r>
  <r>
    <s v="C00364778"/>
    <x v="0"/>
    <n v="2019"/>
    <s v="M11"/>
    <n v="2.0191114916550099E+17"/>
    <s v="11AI"/>
    <s v="A2019-2515758"/>
    <n v="1362663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769"/>
    <n v="2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84.092124675924"/>
    <m/>
    <m/>
    <m/>
    <s v="F3X"/>
    <n v="4.1114201916786601E+18"/>
    <s v="t"/>
    <m/>
    <n v="2020"/>
    <s v="SA"/>
    <m/>
    <n v="4.1114201916786801E+18"/>
    <s v="http://docquery.fec.gov/cgi-bin/fecimg/?201911149165501120"/>
    <s v="Contributions From Individuals/Persons Other Than Political Committees"/>
  </r>
  <r>
    <s v="C00364778"/>
    <x v="0"/>
    <n v="2020"/>
    <s v="M8"/>
    <n v="2.0200814926130499E+17"/>
    <s v="11AI"/>
    <s v="A2020-1622593"/>
    <n v="143222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43"/>
    <n v="20"/>
    <n v="2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69.158910034719"/>
    <m/>
    <m/>
    <m/>
    <s v="F3X"/>
    <n v="4.08152020182882E+18"/>
    <s v="t"/>
    <m/>
    <n v="2020"/>
    <s v="SA"/>
    <m/>
    <n v="4.0826202018309699E+18"/>
    <s v="http://docquery.fec.gov/cgi-bin/fecimg/?202008149261305110"/>
    <s v="Contributions From Individuals/Persons Other Than Political Committees"/>
  </r>
  <r>
    <s v="C00364778"/>
    <x v="0"/>
    <n v="2020"/>
    <s v="M8"/>
    <n v="2.0200814926130499E+17"/>
    <s v="11AI"/>
    <s v="A2020-1601507"/>
    <n v="143222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27"/>
    <n v="20"/>
    <n v="2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69.176571203701"/>
    <m/>
    <m/>
    <m/>
    <s v="F3X"/>
    <n v="4.08152020182882E+18"/>
    <s v="t"/>
    <m/>
    <n v="2020"/>
    <s v="SA"/>
    <m/>
    <n v="4.0826202018309699E+18"/>
    <s v="http://docquery.fec.gov/cgi-bin/fecimg/?202008149261305110"/>
    <s v="Contributions From Individuals/Persons Other Than Political Committees"/>
  </r>
  <r>
    <s v="C00364778"/>
    <x v="0"/>
    <n v="2020"/>
    <s v="30G"/>
    <n v="2.0201202933741501E+17"/>
    <s v="11AI"/>
    <s v="A2020-2214272"/>
    <n v="1476126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19"/>
    <n v="20"/>
    <n v="3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3197916668"/>
    <m/>
    <m/>
    <m/>
    <s v="F3X"/>
    <n v="4.1203202019631401E+18"/>
    <s v="t"/>
    <m/>
    <n v="2020"/>
    <s v="SA"/>
    <m/>
    <n v="4.1218202019773599E+18"/>
    <s v="https://docquery.fec.gov/cgi-bin/fecimg/?202012029337415169"/>
    <s v="Contributions From Individuals/Persons Other Than Political Committees"/>
  </r>
  <r>
    <s v="C00364778"/>
    <x v="0"/>
    <n v="2020"/>
    <s v="30G"/>
    <n v="2.0201202933741501E+17"/>
    <s v="11AI"/>
    <s v="A2020-2352783"/>
    <n v="1476126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35"/>
    <n v="20"/>
    <n v="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3197916668"/>
    <m/>
    <m/>
    <m/>
    <s v="F3X"/>
    <n v="4.1203202019631401E+18"/>
    <s v="t"/>
    <m/>
    <n v="2020"/>
    <s v="SA"/>
    <m/>
    <n v="4.1218202019773599E+18"/>
    <s v="https://docquery.fec.gov/cgi-bin/fecimg/?202012029337415169"/>
    <s v="Contributions From Individuals/Persons Other Than Political Committees"/>
  </r>
  <r>
    <s v="C00364778"/>
    <x v="0"/>
    <n v="2020"/>
    <s v="30G"/>
    <n v="2.0201202933741501E+17"/>
    <s v="11AI"/>
    <s v="A2020-2421424"/>
    <n v="1476126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50"/>
    <n v="20"/>
    <n v="4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3197916668"/>
    <m/>
    <m/>
    <m/>
    <s v="F3X"/>
    <n v="4.1203202019631401E+18"/>
    <s v="t"/>
    <m/>
    <n v="2020"/>
    <s v="SA"/>
    <m/>
    <n v="4.1218202019773599E+18"/>
    <s v="https://docquery.fec.gov/cgi-bin/fecimg/?202012029337415170"/>
    <s v="Contributions From Individuals/Persons Other Than Political Committees"/>
  </r>
  <r>
    <s v="C00364778"/>
    <x v="0"/>
    <n v="2020"/>
    <s v="M7"/>
    <n v="2.0200720926010598E+17"/>
    <s v="11AI"/>
    <s v="A2020-1336502"/>
    <n v="142730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3997"/>
    <n v="20"/>
    <n v="2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43.159349768517"/>
    <m/>
    <m/>
    <m/>
    <s v="F3X"/>
    <n v="4.0720202017911798E+18"/>
    <s v="t"/>
    <m/>
    <n v="2020"/>
    <s v="SA"/>
    <m/>
    <n v="4.0731202018101898E+18"/>
    <s v="http://docquery.fec.gov/cgi-bin/fecimg/?202007209260106170"/>
    <s v="Contributions From Individuals/Persons Other Than Political Committees"/>
  </r>
  <r>
    <s v="C00364778"/>
    <x v="0"/>
    <n v="2020"/>
    <s v="M7"/>
    <n v="2.0200720926010598E+17"/>
    <s v="11AI"/>
    <s v="A2020-1377904"/>
    <n v="1427301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12"/>
    <n v="20"/>
    <n v="2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43.159349768517"/>
    <m/>
    <m/>
    <m/>
    <s v="F3X"/>
    <n v="4.0720202017911798E+18"/>
    <s v="t"/>
    <m/>
    <n v="2020"/>
    <s v="SA"/>
    <m/>
    <n v="4.0731202018101898E+18"/>
    <s v="http://docquery.fec.gov/cgi-bin/fecimg/?202007209260106170"/>
    <s v="Contributions From Individuals/Persons Other Than Political Committees"/>
  </r>
  <r>
    <s v="C00364778"/>
    <x v="0"/>
    <n v="2020"/>
    <s v="M9"/>
    <n v="2.02009179267228E+17"/>
    <s v="11AI"/>
    <s v="A2020-1687289"/>
    <n v="143870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58"/>
    <n v="20"/>
    <n v="3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3.150736620373"/>
    <m/>
    <m/>
    <m/>
    <s v="F3X"/>
    <n v="4.0918202018489201E+18"/>
    <s v="t"/>
    <m/>
    <n v="2020"/>
    <s v="SA"/>
    <m/>
    <n v="4.0919202018490701E+18"/>
    <s v="http://docquery.fec.gov/cgi-bin/fecimg/?202009179267228683"/>
    <s v="Contributions From Individuals/Persons Other Than Political Committees"/>
  </r>
  <r>
    <s v="C00364778"/>
    <x v="0"/>
    <n v="2020"/>
    <s v="M9"/>
    <n v="2.02009179267228E+17"/>
    <s v="11AI"/>
    <s v="A2020-1879757"/>
    <n v="143870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74"/>
    <n v="20"/>
    <n v="32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3.150736620373"/>
    <m/>
    <m/>
    <m/>
    <s v="F3X"/>
    <n v="4.0918202018489201E+18"/>
    <s v="t"/>
    <m/>
    <n v="2020"/>
    <s v="SA"/>
    <m/>
    <n v="4.0919202018490701E+18"/>
    <s v="http://docquery.fec.gov/cgi-bin/fecimg/?202009179267228683"/>
    <s v="Contributions From Individuals/Persons Other Than Political Committees"/>
  </r>
  <r>
    <s v="C00364778"/>
    <x v="0"/>
    <n v="2020"/>
    <s v="M10"/>
    <n v="2.0201016929694598E+17"/>
    <s v="11AI"/>
    <s v="A2020-1978173"/>
    <n v="1453323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089"/>
    <n v="20"/>
    <n v="3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56.161213680556"/>
    <m/>
    <m/>
    <m/>
    <s v="F3X"/>
    <n v="4.10162020185858E+18"/>
    <s v="t"/>
    <m/>
    <n v="2020"/>
    <s v="SA"/>
    <m/>
    <n v="4.1121202019599201E+18"/>
    <s v="http://docquery.fec.gov/cgi-bin/fecimg/?202010169296946572"/>
    <s v="Contributions From Individuals/Persons Other Than Political Committees"/>
  </r>
  <r>
    <s v="C00364778"/>
    <x v="0"/>
    <n v="2020"/>
    <s v="M10"/>
    <n v="2.0201016929694598E+17"/>
    <s v="11AI"/>
    <s v="A2020-2135325"/>
    <n v="1453323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04"/>
    <n v="20"/>
    <n v="3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56.161213680556"/>
    <m/>
    <m/>
    <m/>
    <s v="F3X"/>
    <n v="4.10162020185858E+18"/>
    <s v="t"/>
    <m/>
    <n v="2020"/>
    <s v="SA"/>
    <m/>
    <n v="4.1121202019599201E+18"/>
    <s v="http://docquery.fec.gov/cgi-bin/fecimg/?202010169296946572"/>
    <s v="Contributions From Individuals/Persons Other Than Political Committees"/>
  </r>
  <r>
    <s v="C00364778"/>
    <x v="0"/>
    <n v="2020"/>
    <s v="YE"/>
    <n v="2.0210125940539398E+17"/>
    <s v="11AI"/>
    <s v="A2020-2581935"/>
    <n v="149035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65"/>
    <n v="20"/>
    <n v="44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19849536"/>
    <m/>
    <m/>
    <m/>
    <s v="F3X"/>
    <n v="4.0125202121377597E+18"/>
    <s v="t"/>
    <m/>
    <n v="2020"/>
    <s v="SA"/>
    <m/>
    <n v="4.01272021213811E+18"/>
    <s v="https://docquery.fec.gov/cgi-bin/fecimg/?202101259405394822"/>
    <s v="Contributions From Individuals/Persons Other Than Political Committees"/>
  </r>
  <r>
    <s v="C00364778"/>
    <x v="0"/>
    <n v="2020"/>
    <s v="YE"/>
    <n v="2.0210125940539398E+17"/>
    <s v="11AI"/>
    <s v="A2020-2704843"/>
    <n v="149035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80"/>
    <n v="20"/>
    <n v="46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19849536"/>
    <m/>
    <m/>
    <m/>
    <s v="F3X"/>
    <n v="4.0125202121377597E+18"/>
    <s v="t"/>
    <m/>
    <n v="2020"/>
    <s v="SA"/>
    <m/>
    <n v="4.01272021213811E+18"/>
    <s v="https://docquery.fec.gov/cgi-bin/fecimg/?202101259405394822"/>
    <s v="Contributions From Individuals/Persons Other Than Political Committees"/>
  </r>
  <r>
    <s v="C00364778"/>
    <x v="0"/>
    <n v="2020"/>
    <s v="YE"/>
    <n v="2.0210125940539398E+17"/>
    <s v="11AI"/>
    <s v="A2020-2738826"/>
    <n v="1490358"/>
    <m/>
    <s v="IND"/>
    <s v="INDIVIDUAL"/>
    <m/>
    <m/>
    <s v="DONOFRIO, PAUL M"/>
    <s v="Q"/>
    <s v="C"/>
    <s v="B"/>
    <s v="PAUL"/>
    <s v="M"/>
    <s v="DONOFRIO"/>
    <m/>
    <s v="ONE BRYANT PARK"/>
    <m/>
    <s v="NEW YORK"/>
    <s v="NY"/>
    <n v="10036"/>
    <s v="BANK OF AMERICA"/>
    <s v="CHIEF FINANCIAL OFFICER"/>
    <m/>
    <n v="15"/>
    <s v="CONTRIBUTION"/>
    <m/>
    <m/>
    <m/>
    <n v="44196"/>
    <n v="20"/>
    <n v="48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19849536"/>
    <m/>
    <m/>
    <m/>
    <s v="F3X"/>
    <n v="4.0125202121377597E+18"/>
    <s v="t"/>
    <m/>
    <n v="2020"/>
    <s v="SA"/>
    <m/>
    <n v="4.01272021213811E+18"/>
    <s v="https://docquery.fec.gov/cgi-bin/fecimg/?202101259405394822"/>
    <s v="Contributions From Individuals/Persons Other Than Political Committees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86">
  <r>
    <s v="C00370056"/>
    <x v="0"/>
    <n v="2019"/>
    <s v="Q1"/>
    <n v="2.01907159150604E+17"/>
    <n v="12"/>
    <s v="A8A06EDE5B6524991B6F"/>
    <n v="133926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52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3662.17352640046"/>
    <m/>
    <s v="AF978B0A2FE2B4C5B9C8"/>
    <s v="SA12"/>
    <s v="F3"/>
    <n v="4.07152019165954E+18"/>
    <s v="t"/>
    <m/>
    <n v="2020"/>
    <s v="SA"/>
    <m/>
    <n v="4.0715201916595599E+18"/>
    <s v="http://docquery.fec.gov/cgi-bin/fecimg/?201907159150604201"/>
    <s v="Transfers from authorized committees"/>
  </r>
  <r>
    <s v="C00370056"/>
    <x v="0"/>
    <n v="2019"/>
    <s v="Q1"/>
    <n v="2.01907159150604E+17"/>
    <n v="12"/>
    <s v="AE8CA03E4223B41728D1"/>
    <n v="133926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52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662.173526469909"/>
    <m/>
    <s v="A0AB6B94AEA1F4BC2AAB"/>
    <s v="SA12"/>
    <s v="F3"/>
    <n v="4.07152019165954E+18"/>
    <s v="t"/>
    <m/>
    <n v="2020"/>
    <s v="SA"/>
    <m/>
    <n v="4.0715201916595599E+18"/>
    <s v="http://docquery.fec.gov/cgi-bin/fecimg/?201907159150604212"/>
    <s v="Transfers from authorized committees"/>
  </r>
  <r>
    <s v="C00551275"/>
    <x v="1"/>
    <n v="2019"/>
    <s v="Q1"/>
    <n v="2.0190823916310099E+17"/>
    <n v="12"/>
    <s v="SA12.10212"/>
    <n v="1349484"/>
    <m/>
    <s v="IND"/>
    <s v="INDIVIDUAL"/>
    <m/>
    <s v="MR."/>
    <s v="MONTAG, THOMAS MR."/>
    <s v="H"/>
    <m/>
    <s v="P"/>
    <s v="THOMAS"/>
    <m/>
    <s v="MONTAG"/>
    <m/>
    <s v="127 EAST 73RD STREE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3702.107113738428"/>
    <m/>
    <s v="SA12.10143"/>
    <s v="SA12"/>
    <s v="F3"/>
    <n v="4.0823201916710502E+18"/>
    <s v="t"/>
    <s v="JFC ATTRIB: TAKE BACK THE HOUSE 2020"/>
    <n v="2020"/>
    <s v="SA"/>
    <m/>
    <n v="4.0824201916720799E+18"/>
    <s v="http://docquery.fec.gov/cgi-bin/fecimg/?201908239163101342"/>
    <s v="Transfers from authorized committees"/>
  </r>
  <r>
    <s v="C00551275"/>
    <x v="1"/>
    <n v="2019"/>
    <s v="Q1"/>
    <n v="2.0190823916310099E+17"/>
    <n v="12"/>
    <s v="SA12.10210"/>
    <n v="1349484"/>
    <m/>
    <s v="IND"/>
    <s v="INDIVIDUAL"/>
    <m/>
    <s v="MR."/>
    <s v="MONTAG, THOMAS MR."/>
    <s v="H"/>
    <m/>
    <s v="P"/>
    <s v="THOMAS"/>
    <m/>
    <s v="MONTAG"/>
    <m/>
    <s v="127 EAST 73RD STREE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02.107113854167"/>
    <m/>
    <s v="SA12.10144"/>
    <s v="SA12"/>
    <s v="F3"/>
    <n v="4.0823201916710502E+18"/>
    <s v="t"/>
    <s v="JFC ATTRIB: TAKE BACK THE HOUSE 2020"/>
    <n v="2020"/>
    <s v="SA"/>
    <m/>
    <n v="4.0824201916720799E+18"/>
    <s v="http://docquery.fec.gov/cgi-bin/fecimg/?201908239163101357"/>
    <s v="Transfers from authorized committees"/>
  </r>
  <r>
    <s v="C00662650"/>
    <x v="2"/>
    <n v="2019"/>
    <s v="Q1"/>
    <n v="2.01908269163104E+17"/>
    <n v="12"/>
    <s v="AF98594688AEF4D63847"/>
    <n v="1349830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05.109424907409"/>
    <m/>
    <s v="AEC113F4AED7542E1A2E"/>
    <s v="SA12"/>
    <s v="F3"/>
    <n v="4.0826201916720799E+18"/>
    <s v="t"/>
    <m/>
    <n v="2020"/>
    <s v="SA"/>
    <m/>
    <n v="4.0827201916720901E+18"/>
    <s v="http://docquery.fec.gov/cgi-bin/fecimg/?201908269163104886"/>
    <s v="Transfers from authorized committees"/>
  </r>
  <r>
    <s v="C00629949"/>
    <x v="3"/>
    <n v="2019"/>
    <s v="Q1"/>
    <n v="2.0210404944306202E+17"/>
    <n v="12"/>
    <s v="SA12.22557"/>
    <n v="1507515"/>
    <m/>
    <s v="IND"/>
    <s v="INDIVIDUAL"/>
    <m/>
    <m/>
    <s v="MONTAG, THOMAS"/>
    <s v="H"/>
    <m/>
    <s v="P"/>
    <s v="THOMAS"/>
    <m/>
    <s v="MONTAG"/>
    <m/>
    <s v="127 E 73RD ST."/>
    <s v="NEW YORK"/>
    <s v="NY"/>
    <s v="NY"/>
    <n v="100213502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292.173603819443"/>
    <m/>
    <s v="SA12.22462"/>
    <s v="SA12"/>
    <s v="F3"/>
    <n v="4.0405202112748498E+18"/>
    <s v="t"/>
    <s v="JFC ATTRIB: TAKE BACK THE HOUSE 2020"/>
    <n v="2020"/>
    <s v="SA"/>
    <m/>
    <n v="4.0406202112748902E+18"/>
    <s v="https://docquery.fec.gov/cgi-bin/fecimg/?202104049443062349"/>
    <s v="Transfers from authorized committees"/>
  </r>
  <r>
    <s v="C00499236"/>
    <x v="4"/>
    <n v="2019"/>
    <s v="Q1"/>
    <n v="2.01904159146156E+17"/>
    <n v="12"/>
    <s v="SA12-TI68-12"/>
    <n v="132537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372314816"/>
    <m/>
    <m/>
    <m/>
    <s v="F3"/>
    <n v="4.0415201916463299E+18"/>
    <s v="t"/>
    <s v="TAKE BACK THE HOUSE 2020"/>
    <n v="2020"/>
    <s v="SA"/>
    <m/>
    <n v="4.0420201916469202E+18"/>
    <s v="http://docquery.fec.gov/cgi-bin/fecimg/?201904159146156641"/>
    <s v="Transfers from authorized committees"/>
  </r>
  <r>
    <s v="C00200584"/>
    <x v="5"/>
    <n v="2019"/>
    <s v="Q1"/>
    <n v="2.0190415914620099E+17"/>
    <n v="12"/>
    <s v="A0F26B28663C24330B76"/>
    <n v="132599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13854165"/>
    <m/>
    <s v="A01D3BDD21E974F85ACC"/>
    <s v="SA12"/>
    <s v="F3"/>
    <n v="4.0415201916463299E+18"/>
    <s v="t"/>
    <m/>
    <n v="2020"/>
    <s v="SA"/>
    <m/>
    <n v="4.0420201916469299E+18"/>
    <s v="http://docquery.fec.gov/cgi-bin/fecimg/?201904159146201998"/>
    <s v="Transfers from authorized committees"/>
  </r>
  <r>
    <s v="C00509422"/>
    <x v="6"/>
    <n v="2019"/>
    <s v="Q1"/>
    <n v="2.0190605914992998E+17"/>
    <n v="12"/>
    <s v="IDTA382"/>
    <n v="1333095"/>
    <m/>
    <s v="IND"/>
    <s v="INDIVIDUAL"/>
    <m/>
    <m/>
    <s v="MONTAG, THOMAS"/>
    <s v="H"/>
    <m/>
    <s v="P"/>
    <s v="THOMAS"/>
    <m/>
    <s v="MONTAG"/>
    <m/>
    <s v="127 E 73RD ST.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s v="TAKE BACK THE HOUSE 2020"/>
    <s v="P.O. BOX 30844"/>
    <m/>
    <s v="BETHESDA"/>
    <s v="MD"/>
    <n v="20824"/>
    <m/>
    <m/>
    <s v="P2020"/>
    <m/>
    <s v="PRIMARY"/>
    <n v="2020"/>
    <s v="C"/>
    <s v="CHANGE"/>
    <s v="ITEMIZED RECEIPTS"/>
    <n v="43623.113017673611"/>
    <m/>
    <s v="INCA6250"/>
    <s v="SA12"/>
    <s v="F3"/>
    <n v="4.0605201916574899E+18"/>
    <s v="t"/>
    <m/>
    <n v="2020"/>
    <s v="SA"/>
    <m/>
    <n v="4.0606201916575099E+18"/>
    <s v="http://docquery.fec.gov/cgi-bin/fecimg/?201906059149930841"/>
    <s v="Transfers from authorized committees"/>
  </r>
  <r>
    <s v="C00660795"/>
    <x v="7"/>
    <n v="2019"/>
    <s v="Q1"/>
    <n v="2.0190415914634598E+17"/>
    <n v="12"/>
    <s v="A3FC01698873245299B8"/>
    <n v="1326297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204906018516"/>
    <m/>
    <s v="A1AA4651CF89B4DF0B62"/>
    <s v="SA12"/>
    <s v="F3"/>
    <n v="4.0416201916464302E+18"/>
    <s v="t"/>
    <m/>
    <n v="2020"/>
    <s v="SA"/>
    <m/>
    <n v="4.04182019164685E+18"/>
    <s v="http://docquery.fec.gov/cgi-bin/fecimg/?201904159146346790"/>
    <s v="Transfers from authorized committees"/>
  </r>
  <r>
    <s v="C00662767"/>
    <x v="8"/>
    <n v="2019"/>
    <s v="Q1"/>
    <n v="2.0190415914616998E+17"/>
    <n v="12"/>
    <s v="SA12.12525"/>
    <n v="132561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201895775463"/>
    <m/>
    <s v="SA12.12492"/>
    <s v="SA12"/>
    <s v="F3"/>
    <n v="4.0415201916463299E+18"/>
    <s v="t"/>
    <s v="JFC ATTRIB: TAKE BACK THE HOUSE 2020"/>
    <n v="2020"/>
    <s v="SA"/>
    <m/>
    <n v="4.0418201916468198E+18"/>
    <s v="http://docquery.fec.gov/cgi-bin/fecimg/?201904159146170808"/>
    <s v="Transfers from authorized committees"/>
  </r>
  <r>
    <s v="C00373001"/>
    <x v="9"/>
    <n v="2019"/>
    <s v="Q1"/>
    <n v="2.0190415914636E+17"/>
    <n v="12"/>
    <s v="A90980EB059D34DF08C5"/>
    <n v="1326357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54629628"/>
    <m/>
    <s v="AA5FE2A2980CC458099A"/>
    <s v="SA12"/>
    <s v="F3"/>
    <n v="4.0416201916464302E+18"/>
    <s v="t"/>
    <m/>
    <n v="2020"/>
    <s v="SA"/>
    <m/>
    <n v="4.0420201916469402E+18"/>
    <s v="http://docquery.fec.gov/cgi-bin/fecimg/?201904159146360044"/>
    <s v="Transfers from authorized committees"/>
  </r>
  <r>
    <s v="C00527457"/>
    <x v="10"/>
    <n v="2019"/>
    <s v="Q1"/>
    <n v="2.0190415914617101E+17"/>
    <n v="12"/>
    <s v="A786728708555463AA95"/>
    <n v="132563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418831017"/>
    <m/>
    <s v="A5069661D0E914823955"/>
    <s v="SA12"/>
    <s v="F3"/>
    <n v="4.0415201916463299E+18"/>
    <s v="t"/>
    <m/>
    <n v="2020"/>
    <s v="SA"/>
    <m/>
    <n v="4.0420201916469202E+18"/>
    <s v="http://docquery.fec.gov/cgi-bin/fecimg/?201904159146171979"/>
    <s v="Transfers from authorized committees"/>
  </r>
  <r>
    <s v="C00527457"/>
    <x v="10"/>
    <n v="2019"/>
    <s v="Q1"/>
    <n v="2.0190415914617101E+17"/>
    <n v="12"/>
    <s v="A2B62F90B2B3F42D4985"/>
    <n v="132563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41888889"/>
    <m/>
    <s v="A45D20F100A22429E904"/>
    <s v="SA12"/>
    <s v="F3"/>
    <n v="4.0415201916463299E+18"/>
    <s v="t"/>
    <m/>
    <n v="2020"/>
    <s v="SA"/>
    <m/>
    <n v="4.0420201916469202E+18"/>
    <s v="http://docquery.fec.gov/cgi-bin/fecimg/?201904159146171992"/>
    <s v="Transfers from authorized committees"/>
  </r>
  <r>
    <s v="C00575167"/>
    <x v="11"/>
    <n v="2019"/>
    <s v="Q1"/>
    <n v="2.0190713915058701E+17"/>
    <n v="12"/>
    <s v="AD29701CC3CB140DD8F6"/>
    <n v="1338851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53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673.109525057873"/>
    <m/>
    <s v="AB5ED80FB6E554FF3AC6"/>
    <s v="SA12"/>
    <s v="F3"/>
    <n v="4.0713201916593603E+18"/>
    <s v="t"/>
    <s v="TAKE BACK THE HOUSE TRANSFER MEMO"/>
    <n v="2020"/>
    <s v="SA"/>
    <m/>
    <n v="4.0726201916613202E+18"/>
    <s v="http://docquery.fec.gov/cgi-bin/fecimg/?201907139150587553"/>
    <s v="Transfers from authorized committees"/>
  </r>
  <r>
    <s v="C00545467"/>
    <x v="12"/>
    <n v="2019"/>
    <s v="Q1"/>
    <n v="2.0190722915161402E+17"/>
    <n v="12"/>
    <s v="SA12.58942"/>
    <n v="1343250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JFC TRANSFER: TAKE BACK THE HOUSE [SA12.54376]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673.109885451391"/>
    <m/>
    <m/>
    <m/>
    <s v="F3"/>
    <n v="4.0722201916607401E+18"/>
    <s v="t"/>
    <m/>
    <n v="2020"/>
    <s v="SA"/>
    <m/>
    <n v="4.0726201916613499E+18"/>
    <s v="http://docquery.fec.gov/cgi-bin/fecimg/?201907229151614283"/>
    <s v="Transfers from authorized committees"/>
  </r>
  <r>
    <s v="C00677286"/>
    <x v="13"/>
    <n v="2019"/>
    <s v="Q1"/>
    <n v="2.0190715915099802E+17"/>
    <n v="12"/>
    <s v="AA92E907DBFFC4575B1D"/>
    <n v="1340871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3673.110211608793"/>
    <m/>
    <s v="A0294E4D1449B4699B4D"/>
    <s v="SA12"/>
    <s v="F3"/>
    <n v="4.0716201916595799E+18"/>
    <s v="t"/>
    <m/>
    <n v="2020"/>
    <s v="SA"/>
    <m/>
    <n v="4.0726201916614001E+18"/>
    <s v="http://docquery.fec.gov/cgi-bin/fecimg/?201907159150998463"/>
    <s v="Transfers from authorized committees"/>
  </r>
  <r>
    <s v="C00677286"/>
    <x v="13"/>
    <n v="2019"/>
    <s v="Q1"/>
    <n v="2.0190715915099802E+17"/>
    <n v="12"/>
    <s v="A0F28D5E6F24245DF908"/>
    <n v="1340871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673.110233703701"/>
    <m/>
    <s v="A325F370CFE854A9D9E8"/>
    <s v="SA12"/>
    <s v="F3"/>
    <n v="4.0716201916595799E+18"/>
    <s v="t"/>
    <m/>
    <n v="2020"/>
    <s v="SA"/>
    <m/>
    <n v="4.0726201916614001E+18"/>
    <s v="http://docquery.fec.gov/cgi-bin/fecimg/?201907159150998471"/>
    <s v="Transfers from authorized committees"/>
  </r>
  <r>
    <s v="C00660050"/>
    <x v="14"/>
    <n v="2019"/>
    <s v="Q1"/>
    <n v="2.01907159150896E+17"/>
    <n v="12"/>
    <s v="AB3926BF1261640379FE"/>
    <n v="134063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673.110234814812"/>
    <m/>
    <s v="A8C490F2A64184F05BB0"/>
    <s v="SA12"/>
    <s v="F3"/>
    <n v="4.07152019165954E+18"/>
    <s v="t"/>
    <m/>
    <n v="2020"/>
    <s v="SA"/>
    <m/>
    <n v="4.0726201916614001E+18"/>
    <s v="http://docquery.fec.gov/cgi-bin/fecimg/?201907159150896218"/>
    <s v="Transfers from authorized committees"/>
  </r>
  <r>
    <s v="C00540617"/>
    <x v="15"/>
    <n v="2019"/>
    <s v="Q1"/>
    <n v="2.0190415914633299E+17"/>
    <n v="12"/>
    <s v="ABFB61C230FC44118826"/>
    <n v="1326169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2.114679837963"/>
    <m/>
    <s v="A701E59EC73974E42961"/>
    <s v="SA12"/>
    <s v="F3"/>
    <n v="4.0415201916463299E+18"/>
    <s v="t"/>
    <m/>
    <n v="2020"/>
    <s v="SA"/>
    <m/>
    <n v="4.0416201916464599E+18"/>
    <s v="http://docquery.fec.gov/cgi-bin/fecimg/?201904159146333859"/>
    <s v="Transfers from authorized committees"/>
  </r>
  <r>
    <s v="C00663914"/>
    <x v="16"/>
    <n v="2019"/>
    <s v="Q1"/>
    <n v="2.0190415914616198E+17"/>
    <n v="12"/>
    <s v="ADE9417B3DE9F43F5A55"/>
    <n v="1325492"/>
    <m/>
    <s v="IND"/>
    <s v="INDIVIDUAL"/>
    <m/>
    <m/>
    <s v="MONTAG, THOMAS"/>
    <s v="H"/>
    <m/>
    <s v="P"/>
    <s v="THOMAS"/>
    <m/>
    <s v="MONTAG"/>
    <m/>
    <s v="127 E. 73RD STREET"/>
    <m/>
    <s v="NEW YORK"/>
    <s v="NY"/>
    <n v="100213502"/>
    <s v="BANK OF AMERICA"/>
    <s v="COO"/>
    <m/>
    <s v="15J"/>
    <s v="MEMO (FILER'S % OF CONTRIBUTION GIVEN TO JOIN"/>
    <m/>
    <s v="X"/>
    <m/>
    <n v="43552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7575729164"/>
    <m/>
    <s v="AEB33E23199684E29A6C"/>
    <s v="SA12"/>
    <s v="F3"/>
    <n v="4.0415201916463299E+18"/>
    <s v="t"/>
    <m/>
    <n v="2020"/>
    <s v="SA"/>
    <m/>
    <n v="4.0415201916464102E+18"/>
    <s v="http://docquery.fec.gov/cgi-bin/fecimg/?201904159146162354"/>
    <s v="Transfers from authorized committees"/>
  </r>
  <r>
    <s v="C00096412"/>
    <x v="17"/>
    <n v="2019"/>
    <s v="Q1"/>
    <n v="2.0190415914638598E+17"/>
    <n v="12"/>
    <s v="ACA8ADE04DD5E4AF79D9"/>
    <n v="1326500"/>
    <m/>
    <s v="IND"/>
    <s v="INDIVIDUAL"/>
    <m/>
    <s v="MR."/>
    <s v="MONTAG, THOMAS MR."/>
    <s v="H"/>
    <m/>
    <s v="P"/>
    <s v="THOMAS"/>
    <m/>
    <s v="MONTAG"/>
    <m/>
    <s v="127 E 73RD ST."/>
    <m/>
    <s v="NEW YORK"/>
    <s v="NY"/>
    <n v="100213502"/>
    <s v="BANK OF AMERICA"/>
    <s v="COO"/>
    <m/>
    <s v="15J"/>
    <s v="MEMO (FILER'S % OF CONTRIBUTION GIVEN TO JOIN"/>
    <m/>
    <s v="X"/>
    <m/>
    <n v="43539"/>
    <n v="2651.21"/>
    <n v="2651.21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73819443"/>
    <m/>
    <s v="A25EB3FD32F174DE4A44"/>
    <s v="SA12"/>
    <s v="F3"/>
    <n v="4.0416201916464302E+18"/>
    <s v="t"/>
    <m/>
    <n v="2020"/>
    <s v="SA"/>
    <m/>
    <n v="4.0420201916469402E+18"/>
    <s v="http://docquery.fec.gov/cgi-bin/fecimg/?201904159146386427"/>
    <s v="Transfers from authorized committees"/>
  </r>
  <r>
    <s v="C00012229"/>
    <x v="18"/>
    <n v="2019"/>
    <s v="Q1"/>
    <n v="2.0200120916727699E+17"/>
    <n v="12"/>
    <s v="AB7E50C6ACC224477ADF"/>
    <n v="1371459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55"/>
    <n v="2651.21"/>
    <n v="2651.21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852.068352361108"/>
    <m/>
    <s v="A628151178B6E42448F2"/>
    <s v="SA12"/>
    <s v="F3"/>
    <n v="4.0120202016853202E+18"/>
    <s v="t"/>
    <m/>
    <n v="2020"/>
    <s v="SA"/>
    <m/>
    <n v="4.0121202016853601E+18"/>
    <s v="http://docquery.fec.gov/cgi-bin/fecimg/?202001209167277812"/>
    <s v="Transfers from authorized committees"/>
  </r>
  <r>
    <s v="C00546499"/>
    <x v="19"/>
    <n v="2019"/>
    <s v="Q1"/>
    <n v="2.0190415914619901E+17"/>
    <n v="12"/>
    <s v="A10890455726749A3B80"/>
    <n v="1325974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3300185187"/>
    <m/>
    <s v="AEC02A7CB062A491599E"/>
    <s v="SA12"/>
    <s v="F3"/>
    <n v="4.0415201916463299E+18"/>
    <s v="t"/>
    <m/>
    <n v="2020"/>
    <s v="SA"/>
    <m/>
    <n v="4.0418201916467599E+18"/>
    <s v="http://docquery.fec.gov/cgi-bin/fecimg/?201904159146199971"/>
    <s v="Transfers from authorized committees"/>
  </r>
  <r>
    <s v="C00547893"/>
    <x v="20"/>
    <n v="2019"/>
    <s v="Q1"/>
    <n v="2.0190415914617101E+17"/>
    <n v="12"/>
    <s v="SA12.17706"/>
    <n v="1325632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201719710647"/>
    <m/>
    <s v="SA12.17672"/>
    <s v="SA12"/>
    <s v="F3"/>
    <n v="4.0415201916463299E+18"/>
    <s v="t"/>
    <s v="JFC ATTRIB: TAKE BACK THE HOUSE 2020"/>
    <n v="2020"/>
    <s v="SA"/>
    <m/>
    <n v="4.0418201916468198E+18"/>
    <s v="http://docquery.fec.gov/cgi-bin/fecimg/?201904159146171777"/>
    <s v="Transfers from authorized committees"/>
  </r>
  <r>
    <s v="C00390476"/>
    <x v="21"/>
    <n v="2019"/>
    <s v="Q1"/>
    <n v="2.0190415914616998E+17"/>
    <n v="12"/>
    <s v="SA12.103478"/>
    <n v="1325593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0968483796"/>
    <m/>
    <s v="SA12.103434"/>
    <s v="SA12"/>
    <s v="F3"/>
    <n v="4.0415201916463299E+18"/>
    <s v="t"/>
    <s v="JFC ATTRIB: TAKE BACK THE HOUSE 2020"/>
    <n v="2020"/>
    <s v="SA"/>
    <m/>
    <n v="4.04182019164672E+18"/>
    <s v="http://docquery.fec.gov/cgi-bin/fecimg/?201904159146170059"/>
    <s v="Transfers from authorized committees"/>
  </r>
  <r>
    <s v="C00390724"/>
    <x v="22"/>
    <n v="2019"/>
    <s v="Q1"/>
    <n v="2.0190415914634499E+17"/>
    <n v="12"/>
    <s v="AB46B891E20634B52831"/>
    <n v="1326263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208603819447"/>
    <m/>
    <s v="A38B2ADE61B754826B93"/>
    <s v="SA12"/>
    <s v="F3"/>
    <n v="4.0415201916463299E+18"/>
    <s v="t"/>
    <s v="TRANSFER OF JOINT FUNDRAISING PROCEEDS"/>
    <n v="2020"/>
    <s v="SA"/>
    <m/>
    <n v="4.0418201916468797E+18"/>
    <s v="http://docquery.fec.gov/cgi-bin/fecimg/?201904159146345618"/>
    <s v="Transfers from authorized committees"/>
  </r>
  <r>
    <s v="C00550707"/>
    <x v="23"/>
    <n v="2019"/>
    <s v="Q1"/>
    <n v="2.01904119146072E+17"/>
    <n v="12"/>
    <s v="A31DBC6D0AE994E1C8B0"/>
    <n v="1323781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67.131017997686"/>
    <m/>
    <s v="A29208D256E3F4E7B84E"/>
    <s v="SA12"/>
    <s v="F3"/>
    <n v="4.0411201916461798E+18"/>
    <s v="t"/>
    <m/>
    <n v="2020"/>
    <s v="SA"/>
    <m/>
    <n v="4.04112019164621E+18"/>
    <s v="http://docquery.fec.gov/cgi-bin/fecimg/?201904119146072449"/>
    <s v="Transfers from authorized committees"/>
  </r>
  <r>
    <s v="C00552547"/>
    <x v="24"/>
    <n v="2019"/>
    <s v="Q1"/>
    <n v="2.0190415914636899E+17"/>
    <n v="12"/>
    <s v="SA12.94023.41"/>
    <n v="1326459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s v="JFC-TBTH"/>
    <s v="X"/>
    <m/>
    <n v="43551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7265740739"/>
    <m/>
    <s v="SA12.94023"/>
    <s v="SA12"/>
    <s v="F3"/>
    <n v="4.0416201916464302E+18"/>
    <s v="t"/>
    <m/>
    <n v="2020"/>
    <s v="SA"/>
    <m/>
    <n v="4.0418201916467999E+18"/>
    <s v="http://docquery.fec.gov/cgi-bin/fecimg/?201904159146369644"/>
    <s v="Transfers from authorized committees"/>
  </r>
  <r>
    <s v="C00552547"/>
    <x v="24"/>
    <n v="2019"/>
    <s v="Q1"/>
    <n v="2.0190415914636899E+17"/>
    <n v="12"/>
    <s v="SA12.94118.18"/>
    <n v="1326459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s v="JFC-TBTH"/>
    <s v="X"/>
    <m/>
    <n v="43551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4.197265787036"/>
    <m/>
    <s v="SA12.94118"/>
    <s v="SA12"/>
    <s v="F3"/>
    <n v="4.0416201916464302E+18"/>
    <s v="t"/>
    <m/>
    <n v="2020"/>
    <s v="SA"/>
    <m/>
    <n v="4.0418201916467999E+18"/>
    <s v="http://docquery.fec.gov/cgi-bin/fecimg/?201904159146369653"/>
    <s v="Transfers from authorized committees"/>
  </r>
  <r>
    <s v="C00556365"/>
    <x v="25"/>
    <n v="2019"/>
    <s v="Q1"/>
    <n v="2.0190415914615699E+17"/>
    <n v="12"/>
    <s v="AE88D56BC0AF4439E8CD"/>
    <n v="1325406"/>
    <m/>
    <s v="IND"/>
    <s v="INDIVIDUAL"/>
    <m/>
    <m/>
    <s v="MONTAG, THOMAS"/>
    <s v="H"/>
    <m/>
    <s v="P"/>
    <s v="THOMAS"/>
    <m/>
    <s v="MONTAG"/>
    <m/>
    <s v="127 E 73RD ST."/>
    <m/>
    <s v="NEW YORK"/>
    <s v="NY"/>
    <n v="100213502"/>
    <s v="BANK OF AMERICA"/>
    <s v="COO"/>
    <m/>
    <s v="15J"/>
    <s v="MEMO (FILER'S % OF CONTRIBUTION GIVEN TO JOIN"/>
    <m/>
    <s v="X"/>
    <m/>
    <n v="43553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398240741"/>
    <m/>
    <s v="A55B7F7F06EA54E6F8C8"/>
    <s v="SA12"/>
    <s v="F3"/>
    <n v="4.0415201916463299E+18"/>
    <s v="t"/>
    <s v="TAKE BACK THE HOUSE TRANSFER MEMO"/>
    <n v="2020"/>
    <s v="SA"/>
    <m/>
    <n v="4.0420201916469202E+18"/>
    <s v="http://docquery.fec.gov/cgi-bin/fecimg/?201904159146157854"/>
    <s v="Transfers from authorized committees"/>
  </r>
  <r>
    <s v="C00556365"/>
    <x v="25"/>
    <n v="2019"/>
    <s v="Q1"/>
    <n v="2.0190415914615699E+17"/>
    <n v="12"/>
    <s v="AB7FD990C65E7473AA31"/>
    <n v="1325406"/>
    <m/>
    <s v="IND"/>
    <s v="INDIVIDUAL"/>
    <m/>
    <m/>
    <s v="MONTAG, THOMAS"/>
    <s v="H"/>
    <m/>
    <s v="P"/>
    <s v="THOMAS"/>
    <m/>
    <s v="MONTAG"/>
    <m/>
    <s v="127 E 73RD ST."/>
    <m/>
    <s v="NEW YORK"/>
    <s v="NY"/>
    <n v="100213502"/>
    <s v="BANK OF AMERICA"/>
    <s v="COO"/>
    <m/>
    <s v="15J"/>
    <s v="MEMO (FILER'S % OF CONTRIBUTION GIVEN TO JOIN"/>
    <m/>
    <s v="X"/>
    <m/>
    <n v="43553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398275462"/>
    <m/>
    <s v="A4D9FC3FFFA2B442B947"/>
    <s v="SA12"/>
    <s v="F3"/>
    <n v="4.0415201916463299E+18"/>
    <s v="t"/>
    <s v="TAKE BACK THE HOUSE TRANSFER MEMO"/>
    <n v="2020"/>
    <s v="SA"/>
    <m/>
    <n v="4.0420201916469202E+18"/>
    <s v="http://docquery.fec.gov/cgi-bin/fecimg/?201904159146157865"/>
    <s v="Transfers from authorized committees"/>
  </r>
  <r>
    <s v="C00392688"/>
    <x v="26"/>
    <n v="2019"/>
    <s v="Q1"/>
    <n v="2.0190414914612198E+17"/>
    <n v="12"/>
    <s v="SA1958"/>
    <n v="132477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JFC ALLOCATION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481064812"/>
    <m/>
    <m/>
    <m/>
    <s v="F3"/>
    <n v="4.0415201916463299E+18"/>
    <s v="t"/>
    <m/>
    <n v="2020"/>
    <s v="SA"/>
    <m/>
    <n v="4.0415201916463601E+18"/>
    <s v="http://docquery.fec.gov/cgi-bin/fecimg/?201904149146122893"/>
    <s v="Transfers from authorized committees"/>
  </r>
  <r>
    <s v="C00393348"/>
    <x v="27"/>
    <n v="2019"/>
    <s v="Q1"/>
    <n v="2.0190413914611398E+17"/>
    <n v="12"/>
    <s v="AF9F535BBB3B143F9958"/>
    <n v="1324574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69.11432508102"/>
    <m/>
    <s v="AA8AD42EC02CF413AA9E"/>
    <s v="SA12"/>
    <s v="F3"/>
    <n v="4.0413201916462602E+18"/>
    <s v="t"/>
    <m/>
    <n v="2020"/>
    <s v="SA"/>
    <m/>
    <n v="4.0413201916463099E+18"/>
    <s v="http://docquery.fec.gov/cgi-bin/fecimg/?201904139146114506"/>
    <s v="Transfers from authorized committees"/>
  </r>
  <r>
    <s v="C00561597"/>
    <x v="28"/>
    <n v="2019"/>
    <s v="Q1"/>
    <n v="2.01904159146344E+17"/>
    <n v="12"/>
    <s v="SA12.14817"/>
    <n v="132624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5637037039"/>
    <m/>
    <s v="SA12.14714"/>
    <s v="SA12"/>
    <s v="F3"/>
    <n v="4.0415201916463299E+18"/>
    <s v="t"/>
    <s v="JFC ATTRIB: TAKE BACK THE HOUSE 2020"/>
    <n v="2020"/>
    <s v="SA"/>
    <m/>
    <n v="4.0418201916467799E+18"/>
    <s v="http://docquery.fec.gov/cgi-bin/fecimg/?201904159146344587"/>
    <s v="Transfers from authorized committees"/>
  </r>
  <r>
    <s v="C00412759"/>
    <x v="29"/>
    <n v="2019"/>
    <s v="Q1"/>
    <n v="2.0190415914621699E+17"/>
    <n v="12"/>
    <s v="A70C1F47F26594AA48DA"/>
    <n v="132605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3.117264525463"/>
    <m/>
    <s v="A500C34880A4E4CBC887"/>
    <s v="SA12"/>
    <s v="F3"/>
    <n v="4.0415201916463299E+18"/>
    <s v="t"/>
    <m/>
    <n v="2020"/>
    <s v="SA"/>
    <m/>
    <n v="4.04172019164657E+18"/>
    <s v="http://docquery.fec.gov/cgi-bin/fecimg/?201904159146217694"/>
    <s v="Transfers from authorized committees"/>
  </r>
  <r>
    <s v="C00420935"/>
    <x v="30"/>
    <n v="2019"/>
    <s v="Q1"/>
    <n v="2.0190415914615299E+17"/>
    <n v="12"/>
    <s v="ABF69BABA713F406B863"/>
    <n v="1325330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3502"/>
    <s v="BANK OF AMERICA"/>
    <s v="CHIEF OPERATING OFFICER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7483958333"/>
    <m/>
    <s v="A3270D63DB83C426399C"/>
    <s v="SA12"/>
    <s v="F3"/>
    <n v="4.0415201916463299E+18"/>
    <s v="t"/>
    <m/>
    <n v="2020"/>
    <s v="SA"/>
    <m/>
    <n v="4.0415201916464102E+18"/>
    <s v="http://docquery.fec.gov/cgi-bin/fecimg/?201904159146153334"/>
    <s v="Transfers from authorized committees"/>
  </r>
  <r>
    <s v="C00420935"/>
    <x v="30"/>
    <n v="2019"/>
    <s v="Q1"/>
    <n v="2.0190415914615299E+17"/>
    <n v="12"/>
    <s v="A063DB580FA8A46FEA02"/>
    <n v="1325330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3502"/>
    <s v="BANK OF AMERICA"/>
    <s v="CHIEF OPERATING OFFICER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1.117484340277"/>
    <m/>
    <s v="A145338C3F3664A04BD9"/>
    <s v="SA12"/>
    <s v="F3"/>
    <n v="4.0415201916463299E+18"/>
    <s v="t"/>
    <m/>
    <n v="2020"/>
    <s v="SA"/>
    <m/>
    <n v="4.0415201916464102E+18"/>
    <s v="http://docquery.fec.gov/cgi-bin/fecimg/?201904159146153403"/>
    <s v="Transfers from authorized committees"/>
  </r>
  <r>
    <s v="C00428052"/>
    <x v="31"/>
    <n v="2019"/>
    <s v="M4"/>
    <n v="2.0190418914949402E+17"/>
    <n v="12"/>
    <s v="A74F88E3483094E1DACA"/>
    <n v="1327356"/>
    <m/>
    <s v="IND"/>
    <s v="INDIVIDUAL"/>
    <m/>
    <m/>
    <s v="MONTAG, THOMAS"/>
    <s v="Q"/>
    <m/>
    <s v="D"/>
    <s v="THOMAS"/>
    <m/>
    <s v="MONTAG"/>
    <m/>
    <s v="127 E 73RD ST"/>
    <m/>
    <s v="NEW YORK"/>
    <s v="NY"/>
    <n v="100213502"/>
    <s v="CO-CHIEF OPERATING OFFICER"/>
    <s v="BANK OF AMERICA CORPORATION"/>
    <m/>
    <s v="15J"/>
    <s v="MEMO (FILER'S % OF CONTRIBUTION GIVEN TO JOIN"/>
    <m/>
    <s v="X"/>
    <m/>
    <n v="43539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74.20860208333"/>
    <m/>
    <s v="A177DC506B74B45869CE"/>
    <s v="SA12"/>
    <s v="F3X"/>
    <n v="4.0418201916466898E+18"/>
    <s v="t"/>
    <m/>
    <n v="2020"/>
    <s v="SA"/>
    <m/>
    <n v="4.0418201916468797E+18"/>
    <s v="http://docquery.fec.gov/cgi-bin/fecimg/?201904189149494895"/>
    <s v="Transfers from authorized committees"/>
  </r>
  <r>
    <s v="C00614776"/>
    <x v="32"/>
    <n v="2019"/>
    <s v="Q1"/>
    <n v="2.0190415914615802E+17"/>
    <n v="12"/>
    <s v="SA12-TI8-9"/>
    <n v="132542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398761576"/>
    <m/>
    <m/>
    <m/>
    <s v="F3"/>
    <n v="4.0415201916463299E+18"/>
    <s v="t"/>
    <s v="TAKE BACK THE HOUSE 2020"/>
    <n v="2020"/>
    <s v="SA"/>
    <m/>
    <n v="4.0420201916469202E+18"/>
    <s v="http://docquery.fec.gov/cgi-bin/fecimg/?201904159146158485"/>
    <s v="Transfers from authorized committees"/>
  </r>
  <r>
    <s v="C00614776"/>
    <x v="32"/>
    <n v="2019"/>
    <s v="Q1"/>
    <n v="2.0190415914615802E+17"/>
    <n v="12"/>
    <s v="SA12-TI9-37"/>
    <n v="132542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398819442"/>
    <m/>
    <m/>
    <m/>
    <s v="F3"/>
    <n v="4.0415201916463299E+18"/>
    <s v="t"/>
    <s v="TAKE BACK THE HOUSE 2020"/>
    <n v="2020"/>
    <s v="SA"/>
    <m/>
    <n v="4.0420201916469202E+18"/>
    <s v="http://docquery.fec.gov/cgi-bin/fecimg/?201904159146158496"/>
    <s v="Transfers from authorized committees"/>
  </r>
  <r>
    <s v="C00437913"/>
    <x v="33"/>
    <n v="2019"/>
    <s v="Q1"/>
    <n v="2.0190414914612198E+17"/>
    <n v="12"/>
    <s v="SA2165"/>
    <n v="1324771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JFC ALLOCATION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480868055"/>
    <m/>
    <m/>
    <m/>
    <s v="F3"/>
    <n v="4.0415201916463299E+18"/>
    <s v="t"/>
    <m/>
    <n v="2020"/>
    <s v="SA"/>
    <m/>
    <n v="4.0415201916463601E+18"/>
    <s v="http://docquery.fec.gov/cgi-bin/fecimg/?201904149146122737"/>
    <s v="Transfers from authorized committees"/>
  </r>
  <r>
    <s v="C00441014"/>
    <x v="34"/>
    <n v="2019"/>
    <s v="Q1"/>
    <n v="2.01904159146388E+17"/>
    <n v="12"/>
    <s v="SA12.22913"/>
    <n v="1326512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7131967594"/>
    <m/>
    <s v="SA12.22807"/>
    <s v="SA12"/>
    <s v="F3"/>
    <n v="4.0416201916464302E+18"/>
    <s v="t"/>
    <s v="JFC ATTRIB: TAKE BACK THE HOUSE 2020"/>
    <n v="2020"/>
    <s v="SA"/>
    <m/>
    <n v="4.0418201916467901E+18"/>
    <s v="http://docquery.fec.gov/cgi-bin/fecimg/?201904159146388250"/>
    <s v="Transfers from authorized committees"/>
  </r>
  <r>
    <s v="C00446815"/>
    <x v="35"/>
    <n v="2019"/>
    <s v="Q1"/>
    <n v="2.0190412914609101E+17"/>
    <n v="12"/>
    <s v="IDTA55"/>
    <n v="1324116"/>
    <m/>
    <s v="IND"/>
    <s v="INDIVIDUAL"/>
    <m/>
    <s v="MR."/>
    <s v="MONTAG, THOMAS MR.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s v="TAKE BACK THE HOUSE 2020"/>
    <s v="P. O. BOX 30844"/>
    <m/>
    <s v="BETHESDA"/>
    <s v="MD"/>
    <n v="20824"/>
    <m/>
    <m/>
    <s v="P2020"/>
    <m/>
    <s v="PRIMARY"/>
    <n v="2020"/>
    <s v="A"/>
    <s v="ADD"/>
    <s v="ITEMIZED RECEIPTS"/>
    <n v="43568.111173182871"/>
    <m/>
    <m/>
    <m/>
    <s v="F3"/>
    <n v="4.0412201916462198E+18"/>
    <s v="t"/>
    <m/>
    <n v="2020"/>
    <s v="SA"/>
    <m/>
    <n v="4.04122019164625E+18"/>
    <s v="http://docquery.fec.gov/cgi-bin/fecimg/?201904129146091362"/>
    <s v="Transfers from authorized committees"/>
  </r>
  <r>
    <s v="C00459297"/>
    <x v="36"/>
    <n v="2019"/>
    <s v="Q1"/>
    <n v="2.0190415914613299E+17"/>
    <n v="12"/>
    <s v="A26F304C559734768B86"/>
    <n v="132495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55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1.116659965279"/>
    <m/>
    <s v="AFE3E713847894B6BBEE"/>
    <s v="SA12"/>
    <s v="F3"/>
    <n v="4.0415201916463299E+18"/>
    <s v="t"/>
    <m/>
    <n v="2020"/>
    <s v="SA"/>
    <m/>
    <n v="4.0415201916463698E+18"/>
    <s v="http://docquery.fec.gov/cgi-bin/fecimg/?201904159146133098"/>
    <s v="Transfers from authorized committees"/>
  </r>
  <r>
    <s v="C00459297"/>
    <x v="36"/>
    <n v="2019"/>
    <s v="Q1"/>
    <n v="2.0190415914613299E+17"/>
    <n v="12"/>
    <s v="A898CFE25DA4344F09B7"/>
    <n v="132495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55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660011576"/>
    <m/>
    <s v="AF2690A4727B441EAB0C"/>
    <s v="SA12"/>
    <s v="F3"/>
    <n v="4.0415201916463299E+18"/>
    <s v="t"/>
    <m/>
    <n v="2020"/>
    <s v="SA"/>
    <m/>
    <n v="4.0415201916463698E+18"/>
    <s v="http://docquery.fec.gov/cgi-bin/fecimg/?201904159146133107"/>
    <s v="Transfers from authorized committees"/>
  </r>
  <r>
    <s v="C00631945"/>
    <x v="37"/>
    <n v="2019"/>
    <s v="Q1"/>
    <n v="2.0190413914611398E+17"/>
    <n v="12"/>
    <s v="AE79C6DAE004D4B748A7"/>
    <n v="132457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COO"/>
    <s v="BANK OF AMERICA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69.114392175929"/>
    <m/>
    <s v="A1B6A19F789854265A8E"/>
    <s v="SA12"/>
    <s v="F3"/>
    <n v="4.0413201916462602E+18"/>
    <s v="t"/>
    <m/>
    <n v="2020"/>
    <s v="SA"/>
    <m/>
    <n v="4.0413201916463099E+18"/>
    <s v="http://docquery.fec.gov/cgi-bin/fecimg/?201904139146114589"/>
    <s v="Transfers from authorized committees"/>
  </r>
  <r>
    <s v="C00632257"/>
    <x v="38"/>
    <n v="2019"/>
    <s v="Q1"/>
    <n v="2.0190411914607101E+17"/>
    <n v="12"/>
    <s v="SA12.243793"/>
    <n v="132377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HIEF OPERATING OFFICER"/>
    <m/>
    <s v="15J"/>
    <s v="MEMO (FILER'S % OF CONTRIBUTION GIVEN TO JOIN"/>
    <s v="TRANSFER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67.131016585648"/>
    <m/>
    <s v="SA12.243659"/>
    <s v="SA12"/>
    <s v="F3"/>
    <n v="4.0411201916461798E+18"/>
    <s v="t"/>
    <s v="JFC ATTRIB: TAKE BACK THE HOUSE 2020"/>
    <n v="2020"/>
    <s v="SA"/>
    <m/>
    <n v="4.04112019164621E+18"/>
    <s v="http://docquery.fec.gov/cgi-bin/fecimg/?201904119146071904"/>
    <s v="Transfers from authorized committees"/>
  </r>
  <r>
    <s v="C00464032"/>
    <x v="39"/>
    <n v="2019"/>
    <s v="Q1"/>
    <n v="2.01904159146384E+17"/>
    <n v="12"/>
    <s v="AA4BE1ADFBD3E4BC7863"/>
    <n v="1326490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573668983"/>
    <m/>
    <s v="A47DDE73C79624F7482E"/>
    <s v="SA12"/>
    <s v="F3"/>
    <n v="4.0416201916464302E+18"/>
    <s v="t"/>
    <m/>
    <n v="2020"/>
    <s v="SA"/>
    <m/>
    <n v="4.0420201916469402E+18"/>
    <s v="http://docquery.fec.gov/cgi-bin/fecimg/?201904159146384675"/>
    <s v="Transfers from authorized committees"/>
  </r>
  <r>
    <s v="C00464032"/>
    <x v="39"/>
    <n v="2019"/>
    <s v="Q1"/>
    <n v="2.01904159146384E+17"/>
    <n v="12"/>
    <s v="A0E72A71E6FE24FD0944"/>
    <n v="1326490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7371528"/>
    <m/>
    <s v="A84AC36A76E694ACEBFE"/>
    <s v="SA12"/>
    <s v="F3"/>
    <n v="4.0416201916464302E+18"/>
    <s v="t"/>
    <m/>
    <n v="2020"/>
    <s v="SA"/>
    <m/>
    <n v="4.0420201916469402E+18"/>
    <s v="http://docquery.fec.gov/cgi-bin/fecimg/?201904159146384684"/>
    <s v="Transfers from authorized committees"/>
  </r>
  <r>
    <s v="C00468579"/>
    <x v="40"/>
    <n v="2019"/>
    <s v="Q1"/>
    <n v="2.01904159146192E+17"/>
    <n v="12"/>
    <s v="SA12.30828"/>
    <n v="1325869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3300462961"/>
    <m/>
    <s v="SA12.30729"/>
    <s v="SA12"/>
    <s v="F3"/>
    <n v="4.0415201916463299E+18"/>
    <s v="t"/>
    <s v="JFC ATTRIB: TAKE BACK THE HOUSE 2020"/>
    <n v="2020"/>
    <s v="SA"/>
    <m/>
    <n v="4.0418201916467599E+18"/>
    <s v="http://docquery.fec.gov/cgi-bin/fecimg/?201904159146192008"/>
    <s v="Transfers from authorized committees"/>
  </r>
  <r>
    <s v="C00468579"/>
    <x v="40"/>
    <n v="2019"/>
    <s v="Q1"/>
    <n v="2.01904159146192E+17"/>
    <n v="12"/>
    <s v="SA12.30838"/>
    <n v="1325869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4.193300509258"/>
    <m/>
    <s v="SA12.30730"/>
    <s v="SA12"/>
    <s v="F3"/>
    <n v="4.0415201916463299E+18"/>
    <s v="t"/>
    <s v="JFC ATTRIB: TAKE BACK THE HOUSE 2020"/>
    <n v="2020"/>
    <s v="SA"/>
    <m/>
    <n v="4.0418201916467599E+18"/>
    <s v="http://docquery.fec.gov/cgi-bin/fecimg/?201904159146192016"/>
    <s v="Transfers from authorized committees"/>
  </r>
  <r>
    <s v="C00272211"/>
    <x v="41"/>
    <n v="2019"/>
    <s v="Q1"/>
    <n v="2.0190415914614099E+17"/>
    <n v="12"/>
    <s v="SA12-TI1-40"/>
    <n v="1325180"/>
    <m/>
    <s v="IND"/>
    <s v="INDIVIDUAL"/>
    <m/>
    <s v="MR."/>
    <s v="MONTAG, THOMAS MR."/>
    <s v="H"/>
    <m/>
    <s v="P"/>
    <s v="THOMAS"/>
    <m/>
    <s v="MONTAG"/>
    <m/>
    <s v="127 EAST 73RD STREET"/>
    <m/>
    <s v="NEW YORK"/>
    <s v="NY"/>
    <n v="10021"/>
    <s v="BANK OF AMERICA"/>
    <s v="COO"/>
    <m/>
    <s v="15J"/>
    <s v="MEMO (FILER'S % OF CONTRIBUTION GIVEN TO JOIN"/>
    <s v="TRANSFER IN AFFILIATED"/>
    <s v="X"/>
    <m/>
    <n v="43553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998865742"/>
    <m/>
    <m/>
    <m/>
    <s v="F3"/>
    <n v="4.0415201916463299E+18"/>
    <s v="t"/>
    <s v="TAKE BACK THE HOUSE 2020"/>
    <n v="2020"/>
    <s v="SA"/>
    <m/>
    <n v="4.0415201916463898E+18"/>
    <s v="http://docquery.fec.gov/cgi-bin/fecimg/?201904159146141196"/>
    <s v="Transfers from authorized committees"/>
  </r>
  <r>
    <s v="C00472704"/>
    <x v="42"/>
    <n v="2019"/>
    <s v="Q1"/>
    <n v="2.01904159146184E+17"/>
    <n v="12"/>
    <s v="A753958653D0F4A98B6B"/>
    <n v="1325785"/>
    <m/>
    <s v="IND"/>
    <s v="INDIVIDUAL"/>
    <m/>
    <m/>
    <s v="MONTAG, THOMAS"/>
    <s v="H"/>
    <m/>
    <s v="P"/>
    <s v="THOMAS"/>
    <m/>
    <s v="MONTAG"/>
    <m/>
    <s v="127 E 73RD ST.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195328125003"/>
    <m/>
    <s v="AE6FD3BEB740349EC92D"/>
    <s v="SA12"/>
    <s v="F3"/>
    <n v="4.0415201916463299E+18"/>
    <s v="t"/>
    <s v="CONTRIBUTION"/>
    <n v="2020"/>
    <s v="SA"/>
    <m/>
    <n v="4.0418201916467799E+18"/>
    <s v="http://docquery.fec.gov/cgi-bin/fecimg/?201904159146184225"/>
    <s v="Transfers from authorized committees"/>
  </r>
  <r>
    <s v="C00474189"/>
    <x v="43"/>
    <n v="2019"/>
    <s v="Q1"/>
    <n v="2.0190415914613798E+17"/>
    <n v="12"/>
    <s v="SA12-TI9-37"/>
    <n v="132511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889687502"/>
    <m/>
    <m/>
    <m/>
    <s v="F3"/>
    <n v="4.0415201916463299E+18"/>
    <s v="t"/>
    <s v="TAKE BACK THE HOUSE 2020"/>
    <n v="2020"/>
    <s v="SA"/>
    <m/>
    <n v="4.04152019164638E+18"/>
    <s v="http://docquery.fec.gov/cgi-bin/fecimg/?201904159146138493"/>
    <s v="Transfers from authorized committees"/>
  </r>
  <r>
    <s v="C00474189"/>
    <x v="43"/>
    <n v="2019"/>
    <s v="Q1"/>
    <n v="2.0190415914613798E+17"/>
    <n v="12"/>
    <s v="SA12-TI10-11"/>
    <n v="1325118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1.116889722223"/>
    <m/>
    <m/>
    <m/>
    <s v="F3"/>
    <n v="4.0415201916463299E+18"/>
    <s v="t"/>
    <s v="TAKE BACK THE HOUSE 2020"/>
    <n v="2020"/>
    <s v="SA"/>
    <m/>
    <n v="4.04152019164638E+18"/>
    <s v="http://docquery.fec.gov/cgi-bin/fecimg/?201904159146138500"/>
    <s v="Transfers from authorized committees"/>
  </r>
  <r>
    <s v="C00301838"/>
    <x v="44"/>
    <n v="2019"/>
    <s v="Q1"/>
    <n v="2.01905069149632E+17"/>
    <s v="11AI"/>
    <s v="A2C70346AE7B44A91A5C"/>
    <n v="1329670"/>
    <m/>
    <s v="IND"/>
    <s v="INDIVIDUAL"/>
    <s v="C00695585"/>
    <m/>
    <s v="MONTAG, THOMAS"/>
    <s v="H"/>
    <m/>
    <s v="P"/>
    <s v="THOMAS"/>
    <m/>
    <s v="MONTAG"/>
    <m/>
    <s v="127 E 73RD ST."/>
    <m/>
    <s v="NEW YORK"/>
    <s v="NY"/>
    <n v="100213502"/>
    <s v="BANK OF AMERICA"/>
    <s v="COO"/>
    <s v="C00695585"/>
    <s v="15E"/>
    <s v="EARMARKED CONTRIBUTION"/>
    <s v="EARMARKED (NON-DIRECTED) THROUGH TAKE BACK THE HOUSE 2020"/>
    <m/>
    <m/>
    <n v="43553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93.148933391203"/>
    <m/>
    <m/>
    <m/>
    <s v="F3"/>
    <n v="4.0506201916474102E+18"/>
    <s v="t"/>
    <m/>
    <n v="2020"/>
    <s v="SA"/>
    <m/>
    <n v="4.0507201916474199E+18"/>
    <s v="http://docquery.fec.gov/cgi-bin/fecimg/?201905069149632099"/>
    <s v="Contributions From Individuals/Persons Other Than Political Committees"/>
  </r>
  <r>
    <s v="C00650697"/>
    <x v="45"/>
    <n v="2019"/>
    <s v="Q1"/>
    <n v="2.01904159146376E+17"/>
    <n v="12"/>
    <s v="SA12-TI3-37"/>
    <n v="1326470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55104166"/>
    <m/>
    <m/>
    <m/>
    <s v="F3"/>
    <n v="4.0416201916464302E+18"/>
    <s v="t"/>
    <s v="TAKE BACK THE HOUSE 2020"/>
    <n v="2020"/>
    <s v="SA"/>
    <m/>
    <n v="4.0420201916469402E+18"/>
    <s v="http://docquery.fec.gov/cgi-bin/fecimg/?201904159146376439"/>
    <s v="Transfers from authorized committees"/>
  </r>
  <r>
    <s v="C00495846"/>
    <x v="46"/>
    <n v="2019"/>
    <s v="Q1"/>
    <n v="2.0190415914633901E+17"/>
    <n v="12"/>
    <s v="SA12.10004"/>
    <n v="1326213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55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535752316"/>
    <m/>
    <s v="SA12.9956"/>
    <s v="SA12"/>
    <s v="F3"/>
    <n v="4.0415201916463299E+18"/>
    <s v="t"/>
    <s v="JFC ATTRIB: TAKE BACK THE HOUSE 2020"/>
    <n v="2020"/>
    <s v="SA"/>
    <m/>
    <n v="4.0420201916469299E+18"/>
    <s v="http://docquery.fec.gov/cgi-bin/fecimg/?201904159146339462"/>
    <s v="Transfers from authorized committees"/>
  </r>
  <r>
    <s v="C00495846"/>
    <x v="46"/>
    <n v="2019"/>
    <s v="Q1"/>
    <n v="2.0190415914633901E+17"/>
    <n v="12"/>
    <s v="SA12.10024"/>
    <n v="1326213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55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A"/>
    <s v="ADD"/>
    <s v="ITEMIZED RECEIPTS"/>
    <n v="43576.149535775461"/>
    <m/>
    <s v="SA12.9957"/>
    <s v="SA12"/>
    <s v="F3"/>
    <n v="4.0415201916463299E+18"/>
    <s v="t"/>
    <s v="JFC ATTRIB: TAKE BACK THE HOUSE 2020"/>
    <n v="2020"/>
    <s v="SA"/>
    <m/>
    <n v="4.0420201916469299E+18"/>
    <s v="http://docquery.fec.gov/cgi-bin/fecimg/?201904159146339470"/>
    <s v="Transfers from authorized committees"/>
  </r>
  <r>
    <s v="C00499236"/>
    <x v="4"/>
    <n v="2019"/>
    <s v="Q1"/>
    <n v="2.01904159146156E+17"/>
    <n v="12"/>
    <s v="SA12-TI67-36"/>
    <n v="132537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6.149372268519"/>
    <m/>
    <m/>
    <m/>
    <s v="F3"/>
    <n v="4.0415201916463299E+18"/>
    <s v="t"/>
    <s v="TAKE BACK THE HOUSE 2020"/>
    <n v="2020"/>
    <s v="SA"/>
    <m/>
    <n v="4.0420201916469202E+18"/>
    <s v="http://docquery.fec.gov/cgi-bin/fecimg/?201904159146156634"/>
    <s v="Transfers from authorized committees"/>
  </r>
  <r>
    <s v="C00653634"/>
    <x v="47"/>
    <n v="2019"/>
    <s v="Q1"/>
    <n v="2.01904159146344E+17"/>
    <n v="12"/>
    <s v="SA12.4801"/>
    <n v="1326235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s v="TRANSFER"/>
    <s v="X"/>
    <m/>
    <n v="43555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4.2055234375"/>
    <m/>
    <s v="SA12.4753"/>
    <s v="SA12"/>
    <s v="F3"/>
    <n v="4.0415201916463299E+18"/>
    <s v="t"/>
    <s v="JFC ATTRIB: TAKE BACK THE HOUSE 2020"/>
    <n v="2020"/>
    <s v="SA"/>
    <m/>
    <n v="4.04182019164685E+18"/>
    <s v="http://docquery.fec.gov/cgi-bin/fecimg/?201904159146344140"/>
    <s v="Transfers from authorized committees"/>
  </r>
  <r>
    <s v="C00501643"/>
    <x v="48"/>
    <n v="2019"/>
    <s v="Q1"/>
    <n v="2.01904159146132E+17"/>
    <n v="12"/>
    <s v="SA12-TI6-37"/>
    <n v="1324925"/>
    <m/>
    <s v="IND"/>
    <s v="INDIVIDUAL"/>
    <m/>
    <m/>
    <s v="MONTAG, THOMAS"/>
    <s v="H"/>
    <m/>
    <s v="P"/>
    <s v="THOMAS"/>
    <m/>
    <s v="MONTAG"/>
    <m/>
    <s v="127 73RD ST E"/>
    <m/>
    <s v="NEW YORK"/>
    <s v="NY"/>
    <n v="10021"/>
    <s v="BANK OF AMERICA"/>
    <s v="COO"/>
    <m/>
    <s v="15J"/>
    <s v="MEMO (FILER'S % OF CONTRIBUTION GIVEN TO JOIN"/>
    <s v="TRANSFER IN AFFILIATED"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A"/>
    <s v="ADD"/>
    <s v="ITEMIZED RECEIPTS"/>
    <n v="43571.116625011571"/>
    <m/>
    <m/>
    <m/>
    <s v="F3"/>
    <n v="4.0415201916463299E+18"/>
    <s v="t"/>
    <s v="TAKE BACK THE HOUSE 2020"/>
    <n v="2020"/>
    <s v="SA"/>
    <m/>
    <n v="4.0415201916463698E+18"/>
    <s v="http://docquery.fec.gov/cgi-bin/fecimg/?201904159146132360"/>
    <s v="Transfers from authorized committees"/>
  </r>
  <r>
    <s v="C00075820"/>
    <x v="49"/>
    <n v="2019"/>
    <s v="M4"/>
    <n v="2.0190828916311101E+17"/>
    <n v="12"/>
    <s v="SA12.18032116"/>
    <n v="1350008"/>
    <m/>
    <s v="IND"/>
    <s v="INDIVIDUAL"/>
    <m/>
    <s v="MR."/>
    <s v="MONTAG, THOMAS K. MR."/>
    <s v="Y"/>
    <m/>
    <s v="U"/>
    <s v="THOMAS"/>
    <s v="K."/>
    <s v="MONTAG"/>
    <m/>
    <s v="127 E. 73RD ST."/>
    <m/>
    <s v="NEW YORK"/>
    <s v="NY"/>
    <n v="100213502"/>
    <s v="BANK OF AMERICA MERRILL LYNCH"/>
    <s v="PRESIDENT"/>
    <m/>
    <s v="15J"/>
    <s v="MEMO (FILER'S % OF CONTRIBUTION GIVEN TO JOIN"/>
    <s v="TRANSFER"/>
    <s v="X"/>
    <m/>
    <n v="43539"/>
    <n v="35500"/>
    <n v="355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707.225105972226"/>
    <m/>
    <s v="SA12.18032069"/>
    <s v="SA12"/>
    <s v="F3X"/>
    <n v="4.0828201916720901E+18"/>
    <s v="t"/>
    <s v="JFC ATTRIB: TAKE BACK THE HOUSE 2020"/>
    <n v="2020"/>
    <s v="SA"/>
    <m/>
    <n v="4.0829201916721101E+18"/>
    <s v="http://docquery.fec.gov/cgi-bin/fecimg/?201908289163111172"/>
    <s v="Transfers from authorized committees"/>
  </r>
  <r>
    <s v="C00662171"/>
    <x v="50"/>
    <n v="2019"/>
    <s v="Q1"/>
    <n v="2.0190918916337299E+17"/>
    <n v="12"/>
    <s v="SA12.7667"/>
    <n v="1352629"/>
    <m/>
    <s v="IND"/>
    <s v="INDIVIDUAL"/>
    <m/>
    <m/>
    <s v="MONTAG, THOMAS"/>
    <s v="H"/>
    <m/>
    <s v="P"/>
    <s v="THOMAS"/>
    <m/>
    <s v="MONTAG"/>
    <m/>
    <s v="127 E 73RD STREE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C"/>
    <s v="CHANGE"/>
    <s v="ITEMIZED RECEIPTS"/>
    <n v="43728.110703310187"/>
    <m/>
    <m/>
    <m/>
    <s v="F3"/>
    <n v="4.0918201916730798E+18"/>
    <s v="t"/>
    <m/>
    <n v="2020"/>
    <s v="SA"/>
    <m/>
    <n v="4.0919201916731699E+18"/>
    <s v="http://docquery.fec.gov/cgi-bin/fecimg/?201909189163373024"/>
    <s v="Transfers from authorized committees"/>
  </r>
  <r>
    <s v="C00467571"/>
    <x v="51"/>
    <n v="2019"/>
    <s v="Q1"/>
    <n v="2.0190919916340701E+17"/>
    <n v="12"/>
    <s v="A7CF34CB996424D5B92C"/>
    <n v="1352790"/>
    <m/>
    <s v="IND"/>
    <s v="INDIVIDUAL"/>
    <m/>
    <m/>
    <s v="MONTAG, THOMAS"/>
    <s v="H"/>
    <m/>
    <s v="P"/>
    <s v="THOMAS"/>
    <m/>
    <s v="MONTAG"/>
    <m/>
    <s v="127 E. 73RD STREET"/>
    <m/>
    <s v="NEW YORK"/>
    <s v="NY"/>
    <n v="100213502"/>
    <s v="BANK OF AMERICA"/>
    <s v="CHIEF OPERATING OFFICER"/>
    <m/>
    <s v="15J"/>
    <s v="MEMO (FILER'S % OF CONTRIBUTION GIVEN TO JOIN"/>
    <m/>
    <s v="X"/>
    <m/>
    <n v="43539"/>
    <n v="2800"/>
    <n v="28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3729.118299803238"/>
    <m/>
    <s v="A1194E72816804FE8983"/>
    <s v="SA12"/>
    <s v="F3"/>
    <n v="4.0919201916731197E+18"/>
    <s v="t"/>
    <m/>
    <n v="2020"/>
    <s v="SA"/>
    <m/>
    <n v="4.0920201916732298E+18"/>
    <s v="http://docquery.fec.gov/cgi-bin/fecimg/?201909199163407320"/>
    <s v="Transfers from authorized committees"/>
  </r>
  <r>
    <s v="C00467571"/>
    <x v="51"/>
    <n v="2019"/>
    <s v="Q1"/>
    <n v="2.0190919916340701E+17"/>
    <n v="12"/>
    <s v="A8C511CAB8E5342F382A"/>
    <n v="1352790"/>
    <m/>
    <s v="IND"/>
    <s v="INDIVIDUAL"/>
    <m/>
    <m/>
    <s v="MONTAG, THOMAS"/>
    <s v="H"/>
    <m/>
    <s v="P"/>
    <s v="THOMAS"/>
    <m/>
    <s v="MONTAG"/>
    <m/>
    <s v="127 E. 73RD STREET"/>
    <m/>
    <s v="NEW YORK"/>
    <s v="NY"/>
    <n v="100213502"/>
    <s v="BANK OF AMERICA"/>
    <s v="CHIEF OPERATING OFFICER"/>
    <m/>
    <s v="15J"/>
    <s v="MEMO (FILER'S % OF CONTRIBUTION GIVEN TO JOIN"/>
    <m/>
    <s v="X"/>
    <m/>
    <n v="43558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29.118299907408"/>
    <m/>
    <s v="ABC80664D43BF4D4CBEF"/>
    <s v="SA12"/>
    <s v="F3"/>
    <n v="4.0919201916731197E+18"/>
    <s v="t"/>
    <m/>
    <n v="2020"/>
    <s v="SA"/>
    <m/>
    <n v="4.0920201916732298E+18"/>
    <s v="http://docquery.fec.gov/cgi-bin/fecimg/?201909199163407334"/>
    <s v="Transfers from authorized committees"/>
  </r>
  <r>
    <s v="C00470757"/>
    <x v="52"/>
    <n v="2019"/>
    <s v="Q1"/>
    <n v="2.01910159164216E+17"/>
    <n v="12"/>
    <s v="AC0C7E0E6BB004632800"/>
    <n v="1358165"/>
    <m/>
    <s v="IND"/>
    <s v="INDIVIDUAL"/>
    <m/>
    <m/>
    <s v="MONTAG, THOMAS"/>
    <s v="H"/>
    <m/>
    <s v="P"/>
    <s v="THOMAS"/>
    <m/>
    <s v="MONTAG"/>
    <m/>
    <s v="127 E 73RD STREE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3765.108763842596"/>
    <m/>
    <s v="ABFE69E9ECAF346109CC"/>
    <s v="SA12"/>
    <s v="F3"/>
    <n v="4.1015201916742001E+18"/>
    <s v="t"/>
    <m/>
    <n v="2020"/>
    <s v="SA"/>
    <m/>
    <n v="4.1026201916756598E+18"/>
    <s v="http://docquery.fec.gov/cgi-bin/fecimg/?201910159164216954"/>
    <s v="Transfers from authorized committees"/>
  </r>
  <r>
    <s v="C00470757"/>
    <x v="52"/>
    <n v="2019"/>
    <s v="Q1"/>
    <n v="2.01910159164216E+17"/>
    <n v="12"/>
    <s v="AE8F62567B6344DFF8D0"/>
    <n v="1358165"/>
    <m/>
    <s v="IND"/>
    <s v="INDIVIDUAL"/>
    <m/>
    <m/>
    <s v="MONTAG, THOMAS"/>
    <s v="H"/>
    <m/>
    <s v="P"/>
    <s v="THOMAS"/>
    <m/>
    <s v="MONTAG"/>
    <m/>
    <s v="127 E 73RD STREET"/>
    <m/>
    <s v="NEW YORK"/>
    <s v="NY"/>
    <n v="100213502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3765.108763888886"/>
    <m/>
    <s v="A4AD7DC27A4364A3CA23"/>
    <s v="SA12"/>
    <s v="F3"/>
    <n v="4.1015201916742001E+18"/>
    <s v="t"/>
    <m/>
    <n v="2020"/>
    <s v="SA"/>
    <m/>
    <n v="4.1026201916756598E+18"/>
    <s v="http://docquery.fec.gov/cgi-bin/fecimg/?201910159164216961"/>
    <s v="Transfers from authorized committees"/>
  </r>
  <r>
    <s v="C00607416"/>
    <x v="53"/>
    <n v="2019"/>
    <s v="Q1"/>
    <n v="2.0191015916457901E+17"/>
    <n v="12"/>
    <s v="A-78995"/>
    <n v="1358581"/>
    <m/>
    <s v="IND"/>
    <s v="INDIVIDUAL"/>
    <m/>
    <m/>
    <s v="MONTAG, THOMAS"/>
    <s v="H"/>
    <m/>
    <s v="P"/>
    <s v="THOMAS"/>
    <m/>
    <s v="MONTAG"/>
    <m/>
    <s v="127 EAST 73RD STREET"/>
    <m/>
    <s v="NEW YORK"/>
    <s v="NY"/>
    <n v="10021"/>
    <s v="COO"/>
    <s v="BANK OF AMERICA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C"/>
    <s v="CHANGE"/>
    <s v="ITEMIZED RECEIPTS"/>
    <n v="43768.111075312503"/>
    <m/>
    <s v="A-78900"/>
    <m/>
    <s v="F3"/>
    <n v="4.1016201916743598E+18"/>
    <s v="t"/>
    <s v="MEMO TRANSFER FROM JOINT FUNDRAISER-TAKE BACK THE HOUSE 2020"/>
    <n v="2020"/>
    <s v="SA"/>
    <m/>
    <n v="4.1029201916759398E+18"/>
    <s v="http://docquery.fec.gov/cgi-bin/fecimg/?201910159164579322"/>
    <s v="Transfers from authorized committees"/>
  </r>
  <r>
    <s v="C00075820"/>
    <x v="49"/>
    <n v="2019"/>
    <s v="M10"/>
    <n v="2.0191020916519501E+17"/>
    <n v="17"/>
    <s v="SA17.18428960"/>
    <n v="1360334"/>
    <m/>
    <s v="IND"/>
    <s v="INDIVIDUAL"/>
    <m/>
    <s v="MR."/>
    <s v="MONTAG, THOMAS K. MR."/>
    <s v="Y"/>
    <m/>
    <s v="U"/>
    <s v="THOMAS"/>
    <s v="K."/>
    <s v="MONTAG"/>
    <m/>
    <s v="127 E. 73RD ST."/>
    <m/>
    <s v="NEW YORK"/>
    <s v="NY"/>
    <n v="100213502"/>
    <s v="BANK OF AMERICA MERRILL LYNCH"/>
    <s v="PRESIDENT"/>
    <m/>
    <s v="32J"/>
    <s v="MEMO RECEIPT FROM INDIVIDUAL -  JF RECOUNT ACCOUNT"/>
    <s v="TRANSFER"/>
    <s v="X"/>
    <m/>
    <n v="43735"/>
    <n v="43500"/>
    <n v="43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70.111773483797"/>
    <m/>
    <s v="SA17.18417298"/>
    <s v="SA17"/>
    <s v="F3X"/>
    <n v="4.1020201916749302E+18"/>
    <s v="t"/>
    <s v="LEGAL PROCEEDINGS ACCOUNT; JFC ATTRIB: MVF"/>
    <n v="2020"/>
    <s v="SA"/>
    <m/>
    <n v="4.10312019167697E+18"/>
    <s v="http://docquery.fec.gov/cgi-bin/fecimg/?201910209165195402"/>
    <s v="Other Federal Receipts (Dividends, Interest, etc.)."/>
  </r>
  <r>
    <s v="C00075820"/>
    <x v="49"/>
    <n v="2019"/>
    <s v="M10"/>
    <n v="2.0191020916519501E+17"/>
    <n v="17"/>
    <s v="SA17.18428956"/>
    <n v="1360334"/>
    <m/>
    <s v="IND"/>
    <s v="INDIVIDUAL"/>
    <m/>
    <s v="MR."/>
    <s v="MONTAG, THOMAS K. MR."/>
    <s v="Y"/>
    <m/>
    <s v="U"/>
    <s v="THOMAS"/>
    <s v="K."/>
    <s v="MONTAG"/>
    <m/>
    <s v="127 E. 73RD ST."/>
    <m/>
    <s v="NEW YORK"/>
    <s v="NY"/>
    <n v="100213502"/>
    <s v="BANK OF AMERICA MERRILL LYNCH"/>
    <s v="PRESIDENT"/>
    <m/>
    <s v="31J"/>
    <s v="MEMO RECEIPT FROM INDIVIDUAL - JF HEADQUARTERS ACCOUNT"/>
    <s v="TRANSFER"/>
    <s v="X"/>
    <m/>
    <n v="43735"/>
    <n v="106500"/>
    <n v="106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70.116291620368"/>
    <m/>
    <s v="SA17.18417297"/>
    <s v="SA17"/>
    <s v="F3X"/>
    <n v="4.1020201916749302E+18"/>
    <s v="t"/>
    <s v="HEADQUARTERS ACCOUNT; JFC ATTRIB: MVF"/>
    <n v="2020"/>
    <s v="SA"/>
    <m/>
    <n v="4.10312019167697E+18"/>
    <s v="http://docquery.fec.gov/cgi-bin/fecimg/?201910209165195393"/>
    <s v="Other Federal Receipts (Dividends, Interest, etc.)."/>
  </r>
  <r>
    <s v="C00504522"/>
    <x v="54"/>
    <n v="2019"/>
    <s v="Q1"/>
    <n v="2.0200818926136099E+17"/>
    <n v="12"/>
    <s v="A1EA3B22638F04B48B1F"/>
    <n v="143315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4064.152121423613"/>
    <m/>
    <s v="A93148AAC20B245B4A36"/>
    <s v="SA12"/>
    <s v="F3"/>
    <n v="4.0819202018291302E+18"/>
    <s v="t"/>
    <m/>
    <n v="2020"/>
    <s v="SA"/>
    <m/>
    <n v="4.0821202018294799E+18"/>
    <s v="http://docquery.fec.gov/cgi-bin/fecimg/?202008189261361232"/>
    <s v="Transfers from authorized committees"/>
  </r>
  <r>
    <s v="C00504522"/>
    <x v="54"/>
    <n v="2019"/>
    <s v="Q1"/>
    <n v="2.0200818926136099E+17"/>
    <n v="12"/>
    <s v="A582343BB349449A1BDC"/>
    <n v="1433156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m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064.152121481478"/>
    <m/>
    <s v="A6FAD0286FA6F4499A06"/>
    <s v="SA12"/>
    <s v="F3"/>
    <n v="4.0819202018291302E+18"/>
    <s v="t"/>
    <m/>
    <n v="2020"/>
    <s v="SA"/>
    <m/>
    <n v="4.0821202018294799E+18"/>
    <s v="http://docquery.fec.gov/cgi-bin/fecimg/?202008189261361245"/>
    <s v="Transfers from authorized committees"/>
  </r>
  <r>
    <s v="C00680488"/>
    <x v="55"/>
    <n v="2019"/>
    <s v="Q1"/>
    <n v="2.0200415921672998E+17"/>
    <n v="12"/>
    <s v="ACA8FB1B576E5407889D"/>
    <n v="1397621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s v="CONVENTION"/>
    <s v="PRIMARY"/>
    <n v="2020"/>
    <s v="A"/>
    <s v="ADD"/>
    <s v="ITEMIZED RECEIPTS"/>
    <n v="43954.083035972224"/>
    <m/>
    <s v="A8591D8E3D2984A62A9E"/>
    <s v="SA12"/>
    <s v="F3"/>
    <n v="4.04152020173679E+18"/>
    <s v="t"/>
    <m/>
    <n v="2020"/>
    <s v="SA"/>
    <m/>
    <n v="4.05022020174142E+18"/>
    <s v="http://docquery.fec.gov/cgi-bin/fecimg/?202004159216730032"/>
    <s v="Transfers from authorized committees"/>
  </r>
  <r>
    <s v="C00695585"/>
    <x v="56"/>
    <n v="2019"/>
    <s v="Q1"/>
    <n v="2.01904159146152E+17"/>
    <s v="11AI"/>
    <s v="A5FBE315022684A1FB05"/>
    <n v="1325317"/>
    <m/>
    <s v="IND"/>
    <s v="INDIVIDUAL"/>
    <m/>
    <m/>
    <s v="MONTAG, THOMAS"/>
    <s v="Q"/>
    <m/>
    <s v="J"/>
    <s v="THOMAS"/>
    <m/>
    <s v="MONTAG"/>
    <m/>
    <s v="127 E 73RD ST"/>
    <m/>
    <s v="NEW YORK"/>
    <s v="NY"/>
    <n v="100213502"/>
    <s v="BANK OF AMERICA"/>
    <s v="COO"/>
    <m/>
    <n v="15"/>
    <s v="CONTRIBUTION"/>
    <m/>
    <m/>
    <m/>
    <n v="43539"/>
    <n v="250000"/>
    <n v="250000"/>
    <m/>
    <m/>
    <m/>
    <m/>
    <m/>
    <m/>
    <m/>
    <m/>
    <m/>
    <m/>
    <m/>
    <m/>
    <m/>
    <m/>
    <m/>
    <m/>
    <m/>
    <m/>
    <m/>
    <m/>
    <m/>
    <s v="P2019"/>
    <s v="ANNUAL"/>
    <s v="PRIMARY"/>
    <n v="2019"/>
    <s v="A"/>
    <s v="ADD"/>
    <s v="ITEMIZED RECEIPTS"/>
    <n v="43571.117552997683"/>
    <m/>
    <m/>
    <m/>
    <s v="F3"/>
    <n v="4.0415201916463299E+18"/>
    <s v="t"/>
    <m/>
    <n v="2020"/>
    <s v="SA"/>
    <m/>
    <n v="4.0415201916464102E+18"/>
    <s v="http://docquery.fec.gov/cgi-bin/fecimg/?201904159146152024"/>
    <s v="Contributions From Individuals/Persons Other Than Political Committees"/>
  </r>
  <r>
    <s v="C00498121"/>
    <x v="57"/>
    <n v="2019"/>
    <s v="Q1"/>
    <n v="2.0201015929583299E+17"/>
    <n v="12"/>
    <s v="SA12.5077.10"/>
    <n v="1452827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JOINT FUNDRAISER - TAKE BACK THE HOUSE 2020"/>
    <s v="X"/>
    <m/>
    <n v="43539"/>
    <n v="2800"/>
    <n v="2800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145.150392916665"/>
    <m/>
    <s v="SA12.5077"/>
    <s v="SA12"/>
    <s v="F3"/>
    <n v="4.1016202018585702E+18"/>
    <s v="t"/>
    <m/>
    <n v="2020"/>
    <s v="SA"/>
    <m/>
    <n v="4.1110202018933299E+18"/>
    <s v="http://docquery.fec.gov/cgi-bin/fecimg/?202010159295833582"/>
    <s v="Transfers from authorized committees"/>
  </r>
  <r>
    <s v="C00498121"/>
    <x v="57"/>
    <n v="2019"/>
    <s v="Q1"/>
    <n v="2.0201015929583299E+17"/>
    <n v="12"/>
    <s v="SA12.5078.9"/>
    <n v="1452827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"/>
    <s v="BANK OF AMERICA"/>
    <s v="COO"/>
    <m/>
    <s v="15J"/>
    <s v="MEMO (FILER'S % OF CONTRIBUTION GIVEN TO JOIN"/>
    <s v="JOINT FUNDRAISER - TAKE BACK THE HOUSE 2020"/>
    <s v="X"/>
    <m/>
    <n v="43539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4145.150393032411"/>
    <m/>
    <s v="SA12.5078"/>
    <s v="SA12"/>
    <s v="F3"/>
    <n v="4.1016202018585702E+18"/>
    <s v="t"/>
    <m/>
    <n v="2020"/>
    <s v="SA"/>
    <m/>
    <n v="4.1110202018933299E+18"/>
    <s v="http://docquery.fec.gov/cgi-bin/fecimg/?202010159295833595"/>
    <s v="Transfers from authorized committees"/>
  </r>
  <r>
    <s v="C00428052"/>
    <x v="31"/>
    <n v="2020"/>
    <s v="M8"/>
    <n v="2.02008209261592E+17"/>
    <n v="12"/>
    <s v="AC8B01995D66144419A3"/>
    <n v="1434318"/>
    <m/>
    <s v="IND"/>
    <s v="INDIVIDUAL"/>
    <m/>
    <m/>
    <s v="MONTAG, THOMAS"/>
    <s v="Q"/>
    <m/>
    <s v="D"/>
    <s v="THOMAS"/>
    <m/>
    <s v="MONTAG"/>
    <m/>
    <s v="127 E 73RD ST"/>
    <m/>
    <s v="NEW YORK"/>
    <s v="NY"/>
    <n v="100213502"/>
    <s v="CO-CHIEF OPERATING OFFICER"/>
    <s v="BANK OF AMERICA CORPORATION"/>
    <m/>
    <s v="15J"/>
    <s v="MEMO (FILER'S % OF CONTRIBUTION GIVEN TO JOIN"/>
    <m/>
    <s v="X"/>
    <m/>
    <n v="44012"/>
    <n v="5000"/>
    <n v="5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79.172734768516"/>
    <m/>
    <s v="A4412B426E290473AA47"/>
    <s v="SA12"/>
    <s v="F3X"/>
    <n v="4.0821202018294502E+18"/>
    <s v="t"/>
    <m/>
    <n v="2020"/>
    <s v="SA"/>
    <m/>
    <n v="4.0905202018349302E+18"/>
    <s v="http://docquery.fec.gov/cgi-bin/fecimg/?202008209261592961"/>
    <s v="Transfers from authorized committees"/>
  </r>
  <r>
    <s v="C00695585"/>
    <x v="56"/>
    <n v="2020"/>
    <s v="Q2"/>
    <n v="2.0200715924496602E+17"/>
    <s v="11AI"/>
    <s v="A54EE975041974E7FBA8"/>
    <n v="1423331"/>
    <m/>
    <s v="IND"/>
    <s v="INDIVIDUAL"/>
    <m/>
    <m/>
    <s v="MONTAG, THOMAS"/>
    <s v="Q"/>
    <m/>
    <s v="J"/>
    <s v="THOMAS"/>
    <m/>
    <s v="MONTAG"/>
    <m/>
    <s v="127 EAST 73RD STREET"/>
    <m/>
    <s v="NEW YORK"/>
    <s v="NY"/>
    <n v="100213502"/>
    <s v="BANK OF AMERICA"/>
    <s v="COO"/>
    <m/>
    <n v="15"/>
    <s v="CONTRIBUTION"/>
    <m/>
    <m/>
    <m/>
    <n v="44012"/>
    <n v="250000"/>
    <n v="250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33.137516446761"/>
    <m/>
    <m/>
    <m/>
    <s v="F3X"/>
    <n v="4.0715202017906099E+18"/>
    <s v="t"/>
    <m/>
    <n v="2020"/>
    <s v="SA"/>
    <m/>
    <n v="4.07202020179217E+18"/>
    <s v="http://docquery.fec.gov/cgi-bin/fecimg/?202007159244966543"/>
    <s v="Contributions From Individuals/Persons Other Than Political Committees"/>
  </r>
  <r>
    <s v="C00371203"/>
    <x v="58"/>
    <n v="2019"/>
    <s v="Q1"/>
    <n v="2.0200715924489798E+17"/>
    <n v="12"/>
    <s v="0030229-0042"/>
    <n v="1423050"/>
    <m/>
    <s v="IND"/>
    <s v="INDIVIDUAL"/>
    <m/>
    <m/>
    <s v="MONTAG, THOMAS"/>
    <s v="H"/>
    <m/>
    <s v="P"/>
    <s v="THOMAS"/>
    <m/>
    <s v="MONTAG"/>
    <m/>
    <s v="127 E 73RD STREE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C"/>
    <s v="CHANGE"/>
    <s v="ITEMIZED RECEIPTS"/>
    <n v="44043.150341250002"/>
    <m/>
    <m/>
    <m/>
    <s v="F3"/>
    <n v="4.0715202017906002E+18"/>
    <s v="t"/>
    <s v="JOINT FUNDRAISER - TAKE BACK THE HOUSE 2020 (JOINT FUNDRAISER)"/>
    <n v="2020"/>
    <s v="SA"/>
    <m/>
    <n v="4.0731202018098499E+18"/>
    <s v="http://docquery.fec.gov/cgi-bin/fecimg/?202007159244898889"/>
    <s v="Transfers from authorized committees"/>
  </r>
  <r>
    <s v="C00075820"/>
    <x v="49"/>
    <n v="2020"/>
    <s v="M8"/>
    <n v="2.02009219284468E+17"/>
    <n v="12"/>
    <s v="SA12.20241407"/>
    <n v="1440495"/>
    <m/>
    <s v="IND"/>
    <s v="INDIVIDUAL"/>
    <m/>
    <m/>
    <s v="MONTAG, THOMAS"/>
    <s v="Y"/>
    <m/>
    <s v="U"/>
    <s v="THOMAS"/>
    <m/>
    <s v="MONTAG"/>
    <m/>
    <s v="127 E. 73RD ST."/>
    <m/>
    <s v="NEW YORK"/>
    <s v="NY"/>
    <n v="100213502"/>
    <s v="BANK OF AMERICA MERRILL LYNCH"/>
    <s v="PRESIDENT"/>
    <m/>
    <s v="15J"/>
    <s v="MEMO (FILER'S % OF CONTRIBUTION GIVEN TO JOIN"/>
    <s v="TRANSFER"/>
    <s v="X"/>
    <m/>
    <n v="44012"/>
    <n v="35500"/>
    <n v="35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9.176419837961"/>
    <m/>
    <s v="SA12.20207610"/>
    <s v="SA12"/>
    <s v="F3X"/>
    <n v="4.0922202018492001E+18"/>
    <s v="t"/>
    <s v="JFC ATTRIB: TBTH"/>
    <n v="2020"/>
    <s v="SA"/>
    <m/>
    <n v="4.0925202018509199E+18"/>
    <s v="http://docquery.fec.gov/cgi-bin/fecimg/?202009219284468682"/>
    <s v="Transfers from authorized committees"/>
  </r>
  <r>
    <s v="C00075820"/>
    <x v="49"/>
    <n v="2020"/>
    <s v="M8"/>
    <n v="2.02009219284468E+17"/>
    <n v="17"/>
    <s v="SA17.20241449"/>
    <n v="1440495"/>
    <m/>
    <s v="IND"/>
    <s v="INDIVIDUAL"/>
    <m/>
    <m/>
    <s v="MONTAG, THOMAS"/>
    <s v="Y"/>
    <m/>
    <s v="U"/>
    <s v="THOMAS"/>
    <m/>
    <s v="MONTAG"/>
    <m/>
    <s v="127 E. 73RD ST."/>
    <m/>
    <s v="NEW YORK"/>
    <s v="NY"/>
    <n v="100213502"/>
    <s v="BANK OF AMERICA MERRILL LYNCH"/>
    <s v="PRESIDENT"/>
    <m/>
    <s v="32J"/>
    <s v="MEMO RECEIPT FROM INDIVIDUAL -  JF RECOUNT ACCOUNT"/>
    <s v="TRANSFER"/>
    <s v="X"/>
    <m/>
    <n v="44012"/>
    <n v="106500"/>
    <n v="1065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9.190518923613"/>
    <m/>
    <s v="SA17.20207606"/>
    <s v="SA17"/>
    <s v="F3X"/>
    <n v="4.0922202018492001E+18"/>
    <s v="t"/>
    <s v="LEGAL PROCEEDINGS ACCOUNT; JFC ATTRIB: TBTH"/>
    <n v="2020"/>
    <s v="SA"/>
    <m/>
    <n v="4.0925202018509199E+18"/>
    <s v="http://docquery.fec.gov/cgi-bin/fecimg/?202009219284468716"/>
    <s v="Other Federal Receipts (Dividends, Interest, etc.)."/>
  </r>
  <r>
    <s v="C00075820"/>
    <x v="49"/>
    <n v="2020"/>
    <s v="M8"/>
    <n v="2.02009219284468E+17"/>
    <n v="17"/>
    <s v="SA17.20241445"/>
    <n v="1440495"/>
    <m/>
    <s v="IND"/>
    <s v="INDIVIDUAL"/>
    <m/>
    <m/>
    <s v="MONTAG, THOMAS"/>
    <s v="Y"/>
    <m/>
    <s v="U"/>
    <s v="THOMAS"/>
    <m/>
    <s v="MONTAG"/>
    <m/>
    <s v="127 E. 73RD ST."/>
    <m/>
    <s v="NEW YORK"/>
    <s v="NY"/>
    <n v="100213502"/>
    <s v="BANK OF AMERICA MERRILL LYNCH"/>
    <s v="PRESIDENT"/>
    <m/>
    <s v="31J"/>
    <s v="MEMO RECEIPT FROM INDIVIDUAL - JF HEADQUARTERS ACCOUNT"/>
    <s v="TRANSFER"/>
    <s v="X"/>
    <m/>
    <n v="44012"/>
    <n v="103000"/>
    <n v="1030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9.190518935182"/>
    <m/>
    <s v="SA17.20207608"/>
    <s v="SA17"/>
    <s v="F3X"/>
    <n v="4.0922202018492001E+18"/>
    <s v="t"/>
    <s v="HEADQUARTERS ACCOUNT; JFC ATTRIB: TBTH"/>
    <n v="2020"/>
    <s v="SA"/>
    <m/>
    <n v="4.0925202018509199E+18"/>
    <s v="http://docquery.fec.gov/cgi-bin/fecimg/?202009219284468719"/>
    <s v="Other Federal Receipts (Dividends, Interest, etc.)."/>
  </r>
  <r>
    <s v="C00676668"/>
    <x v="59"/>
    <n v="2019"/>
    <s v="Q1"/>
    <n v="2.02104149443332E+17"/>
    <n v="12"/>
    <s v="SA12.4287.38"/>
    <n v="1510400"/>
    <m/>
    <s v="IND"/>
    <s v="INDIVIDUAL"/>
    <m/>
    <m/>
    <s v="MONTAG, THOMAS"/>
    <s v="H"/>
    <m/>
    <s v="P"/>
    <s v="THOMAS"/>
    <m/>
    <s v="MONTAG"/>
    <m/>
    <s v="127 E 73RD STREET"/>
    <m/>
    <s v="NEW YORK"/>
    <s v="NY"/>
    <n v="10021"/>
    <s v="BANK OF AMERICA"/>
    <s v="COO"/>
    <m/>
    <s v="15J"/>
    <s v="MEMO (FILER'S % OF CONTRIBUTION GIVEN TO JOIN"/>
    <m/>
    <s v="X"/>
    <m/>
    <n v="43539"/>
    <n v="2651.22"/>
    <n v="2651.22"/>
    <m/>
    <m/>
    <m/>
    <m/>
    <m/>
    <m/>
    <m/>
    <m/>
    <m/>
    <m/>
    <m/>
    <m/>
    <m/>
    <m/>
    <m/>
    <m/>
    <m/>
    <m/>
    <m/>
    <m/>
    <m/>
    <s v="P2020"/>
    <m/>
    <s v="PRIMARY"/>
    <n v="2020"/>
    <s v="N"/>
    <s v="NO CHANGE"/>
    <s v="ITEMIZED RECEIPTS"/>
    <n v="44303.150050543984"/>
    <m/>
    <s v="SA12.4287"/>
    <s v="SA12"/>
    <s v="F3"/>
    <n v="4.0415202112771799E+18"/>
    <s v="t"/>
    <m/>
    <n v="2020"/>
    <s v="SA"/>
    <m/>
    <n v="4.04172021127791E+18"/>
    <s v="https://docquery.fec.gov/cgi-bin/fecimg/?202104149443332048"/>
    <s v="Transfers from authorized committees"/>
  </r>
  <r>
    <s v="C00370056"/>
    <x v="0"/>
    <n v="2020"/>
    <s v="12P"/>
    <n v="2.0210126941341402E+17"/>
    <s v="11AI"/>
    <s v="A8A06EDE5B6524991B6F"/>
    <n v="1491339"/>
    <m/>
    <s v="IND"/>
    <s v="INDIVIDUAL"/>
    <m/>
    <m/>
    <s v="MONTAG, THOMAS"/>
    <s v="H"/>
    <m/>
    <s v="P"/>
    <s v="THOMAS"/>
    <m/>
    <s v="MONTAG"/>
    <m/>
    <s v="127 E 73RD ST"/>
    <m/>
    <s v="NEW YORK"/>
    <s v="NY"/>
    <n v="100213502"/>
    <s v="BANK OF AMERICA"/>
    <s v="COO"/>
    <m/>
    <n v="15"/>
    <s v="CONTRIBUTION"/>
    <m/>
    <s v="X"/>
    <m/>
    <n v="43552"/>
    <n v="2800"/>
    <n v="5600"/>
    <m/>
    <m/>
    <m/>
    <m/>
    <m/>
    <m/>
    <m/>
    <m/>
    <m/>
    <m/>
    <m/>
    <m/>
    <m/>
    <m/>
    <m/>
    <m/>
    <m/>
    <m/>
    <m/>
    <m/>
    <m/>
    <s v="G2020"/>
    <m/>
    <s v="GENERAL"/>
    <n v="2020"/>
    <s v="N"/>
    <s v="NO CHANGE"/>
    <s v="ITEMIZED RECEIPTS"/>
    <n v="44226.158201365739"/>
    <m/>
    <m/>
    <m/>
    <s v="F3"/>
    <n v="4.0128202121381299E+18"/>
    <s v="t"/>
    <m/>
    <n v="2020"/>
    <s v="SA"/>
    <m/>
    <n v="4.0130202121391002E+18"/>
    <s v="https://docquery.fec.gov/cgi-bin/fecimg/?202101269413414717"/>
    <s v="Contributions From Individuals/Persons Other Than Political Committees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47">
  <r>
    <s v="C00364778"/>
    <x v="0"/>
    <n v="2019"/>
    <s v="M4"/>
    <n v="2.0190412914610301E+17"/>
    <s v="11AI"/>
    <s v="A2019-517160"/>
    <n v="1324297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39"/>
    <n v="175"/>
    <n v="8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68.11124914352"/>
    <m/>
    <m/>
    <m/>
    <s v="F3X"/>
    <n v="4.0412201916462198E+18"/>
    <s v="t"/>
    <m/>
    <n v="2020"/>
    <s v="SA"/>
    <m/>
    <n v="4.0412201916462602E+18"/>
    <s v="http://docquery.fec.gov/cgi-bin/fecimg/?201904129146103886"/>
    <s v="Contributions From Individuals/Persons Other Than Political Committees"/>
  </r>
  <r>
    <s v="C00364778"/>
    <x v="0"/>
    <n v="2019"/>
    <s v="M3"/>
    <n v="2.01903159145712E+17"/>
    <s v="11AI"/>
    <s v="A2019-298508"/>
    <n v="1319532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11"/>
    <n v="175"/>
    <n v="5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43.128328298611"/>
    <m/>
    <m/>
    <m/>
    <s v="F3X"/>
    <n v="4.0315201916450601E+18"/>
    <s v="t"/>
    <m/>
    <n v="2020"/>
    <s v="SA"/>
    <m/>
    <n v="4.03182019164514E+18"/>
    <s v="http://docquery.fec.gov/cgi-bin/fecimg/?201903159145712554"/>
    <s v="Contributions From Individuals/Persons Other Than Political Committees"/>
  </r>
  <r>
    <s v="C00364778"/>
    <x v="0"/>
    <n v="2019"/>
    <s v="M2"/>
    <n v="2.0190215914551901E+17"/>
    <s v="11AI"/>
    <s v="A2019-82224"/>
    <n v="1316134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496"/>
    <n v="175"/>
    <n v="3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25.143971724538"/>
    <m/>
    <m/>
    <m/>
    <s v="F3X"/>
    <n v="4.02152019163953E+18"/>
    <s v="t"/>
    <m/>
    <n v="2020"/>
    <s v="SA"/>
    <m/>
    <n v="4.0228201916446602E+18"/>
    <s v="http://docquery.fec.gov/cgi-bin/fecimg/?201902159145519680"/>
    <s v="Contributions From Individuals/Persons Other Than Political Committees"/>
  </r>
  <r>
    <s v="C00364778"/>
    <x v="0"/>
    <n v="2019"/>
    <s v="M3"/>
    <n v="2.01903159145712E+17"/>
    <s v="11AI"/>
    <s v="A2019-339759"/>
    <n v="1319532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24"/>
    <n v="175"/>
    <n v="7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43.128328298611"/>
    <m/>
    <m/>
    <m/>
    <s v="F3X"/>
    <n v="4.0315201916450601E+18"/>
    <s v="t"/>
    <m/>
    <n v="2020"/>
    <s v="SA"/>
    <m/>
    <n v="4.03182019164514E+18"/>
    <s v="http://docquery.fec.gov/cgi-bin/fecimg/?201903159145712554"/>
    <s v="Contributions From Individuals/Persons Other Than Political Committees"/>
  </r>
  <r>
    <s v="C00364778"/>
    <x v="0"/>
    <n v="2019"/>
    <s v="M4"/>
    <n v="2.0190412914610301E+17"/>
    <s v="11AI"/>
    <s v="A2019-547990"/>
    <n v="1324297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55"/>
    <n v="175"/>
    <n v="10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568.111249155096"/>
    <m/>
    <m/>
    <m/>
    <s v="F3X"/>
    <n v="4.0412201916462198E+18"/>
    <s v="t"/>
    <m/>
    <n v="2020"/>
    <s v="SA"/>
    <m/>
    <n v="4.0412201916462602E+18"/>
    <s v="http://docquery.fec.gov/cgi-bin/fecimg/?201904129146103887"/>
    <s v="Contributions From Individuals/Persons Other Than Political Committees"/>
  </r>
  <r>
    <s v="C00364778"/>
    <x v="0"/>
    <n v="2019"/>
    <s v="M5"/>
    <n v="2.0190514914969501E+17"/>
    <s v="11AI"/>
    <s v="A2019-792099"/>
    <n v="133060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70"/>
    <n v="175"/>
    <n v="122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00.358306921298"/>
    <m/>
    <m/>
    <m/>
    <s v="F3X"/>
    <n v="4.0514201916518502E+18"/>
    <s v="t"/>
    <m/>
    <n v="2020"/>
    <s v="SA"/>
    <m/>
    <n v="4.0514201916567798E+18"/>
    <s v="http://docquery.fec.gov/cgi-bin/fecimg/?201905149149695965"/>
    <s v="Contributions From Individuals/Persons Other Than Political Committees"/>
  </r>
  <r>
    <s v="C00364778"/>
    <x v="0"/>
    <n v="2019"/>
    <s v="M5"/>
    <n v="2.0190514914969501E+17"/>
    <s v="11AI"/>
    <s v="A2019-844091"/>
    <n v="133060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585"/>
    <n v="175"/>
    <n v="140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00.358306921298"/>
    <m/>
    <m/>
    <m/>
    <s v="F3X"/>
    <n v="4.0514201916518502E+18"/>
    <s v="t"/>
    <m/>
    <n v="2020"/>
    <s v="SA"/>
    <m/>
    <n v="4.0514201916567798E+18"/>
    <s v="http://docquery.fec.gov/cgi-bin/fecimg/?201905149149695965"/>
    <s v="Contributions From Individuals/Persons Other Than Political Committees"/>
  </r>
  <r>
    <s v="C00364778"/>
    <x v="0"/>
    <n v="2019"/>
    <s v="YE"/>
    <n v="2.0200120916727501E+17"/>
    <s v="11AI"/>
    <s v="A2019-2944190"/>
    <n v="1371432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14"/>
    <n v="208.32"/>
    <n v="4324.8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52.067980659725"/>
    <m/>
    <m/>
    <m/>
    <s v="F3X"/>
    <n v="4.0120202016853202E+18"/>
    <s v="t"/>
    <m/>
    <n v="2020"/>
    <s v="SA"/>
    <m/>
    <n v="4.0121202016853601E+18"/>
    <s v="http://docquery.fec.gov/cgi-bin/fecimg/?202001209167275401"/>
    <s v="Contributions From Individuals/Persons Other Than Political Committees"/>
  </r>
  <r>
    <s v="C00364778"/>
    <x v="0"/>
    <n v="2019"/>
    <s v="M8"/>
    <n v="2.01908169162884E+17"/>
    <s v="11AI"/>
    <s v="A2019-1511501"/>
    <n v="134808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61"/>
    <n v="175"/>
    <n v="2275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94.110437002317"/>
    <m/>
    <m/>
    <m/>
    <s v="F3X"/>
    <n v="4.0816201916633702E+18"/>
    <s v="t"/>
    <m/>
    <n v="2020"/>
    <s v="SA"/>
    <m/>
    <n v="4.0816201916633999E+18"/>
    <s v="http://docquery.fec.gov/cgi-bin/fecimg/?201908169162884688"/>
    <s v="Contributions From Individuals/Persons Other Than Political Committees"/>
  </r>
  <r>
    <s v="C00364778"/>
    <x v="0"/>
    <n v="2019"/>
    <s v="M8"/>
    <n v="2.01908169162884E+17"/>
    <s v="11AI"/>
    <s v="A2019-1688431"/>
    <n v="134808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77"/>
    <n v="175"/>
    <n v="2450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694.110437002317"/>
    <m/>
    <m/>
    <m/>
    <s v="F3X"/>
    <n v="4.0816201916633702E+18"/>
    <s v="t"/>
    <m/>
    <n v="2020"/>
    <s v="SA"/>
    <m/>
    <n v="4.0816201916633999E+18"/>
    <s v="http://docquery.fec.gov/cgi-bin/fecimg/?201908169162884688"/>
    <s v="Contributions From Individuals/Persons Other Than Political Committees"/>
  </r>
  <r>
    <s v="C00364778"/>
    <x v="0"/>
    <n v="2019"/>
    <s v="YE"/>
    <n v="2.0200120916727501E+17"/>
    <s v="11AI"/>
    <s v="A2019-2985172"/>
    <n v="1371432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30"/>
    <n v="208.32"/>
    <n v="4533.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52.067980659725"/>
    <m/>
    <m/>
    <m/>
    <s v="F3X"/>
    <n v="4.0120202016853202E+18"/>
    <s v="t"/>
    <m/>
    <n v="2020"/>
    <s v="SA"/>
    <m/>
    <n v="4.0121202016853601E+18"/>
    <s v="http://docquery.fec.gov/cgi-bin/fecimg/?202001209167275401"/>
    <s v="Contributions From Individuals/Persons Other Than Political Committees"/>
  </r>
  <r>
    <s v="C00364778"/>
    <x v="0"/>
    <n v="2019"/>
    <s v="M7"/>
    <n v="2.0190802916135101E+17"/>
    <s v="11AI"/>
    <s v="A2019-1195547"/>
    <n v="1346685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31"/>
    <n v="175"/>
    <n v="1925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98287034"/>
    <m/>
    <m/>
    <m/>
    <s v="F3X"/>
    <n v="4.0802201916626898E+18"/>
    <s v="t"/>
    <m/>
    <n v="2020"/>
    <s v="SA"/>
    <m/>
    <n v="4.0802201916628797E+18"/>
    <s v="http://docquery.fec.gov/cgi-bin/fecimg/?201908029161351312"/>
    <s v="Contributions From Individuals/Persons Other Than Political Committees"/>
  </r>
  <r>
    <s v="C00364778"/>
    <x v="0"/>
    <n v="2019"/>
    <s v="M6"/>
    <n v="2.0190802916135101E+17"/>
    <s v="11AI"/>
    <s v="A2019-951484"/>
    <n v="134668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00"/>
    <n v="175"/>
    <n v="1575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46168978"/>
    <m/>
    <m/>
    <m/>
    <s v="F3X"/>
    <n v="4.0802201916626898E+18"/>
    <s v="t"/>
    <m/>
    <n v="2020"/>
    <s v="SA"/>
    <m/>
    <n v="4.0802201916628797E+18"/>
    <s v="http://docquery.fec.gov/cgi-bin/fecimg/?201908029161351029"/>
    <s v="Contributions From Individuals/Persons Other Than Political Committees"/>
  </r>
  <r>
    <s v="C00364778"/>
    <x v="0"/>
    <n v="2019"/>
    <s v="M6"/>
    <n v="2.0190802916135101E+17"/>
    <s v="11AI"/>
    <s v="A2019-1111616"/>
    <n v="134668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16"/>
    <n v="175"/>
    <n v="175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46168978"/>
    <m/>
    <m/>
    <m/>
    <s v="F3X"/>
    <n v="4.0802201916626898E+18"/>
    <s v="t"/>
    <m/>
    <n v="2020"/>
    <s v="SA"/>
    <m/>
    <n v="4.0802201916628797E+18"/>
    <s v="http://docquery.fec.gov/cgi-bin/fecimg/?201908029161351029"/>
    <s v="Contributions From Individuals/Persons Other Than Political Committees"/>
  </r>
  <r>
    <s v="C00364778"/>
    <x v="0"/>
    <n v="2019"/>
    <s v="M7"/>
    <n v="2.0190802916135101E+17"/>
    <s v="11AI"/>
    <s v="A2019-1382924"/>
    <n v="1346685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46"/>
    <n v="175"/>
    <n v="2100"/>
    <m/>
    <m/>
    <m/>
    <m/>
    <m/>
    <m/>
    <m/>
    <m/>
    <m/>
    <m/>
    <m/>
    <m/>
    <m/>
    <m/>
    <m/>
    <m/>
    <m/>
    <m/>
    <m/>
    <m/>
    <m/>
    <s v="P"/>
    <m/>
    <s v="PRIMARY"/>
    <m/>
    <s v="N"/>
    <s v="NO CHANGE"/>
    <s v="ITEMIZED RECEIPTS"/>
    <n v="43680.112698287034"/>
    <m/>
    <m/>
    <m/>
    <s v="F3X"/>
    <n v="4.0802201916626898E+18"/>
    <s v="t"/>
    <m/>
    <n v="2020"/>
    <s v="SA"/>
    <m/>
    <n v="4.0802201916628797E+18"/>
    <s v="http://docquery.fec.gov/cgi-bin/fecimg/?201908029161351313"/>
    <s v="Contributions From Individuals/Persons Other Than Political Committees"/>
  </r>
  <r>
    <s v="C00364778"/>
    <x v="0"/>
    <n v="2019"/>
    <s v="M9"/>
    <n v="2.01909139163316E+17"/>
    <s v="11AI"/>
    <s v="A2019-1840250"/>
    <n v="1351825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692"/>
    <n v="208.32"/>
    <n v="2658.3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22.12535292824"/>
    <m/>
    <m/>
    <m/>
    <s v="F3X"/>
    <n v="4.09132019167264E+18"/>
    <s v="t"/>
    <m/>
    <n v="2020"/>
    <s v="SA"/>
    <m/>
    <n v="4.09132019167266E+18"/>
    <s v="http://docquery.fec.gov/cgi-bin/fecimg/?201909139163316844"/>
    <s v="Contributions From Individuals/Persons Other Than Political Committees"/>
  </r>
  <r>
    <s v="C00364778"/>
    <x v="0"/>
    <n v="2019"/>
    <s v="M9"/>
    <n v="2.01909139163316E+17"/>
    <s v="11AI"/>
    <s v="A2019-1968001"/>
    <n v="1351825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08"/>
    <n v="208.32"/>
    <n v="2866.6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22.125352939816"/>
    <m/>
    <m/>
    <m/>
    <s v="F3X"/>
    <n v="4.09132019167264E+18"/>
    <s v="t"/>
    <m/>
    <n v="2020"/>
    <s v="SA"/>
    <m/>
    <n v="4.09132019167266E+18"/>
    <s v="http://docquery.fec.gov/cgi-bin/fecimg/?201909139163316844"/>
    <s v="Contributions From Individuals/Persons Other Than Political Committees"/>
  </r>
  <r>
    <s v="C00364778"/>
    <x v="0"/>
    <n v="2019"/>
    <s v="M10"/>
    <n v="2.01910169164984E+17"/>
    <s v="11AI"/>
    <s v="A2019-2193738"/>
    <n v="135907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23"/>
    <n v="208.32"/>
    <n v="3074.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55.116352210651"/>
    <m/>
    <m/>
    <m/>
    <s v="F3X"/>
    <n v="4.1016201916743598E+18"/>
    <s v="t"/>
    <m/>
    <n v="2020"/>
    <s v="SA"/>
    <m/>
    <n v="4.1016201916744899E+18"/>
    <s v="http://docquery.fec.gov/cgi-bin/fecimg/?201910169164984054"/>
    <s v="Contributions From Individuals/Persons Other Than Political Committees"/>
  </r>
  <r>
    <s v="C00364778"/>
    <x v="0"/>
    <n v="2019"/>
    <s v="M10"/>
    <n v="2.01910169164984E+17"/>
    <s v="11AI"/>
    <s v="A2019-2243389"/>
    <n v="135907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38"/>
    <n v="208.32"/>
    <n v="3283.2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55.116352210651"/>
    <m/>
    <m/>
    <m/>
    <s v="F3X"/>
    <n v="4.1016201916743598E+18"/>
    <s v="t"/>
    <m/>
    <n v="2020"/>
    <s v="SA"/>
    <m/>
    <n v="4.1016201916744899E+18"/>
    <s v="http://docquery.fec.gov/cgi-bin/fecimg/?201910169164984054"/>
    <s v="Contributions From Individuals/Persons Other Than Political Committees"/>
  </r>
  <r>
    <s v="C00364778"/>
    <x v="0"/>
    <n v="2019"/>
    <s v="M11"/>
    <n v="2.0191114916550099E+17"/>
    <s v="11AI"/>
    <s v="A2019-2451737"/>
    <n v="136266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53"/>
    <n v="208.32"/>
    <n v="3491.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84.092144270835"/>
    <m/>
    <m/>
    <m/>
    <s v="F3X"/>
    <n v="4.1114201916786601E+18"/>
    <s v="t"/>
    <m/>
    <n v="2020"/>
    <s v="SA"/>
    <m/>
    <n v="4.1114201916786801E+18"/>
    <s v="http://docquery.fec.gov/cgi-bin/fecimg/?201911149165501326"/>
    <s v="Contributions From Individuals/Persons Other Than Political Committees"/>
  </r>
  <r>
    <s v="C00364778"/>
    <x v="0"/>
    <n v="2019"/>
    <s v="M11"/>
    <n v="2.0191114916550099E+17"/>
    <s v="11AI"/>
    <s v="A2019-2516079"/>
    <n v="136266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69"/>
    <n v="208.32"/>
    <n v="3699.9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784.092144270835"/>
    <m/>
    <m/>
    <m/>
    <s v="F3X"/>
    <n v="4.1114201916786601E+18"/>
    <s v="t"/>
    <m/>
    <n v="2020"/>
    <s v="SA"/>
    <m/>
    <n v="4.1114201916786801E+18"/>
    <s v="http://docquery.fec.gov/cgi-bin/fecimg/?201911149165501327"/>
    <s v="Contributions From Individuals/Persons Other Than Political Committees"/>
  </r>
  <r>
    <s v="C00364778"/>
    <x v="0"/>
    <n v="2019"/>
    <s v="M12"/>
    <n v="2.01912169166292E+17"/>
    <s v="11AI"/>
    <s v="A2019-2694317"/>
    <n v="1366330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84"/>
    <n v="208.32"/>
    <n v="3908.2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714583332"/>
    <m/>
    <m/>
    <m/>
    <s v="F3X"/>
    <n v="4.1216201916815201E+18"/>
    <s v="t"/>
    <m/>
    <n v="2020"/>
    <s v="SA"/>
    <m/>
    <n v="4.1216201916815401E+18"/>
    <s v="http://docquery.fec.gov/cgi-bin/fecimg/?201912169166292498"/>
    <s v="Contributions From Individuals/Persons Other Than Political Committees"/>
  </r>
  <r>
    <s v="C00364778"/>
    <x v="0"/>
    <n v="2019"/>
    <s v="M12"/>
    <n v="2.01912169166292E+17"/>
    <s v="11AI"/>
    <s v="A2019-2731653"/>
    <n v="1366330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799"/>
    <n v="208.32"/>
    <n v="4116.56000000000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16.067714583332"/>
    <m/>
    <m/>
    <m/>
    <s v="F3X"/>
    <n v="4.1216201916815201E+18"/>
    <s v="t"/>
    <m/>
    <n v="2020"/>
    <s v="SA"/>
    <m/>
    <n v="4.1216201916815401E+18"/>
    <s v="http://docquery.fec.gov/cgi-bin/fecimg/?201912169166292498"/>
    <s v="Contributions From Individuals/Persons Other Than Political Committees"/>
  </r>
  <r>
    <s v="C00364778"/>
    <x v="0"/>
    <n v="2020"/>
    <s v="M2"/>
    <n v="2.0200214918650499E+17"/>
    <s v="11AI"/>
    <s v="A2020-28678"/>
    <n v="138231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45"/>
    <n v="208.32"/>
    <n v="208.3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86.069170011571"/>
    <m/>
    <m/>
    <m/>
    <s v="F3X"/>
    <n v="4.0215202016924498E+18"/>
    <s v="t"/>
    <m/>
    <n v="2020"/>
    <s v="SA"/>
    <m/>
    <n v="4.0224202016939602E+18"/>
    <s v="http://docquery.fec.gov/cgi-bin/fecimg/?202002149186505261"/>
    <s v="Contributions From Individuals/Persons Other Than Political Committees"/>
  </r>
  <r>
    <s v="C00364778"/>
    <x v="0"/>
    <n v="2020"/>
    <s v="M2"/>
    <n v="2.0200214918650499E+17"/>
    <s v="11AI"/>
    <s v="A2020-67951"/>
    <n v="138231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61"/>
    <n v="208.32"/>
    <n v="416.6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886.069170011571"/>
    <m/>
    <m/>
    <m/>
    <s v="F3X"/>
    <n v="4.0215202016924498E+18"/>
    <s v="t"/>
    <m/>
    <n v="2020"/>
    <s v="SA"/>
    <m/>
    <n v="4.0224202016939602E+18"/>
    <s v="http://docquery.fec.gov/cgi-bin/fecimg/?202002149186505261"/>
    <s v="Contributions From Individuals/Persons Other Than Political Committees"/>
  </r>
  <r>
    <s v="C00364778"/>
    <x v="0"/>
    <n v="2020"/>
    <s v="M3"/>
    <n v="2.0200316920383398E+17"/>
    <s v="11AI"/>
    <s v="A2020-281812"/>
    <n v="138978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76"/>
    <n v="208.32"/>
    <n v="624.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07.10613010417"/>
    <m/>
    <m/>
    <m/>
    <s v="F3X"/>
    <n v="4.0316202017031598E+18"/>
    <s v="t"/>
    <m/>
    <n v="2020"/>
    <s v="SA"/>
    <m/>
    <n v="4.03162020170319E+18"/>
    <s v="http://docquery.fec.gov/cgi-bin/fecimg/?202003169203834870"/>
    <s v="Contributions From Individuals/Persons Other Than Political Committees"/>
  </r>
  <r>
    <s v="C00364778"/>
    <x v="0"/>
    <n v="2020"/>
    <s v="M3"/>
    <n v="2.0200316920383398E+17"/>
    <s v="11AI"/>
    <s v="A2020-315339"/>
    <n v="138978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890"/>
    <n v="208.32"/>
    <n v="833.2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07.10613010417"/>
    <m/>
    <m/>
    <m/>
    <s v="F3X"/>
    <n v="4.0316202017031598E+18"/>
    <s v="t"/>
    <m/>
    <n v="2020"/>
    <s v="SA"/>
    <m/>
    <n v="4.03162020170319E+18"/>
    <s v="http://docquery.fec.gov/cgi-bin/fecimg/?202003169203834870"/>
    <s v="Contributions From Individuals/Persons Other Than Political Committees"/>
  </r>
  <r>
    <s v="C00364778"/>
    <x v="0"/>
    <n v="2020"/>
    <s v="M8"/>
    <n v="2.0200814926130499E+17"/>
    <s v="11AI"/>
    <s v="A2020-1622905"/>
    <n v="143222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43"/>
    <n v="208.32"/>
    <n v="2916.4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69.158910081016"/>
    <m/>
    <m/>
    <m/>
    <s v="F3X"/>
    <n v="4.08152020182882E+18"/>
    <s v="t"/>
    <m/>
    <n v="2020"/>
    <s v="SA"/>
    <m/>
    <n v="4.0826202018309699E+18"/>
    <s v="http://docquery.fec.gov/cgi-bin/fecimg/?202008149261305256"/>
    <s v="Contributions From Individuals/Persons Other Than Political Committees"/>
  </r>
  <r>
    <s v="C00364778"/>
    <x v="0"/>
    <n v="2020"/>
    <s v="M4"/>
    <n v="2.0200416921966202E+17"/>
    <s v="11AI"/>
    <s v="A2020-436046"/>
    <n v="140111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05"/>
    <n v="208.32"/>
    <n v="1041.5999999999999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39.068963796293"/>
    <m/>
    <m/>
    <m/>
    <s v="F3X"/>
    <n v="4.0416202017369098E+18"/>
    <s v="t"/>
    <m/>
    <n v="2020"/>
    <s v="SA"/>
    <m/>
    <n v="4.0417202017372498E+18"/>
    <s v="http://docquery.fec.gov/cgi-bin/fecimg/?202004169219662977"/>
    <s v="Contributions From Individuals/Persons Other Than Political Committees"/>
  </r>
  <r>
    <s v="C00364778"/>
    <x v="0"/>
    <n v="2020"/>
    <s v="M4"/>
    <n v="2.0200416921966202E+17"/>
    <s v="11AI"/>
    <s v="A2020-577441"/>
    <n v="140111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21"/>
    <n v="208.32"/>
    <n v="1249.9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39.068963796293"/>
    <m/>
    <m/>
    <m/>
    <s v="F3X"/>
    <n v="4.0416202017369098E+18"/>
    <s v="t"/>
    <m/>
    <n v="2020"/>
    <s v="SA"/>
    <m/>
    <n v="4.0417202017372498E+18"/>
    <s v="http://docquery.fec.gov/cgi-bin/fecimg/?202004169219662977"/>
    <s v="Contributions From Individuals/Persons Other Than Political Committees"/>
  </r>
  <r>
    <s v="C00364778"/>
    <x v="0"/>
    <n v="2020"/>
    <s v="M8"/>
    <n v="2.0200814926130499E+17"/>
    <s v="11AI"/>
    <s v="A2020-1601820"/>
    <n v="143222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27"/>
    <n v="208.32"/>
    <n v="2708.1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69.17637025463"/>
    <m/>
    <m/>
    <m/>
    <s v="F3X"/>
    <n v="4.08152020182882E+18"/>
    <s v="t"/>
    <m/>
    <n v="2020"/>
    <s v="SA"/>
    <m/>
    <n v="4.0826202018309699E+18"/>
    <s v="http://docquery.fec.gov/cgi-bin/fecimg/?202008149261305256"/>
    <s v="Contributions From Individuals/Persons Other Than Political Committees"/>
  </r>
  <r>
    <s v="C00364778"/>
    <x v="0"/>
    <n v="2020"/>
    <s v="M5"/>
    <n v="2.0200515923275002E+17"/>
    <s v="11AI"/>
    <s v="A2020-808184"/>
    <n v="1405926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36"/>
    <n v="208.32"/>
    <n v="1458.2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0.057451215274"/>
    <m/>
    <m/>
    <m/>
    <s v="F3X"/>
    <n v="4.0516202017614397E+18"/>
    <s v="t"/>
    <m/>
    <n v="2020"/>
    <s v="SA"/>
    <m/>
    <n v="4.0518202017615099E+18"/>
    <s v="http://docquery.fec.gov/cgi-bin/fecimg/?202005159232750268"/>
    <s v="Contributions From Individuals/Persons Other Than Political Committees"/>
  </r>
  <r>
    <s v="C00364778"/>
    <x v="0"/>
    <n v="2020"/>
    <s v="M5"/>
    <n v="2.0200515923275002E+17"/>
    <s v="11AI"/>
    <s v="A2020-858288"/>
    <n v="1405926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51"/>
    <n v="208.32"/>
    <n v="1666.5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70.057451215274"/>
    <m/>
    <m/>
    <m/>
    <s v="F3X"/>
    <n v="4.0516202017614397E+18"/>
    <s v="t"/>
    <m/>
    <n v="2020"/>
    <s v="SA"/>
    <m/>
    <n v="4.0518202017615099E+18"/>
    <s v="http://docquery.fec.gov/cgi-bin/fecimg/?202005159232750269"/>
    <s v="Contributions From Individuals/Persons Other Than Political Committees"/>
  </r>
  <r>
    <s v="C00364778"/>
    <x v="0"/>
    <n v="2020"/>
    <s v="M6"/>
    <n v="2.0200615923978202E+17"/>
    <s v="11AI"/>
    <s v="A2020-1111787"/>
    <n v="1411779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82"/>
    <n v="208.32"/>
    <n v="2083.199999999999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98.068666909719"/>
    <m/>
    <m/>
    <m/>
    <s v="F3X"/>
    <n v="4.0615202017748398E+18"/>
    <s v="t"/>
    <m/>
    <n v="2020"/>
    <s v="SA"/>
    <m/>
    <n v="4.0615202017749299E+18"/>
    <s v="http://docquery.fec.gov/cgi-bin/fecimg/?202006159239782247"/>
    <s v="Contributions From Individuals/Persons Other Than Political Committees"/>
  </r>
  <r>
    <s v="C00364778"/>
    <x v="0"/>
    <n v="2020"/>
    <s v="M6"/>
    <n v="2.0200615923978202E+17"/>
    <s v="11AI"/>
    <s v="A2020-1064392"/>
    <n v="1411779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66"/>
    <n v="208.32"/>
    <n v="1874.8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3998.068666909719"/>
    <m/>
    <m/>
    <m/>
    <s v="F3X"/>
    <n v="4.0615202017748398E+18"/>
    <s v="t"/>
    <m/>
    <n v="2020"/>
    <s v="SA"/>
    <m/>
    <n v="4.0615202017749299E+18"/>
    <s v="http://docquery.fec.gov/cgi-bin/fecimg/?202006159239782247"/>
    <s v="Contributions From Individuals/Persons Other Than Political Committees"/>
  </r>
  <r>
    <s v="C00364778"/>
    <x v="0"/>
    <n v="2020"/>
    <s v="30G"/>
    <n v="2.0201202933741501E+17"/>
    <s v="11AI"/>
    <s v="A2020-2214579"/>
    <n v="1476126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19"/>
    <n v="208.32"/>
    <n v="3958.0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7490752317"/>
    <m/>
    <m/>
    <m/>
    <s v="F3X"/>
    <n v="4.1203202019631401E+18"/>
    <s v="t"/>
    <m/>
    <n v="2020"/>
    <s v="SA"/>
    <m/>
    <n v="4.1218202019773701E+18"/>
    <s v="https://docquery.fec.gov/cgi-bin/fecimg/?202012029337415493"/>
    <s v="Contributions From Individuals/Persons Other Than Political Committees"/>
  </r>
  <r>
    <s v="C00364778"/>
    <x v="0"/>
    <n v="2020"/>
    <s v="30G"/>
    <n v="2.0201202933741501E+17"/>
    <s v="11AI"/>
    <s v="A2020-2353088"/>
    <n v="1476126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35"/>
    <n v="208.32"/>
    <n v="4166.399999999999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7490752317"/>
    <m/>
    <m/>
    <m/>
    <s v="F3X"/>
    <n v="4.1203202019631401E+18"/>
    <s v="t"/>
    <m/>
    <n v="2020"/>
    <s v="SA"/>
    <m/>
    <n v="4.1218202019773701E+18"/>
    <s v="https://docquery.fec.gov/cgi-bin/fecimg/?202012029337415493"/>
    <s v="Contributions From Individuals/Persons Other Than Political Committees"/>
  </r>
  <r>
    <s v="C00364778"/>
    <x v="0"/>
    <n v="2020"/>
    <s v="30G"/>
    <n v="2.0201202933741501E+17"/>
    <s v="11AI"/>
    <s v="A2020-2421729"/>
    <n v="1476126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50"/>
    <n v="208.32"/>
    <n v="4374.7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83.157490752317"/>
    <m/>
    <m/>
    <m/>
    <s v="F3X"/>
    <n v="4.1203202019631401E+18"/>
    <s v="t"/>
    <m/>
    <n v="2020"/>
    <s v="SA"/>
    <m/>
    <n v="4.1218202019773701E+18"/>
    <s v="https://docquery.fec.gov/cgi-bin/fecimg/?202012029337415494"/>
    <s v="Contributions From Individuals/Persons Other Than Political Committees"/>
  </r>
  <r>
    <s v="C00364778"/>
    <x v="0"/>
    <n v="2020"/>
    <s v="M7"/>
    <n v="2.0200720926010598E+17"/>
    <s v="11AI"/>
    <s v="A2020-1336817"/>
    <n v="142730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3997"/>
    <n v="208.32"/>
    <n v="2291.5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43.159373912036"/>
    <m/>
    <m/>
    <m/>
    <s v="F3X"/>
    <n v="4.0720202017911798E+18"/>
    <s v="t"/>
    <m/>
    <n v="2020"/>
    <s v="SA"/>
    <m/>
    <n v="4.0731202018102001E+18"/>
    <s v="http://docquery.fec.gov/cgi-bin/fecimg/?202007209260106304"/>
    <s v="Contributions From Individuals/Persons Other Than Political Committees"/>
  </r>
  <r>
    <s v="C00364778"/>
    <x v="0"/>
    <n v="2020"/>
    <s v="M7"/>
    <n v="2.0200720926010598E+17"/>
    <s v="11AI"/>
    <s v="A2020-1378218"/>
    <n v="1427301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12"/>
    <n v="208.32"/>
    <n v="2499.8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43.159373923612"/>
    <m/>
    <m/>
    <m/>
    <s v="F3X"/>
    <n v="4.0720202017911798E+18"/>
    <s v="t"/>
    <m/>
    <n v="2020"/>
    <s v="SA"/>
    <m/>
    <n v="4.0731202018102001E+18"/>
    <s v="http://docquery.fec.gov/cgi-bin/fecimg/?202007209260106304"/>
    <s v="Contributions From Individuals/Persons Other Than Political Committees"/>
  </r>
  <r>
    <s v="C00364778"/>
    <x v="0"/>
    <n v="2020"/>
    <s v="M9"/>
    <n v="2.02009179267228E+17"/>
    <s v="11AI"/>
    <s v="A2020-1687601"/>
    <n v="143870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58"/>
    <n v="208.32"/>
    <n v="3124.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3.150760706019"/>
    <m/>
    <m/>
    <m/>
    <s v="F3X"/>
    <n v="4.0918202018489201E+18"/>
    <s v="t"/>
    <m/>
    <n v="2020"/>
    <s v="SA"/>
    <m/>
    <n v="4.0919202018490701E+18"/>
    <s v="http://docquery.fec.gov/cgi-bin/fecimg/?202009179267228857"/>
    <s v="Contributions From Individuals/Persons Other Than Political Committees"/>
  </r>
  <r>
    <s v="C00364778"/>
    <x v="0"/>
    <n v="2020"/>
    <s v="M9"/>
    <n v="2.02009179267228E+17"/>
    <s v="11AI"/>
    <s v="A2020-1880068"/>
    <n v="143870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74"/>
    <n v="208.32"/>
    <n v="3333.12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093.150760706019"/>
    <m/>
    <m/>
    <m/>
    <s v="F3X"/>
    <n v="4.0918202018489201E+18"/>
    <s v="t"/>
    <m/>
    <n v="2020"/>
    <s v="SA"/>
    <m/>
    <n v="4.0919202018490701E+18"/>
    <s v="http://docquery.fec.gov/cgi-bin/fecimg/?202009179267228857"/>
    <s v="Contributions From Individuals/Persons Other Than Political Committees"/>
  </r>
  <r>
    <s v="C00364778"/>
    <x v="0"/>
    <n v="2020"/>
    <s v="M10"/>
    <n v="2.0201016929694598E+17"/>
    <s v="11AI"/>
    <s v="A2020-1978481"/>
    <n v="145332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089"/>
    <n v="208.32"/>
    <n v="3541.4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56.161240462963"/>
    <m/>
    <m/>
    <m/>
    <s v="F3X"/>
    <n v="4.10162020185858E+18"/>
    <s v="t"/>
    <m/>
    <n v="2020"/>
    <s v="SA"/>
    <m/>
    <n v="4.1121202019599201E+18"/>
    <s v="http://docquery.fec.gov/cgi-bin/fecimg/?202010169296946758"/>
    <s v="Contributions From Individuals/Persons Other Than Political Committees"/>
  </r>
  <r>
    <s v="C00364778"/>
    <x v="0"/>
    <n v="2020"/>
    <s v="M10"/>
    <n v="2.0201016929694598E+17"/>
    <s v="11AI"/>
    <s v="A2020-2135633"/>
    <n v="1453323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04"/>
    <n v="208.32"/>
    <n v="3749.76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156.161240462963"/>
    <m/>
    <m/>
    <m/>
    <s v="F3X"/>
    <n v="4.10162020185858E+18"/>
    <s v="t"/>
    <m/>
    <n v="2020"/>
    <s v="SA"/>
    <m/>
    <n v="4.1121202019599201E+18"/>
    <s v="http://docquery.fec.gov/cgi-bin/fecimg/?202010169296946759"/>
    <s v="Contributions From Individuals/Persons Other Than Political Committees"/>
  </r>
  <r>
    <s v="C00364778"/>
    <x v="0"/>
    <n v="2020"/>
    <s v="YE"/>
    <n v="2.0210125940539501E+17"/>
    <s v="11AI"/>
    <s v="A2020-2582240"/>
    <n v="149035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65"/>
    <n v="208.32"/>
    <n v="4583.04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5677083"/>
    <m/>
    <m/>
    <m/>
    <s v="F3X"/>
    <n v="4.0125202121377597E+18"/>
    <s v="t"/>
    <m/>
    <n v="2020"/>
    <s v="SA"/>
    <m/>
    <n v="4.01272021213811E+18"/>
    <s v="https://docquery.fec.gov/cgi-bin/fecimg/?202101259405395218"/>
    <s v="Contributions From Individuals/Persons Other Than Political Committees"/>
  </r>
  <r>
    <s v="C00364778"/>
    <x v="0"/>
    <n v="2020"/>
    <s v="YE"/>
    <n v="2.0210125940539501E+17"/>
    <s v="11AI"/>
    <s v="A2020-2705148"/>
    <n v="149035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80"/>
    <n v="208.32"/>
    <n v="4791.3599999999997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5677083"/>
    <m/>
    <m/>
    <m/>
    <s v="F3X"/>
    <n v="4.0125202121377597E+18"/>
    <s v="t"/>
    <m/>
    <n v="2020"/>
    <s v="SA"/>
    <m/>
    <n v="4.01272021213811E+18"/>
    <s v="https://docquery.fec.gov/cgi-bin/fecimg/?202101259405395219"/>
    <s v="Contributions From Individuals/Persons Other Than Political Committees"/>
  </r>
  <r>
    <s v="C00364778"/>
    <x v="0"/>
    <n v="2020"/>
    <s v="YE"/>
    <n v="2.0210125940539501E+17"/>
    <s v="11AI"/>
    <s v="A2020-2739131"/>
    <n v="1490358"/>
    <m/>
    <s v="IND"/>
    <s v="INDIVIDUAL"/>
    <m/>
    <m/>
    <s v="SMITH, ANDREA B"/>
    <s v="Q"/>
    <s v="C"/>
    <s v="B"/>
    <s v="ANDREA"/>
    <s v="B"/>
    <s v="SMITH"/>
    <m/>
    <s v="100 N TRYON ST"/>
    <m/>
    <s v="CHARLOTTE"/>
    <s v="NC"/>
    <n v="28255"/>
    <s v="BANK OF AMERICA"/>
    <s v="CHIEF ADMINISTRATIVE OFFICER"/>
    <m/>
    <n v="15"/>
    <s v="CONTRIBUTION"/>
    <m/>
    <m/>
    <m/>
    <n v="44196"/>
    <n v="208.32"/>
    <n v="4999.68"/>
    <m/>
    <m/>
    <m/>
    <m/>
    <m/>
    <m/>
    <m/>
    <m/>
    <m/>
    <m/>
    <m/>
    <m/>
    <m/>
    <m/>
    <m/>
    <m/>
    <m/>
    <m/>
    <m/>
    <m/>
    <m/>
    <s v="P"/>
    <m/>
    <s v="PRIMARY"/>
    <m/>
    <s v="A"/>
    <s v="ADD"/>
    <s v="ITEMIZED RECEIPTS"/>
    <n v="44223.15055677083"/>
    <m/>
    <m/>
    <m/>
    <s v="F3X"/>
    <n v="4.0125202121377597E+18"/>
    <s v="t"/>
    <m/>
    <n v="2020"/>
    <s v="SA"/>
    <m/>
    <n v="4.01272021213811E+18"/>
    <s v="https://docquery.fec.gov/cgi-bin/fecimg/?202101259405395219"/>
    <s v="Contributions From Individuals/Persons Other Than Political Committe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1:B53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1:B152" firstHeaderRow="1" firstDataRow="1" firstDataCol="1"/>
  <pivotFields count="79">
    <pivotField showAll="0"/>
    <pivotField axis="axisRow" showAll="0">
      <items count="61">
        <item x="18"/>
        <item x="3"/>
        <item x="51"/>
        <item x="46"/>
        <item x="2"/>
        <item x="53"/>
        <item x="21"/>
        <item x="8"/>
        <item x="9"/>
        <item x="14"/>
        <item x="7"/>
        <item x="48"/>
        <item x="16"/>
        <item x="0"/>
        <item x="11"/>
        <item x="6"/>
        <item x="20"/>
        <item x="1"/>
        <item x="17"/>
        <item x="10"/>
        <item x="15"/>
        <item x="55"/>
        <item x="23"/>
        <item x="4"/>
        <item x="28"/>
        <item x="37"/>
        <item x="54"/>
        <item x="36"/>
        <item x="12"/>
        <item x="42"/>
        <item x="58"/>
        <item x="25"/>
        <item x="27"/>
        <item x="30"/>
        <item x="31"/>
        <item x="38"/>
        <item x="26"/>
        <item x="35"/>
        <item x="19"/>
        <item x="43"/>
        <item x="49"/>
        <item x="33"/>
        <item x="41"/>
        <item x="45"/>
        <item x="34"/>
        <item x="57"/>
        <item x="50"/>
        <item x="59"/>
        <item x="13"/>
        <item x="44"/>
        <item x="56"/>
        <item x="32"/>
        <item x="39"/>
        <item x="5"/>
        <item x="47"/>
        <item x="29"/>
        <item x="52"/>
        <item x="22"/>
        <item x="40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4:B36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6:B48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52:B54" firstHeaderRow="1" firstDataRow="1" firstDataCol="1"/>
  <pivotFields count="79"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8:B30" firstHeaderRow="1" firstDataRow="1" firstDataCol="1"/>
  <pivotFields count="79">
    <pivotField showAll="0"/>
    <pivotField axis="axisRow" showAll="0">
      <items count="12">
        <item x="8"/>
        <item x="6"/>
        <item x="0"/>
        <item x="2"/>
        <item x="9"/>
        <item x="4"/>
        <item x="3"/>
        <item x="7"/>
        <item x="1"/>
        <item x="1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contribution_receipt_amount" fld="35" baseField="0" baseItem="0" numFmtId="4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9:B65" firstHeaderRow="1" firstDataRow="1" firstDataCol="1"/>
  <pivotFields count="79">
    <pivotField showAll="0"/>
    <pivotField axis="axisRow" showAll="0">
      <items count="26">
        <item x="1"/>
        <item x="8"/>
        <item x="22"/>
        <item x="3"/>
        <item x="14"/>
        <item x="2"/>
        <item x="9"/>
        <item x="23"/>
        <item x="19"/>
        <item x="4"/>
        <item x="15"/>
        <item x="7"/>
        <item x="17"/>
        <item x="20"/>
        <item x="12"/>
        <item x="18"/>
        <item x="13"/>
        <item x="10"/>
        <item x="21"/>
        <item x="11"/>
        <item x="6"/>
        <item x="5"/>
        <item x="24"/>
        <item x="16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4:B21" firstHeaderRow="1" firstDataRow="1" firstDataCol="1"/>
  <pivotFields count="79">
    <pivotField showAll="0"/>
    <pivotField axis="axisRow" showAll="0">
      <items count="7">
        <item x="2"/>
        <item x="1"/>
        <item x="4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ntribution_receipt_amount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tabSelected="1" topLeftCell="E1" zoomScale="70" zoomScaleNormal="70" workbookViewId="0">
      <selection activeCell="N30" sqref="N30"/>
    </sheetView>
  </sheetViews>
  <sheetFormatPr defaultColWidth="8.85546875" defaultRowHeight="15" x14ac:dyDescent="0.25"/>
  <cols>
    <col min="1" max="1" width="17.42578125" style="3" customWidth="1"/>
    <col min="2" max="2" width="8.5703125" style="3" bestFit="1" customWidth="1"/>
    <col min="3" max="3" width="7.28515625" style="3" bestFit="1" customWidth="1"/>
    <col min="4" max="4" width="126.42578125" style="3" bestFit="1" customWidth="1"/>
    <col min="5" max="5" width="12" style="3" customWidth="1"/>
    <col min="6" max="6" width="4.5703125" style="3" bestFit="1" customWidth="1"/>
    <col min="7" max="7" width="16.5703125" style="3" bestFit="1" customWidth="1"/>
    <col min="8" max="8" width="10.140625" style="3" bestFit="1" customWidth="1"/>
    <col min="9" max="9" width="7.85546875" style="3" customWidth="1"/>
    <col min="10" max="10" width="8.85546875" style="3"/>
    <col min="11" max="11" width="12.140625" style="3" bestFit="1" customWidth="1"/>
    <col min="12" max="12" width="10.140625" style="3" bestFit="1" customWidth="1"/>
    <col min="13" max="13" width="11.5703125" style="3" bestFit="1" customWidth="1"/>
    <col min="14" max="14" width="8.140625" style="3" bestFit="1" customWidth="1"/>
    <col min="15" max="15" width="6.28515625" style="3" bestFit="1" customWidth="1"/>
    <col min="16" max="16" width="32.7109375" style="3" customWidth="1"/>
    <col min="17" max="17" width="21.7109375" style="3" bestFit="1" customWidth="1"/>
    <col min="18" max="16384" width="8.85546875" style="3"/>
  </cols>
  <sheetData>
    <row r="1" spans="1:18" s="13" customFormat="1" ht="14.25" x14ac:dyDescent="0.2">
      <c r="A1" s="12" t="s">
        <v>13</v>
      </c>
      <c r="B1" s="12" t="s">
        <v>14</v>
      </c>
      <c r="C1" s="12" t="s">
        <v>15</v>
      </c>
      <c r="D1" s="12" t="s">
        <v>12</v>
      </c>
      <c r="E1" s="12" t="s">
        <v>16</v>
      </c>
      <c r="F1" s="12" t="s">
        <v>17</v>
      </c>
      <c r="G1" s="12" t="s">
        <v>18</v>
      </c>
      <c r="H1" s="12" t="s">
        <v>19</v>
      </c>
      <c r="I1" s="12" t="s">
        <v>8</v>
      </c>
      <c r="J1" s="12" t="s">
        <v>5</v>
      </c>
      <c r="K1" s="12" t="s">
        <v>20</v>
      </c>
      <c r="L1" s="12" t="s">
        <v>21</v>
      </c>
      <c r="M1" s="12" t="s">
        <v>22</v>
      </c>
      <c r="N1" s="12" t="s">
        <v>38</v>
      </c>
      <c r="O1" s="12" t="s">
        <v>23</v>
      </c>
      <c r="P1" s="12" t="s">
        <v>24</v>
      </c>
    </row>
    <row r="2" spans="1:18" ht="15.75" x14ac:dyDescent="0.25">
      <c r="A2" s="3" t="s">
        <v>43</v>
      </c>
      <c r="B2" s="3" t="s">
        <v>25</v>
      </c>
      <c r="C2" s="7" t="s">
        <v>25</v>
      </c>
      <c r="D2" s="3" t="s">
        <v>42</v>
      </c>
      <c r="E2" s="3" t="s">
        <v>39</v>
      </c>
      <c r="F2" s="3" t="s">
        <v>40</v>
      </c>
      <c r="G2" s="3" t="s">
        <v>41</v>
      </c>
      <c r="H2" s="3" t="s">
        <v>27</v>
      </c>
      <c r="I2" s="3" t="s">
        <v>130</v>
      </c>
      <c r="J2" s="3">
        <v>61</v>
      </c>
      <c r="L2" s="22"/>
      <c r="M2" s="22"/>
      <c r="N2" s="22">
        <f>+'Brian Moynihan'!AJ2</f>
        <v>5000</v>
      </c>
      <c r="O2" s="22"/>
      <c r="P2" s="3" t="s">
        <v>503</v>
      </c>
      <c r="Q2" s="3" t="str">
        <f>+E2&amp;F2&amp;G2</f>
        <v>Brian T. Moynihan</v>
      </c>
    </row>
    <row r="3" spans="1:18" ht="15.75" x14ac:dyDescent="0.25">
      <c r="A3" s="3" t="s">
        <v>43</v>
      </c>
      <c r="B3" s="3" t="s">
        <v>25</v>
      </c>
      <c r="C3" s="7" t="s">
        <v>0</v>
      </c>
      <c r="D3" s="3" t="s">
        <v>52</v>
      </c>
      <c r="E3" s="5" t="s">
        <v>44</v>
      </c>
      <c r="F3" s="3" t="s">
        <v>45</v>
      </c>
      <c r="G3" s="3" t="s">
        <v>46</v>
      </c>
      <c r="H3" s="3" t="s">
        <v>27</v>
      </c>
      <c r="I3" s="3" t="s">
        <v>244</v>
      </c>
      <c r="J3" s="3">
        <v>75</v>
      </c>
      <c r="L3" s="22"/>
      <c r="M3" s="22">
        <f>+GETPIVOTDATA("contribution_receipt_amount",'Jack O. Bovender'!$A$14)</f>
        <v>139900</v>
      </c>
      <c r="N3" s="22"/>
      <c r="O3" s="22"/>
      <c r="P3" s="3" t="s">
        <v>504</v>
      </c>
      <c r="Q3" s="3" t="str">
        <f t="shared" ref="Q3:Q25" si="0">+E3&amp;F3&amp;G3</f>
        <v>Jack O. Bovender, Jr.</v>
      </c>
    </row>
    <row r="4" spans="1:18" ht="15.75" x14ac:dyDescent="0.25">
      <c r="A4" s="3" t="s">
        <v>43</v>
      </c>
      <c r="B4" s="3" t="s">
        <v>25</v>
      </c>
      <c r="C4" s="7" t="s">
        <v>0</v>
      </c>
      <c r="D4" s="3" t="s">
        <v>53</v>
      </c>
      <c r="E4" s="6" t="s">
        <v>47</v>
      </c>
      <c r="F4" s="6" t="s">
        <v>48</v>
      </c>
      <c r="G4" s="3" t="s">
        <v>49</v>
      </c>
      <c r="H4" s="3" t="s">
        <v>27</v>
      </c>
      <c r="J4" s="3">
        <v>66</v>
      </c>
      <c r="L4" s="22"/>
      <c r="M4" s="22"/>
      <c r="N4" s="22"/>
      <c r="O4" s="22"/>
      <c r="Q4" s="3" t="str">
        <f t="shared" si="0"/>
        <v>Lionel L. Nowell III</v>
      </c>
      <c r="R4" s="3" t="s">
        <v>302</v>
      </c>
    </row>
    <row r="5" spans="1:18" ht="15.75" x14ac:dyDescent="0.25">
      <c r="A5" s="3" t="s">
        <v>43</v>
      </c>
      <c r="B5" s="3" t="s">
        <v>25</v>
      </c>
      <c r="C5" s="7" t="s">
        <v>0</v>
      </c>
      <c r="D5" s="3" t="s">
        <v>54</v>
      </c>
      <c r="E5" s="6" t="s">
        <v>50</v>
      </c>
      <c r="F5" s="6" t="s">
        <v>48</v>
      </c>
      <c r="G5" s="3" t="s">
        <v>51</v>
      </c>
      <c r="H5" s="3" t="s">
        <v>30</v>
      </c>
      <c r="J5" s="3">
        <v>69</v>
      </c>
      <c r="K5" s="23">
        <v>18908</v>
      </c>
      <c r="L5" s="22"/>
      <c r="M5" s="22"/>
      <c r="N5" s="22"/>
      <c r="O5" s="22"/>
      <c r="Q5" s="3" t="str">
        <f t="shared" si="0"/>
        <v>Sharon L. Allen</v>
      </c>
      <c r="R5" s="3" t="s">
        <v>302</v>
      </c>
    </row>
    <row r="6" spans="1:18" ht="15.75" x14ac:dyDescent="0.25">
      <c r="A6" s="3" t="s">
        <v>43</v>
      </c>
      <c r="B6" s="3" t="s">
        <v>25</v>
      </c>
      <c r="C6" s="7" t="s">
        <v>0</v>
      </c>
      <c r="D6" s="3" t="s">
        <v>58</v>
      </c>
      <c r="E6" s="6" t="s">
        <v>55</v>
      </c>
      <c r="F6" s="6" t="s">
        <v>56</v>
      </c>
      <c r="G6" s="3" t="s">
        <v>57</v>
      </c>
      <c r="H6" s="3" t="s">
        <v>30</v>
      </c>
      <c r="J6" s="3">
        <v>73</v>
      </c>
      <c r="K6" s="23">
        <v>17292</v>
      </c>
      <c r="L6" s="22"/>
      <c r="M6" s="22"/>
      <c r="N6" s="22"/>
      <c r="O6" s="22"/>
      <c r="Q6" s="3" t="str">
        <f t="shared" si="0"/>
        <v>Susan S. Bies</v>
      </c>
      <c r="R6" s="3" t="s">
        <v>302</v>
      </c>
    </row>
    <row r="7" spans="1:18" ht="15.75" x14ac:dyDescent="0.25">
      <c r="A7" s="3" t="s">
        <v>43</v>
      </c>
      <c r="B7" s="3" t="s">
        <v>25</v>
      </c>
      <c r="C7" s="7" t="s">
        <v>0</v>
      </c>
      <c r="D7" s="3" t="s">
        <v>62</v>
      </c>
      <c r="E7" s="6" t="s">
        <v>59</v>
      </c>
      <c r="F7" s="6" t="s">
        <v>60</v>
      </c>
      <c r="G7" s="3" t="s">
        <v>61</v>
      </c>
      <c r="H7" s="3" t="s">
        <v>27</v>
      </c>
      <c r="J7" s="3">
        <v>72</v>
      </c>
      <c r="L7" s="22"/>
      <c r="M7" s="22"/>
      <c r="N7" s="22"/>
      <c r="O7" s="22"/>
      <c r="Q7" s="3" t="str">
        <f t="shared" si="0"/>
        <v>Frank P. Bramble, Sr.</v>
      </c>
      <c r="R7" s="3" t="s">
        <v>302</v>
      </c>
    </row>
    <row r="8" spans="1:18" ht="15.75" x14ac:dyDescent="0.25">
      <c r="A8" s="3" t="s">
        <v>43</v>
      </c>
      <c r="B8" s="3" t="s">
        <v>25</v>
      </c>
      <c r="C8" s="7" t="s">
        <v>0</v>
      </c>
      <c r="D8" s="3" t="s">
        <v>66</v>
      </c>
      <c r="E8" s="6" t="s">
        <v>63</v>
      </c>
      <c r="F8" s="6" t="s">
        <v>64</v>
      </c>
      <c r="G8" s="3" t="s">
        <v>65</v>
      </c>
      <c r="H8" s="3" t="s">
        <v>27</v>
      </c>
      <c r="J8" s="3">
        <v>70</v>
      </c>
      <c r="L8" s="22"/>
      <c r="M8" s="22"/>
      <c r="N8" s="22"/>
      <c r="O8" s="22"/>
      <c r="Q8" s="3" t="str">
        <f t="shared" si="0"/>
        <v>Pierre J.P. de Weck</v>
      </c>
      <c r="R8" s="3" t="s">
        <v>302</v>
      </c>
    </row>
    <row r="9" spans="1:18" ht="15.75" x14ac:dyDescent="0.25">
      <c r="A9" s="3" t="s">
        <v>43</v>
      </c>
      <c r="B9" s="3" t="s">
        <v>25</v>
      </c>
      <c r="C9" s="7" t="s">
        <v>0</v>
      </c>
      <c r="D9" s="3" t="s">
        <v>70</v>
      </c>
      <c r="E9" s="3" t="s">
        <v>67</v>
      </c>
      <c r="F9" s="3" t="s">
        <v>68</v>
      </c>
      <c r="G9" s="3" t="s">
        <v>69</v>
      </c>
      <c r="H9" s="3" t="s">
        <v>27</v>
      </c>
      <c r="I9" s="3" t="s">
        <v>304</v>
      </c>
      <c r="J9" s="3">
        <v>66</v>
      </c>
      <c r="K9" s="3">
        <v>1954</v>
      </c>
      <c r="L9" s="22"/>
      <c r="M9" s="22"/>
      <c r="N9" s="22"/>
      <c r="O9" s="22"/>
      <c r="P9" s="3" t="s">
        <v>303</v>
      </c>
      <c r="Q9" s="3" t="str">
        <f t="shared" si="0"/>
        <v>Arnold W. Donald</v>
      </c>
      <c r="R9" s="3" t="s">
        <v>302</v>
      </c>
    </row>
    <row r="10" spans="1:18" ht="15.75" x14ac:dyDescent="0.25">
      <c r="A10" s="3" t="s">
        <v>43</v>
      </c>
      <c r="B10" s="3" t="s">
        <v>25</v>
      </c>
      <c r="C10" s="7" t="s">
        <v>0</v>
      </c>
      <c r="D10" s="3" t="s">
        <v>74</v>
      </c>
      <c r="E10" s="5" t="s">
        <v>71</v>
      </c>
      <c r="F10" s="3" t="s">
        <v>72</v>
      </c>
      <c r="G10" s="3" t="s">
        <v>73</v>
      </c>
      <c r="H10" s="3" t="s">
        <v>30</v>
      </c>
      <c r="I10" s="3" t="s">
        <v>130</v>
      </c>
      <c r="J10" s="3">
        <v>70</v>
      </c>
      <c r="K10" s="23">
        <v>18497</v>
      </c>
      <c r="L10" s="22">
        <f>+'Linda Hudson'!AJ5</f>
        <v>2500</v>
      </c>
      <c r="M10" s="22"/>
      <c r="N10" s="22"/>
      <c r="O10" s="22"/>
      <c r="P10" s="3" t="s">
        <v>467</v>
      </c>
      <c r="Q10" s="3" t="str">
        <f t="shared" si="0"/>
        <v>Linda P. Hudson</v>
      </c>
    </row>
    <row r="11" spans="1:18" ht="15.75" x14ac:dyDescent="0.25">
      <c r="A11" s="3" t="s">
        <v>43</v>
      </c>
      <c r="B11" s="3" t="s">
        <v>25</v>
      </c>
      <c r="C11" s="7" t="s">
        <v>0</v>
      </c>
      <c r="D11" s="3" t="s">
        <v>78</v>
      </c>
      <c r="E11" s="6" t="s">
        <v>75</v>
      </c>
      <c r="F11" s="3" t="s">
        <v>76</v>
      </c>
      <c r="G11" s="3" t="s">
        <v>77</v>
      </c>
      <c r="H11" s="3" t="s">
        <v>30</v>
      </c>
      <c r="J11" s="3">
        <v>65</v>
      </c>
      <c r="K11" s="23">
        <v>20657</v>
      </c>
      <c r="L11" s="22">
        <f>+GETPIVOTDATA("contribution_receipt_amount",'Monica Lozano'!$A$39)</f>
        <v>105036.66</v>
      </c>
      <c r="M11" s="22"/>
      <c r="N11" s="22"/>
      <c r="O11" s="22"/>
      <c r="P11" s="3" t="s">
        <v>468</v>
      </c>
      <c r="Q11" s="3" t="str">
        <f t="shared" si="0"/>
        <v>Monica C. Lozano</v>
      </c>
    </row>
    <row r="12" spans="1:18" ht="15.75" x14ac:dyDescent="0.25">
      <c r="A12" s="3" t="s">
        <v>43</v>
      </c>
      <c r="B12" s="3" t="s">
        <v>25</v>
      </c>
      <c r="C12" s="7" t="s">
        <v>0</v>
      </c>
      <c r="D12" s="3" t="s">
        <v>82</v>
      </c>
      <c r="E12" s="6" t="s">
        <v>79</v>
      </c>
      <c r="F12" s="3" t="s">
        <v>80</v>
      </c>
      <c r="G12" s="3" t="s">
        <v>81</v>
      </c>
      <c r="H12" s="3" t="s">
        <v>27</v>
      </c>
      <c r="J12" s="3">
        <v>74</v>
      </c>
      <c r="L12" s="22"/>
      <c r="M12" s="22"/>
      <c r="N12" s="22"/>
      <c r="O12" s="22"/>
      <c r="Q12" s="3" t="str">
        <f t="shared" si="0"/>
        <v>Thomas J. May</v>
      </c>
      <c r="R12" s="3" t="s">
        <v>302</v>
      </c>
    </row>
    <row r="13" spans="1:18" ht="15.75" x14ac:dyDescent="0.25">
      <c r="A13" s="3" t="s">
        <v>43</v>
      </c>
      <c r="B13" s="3" t="s">
        <v>25</v>
      </c>
      <c r="C13" s="7" t="s">
        <v>0</v>
      </c>
      <c r="D13" s="3" t="s">
        <v>85</v>
      </c>
      <c r="E13" s="6" t="s">
        <v>83</v>
      </c>
      <c r="F13" s="3" t="s">
        <v>48</v>
      </c>
      <c r="G13" s="3" t="s">
        <v>84</v>
      </c>
      <c r="H13" s="3" t="s">
        <v>30</v>
      </c>
      <c r="J13" s="3">
        <v>64</v>
      </c>
      <c r="L13" s="22"/>
      <c r="M13" s="22"/>
      <c r="N13" s="22"/>
      <c r="O13" s="22"/>
      <c r="Q13" s="3" t="str">
        <f t="shared" si="0"/>
        <v>Denise L. Ramos</v>
      </c>
      <c r="R13" s="3" t="s">
        <v>302</v>
      </c>
    </row>
    <row r="14" spans="1:18" ht="15.75" x14ac:dyDescent="0.25">
      <c r="A14" s="3" t="s">
        <v>43</v>
      </c>
      <c r="B14" s="3" t="s">
        <v>25</v>
      </c>
      <c r="C14" s="7" t="s">
        <v>0</v>
      </c>
      <c r="D14" s="3" t="s">
        <v>88</v>
      </c>
      <c r="E14" s="6" t="s">
        <v>86</v>
      </c>
      <c r="F14" s="3" t="s">
        <v>56</v>
      </c>
      <c r="G14" s="3" t="s">
        <v>87</v>
      </c>
      <c r="H14" s="3" t="s">
        <v>27</v>
      </c>
      <c r="I14" s="3" t="s">
        <v>305</v>
      </c>
      <c r="J14" s="3">
        <v>62</v>
      </c>
      <c r="L14" s="22">
        <f>+GETPIVOTDATA("contribution_receipt_amount",'Clayton Rose'!$A$18)</f>
        <v>174766.64000000004</v>
      </c>
      <c r="M14" s="22"/>
      <c r="N14" s="22"/>
      <c r="O14" s="22" t="s">
        <v>333</v>
      </c>
      <c r="P14" s="3" t="s">
        <v>505</v>
      </c>
      <c r="Q14" s="3" t="str">
        <f t="shared" si="0"/>
        <v>Clayton S. Rose</v>
      </c>
    </row>
    <row r="15" spans="1:18" ht="15.75" x14ac:dyDescent="0.25">
      <c r="A15" s="3" t="s">
        <v>43</v>
      </c>
      <c r="B15" s="3" t="s">
        <v>25</v>
      </c>
      <c r="C15" s="7" t="s">
        <v>0</v>
      </c>
      <c r="D15" s="3" t="s">
        <v>92</v>
      </c>
      <c r="E15" s="6" t="s">
        <v>89</v>
      </c>
      <c r="F15" s="6" t="s">
        <v>90</v>
      </c>
      <c r="G15" s="3" t="s">
        <v>91</v>
      </c>
      <c r="H15" s="3" t="s">
        <v>27</v>
      </c>
      <c r="J15" s="3">
        <v>69</v>
      </c>
      <c r="L15" s="22"/>
      <c r="M15" s="22"/>
      <c r="N15" s="22"/>
      <c r="O15" s="22"/>
      <c r="Q15" s="3" t="str">
        <f t="shared" si="0"/>
        <v>Michael D. White</v>
      </c>
      <c r="R15" s="3" t="s">
        <v>302</v>
      </c>
    </row>
    <row r="16" spans="1:18" ht="15.75" x14ac:dyDescent="0.25">
      <c r="A16" s="3" t="s">
        <v>43</v>
      </c>
      <c r="B16" s="3" t="s">
        <v>25</v>
      </c>
      <c r="C16" s="7" t="s">
        <v>0</v>
      </c>
      <c r="D16" s="3" t="s">
        <v>95</v>
      </c>
      <c r="E16" s="5" t="s">
        <v>34</v>
      </c>
      <c r="F16" s="3" t="s">
        <v>93</v>
      </c>
      <c r="G16" s="3" t="s">
        <v>94</v>
      </c>
      <c r="H16" s="3" t="s">
        <v>27</v>
      </c>
      <c r="J16" s="3">
        <v>68</v>
      </c>
      <c r="L16" s="22"/>
      <c r="M16" s="22"/>
      <c r="N16" s="22"/>
      <c r="O16" s="22"/>
      <c r="Q16" s="3" t="str">
        <f t="shared" si="0"/>
        <v>Thomas D. Woods</v>
      </c>
      <c r="R16" s="3" t="s">
        <v>302</v>
      </c>
    </row>
    <row r="17" spans="1:20" ht="15.75" x14ac:dyDescent="0.25">
      <c r="A17" s="3" t="s">
        <v>43</v>
      </c>
      <c r="B17" s="3" t="s">
        <v>25</v>
      </c>
      <c r="C17" s="7" t="s">
        <v>0</v>
      </c>
      <c r="D17" s="3" t="s">
        <v>99</v>
      </c>
      <c r="E17" s="3" t="s">
        <v>96</v>
      </c>
      <c r="F17" s="3" t="s">
        <v>97</v>
      </c>
      <c r="G17" s="3" t="s">
        <v>98</v>
      </c>
      <c r="H17" s="3" t="s">
        <v>27</v>
      </c>
      <c r="J17" s="3">
        <v>73</v>
      </c>
      <c r="L17" s="22"/>
      <c r="M17" s="22">
        <f>+'R David Yost'!AJ5</f>
        <v>2000</v>
      </c>
      <c r="N17" s="22"/>
      <c r="O17" s="22"/>
      <c r="P17" s="3" t="s">
        <v>525</v>
      </c>
      <c r="Q17" s="3" t="str">
        <f t="shared" si="0"/>
        <v>R. David Yost</v>
      </c>
    </row>
    <row r="18" spans="1:20" ht="15.75" x14ac:dyDescent="0.25">
      <c r="A18" s="3" t="s">
        <v>43</v>
      </c>
      <c r="B18" s="3" t="s">
        <v>25</v>
      </c>
      <c r="C18" s="7" t="s">
        <v>0</v>
      </c>
      <c r="D18" s="3" t="s">
        <v>102</v>
      </c>
      <c r="E18" s="5" t="s">
        <v>100</v>
      </c>
      <c r="F18" s="3" t="s">
        <v>40</v>
      </c>
      <c r="G18" s="3" t="s">
        <v>101</v>
      </c>
      <c r="H18" s="3" t="s">
        <v>30</v>
      </c>
      <c r="J18" s="3">
        <v>62</v>
      </c>
      <c r="K18" s="23">
        <v>21363</v>
      </c>
      <c r="L18" s="22"/>
      <c r="M18" s="22"/>
      <c r="N18" s="22"/>
      <c r="O18" s="22"/>
      <c r="Q18" s="3" t="str">
        <f t="shared" si="0"/>
        <v>Maria T. Zuber</v>
      </c>
      <c r="R18" s="3" t="s">
        <v>302</v>
      </c>
    </row>
    <row r="19" spans="1:20" ht="15.75" x14ac:dyDescent="0.25">
      <c r="A19" s="3" t="s">
        <v>43</v>
      </c>
      <c r="B19" s="3" t="s">
        <v>0</v>
      </c>
      <c r="C19" s="8" t="s">
        <v>25</v>
      </c>
      <c r="D19" s="3" t="s">
        <v>106</v>
      </c>
      <c r="E19" s="5" t="s">
        <v>103</v>
      </c>
      <c r="F19" s="3" t="s">
        <v>104</v>
      </c>
      <c r="G19" s="3" t="s">
        <v>105</v>
      </c>
      <c r="H19" s="3" t="s">
        <v>27</v>
      </c>
      <c r="I19" s="3" t="s">
        <v>107</v>
      </c>
      <c r="L19" s="22"/>
      <c r="M19" s="22"/>
      <c r="N19" s="22"/>
      <c r="O19" s="22"/>
      <c r="Q19" s="3" t="str">
        <f t="shared" si="0"/>
        <v>Raul A. Anaya</v>
      </c>
      <c r="R19" s="3" t="s">
        <v>302</v>
      </c>
    </row>
    <row r="20" spans="1:20" ht="15.75" x14ac:dyDescent="0.25">
      <c r="A20" s="3" t="s">
        <v>43</v>
      </c>
      <c r="B20" s="3" t="s">
        <v>0</v>
      </c>
      <c r="C20" s="8" t="s">
        <v>25</v>
      </c>
      <c r="D20" s="3" t="s">
        <v>111</v>
      </c>
      <c r="E20" s="5" t="s">
        <v>108</v>
      </c>
      <c r="F20" s="3" t="s">
        <v>109</v>
      </c>
      <c r="G20" s="3" t="s">
        <v>110</v>
      </c>
      <c r="H20" s="3" t="s">
        <v>30</v>
      </c>
      <c r="I20" s="3" t="s">
        <v>112</v>
      </c>
      <c r="L20" s="22"/>
      <c r="M20" s="22"/>
      <c r="N20" s="22">
        <f>+GETPIVOTDATA("contribution_receipt_amount",'Catherine Bessant'!$A$52)</f>
        <v>5060</v>
      </c>
      <c r="O20" s="22"/>
      <c r="P20" s="3" t="s">
        <v>503</v>
      </c>
      <c r="Q20" s="3" t="str">
        <f t="shared" si="0"/>
        <v>Catherine P. Bessant</v>
      </c>
    </row>
    <row r="21" spans="1:20" ht="15.75" x14ac:dyDescent="0.25">
      <c r="A21" s="3" t="s">
        <v>43</v>
      </c>
      <c r="B21" s="3" t="s">
        <v>0</v>
      </c>
      <c r="C21" s="8" t="s">
        <v>25</v>
      </c>
      <c r="D21" s="3" t="s">
        <v>115</v>
      </c>
      <c r="E21" s="5" t="s">
        <v>113</v>
      </c>
      <c r="F21" s="3" t="s">
        <v>28</v>
      </c>
      <c r="G21" s="3" t="s">
        <v>114</v>
      </c>
      <c r="H21" s="3" t="s">
        <v>30</v>
      </c>
      <c r="I21" s="3" t="s">
        <v>32</v>
      </c>
      <c r="L21" s="22"/>
      <c r="M21" s="22"/>
      <c r="N21" s="22">
        <f>+GETPIVOTDATA("contribution_receipt_amount",'Sheri Bronstein'!$A$46,"committee_name","BANK OF AMERICA CORPORATION FEDERAL PAC")</f>
        <v>2000</v>
      </c>
      <c r="O21" s="22"/>
      <c r="P21" s="3" t="s">
        <v>684</v>
      </c>
      <c r="Q21" s="3" t="s">
        <v>610</v>
      </c>
      <c r="T21" s="3" t="s">
        <v>610</v>
      </c>
    </row>
    <row r="22" spans="1:20" ht="15.75" x14ac:dyDescent="0.25">
      <c r="A22" s="3" t="s">
        <v>43</v>
      </c>
      <c r="B22" s="3" t="s">
        <v>0</v>
      </c>
      <c r="C22" s="8" t="s">
        <v>25</v>
      </c>
      <c r="D22" s="3" t="s">
        <v>118</v>
      </c>
      <c r="E22" s="5" t="s">
        <v>116</v>
      </c>
      <c r="G22" s="3" t="s">
        <v>117</v>
      </c>
      <c r="H22" s="3" t="s">
        <v>27</v>
      </c>
      <c r="I22" s="3" t="s">
        <v>32</v>
      </c>
      <c r="L22" s="22"/>
      <c r="M22" s="22"/>
      <c r="N22" s="22">
        <f>+GETPIVOTDATA("contribution_receipt_amount",'Paul Donofrio'!$A$34)</f>
        <v>560</v>
      </c>
      <c r="O22" s="22"/>
      <c r="P22" s="3" t="s">
        <v>734</v>
      </c>
      <c r="Q22" s="3" t="str">
        <f t="shared" si="0"/>
        <v>Paul Donofrio</v>
      </c>
    </row>
    <row r="23" spans="1:20" ht="15.75" x14ac:dyDescent="0.25">
      <c r="A23" s="3" t="s">
        <v>43</v>
      </c>
      <c r="B23" s="3" t="s">
        <v>0</v>
      </c>
      <c r="C23" s="8" t="s">
        <v>25</v>
      </c>
      <c r="D23" s="3" t="s">
        <v>121</v>
      </c>
      <c r="E23" s="5" t="s">
        <v>79</v>
      </c>
      <c r="F23" s="3" t="s">
        <v>119</v>
      </c>
      <c r="G23" s="3" t="s">
        <v>120</v>
      </c>
      <c r="H23" s="3" t="s">
        <v>27</v>
      </c>
      <c r="L23" s="22"/>
      <c r="M23" s="22">
        <f>+GETPIVOTDATA("contribution_receipt_amount",'Thomas Montag'!$A$91)</f>
        <v>1147497.5599999996</v>
      </c>
      <c r="N23" s="22"/>
      <c r="O23" s="22"/>
      <c r="P23" s="3" t="s">
        <v>1140</v>
      </c>
      <c r="Q23" s="3" t="str">
        <f t="shared" si="0"/>
        <v>Thomas K. Montag</v>
      </c>
    </row>
    <row r="24" spans="1:20" ht="15.75" x14ac:dyDescent="0.25">
      <c r="A24" s="3" t="s">
        <v>43</v>
      </c>
      <c r="B24" s="3" t="s">
        <v>0</v>
      </c>
      <c r="C24" s="8" t="s">
        <v>25</v>
      </c>
      <c r="D24" s="3" t="s">
        <v>125</v>
      </c>
      <c r="E24" s="3" t="s">
        <v>122</v>
      </c>
      <c r="F24" s="3" t="s">
        <v>123</v>
      </c>
      <c r="G24" s="3" t="s">
        <v>124</v>
      </c>
      <c r="H24" s="3" t="s">
        <v>30</v>
      </c>
      <c r="L24" s="22"/>
      <c r="M24" s="22"/>
      <c r="N24" s="22">
        <f>+GETPIVOTDATA("contribution_receipt_amount",'Andrea Smith'!$A$51,"committee_name","BANK OF AMERICA CORPORATION FEDERAL PAC")</f>
        <v>9357.8799999999937</v>
      </c>
      <c r="O24" s="22"/>
      <c r="P24" s="3" t="s">
        <v>503</v>
      </c>
      <c r="Q24" s="3" t="str">
        <f t="shared" si="0"/>
        <v>Andrea B. Smith</v>
      </c>
    </row>
    <row r="25" spans="1:20" ht="15.75" x14ac:dyDescent="0.25">
      <c r="A25" s="3" t="s">
        <v>43</v>
      </c>
      <c r="B25" s="3" t="s">
        <v>0</v>
      </c>
      <c r="C25" s="8" t="s">
        <v>25</v>
      </c>
      <c r="D25" s="3" t="s">
        <v>128</v>
      </c>
      <c r="E25" s="5" t="s">
        <v>126</v>
      </c>
      <c r="G25" s="3" t="s">
        <v>127</v>
      </c>
      <c r="H25" s="3" t="s">
        <v>27</v>
      </c>
      <c r="I25" s="3" t="s">
        <v>129</v>
      </c>
      <c r="L25" s="22"/>
      <c r="M25" s="22"/>
      <c r="N25" s="22"/>
      <c r="O25" s="22"/>
      <c r="Q25" s="3" t="str">
        <f t="shared" si="0"/>
        <v>Andy Sieg</v>
      </c>
      <c r="R25" s="3" t="s">
        <v>302</v>
      </c>
    </row>
    <row r="26" spans="1:20" x14ac:dyDescent="0.25">
      <c r="C26" s="4"/>
      <c r="L26" s="22"/>
      <c r="M26" s="22"/>
      <c r="N26" s="22"/>
      <c r="O26" s="22"/>
    </row>
    <row r="27" spans="1:20" x14ac:dyDescent="0.25">
      <c r="C27" s="4"/>
      <c r="D27" s="5"/>
      <c r="E27" s="5"/>
      <c r="L27" s="22"/>
      <c r="M27" s="22"/>
      <c r="N27" s="22"/>
      <c r="O27" s="22"/>
    </row>
    <row r="28" spans="1:20" x14ac:dyDescent="0.25">
      <c r="C28" s="4"/>
      <c r="D28" s="5"/>
      <c r="E28" s="5"/>
    </row>
    <row r="29" spans="1:20" x14ac:dyDescent="0.25">
      <c r="C29" s="4"/>
      <c r="D29" s="5"/>
      <c r="E29" s="5"/>
      <c r="N29" s="3" t="s">
        <v>1223</v>
      </c>
      <c r="P29" s="3" t="s">
        <v>1222</v>
      </c>
    </row>
    <row r="30" spans="1:20" x14ac:dyDescent="0.25">
      <c r="C30" s="4"/>
    </row>
    <row r="31" spans="1:20" x14ac:dyDescent="0.25">
      <c r="C31" s="4"/>
      <c r="D31" s="5"/>
      <c r="E31" s="5"/>
    </row>
    <row r="32" spans="1:20" x14ac:dyDescent="0.25">
      <c r="C32" s="4"/>
      <c r="D32" s="5"/>
      <c r="E32" s="5"/>
    </row>
    <row r="33" spans="3:5" x14ac:dyDescent="0.25">
      <c r="C33" s="4"/>
      <c r="D33" s="5"/>
      <c r="E33" s="5"/>
    </row>
    <row r="34" spans="3:5" x14ac:dyDescent="0.25">
      <c r="C34" s="4"/>
      <c r="D34" s="5"/>
      <c r="E34" s="5"/>
    </row>
    <row r="35" spans="3:5" x14ac:dyDescent="0.25">
      <c r="C35" s="4"/>
      <c r="D35" s="5"/>
      <c r="E35" s="5"/>
    </row>
    <row r="36" spans="3:5" x14ac:dyDescent="0.25">
      <c r="C36" s="4"/>
      <c r="D36" s="5"/>
      <c r="E36" s="5"/>
    </row>
    <row r="37" spans="3:5" x14ac:dyDescent="0.25">
      <c r="C37" s="4"/>
      <c r="D37" s="5"/>
      <c r="E37" s="5"/>
    </row>
    <row r="38" spans="3:5" x14ac:dyDescent="0.25">
      <c r="C38" s="4"/>
      <c r="D38" s="5"/>
      <c r="E38" s="5"/>
    </row>
    <row r="39" spans="3:5" x14ac:dyDescent="0.25">
      <c r="C39" s="4"/>
      <c r="D39" s="5"/>
      <c r="E39" s="5"/>
    </row>
    <row r="40" spans="3:5" x14ac:dyDescent="0.25">
      <c r="C40" s="4"/>
      <c r="D40" s="5"/>
      <c r="E40" s="5"/>
    </row>
    <row r="41" spans="3:5" x14ac:dyDescent="0.25">
      <c r="C41" s="4"/>
      <c r="D41" s="5"/>
      <c r="E41" s="5"/>
    </row>
    <row r="42" spans="3:5" x14ac:dyDescent="0.25">
      <c r="C42" s="4"/>
      <c r="D42" s="5"/>
      <c r="E42" s="5"/>
    </row>
    <row r="43" spans="3:5" x14ac:dyDescent="0.25">
      <c r="C43" s="4"/>
      <c r="D43" s="5"/>
      <c r="E43" s="5"/>
    </row>
    <row r="44" spans="3:5" x14ac:dyDescent="0.25">
      <c r="C44" s="4"/>
      <c r="D44" s="5"/>
      <c r="E44" s="5"/>
    </row>
    <row r="45" spans="3:5" x14ac:dyDescent="0.25">
      <c r="C45" s="4"/>
      <c r="D45" s="5"/>
      <c r="E45" s="5"/>
    </row>
    <row r="46" spans="3:5" x14ac:dyDescent="0.25">
      <c r="C46" s="4"/>
    </row>
    <row r="47" spans="3:5" x14ac:dyDescent="0.25">
      <c r="C47" s="4"/>
      <c r="D47" s="5"/>
      <c r="E47" s="5"/>
    </row>
    <row r="48" spans="3:5" x14ac:dyDescent="0.25">
      <c r="C48" s="4"/>
      <c r="D48" s="5"/>
      <c r="E48" s="5"/>
    </row>
    <row r="49" spans="3:5" x14ac:dyDescent="0.25">
      <c r="C49" s="4"/>
      <c r="D49" s="5"/>
      <c r="E49" s="5"/>
    </row>
    <row r="50" spans="3:5" x14ac:dyDescent="0.25">
      <c r="C50" s="4"/>
      <c r="D50" s="5"/>
      <c r="E50" s="5"/>
    </row>
    <row r="51" spans="3:5" x14ac:dyDescent="0.25">
      <c r="C51" s="4"/>
    </row>
    <row r="52" spans="3:5" x14ac:dyDescent="0.25">
      <c r="C52" s="4"/>
      <c r="D52" s="5"/>
      <c r="E52" s="5"/>
    </row>
    <row r="53" spans="3:5" x14ac:dyDescent="0.25">
      <c r="C53" s="4"/>
      <c r="D53" s="5"/>
      <c r="E53" s="5"/>
    </row>
    <row r="54" spans="3:5" x14ac:dyDescent="0.25">
      <c r="C54" s="4"/>
      <c r="D54" s="5"/>
      <c r="E54" s="5"/>
    </row>
    <row r="55" spans="3:5" x14ac:dyDescent="0.25">
      <c r="C55" s="4"/>
      <c r="D55" s="5"/>
      <c r="E55" s="5"/>
    </row>
    <row r="56" spans="3:5" x14ac:dyDescent="0.25">
      <c r="C56" s="4"/>
      <c r="D56" s="5"/>
      <c r="E56" s="5"/>
    </row>
    <row r="57" spans="3:5" x14ac:dyDescent="0.25">
      <c r="C57" s="4"/>
      <c r="D57" s="5"/>
      <c r="E57" s="5"/>
    </row>
    <row r="58" spans="3:5" x14ac:dyDescent="0.25">
      <c r="C58" s="4"/>
      <c r="D58" s="5"/>
      <c r="E58" s="5"/>
    </row>
    <row r="59" spans="3:5" x14ac:dyDescent="0.25">
      <c r="C59" s="4"/>
      <c r="D59" s="5"/>
      <c r="E59" s="5"/>
    </row>
    <row r="60" spans="3:5" x14ac:dyDescent="0.25">
      <c r="C60" s="4"/>
      <c r="D60" s="5"/>
      <c r="E60" s="5"/>
    </row>
    <row r="61" spans="3:5" x14ac:dyDescent="0.25">
      <c r="C61" s="4"/>
      <c r="D61" s="5"/>
      <c r="E61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3"/>
  <sheetViews>
    <sheetView topLeftCell="J37" workbookViewId="0">
      <selection activeCell="V50" sqref="V50"/>
    </sheetView>
  </sheetViews>
  <sheetFormatPr defaultRowHeight="15" x14ac:dyDescent="0.25"/>
  <cols>
    <col min="1" max="1" width="44.140625" bestFit="1" customWidth="1"/>
    <col min="2" max="2" width="34.5703125" bestFit="1" customWidth="1"/>
    <col min="3" max="3" width="9.28515625" bestFit="1" customWidth="1"/>
    <col min="5" max="5" width="12.42578125" bestFit="1" customWidth="1"/>
    <col min="8" max="8" width="9.28515625" bestFit="1" customWidth="1"/>
    <col min="26" max="26" width="9.28515625" bestFit="1" customWidth="1"/>
    <col min="30" max="30" width="9.28515625" bestFit="1" customWidth="1"/>
    <col min="35" max="37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24" t="s">
        <v>131</v>
      </c>
      <c r="B1" s="24" t="s">
        <v>132</v>
      </c>
      <c r="C1" s="24" t="s">
        <v>133</v>
      </c>
      <c r="D1" s="24" t="s">
        <v>134</v>
      </c>
      <c r="E1" s="24" t="s">
        <v>135</v>
      </c>
      <c r="F1" s="24" t="s">
        <v>136</v>
      </c>
      <c r="G1" s="24" t="s">
        <v>137</v>
      </c>
      <c r="H1" s="24" t="s">
        <v>138</v>
      </c>
      <c r="I1" s="24" t="s">
        <v>132</v>
      </c>
      <c r="J1" s="24" t="s">
        <v>139</v>
      </c>
      <c r="K1" s="24" t="s">
        <v>140</v>
      </c>
      <c r="L1" s="24" t="s">
        <v>141</v>
      </c>
      <c r="M1" s="24" t="s">
        <v>142</v>
      </c>
      <c r="N1" s="24" t="s">
        <v>143</v>
      </c>
      <c r="O1" s="24" t="s">
        <v>144</v>
      </c>
      <c r="P1" s="24" t="s">
        <v>145</v>
      </c>
      <c r="Q1" s="24" t="s">
        <v>146</v>
      </c>
      <c r="R1" s="24" t="s">
        <v>147</v>
      </c>
      <c r="S1" s="24" t="s">
        <v>148</v>
      </c>
      <c r="T1" s="24" t="s">
        <v>149</v>
      </c>
      <c r="U1" s="24" t="s">
        <v>150</v>
      </c>
      <c r="V1" s="24" t="s">
        <v>151</v>
      </c>
      <c r="W1" s="24" t="s">
        <v>152</v>
      </c>
      <c r="X1" s="24" t="s">
        <v>153</v>
      </c>
      <c r="Y1" s="24" t="s">
        <v>154</v>
      </c>
      <c r="Z1" s="24" t="s">
        <v>155</v>
      </c>
      <c r="AA1" s="24" t="s">
        <v>156</v>
      </c>
      <c r="AB1" s="24" t="s">
        <v>157</v>
      </c>
      <c r="AC1" s="24" t="s">
        <v>158</v>
      </c>
      <c r="AD1" s="24" t="s">
        <v>159</v>
      </c>
      <c r="AE1" s="24" t="s">
        <v>160</v>
      </c>
      <c r="AF1" s="24" t="s">
        <v>161</v>
      </c>
      <c r="AG1" s="24" t="s">
        <v>162</v>
      </c>
      <c r="AH1" s="24" t="s">
        <v>163</v>
      </c>
      <c r="AI1" s="24" t="s">
        <v>164</v>
      </c>
      <c r="AJ1" s="24" t="s">
        <v>165</v>
      </c>
      <c r="AK1" s="24" t="s">
        <v>166</v>
      </c>
      <c r="AL1" s="24" t="s">
        <v>167</v>
      </c>
      <c r="AM1" s="24" t="s">
        <v>168</v>
      </c>
      <c r="AN1" s="24" t="s">
        <v>169</v>
      </c>
      <c r="AO1" s="24" t="s">
        <v>170</v>
      </c>
      <c r="AP1" s="24" t="s">
        <v>171</v>
      </c>
      <c r="AQ1" s="24" t="s">
        <v>172</v>
      </c>
      <c r="AR1" s="24" t="s">
        <v>173</v>
      </c>
      <c r="AS1" s="24" t="s">
        <v>174</v>
      </c>
      <c r="AT1" s="24" t="s">
        <v>175</v>
      </c>
      <c r="AU1" s="24" t="s">
        <v>176</v>
      </c>
      <c r="AV1" s="24" t="s">
        <v>177</v>
      </c>
      <c r="AW1" s="24" t="s">
        <v>178</v>
      </c>
      <c r="AX1" s="24" t="s">
        <v>179</v>
      </c>
      <c r="AY1" s="24" t="s">
        <v>180</v>
      </c>
      <c r="AZ1" s="24" t="s">
        <v>181</v>
      </c>
      <c r="BA1" s="24" t="s">
        <v>182</v>
      </c>
      <c r="BB1" s="24" t="s">
        <v>183</v>
      </c>
      <c r="BC1" s="24" t="s">
        <v>184</v>
      </c>
      <c r="BD1" s="24" t="s">
        <v>185</v>
      </c>
      <c r="BE1" s="24" t="s">
        <v>186</v>
      </c>
      <c r="BF1" s="24" t="s">
        <v>187</v>
      </c>
      <c r="BG1" s="24" t="s">
        <v>188</v>
      </c>
      <c r="BH1" s="24" t="s">
        <v>189</v>
      </c>
      <c r="BI1" s="24" t="s">
        <v>190</v>
      </c>
      <c r="BJ1" s="24" t="s">
        <v>191</v>
      </c>
      <c r="BK1" s="24" t="s">
        <v>192</v>
      </c>
      <c r="BL1" s="24" t="s">
        <v>193</v>
      </c>
      <c r="BM1" s="24" t="s">
        <v>194</v>
      </c>
      <c r="BN1" s="24" t="s">
        <v>195</v>
      </c>
      <c r="BO1" s="24" t="s">
        <v>196</v>
      </c>
      <c r="BP1" s="24" t="s">
        <v>197</v>
      </c>
      <c r="BQ1" s="24" t="s">
        <v>198</v>
      </c>
      <c r="BR1" s="24" t="s">
        <v>199</v>
      </c>
      <c r="BS1" s="24" t="s">
        <v>200</v>
      </c>
      <c r="BT1" s="24" t="s">
        <v>201</v>
      </c>
      <c r="BU1" s="24" t="s">
        <v>202</v>
      </c>
      <c r="BV1" s="24" t="s">
        <v>203</v>
      </c>
      <c r="BW1" s="24" t="s">
        <v>204</v>
      </c>
      <c r="BX1" s="24" t="s">
        <v>205</v>
      </c>
      <c r="BY1" s="24" t="s">
        <v>206</v>
      </c>
      <c r="BZ1" s="24" t="s">
        <v>207</v>
      </c>
      <c r="CA1" s="24" t="s">
        <v>208</v>
      </c>
    </row>
    <row r="2" spans="1:79" x14ac:dyDescent="0.25">
      <c r="A2" s="24" t="s">
        <v>209</v>
      </c>
      <c r="B2" s="24" t="s">
        <v>210</v>
      </c>
      <c r="C2" s="24">
        <v>2019</v>
      </c>
      <c r="D2" s="24" t="s">
        <v>563</v>
      </c>
      <c r="E2" s="24">
        <v>2.0190412914610301E+17</v>
      </c>
      <c r="F2" s="24" t="s">
        <v>212</v>
      </c>
      <c r="G2" s="24" t="s">
        <v>1141</v>
      </c>
      <c r="H2" s="24">
        <v>1324297</v>
      </c>
      <c r="I2" s="24"/>
      <c r="J2" s="24" t="s">
        <v>214</v>
      </c>
      <c r="K2" s="24" t="s">
        <v>215</v>
      </c>
      <c r="L2" s="24"/>
      <c r="M2" s="24"/>
      <c r="N2" s="24" t="s">
        <v>1142</v>
      </c>
      <c r="O2" s="24" t="s">
        <v>36</v>
      </c>
      <c r="P2" s="24" t="s">
        <v>217</v>
      </c>
      <c r="Q2" s="24" t="s">
        <v>28</v>
      </c>
      <c r="R2" s="24" t="s">
        <v>1143</v>
      </c>
      <c r="S2" s="24" t="s">
        <v>28</v>
      </c>
      <c r="T2" s="24" t="s">
        <v>1144</v>
      </c>
      <c r="U2" s="24"/>
      <c r="V2" s="24" t="s">
        <v>220</v>
      </c>
      <c r="W2" s="24"/>
      <c r="X2" s="24" t="s">
        <v>221</v>
      </c>
      <c r="Y2" s="24" t="s">
        <v>130</v>
      </c>
      <c r="Z2" s="24">
        <v>28255</v>
      </c>
      <c r="AA2" s="24" t="s">
        <v>222</v>
      </c>
      <c r="AB2" s="24" t="s">
        <v>1145</v>
      </c>
      <c r="AC2" s="24"/>
      <c r="AD2" s="24">
        <v>15</v>
      </c>
      <c r="AE2" s="24" t="s">
        <v>224</v>
      </c>
      <c r="AF2" s="24"/>
      <c r="AG2" s="24"/>
      <c r="AH2" s="24"/>
      <c r="AI2" s="24">
        <v>43539</v>
      </c>
      <c r="AJ2" s="24">
        <v>175</v>
      </c>
      <c r="AK2" s="24">
        <v>875</v>
      </c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 t="s">
        <v>26</v>
      </c>
      <c r="BH2" s="24"/>
      <c r="BI2" s="24" t="s">
        <v>225</v>
      </c>
      <c r="BJ2" s="24"/>
      <c r="BK2" s="24" t="s">
        <v>31</v>
      </c>
      <c r="BL2" s="24" t="s">
        <v>238</v>
      </c>
      <c r="BM2" s="24" t="s">
        <v>227</v>
      </c>
      <c r="BN2" s="24">
        <v>43568.11124914352</v>
      </c>
      <c r="BO2" s="24"/>
      <c r="BP2" s="24"/>
      <c r="BQ2" s="24"/>
      <c r="BR2" s="24" t="s">
        <v>228</v>
      </c>
      <c r="BS2" s="24">
        <v>4.0412201916462198E+18</v>
      </c>
      <c r="BT2" s="24" t="s">
        <v>229</v>
      </c>
      <c r="BU2" s="24"/>
      <c r="BV2" s="24">
        <v>2020</v>
      </c>
      <c r="BW2" s="24" t="s">
        <v>230</v>
      </c>
      <c r="BX2" s="24"/>
      <c r="BY2" s="24">
        <v>4.0412201916462602E+18</v>
      </c>
      <c r="BZ2" s="24" t="s">
        <v>1146</v>
      </c>
      <c r="CA2" s="24" t="s">
        <v>232</v>
      </c>
    </row>
    <row r="3" spans="1:79" x14ac:dyDescent="0.25">
      <c r="A3" s="24" t="s">
        <v>209</v>
      </c>
      <c r="B3" s="24" t="s">
        <v>210</v>
      </c>
      <c r="C3" s="24">
        <v>2019</v>
      </c>
      <c r="D3" s="24" t="s">
        <v>393</v>
      </c>
      <c r="E3" s="24">
        <v>2.01903159145712E+17</v>
      </c>
      <c r="F3" s="24" t="s">
        <v>212</v>
      </c>
      <c r="G3" s="24" t="s">
        <v>1147</v>
      </c>
      <c r="H3" s="24">
        <v>1319532</v>
      </c>
      <c r="I3" s="24"/>
      <c r="J3" s="24" t="s">
        <v>214</v>
      </c>
      <c r="K3" s="24" t="s">
        <v>215</v>
      </c>
      <c r="L3" s="24"/>
      <c r="M3" s="24"/>
      <c r="N3" s="24" t="s">
        <v>1142</v>
      </c>
      <c r="O3" s="24" t="s">
        <v>36</v>
      </c>
      <c r="P3" s="24" t="s">
        <v>217</v>
      </c>
      <c r="Q3" s="24" t="s">
        <v>28</v>
      </c>
      <c r="R3" s="24" t="s">
        <v>1143</v>
      </c>
      <c r="S3" s="24" t="s">
        <v>28</v>
      </c>
      <c r="T3" s="24" t="s">
        <v>1144</v>
      </c>
      <c r="U3" s="24"/>
      <c r="V3" s="24" t="s">
        <v>220</v>
      </c>
      <c r="W3" s="24"/>
      <c r="X3" s="24" t="s">
        <v>221</v>
      </c>
      <c r="Y3" s="24" t="s">
        <v>130</v>
      </c>
      <c r="Z3" s="24">
        <v>28255</v>
      </c>
      <c r="AA3" s="24" t="s">
        <v>222</v>
      </c>
      <c r="AB3" s="24" t="s">
        <v>1145</v>
      </c>
      <c r="AC3" s="24"/>
      <c r="AD3" s="24">
        <v>15</v>
      </c>
      <c r="AE3" s="24" t="s">
        <v>224</v>
      </c>
      <c r="AF3" s="24"/>
      <c r="AG3" s="24"/>
      <c r="AH3" s="24"/>
      <c r="AI3" s="24">
        <v>43511</v>
      </c>
      <c r="AJ3" s="24">
        <v>175</v>
      </c>
      <c r="AK3" s="24">
        <v>525</v>
      </c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 t="s">
        <v>26</v>
      </c>
      <c r="BH3" s="24"/>
      <c r="BI3" s="24" t="s">
        <v>225</v>
      </c>
      <c r="BJ3" s="24"/>
      <c r="BK3" s="24" t="s">
        <v>31</v>
      </c>
      <c r="BL3" s="24" t="s">
        <v>238</v>
      </c>
      <c r="BM3" s="24" t="s">
        <v>227</v>
      </c>
      <c r="BN3" s="24">
        <v>43543.128328298611</v>
      </c>
      <c r="BO3" s="24"/>
      <c r="BP3" s="24"/>
      <c r="BQ3" s="24"/>
      <c r="BR3" s="24" t="s">
        <v>228</v>
      </c>
      <c r="BS3" s="24">
        <v>4.0315201916450601E+18</v>
      </c>
      <c r="BT3" s="24" t="s">
        <v>229</v>
      </c>
      <c r="BU3" s="24"/>
      <c r="BV3" s="24">
        <v>2020</v>
      </c>
      <c r="BW3" s="24" t="s">
        <v>230</v>
      </c>
      <c r="BX3" s="24"/>
      <c r="BY3" s="24">
        <v>4.03182019164514E+18</v>
      </c>
      <c r="BZ3" s="24" t="s">
        <v>1148</v>
      </c>
      <c r="CA3" s="24" t="s">
        <v>232</v>
      </c>
    </row>
    <row r="4" spans="1:79" x14ac:dyDescent="0.25">
      <c r="A4" s="24" t="s">
        <v>209</v>
      </c>
      <c r="B4" s="24" t="s">
        <v>210</v>
      </c>
      <c r="C4" s="24">
        <v>2019</v>
      </c>
      <c r="D4" s="24" t="s">
        <v>459</v>
      </c>
      <c r="E4" s="24">
        <v>2.0190215914551901E+17</v>
      </c>
      <c r="F4" s="24" t="s">
        <v>212</v>
      </c>
      <c r="G4" s="24" t="s">
        <v>1149</v>
      </c>
      <c r="H4" s="24">
        <v>1316134</v>
      </c>
      <c r="I4" s="24"/>
      <c r="J4" s="24" t="s">
        <v>214</v>
      </c>
      <c r="K4" s="24" t="s">
        <v>215</v>
      </c>
      <c r="L4" s="24"/>
      <c r="M4" s="24"/>
      <c r="N4" s="24" t="s">
        <v>1142</v>
      </c>
      <c r="O4" s="24" t="s">
        <v>36</v>
      </c>
      <c r="P4" s="24" t="s">
        <v>217</v>
      </c>
      <c r="Q4" s="24" t="s">
        <v>28</v>
      </c>
      <c r="R4" s="24" t="s">
        <v>1143</v>
      </c>
      <c r="S4" s="24" t="s">
        <v>28</v>
      </c>
      <c r="T4" s="24" t="s">
        <v>1144</v>
      </c>
      <c r="U4" s="24"/>
      <c r="V4" s="24" t="s">
        <v>220</v>
      </c>
      <c r="W4" s="24"/>
      <c r="X4" s="24" t="s">
        <v>221</v>
      </c>
      <c r="Y4" s="24" t="s">
        <v>130</v>
      </c>
      <c r="Z4" s="24">
        <v>28255</v>
      </c>
      <c r="AA4" s="24" t="s">
        <v>222</v>
      </c>
      <c r="AB4" s="24" t="s">
        <v>1145</v>
      </c>
      <c r="AC4" s="24"/>
      <c r="AD4" s="24">
        <v>15</v>
      </c>
      <c r="AE4" s="24" t="s">
        <v>224</v>
      </c>
      <c r="AF4" s="24"/>
      <c r="AG4" s="24"/>
      <c r="AH4" s="24"/>
      <c r="AI4" s="24">
        <v>43496</v>
      </c>
      <c r="AJ4" s="24">
        <v>175</v>
      </c>
      <c r="AK4" s="24">
        <v>350</v>
      </c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 t="s">
        <v>26</v>
      </c>
      <c r="BH4" s="24"/>
      <c r="BI4" s="24" t="s">
        <v>225</v>
      </c>
      <c r="BJ4" s="24"/>
      <c r="BK4" s="24" t="s">
        <v>31</v>
      </c>
      <c r="BL4" s="24" t="s">
        <v>238</v>
      </c>
      <c r="BM4" s="24" t="s">
        <v>227</v>
      </c>
      <c r="BN4" s="24">
        <v>43525.143971724538</v>
      </c>
      <c r="BO4" s="24"/>
      <c r="BP4" s="24"/>
      <c r="BQ4" s="24"/>
      <c r="BR4" s="24" t="s">
        <v>228</v>
      </c>
      <c r="BS4" s="24">
        <v>4.02152019163953E+18</v>
      </c>
      <c r="BT4" s="24" t="s">
        <v>229</v>
      </c>
      <c r="BU4" s="24"/>
      <c r="BV4" s="24">
        <v>2020</v>
      </c>
      <c r="BW4" s="24" t="s">
        <v>230</v>
      </c>
      <c r="BX4" s="24"/>
      <c r="BY4" s="24">
        <v>4.0228201916446602E+18</v>
      </c>
      <c r="BZ4" s="24" t="s">
        <v>1150</v>
      </c>
      <c r="CA4" s="24" t="s">
        <v>232</v>
      </c>
    </row>
    <row r="5" spans="1:79" x14ac:dyDescent="0.25">
      <c r="A5" s="24" t="s">
        <v>209</v>
      </c>
      <c r="B5" s="24" t="s">
        <v>210</v>
      </c>
      <c r="C5" s="24">
        <v>2019</v>
      </c>
      <c r="D5" s="24" t="s">
        <v>393</v>
      </c>
      <c r="E5" s="24">
        <v>2.01903159145712E+17</v>
      </c>
      <c r="F5" s="24" t="s">
        <v>212</v>
      </c>
      <c r="G5" s="24" t="s">
        <v>1151</v>
      </c>
      <c r="H5" s="24">
        <v>1319532</v>
      </c>
      <c r="I5" s="24"/>
      <c r="J5" s="24" t="s">
        <v>214</v>
      </c>
      <c r="K5" s="24" t="s">
        <v>215</v>
      </c>
      <c r="L5" s="24"/>
      <c r="M5" s="24"/>
      <c r="N5" s="24" t="s">
        <v>1142</v>
      </c>
      <c r="O5" s="24" t="s">
        <v>36</v>
      </c>
      <c r="P5" s="24" t="s">
        <v>217</v>
      </c>
      <c r="Q5" s="24" t="s">
        <v>28</v>
      </c>
      <c r="R5" s="24" t="s">
        <v>1143</v>
      </c>
      <c r="S5" s="24" t="s">
        <v>28</v>
      </c>
      <c r="T5" s="24" t="s">
        <v>1144</v>
      </c>
      <c r="U5" s="24"/>
      <c r="V5" s="24" t="s">
        <v>220</v>
      </c>
      <c r="W5" s="24"/>
      <c r="X5" s="24" t="s">
        <v>221</v>
      </c>
      <c r="Y5" s="24" t="s">
        <v>130</v>
      </c>
      <c r="Z5" s="24">
        <v>28255</v>
      </c>
      <c r="AA5" s="24" t="s">
        <v>222</v>
      </c>
      <c r="AB5" s="24" t="s">
        <v>1145</v>
      </c>
      <c r="AC5" s="24"/>
      <c r="AD5" s="24">
        <v>15</v>
      </c>
      <c r="AE5" s="24" t="s">
        <v>224</v>
      </c>
      <c r="AF5" s="24"/>
      <c r="AG5" s="24"/>
      <c r="AH5" s="24"/>
      <c r="AI5" s="24">
        <v>43524</v>
      </c>
      <c r="AJ5" s="24">
        <v>175</v>
      </c>
      <c r="AK5" s="24">
        <v>700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 t="s">
        <v>26</v>
      </c>
      <c r="BH5" s="24"/>
      <c r="BI5" s="24" t="s">
        <v>225</v>
      </c>
      <c r="BJ5" s="24"/>
      <c r="BK5" s="24" t="s">
        <v>31</v>
      </c>
      <c r="BL5" s="24" t="s">
        <v>238</v>
      </c>
      <c r="BM5" s="24" t="s">
        <v>227</v>
      </c>
      <c r="BN5" s="24">
        <v>43543.128328298611</v>
      </c>
      <c r="BO5" s="24"/>
      <c r="BP5" s="24"/>
      <c r="BQ5" s="24"/>
      <c r="BR5" s="24" t="s">
        <v>228</v>
      </c>
      <c r="BS5" s="24">
        <v>4.0315201916450601E+18</v>
      </c>
      <c r="BT5" s="24" t="s">
        <v>229</v>
      </c>
      <c r="BU5" s="24"/>
      <c r="BV5" s="24">
        <v>2020</v>
      </c>
      <c r="BW5" s="24" t="s">
        <v>230</v>
      </c>
      <c r="BX5" s="24"/>
      <c r="BY5" s="24">
        <v>4.03182019164514E+18</v>
      </c>
      <c r="BZ5" s="24" t="s">
        <v>1148</v>
      </c>
      <c r="CA5" s="24" t="s">
        <v>232</v>
      </c>
    </row>
    <row r="6" spans="1:79" x14ac:dyDescent="0.25">
      <c r="A6" s="24" t="s">
        <v>209</v>
      </c>
      <c r="B6" s="24" t="s">
        <v>210</v>
      </c>
      <c r="C6" s="24">
        <v>2019</v>
      </c>
      <c r="D6" s="24" t="s">
        <v>563</v>
      </c>
      <c r="E6" s="24">
        <v>2.0190412914610301E+17</v>
      </c>
      <c r="F6" s="24" t="s">
        <v>212</v>
      </c>
      <c r="G6" s="24" t="s">
        <v>1152</v>
      </c>
      <c r="H6" s="24">
        <v>1324297</v>
      </c>
      <c r="I6" s="24"/>
      <c r="J6" s="24" t="s">
        <v>214</v>
      </c>
      <c r="K6" s="24" t="s">
        <v>215</v>
      </c>
      <c r="L6" s="24"/>
      <c r="M6" s="24"/>
      <c r="N6" s="24" t="s">
        <v>1142</v>
      </c>
      <c r="O6" s="24" t="s">
        <v>36</v>
      </c>
      <c r="P6" s="24" t="s">
        <v>217</v>
      </c>
      <c r="Q6" s="24" t="s">
        <v>28</v>
      </c>
      <c r="R6" s="24" t="s">
        <v>1143</v>
      </c>
      <c r="S6" s="24" t="s">
        <v>28</v>
      </c>
      <c r="T6" s="24" t="s">
        <v>1144</v>
      </c>
      <c r="U6" s="24"/>
      <c r="V6" s="24" t="s">
        <v>220</v>
      </c>
      <c r="W6" s="24"/>
      <c r="X6" s="24" t="s">
        <v>221</v>
      </c>
      <c r="Y6" s="24" t="s">
        <v>130</v>
      </c>
      <c r="Z6" s="24">
        <v>28255</v>
      </c>
      <c r="AA6" s="24" t="s">
        <v>222</v>
      </c>
      <c r="AB6" s="24" t="s">
        <v>1145</v>
      </c>
      <c r="AC6" s="24"/>
      <c r="AD6" s="24">
        <v>15</v>
      </c>
      <c r="AE6" s="24" t="s">
        <v>224</v>
      </c>
      <c r="AF6" s="24"/>
      <c r="AG6" s="24"/>
      <c r="AH6" s="24"/>
      <c r="AI6" s="24">
        <v>43555</v>
      </c>
      <c r="AJ6" s="24">
        <v>175</v>
      </c>
      <c r="AK6" s="24">
        <v>1050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 t="s">
        <v>26</v>
      </c>
      <c r="BH6" s="24"/>
      <c r="BI6" s="24" t="s">
        <v>225</v>
      </c>
      <c r="BJ6" s="24"/>
      <c r="BK6" s="24" t="s">
        <v>31</v>
      </c>
      <c r="BL6" s="24" t="s">
        <v>238</v>
      </c>
      <c r="BM6" s="24" t="s">
        <v>227</v>
      </c>
      <c r="BN6" s="24">
        <v>43568.111249155096</v>
      </c>
      <c r="BO6" s="24"/>
      <c r="BP6" s="24"/>
      <c r="BQ6" s="24"/>
      <c r="BR6" s="24" t="s">
        <v>228</v>
      </c>
      <c r="BS6" s="24">
        <v>4.0412201916462198E+18</v>
      </c>
      <c r="BT6" s="24" t="s">
        <v>229</v>
      </c>
      <c r="BU6" s="24"/>
      <c r="BV6" s="24">
        <v>2020</v>
      </c>
      <c r="BW6" s="24" t="s">
        <v>230</v>
      </c>
      <c r="BX6" s="24"/>
      <c r="BY6" s="24">
        <v>4.0412201916462602E+18</v>
      </c>
      <c r="BZ6" s="24" t="s">
        <v>1153</v>
      </c>
      <c r="CA6" s="24" t="s">
        <v>232</v>
      </c>
    </row>
    <row r="7" spans="1:79" x14ac:dyDescent="0.25">
      <c r="A7" s="24" t="s">
        <v>209</v>
      </c>
      <c r="B7" s="24" t="s">
        <v>210</v>
      </c>
      <c r="C7" s="24">
        <v>2019</v>
      </c>
      <c r="D7" s="24" t="s">
        <v>557</v>
      </c>
      <c r="E7" s="24">
        <v>2.0190514914969501E+17</v>
      </c>
      <c r="F7" s="24" t="s">
        <v>212</v>
      </c>
      <c r="G7" s="24" t="s">
        <v>1154</v>
      </c>
      <c r="H7" s="24">
        <v>1330608</v>
      </c>
      <c r="I7" s="24"/>
      <c r="J7" s="24" t="s">
        <v>214</v>
      </c>
      <c r="K7" s="24" t="s">
        <v>215</v>
      </c>
      <c r="L7" s="24"/>
      <c r="M7" s="24"/>
      <c r="N7" s="24" t="s">
        <v>1142</v>
      </c>
      <c r="O7" s="24" t="s">
        <v>36</v>
      </c>
      <c r="P7" s="24" t="s">
        <v>217</v>
      </c>
      <c r="Q7" s="24" t="s">
        <v>28</v>
      </c>
      <c r="R7" s="24" t="s">
        <v>1143</v>
      </c>
      <c r="S7" s="24" t="s">
        <v>28</v>
      </c>
      <c r="T7" s="24" t="s">
        <v>1144</v>
      </c>
      <c r="U7" s="24"/>
      <c r="V7" s="24" t="s">
        <v>220</v>
      </c>
      <c r="W7" s="24"/>
      <c r="X7" s="24" t="s">
        <v>221</v>
      </c>
      <c r="Y7" s="24" t="s">
        <v>130</v>
      </c>
      <c r="Z7" s="24">
        <v>28255</v>
      </c>
      <c r="AA7" s="24" t="s">
        <v>222</v>
      </c>
      <c r="AB7" s="24" t="s">
        <v>1145</v>
      </c>
      <c r="AC7" s="24"/>
      <c r="AD7" s="24">
        <v>15</v>
      </c>
      <c r="AE7" s="24" t="s">
        <v>224</v>
      </c>
      <c r="AF7" s="24"/>
      <c r="AG7" s="24"/>
      <c r="AH7" s="24"/>
      <c r="AI7" s="24">
        <v>43570</v>
      </c>
      <c r="AJ7" s="24">
        <v>175</v>
      </c>
      <c r="AK7" s="24">
        <v>1225</v>
      </c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 t="s">
        <v>26</v>
      </c>
      <c r="BH7" s="24"/>
      <c r="BI7" s="24" t="s">
        <v>225</v>
      </c>
      <c r="BJ7" s="24"/>
      <c r="BK7" s="24" t="s">
        <v>31</v>
      </c>
      <c r="BL7" s="24" t="s">
        <v>238</v>
      </c>
      <c r="BM7" s="24" t="s">
        <v>227</v>
      </c>
      <c r="BN7" s="24">
        <v>43600.358306921298</v>
      </c>
      <c r="BO7" s="24"/>
      <c r="BP7" s="24"/>
      <c r="BQ7" s="24"/>
      <c r="BR7" s="24" t="s">
        <v>228</v>
      </c>
      <c r="BS7" s="24">
        <v>4.0514201916518502E+18</v>
      </c>
      <c r="BT7" s="24" t="s">
        <v>229</v>
      </c>
      <c r="BU7" s="24"/>
      <c r="BV7" s="24">
        <v>2020</v>
      </c>
      <c r="BW7" s="24" t="s">
        <v>230</v>
      </c>
      <c r="BX7" s="24"/>
      <c r="BY7" s="24">
        <v>4.0514201916567798E+18</v>
      </c>
      <c r="BZ7" s="24" t="s">
        <v>1155</v>
      </c>
      <c r="CA7" s="24" t="s">
        <v>232</v>
      </c>
    </row>
    <row r="8" spans="1:79" x14ac:dyDescent="0.25">
      <c r="A8" s="24" t="s">
        <v>209</v>
      </c>
      <c r="B8" s="24" t="s">
        <v>210</v>
      </c>
      <c r="C8" s="24">
        <v>2019</v>
      </c>
      <c r="D8" s="24" t="s">
        <v>557</v>
      </c>
      <c r="E8" s="24">
        <v>2.0190514914969501E+17</v>
      </c>
      <c r="F8" s="24" t="s">
        <v>212</v>
      </c>
      <c r="G8" s="24" t="s">
        <v>1156</v>
      </c>
      <c r="H8" s="24">
        <v>1330608</v>
      </c>
      <c r="I8" s="24"/>
      <c r="J8" s="24" t="s">
        <v>214</v>
      </c>
      <c r="K8" s="24" t="s">
        <v>215</v>
      </c>
      <c r="L8" s="24"/>
      <c r="M8" s="24"/>
      <c r="N8" s="24" t="s">
        <v>1142</v>
      </c>
      <c r="O8" s="24" t="s">
        <v>36</v>
      </c>
      <c r="P8" s="24" t="s">
        <v>217</v>
      </c>
      <c r="Q8" s="24" t="s">
        <v>28</v>
      </c>
      <c r="R8" s="24" t="s">
        <v>1143</v>
      </c>
      <c r="S8" s="24" t="s">
        <v>28</v>
      </c>
      <c r="T8" s="24" t="s">
        <v>1144</v>
      </c>
      <c r="U8" s="24"/>
      <c r="V8" s="24" t="s">
        <v>220</v>
      </c>
      <c r="W8" s="24"/>
      <c r="X8" s="24" t="s">
        <v>221</v>
      </c>
      <c r="Y8" s="24" t="s">
        <v>130</v>
      </c>
      <c r="Z8" s="24">
        <v>28255</v>
      </c>
      <c r="AA8" s="24" t="s">
        <v>222</v>
      </c>
      <c r="AB8" s="24" t="s">
        <v>1145</v>
      </c>
      <c r="AC8" s="24"/>
      <c r="AD8" s="24">
        <v>15</v>
      </c>
      <c r="AE8" s="24" t="s">
        <v>224</v>
      </c>
      <c r="AF8" s="24"/>
      <c r="AG8" s="24"/>
      <c r="AH8" s="24"/>
      <c r="AI8" s="24">
        <v>43585</v>
      </c>
      <c r="AJ8" s="24">
        <v>175</v>
      </c>
      <c r="AK8" s="24">
        <v>1400</v>
      </c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 t="s">
        <v>26</v>
      </c>
      <c r="BH8" s="24"/>
      <c r="BI8" s="24" t="s">
        <v>225</v>
      </c>
      <c r="BJ8" s="24"/>
      <c r="BK8" s="24" t="s">
        <v>31</v>
      </c>
      <c r="BL8" s="24" t="s">
        <v>238</v>
      </c>
      <c r="BM8" s="24" t="s">
        <v>227</v>
      </c>
      <c r="BN8" s="24">
        <v>43600.358306921298</v>
      </c>
      <c r="BO8" s="24"/>
      <c r="BP8" s="24"/>
      <c r="BQ8" s="24"/>
      <c r="BR8" s="24" t="s">
        <v>228</v>
      </c>
      <c r="BS8" s="24">
        <v>4.0514201916518502E+18</v>
      </c>
      <c r="BT8" s="24" t="s">
        <v>229</v>
      </c>
      <c r="BU8" s="24"/>
      <c r="BV8" s="24">
        <v>2020</v>
      </c>
      <c r="BW8" s="24" t="s">
        <v>230</v>
      </c>
      <c r="BX8" s="24"/>
      <c r="BY8" s="24">
        <v>4.0514201916567798E+18</v>
      </c>
      <c r="BZ8" s="24" t="s">
        <v>1155</v>
      </c>
      <c r="CA8" s="24" t="s">
        <v>232</v>
      </c>
    </row>
    <row r="9" spans="1:79" x14ac:dyDescent="0.25">
      <c r="A9" s="24" t="s">
        <v>209</v>
      </c>
      <c r="B9" s="24" t="s">
        <v>210</v>
      </c>
      <c r="C9" s="24">
        <v>2019</v>
      </c>
      <c r="D9" s="24" t="s">
        <v>508</v>
      </c>
      <c r="E9" s="24">
        <v>2.0200120916727501E+17</v>
      </c>
      <c r="F9" s="24" t="s">
        <v>212</v>
      </c>
      <c r="G9" s="24" t="s">
        <v>1157</v>
      </c>
      <c r="H9" s="24">
        <v>1371432</v>
      </c>
      <c r="I9" s="24"/>
      <c r="J9" s="24" t="s">
        <v>214</v>
      </c>
      <c r="K9" s="24" t="s">
        <v>215</v>
      </c>
      <c r="L9" s="24"/>
      <c r="M9" s="24"/>
      <c r="N9" s="24" t="s">
        <v>1142</v>
      </c>
      <c r="O9" s="24" t="s">
        <v>36</v>
      </c>
      <c r="P9" s="24" t="s">
        <v>217</v>
      </c>
      <c r="Q9" s="24" t="s">
        <v>28</v>
      </c>
      <c r="R9" s="24" t="s">
        <v>1143</v>
      </c>
      <c r="S9" s="24" t="s">
        <v>28</v>
      </c>
      <c r="T9" s="24" t="s">
        <v>1144</v>
      </c>
      <c r="U9" s="24"/>
      <c r="V9" s="24" t="s">
        <v>220</v>
      </c>
      <c r="W9" s="24"/>
      <c r="X9" s="24" t="s">
        <v>221</v>
      </c>
      <c r="Y9" s="24" t="s">
        <v>130</v>
      </c>
      <c r="Z9" s="24">
        <v>28255</v>
      </c>
      <c r="AA9" s="24" t="s">
        <v>222</v>
      </c>
      <c r="AB9" s="24" t="s">
        <v>1145</v>
      </c>
      <c r="AC9" s="24"/>
      <c r="AD9" s="24">
        <v>15</v>
      </c>
      <c r="AE9" s="24" t="s">
        <v>224</v>
      </c>
      <c r="AF9" s="24"/>
      <c r="AG9" s="24"/>
      <c r="AH9" s="24"/>
      <c r="AI9" s="24">
        <v>43814</v>
      </c>
      <c r="AJ9" s="24">
        <v>208.32</v>
      </c>
      <c r="AK9" s="24">
        <v>4324.88</v>
      </c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 t="s">
        <v>26</v>
      </c>
      <c r="BH9" s="24"/>
      <c r="BI9" s="24" t="s">
        <v>225</v>
      </c>
      <c r="BJ9" s="24"/>
      <c r="BK9" s="24" t="s">
        <v>31</v>
      </c>
      <c r="BL9" s="24" t="s">
        <v>238</v>
      </c>
      <c r="BM9" s="24" t="s">
        <v>227</v>
      </c>
      <c r="BN9" s="24">
        <v>43852.067980659725</v>
      </c>
      <c r="BO9" s="24"/>
      <c r="BP9" s="24"/>
      <c r="BQ9" s="24"/>
      <c r="BR9" s="24" t="s">
        <v>228</v>
      </c>
      <c r="BS9" s="24">
        <v>4.0120202016853202E+18</v>
      </c>
      <c r="BT9" s="24" t="s">
        <v>229</v>
      </c>
      <c r="BU9" s="24"/>
      <c r="BV9" s="24">
        <v>2020</v>
      </c>
      <c r="BW9" s="24" t="s">
        <v>230</v>
      </c>
      <c r="BX9" s="24"/>
      <c r="BY9" s="24">
        <v>4.0121202016853601E+18</v>
      </c>
      <c r="BZ9" s="24" t="s">
        <v>1158</v>
      </c>
      <c r="CA9" s="24" t="s">
        <v>232</v>
      </c>
    </row>
    <row r="10" spans="1:79" x14ac:dyDescent="0.25">
      <c r="A10" s="24" t="s">
        <v>209</v>
      </c>
      <c r="B10" s="24" t="s">
        <v>210</v>
      </c>
      <c r="C10" s="24">
        <v>2019</v>
      </c>
      <c r="D10" s="24" t="s">
        <v>274</v>
      </c>
      <c r="E10" s="24">
        <v>2.01908169162884E+17</v>
      </c>
      <c r="F10" s="24" t="s">
        <v>212</v>
      </c>
      <c r="G10" s="24" t="s">
        <v>1159</v>
      </c>
      <c r="H10" s="24">
        <v>1348081</v>
      </c>
      <c r="I10" s="24"/>
      <c r="J10" s="24" t="s">
        <v>214</v>
      </c>
      <c r="K10" s="24" t="s">
        <v>215</v>
      </c>
      <c r="L10" s="24"/>
      <c r="M10" s="24"/>
      <c r="N10" s="24" t="s">
        <v>1142</v>
      </c>
      <c r="O10" s="24" t="s">
        <v>36</v>
      </c>
      <c r="P10" s="24" t="s">
        <v>217</v>
      </c>
      <c r="Q10" s="24" t="s">
        <v>28</v>
      </c>
      <c r="R10" s="24" t="s">
        <v>1143</v>
      </c>
      <c r="S10" s="24" t="s">
        <v>28</v>
      </c>
      <c r="T10" s="24" t="s">
        <v>1144</v>
      </c>
      <c r="U10" s="24"/>
      <c r="V10" s="24" t="s">
        <v>220</v>
      </c>
      <c r="W10" s="24"/>
      <c r="X10" s="24" t="s">
        <v>221</v>
      </c>
      <c r="Y10" s="24" t="s">
        <v>130</v>
      </c>
      <c r="Z10" s="24">
        <v>28255</v>
      </c>
      <c r="AA10" s="24" t="s">
        <v>222</v>
      </c>
      <c r="AB10" s="24" t="s">
        <v>1145</v>
      </c>
      <c r="AC10" s="24"/>
      <c r="AD10" s="24">
        <v>15</v>
      </c>
      <c r="AE10" s="24" t="s">
        <v>224</v>
      </c>
      <c r="AF10" s="24"/>
      <c r="AG10" s="24"/>
      <c r="AH10" s="24"/>
      <c r="AI10" s="24">
        <v>43661</v>
      </c>
      <c r="AJ10" s="24">
        <v>175</v>
      </c>
      <c r="AK10" s="24">
        <v>2275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 t="s">
        <v>26</v>
      </c>
      <c r="BH10" s="24"/>
      <c r="BI10" s="24" t="s">
        <v>225</v>
      </c>
      <c r="BJ10" s="24"/>
      <c r="BK10" s="24" t="s">
        <v>31</v>
      </c>
      <c r="BL10" s="24" t="s">
        <v>238</v>
      </c>
      <c r="BM10" s="24" t="s">
        <v>227</v>
      </c>
      <c r="BN10" s="24">
        <v>43694.110437002317</v>
      </c>
      <c r="BO10" s="24"/>
      <c r="BP10" s="24"/>
      <c r="BQ10" s="24"/>
      <c r="BR10" s="24" t="s">
        <v>228</v>
      </c>
      <c r="BS10" s="24">
        <v>4.0816201916633702E+18</v>
      </c>
      <c r="BT10" s="24" t="s">
        <v>229</v>
      </c>
      <c r="BU10" s="24"/>
      <c r="BV10" s="24">
        <v>2020</v>
      </c>
      <c r="BW10" s="24" t="s">
        <v>230</v>
      </c>
      <c r="BX10" s="24"/>
      <c r="BY10" s="24">
        <v>4.0816201916633999E+18</v>
      </c>
      <c r="BZ10" s="24" t="s">
        <v>1160</v>
      </c>
      <c r="CA10" s="24" t="s">
        <v>232</v>
      </c>
    </row>
    <row r="11" spans="1:79" x14ac:dyDescent="0.25">
      <c r="A11" s="24" t="s">
        <v>209</v>
      </c>
      <c r="B11" s="24" t="s">
        <v>210</v>
      </c>
      <c r="C11" s="24">
        <v>2019</v>
      </c>
      <c r="D11" s="24" t="s">
        <v>274</v>
      </c>
      <c r="E11" s="24">
        <v>2.01908169162884E+17</v>
      </c>
      <c r="F11" s="24" t="s">
        <v>212</v>
      </c>
      <c r="G11" s="24" t="s">
        <v>1161</v>
      </c>
      <c r="H11" s="24">
        <v>1348081</v>
      </c>
      <c r="I11" s="24"/>
      <c r="J11" s="24" t="s">
        <v>214</v>
      </c>
      <c r="K11" s="24" t="s">
        <v>215</v>
      </c>
      <c r="L11" s="24"/>
      <c r="M11" s="24"/>
      <c r="N11" s="24" t="s">
        <v>1142</v>
      </c>
      <c r="O11" s="24" t="s">
        <v>36</v>
      </c>
      <c r="P11" s="24" t="s">
        <v>217</v>
      </c>
      <c r="Q11" s="24" t="s">
        <v>28</v>
      </c>
      <c r="R11" s="24" t="s">
        <v>1143</v>
      </c>
      <c r="S11" s="24" t="s">
        <v>28</v>
      </c>
      <c r="T11" s="24" t="s">
        <v>1144</v>
      </c>
      <c r="U11" s="24"/>
      <c r="V11" s="24" t="s">
        <v>220</v>
      </c>
      <c r="W11" s="24"/>
      <c r="X11" s="24" t="s">
        <v>221</v>
      </c>
      <c r="Y11" s="24" t="s">
        <v>130</v>
      </c>
      <c r="Z11" s="24">
        <v>28255</v>
      </c>
      <c r="AA11" s="24" t="s">
        <v>222</v>
      </c>
      <c r="AB11" s="24" t="s">
        <v>1145</v>
      </c>
      <c r="AC11" s="24"/>
      <c r="AD11" s="24">
        <v>15</v>
      </c>
      <c r="AE11" s="24" t="s">
        <v>224</v>
      </c>
      <c r="AF11" s="24"/>
      <c r="AG11" s="24"/>
      <c r="AH11" s="24"/>
      <c r="AI11" s="24">
        <v>43677</v>
      </c>
      <c r="AJ11" s="24">
        <v>175</v>
      </c>
      <c r="AK11" s="24">
        <v>2450</v>
      </c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 t="s">
        <v>26</v>
      </c>
      <c r="BH11" s="24"/>
      <c r="BI11" s="24" t="s">
        <v>225</v>
      </c>
      <c r="BJ11" s="24"/>
      <c r="BK11" s="24" t="s">
        <v>31</v>
      </c>
      <c r="BL11" s="24" t="s">
        <v>238</v>
      </c>
      <c r="BM11" s="24" t="s">
        <v>227</v>
      </c>
      <c r="BN11" s="24">
        <v>43694.110437002317</v>
      </c>
      <c r="BO11" s="24"/>
      <c r="BP11" s="24"/>
      <c r="BQ11" s="24"/>
      <c r="BR11" s="24" t="s">
        <v>228</v>
      </c>
      <c r="BS11" s="24">
        <v>4.0816201916633702E+18</v>
      </c>
      <c r="BT11" s="24" t="s">
        <v>229</v>
      </c>
      <c r="BU11" s="24"/>
      <c r="BV11" s="24">
        <v>2020</v>
      </c>
      <c r="BW11" s="24" t="s">
        <v>230</v>
      </c>
      <c r="BX11" s="24"/>
      <c r="BY11" s="24">
        <v>4.0816201916633999E+18</v>
      </c>
      <c r="BZ11" s="24" t="s">
        <v>1160</v>
      </c>
      <c r="CA11" s="24" t="s">
        <v>232</v>
      </c>
    </row>
    <row r="12" spans="1:79" x14ac:dyDescent="0.25">
      <c r="A12" s="24" t="s">
        <v>209</v>
      </c>
      <c r="B12" s="24" t="s">
        <v>210</v>
      </c>
      <c r="C12" s="24">
        <v>2019</v>
      </c>
      <c r="D12" s="24" t="s">
        <v>508</v>
      </c>
      <c r="E12" s="24">
        <v>2.0200120916727501E+17</v>
      </c>
      <c r="F12" s="24" t="s">
        <v>212</v>
      </c>
      <c r="G12" s="24" t="s">
        <v>1162</v>
      </c>
      <c r="H12" s="24">
        <v>1371432</v>
      </c>
      <c r="I12" s="24"/>
      <c r="J12" s="24" t="s">
        <v>214</v>
      </c>
      <c r="K12" s="24" t="s">
        <v>215</v>
      </c>
      <c r="L12" s="24"/>
      <c r="M12" s="24"/>
      <c r="N12" s="24" t="s">
        <v>1142</v>
      </c>
      <c r="O12" s="24" t="s">
        <v>36</v>
      </c>
      <c r="P12" s="24" t="s">
        <v>217</v>
      </c>
      <c r="Q12" s="24" t="s">
        <v>28</v>
      </c>
      <c r="R12" s="24" t="s">
        <v>1143</v>
      </c>
      <c r="S12" s="24" t="s">
        <v>28</v>
      </c>
      <c r="T12" s="24" t="s">
        <v>1144</v>
      </c>
      <c r="U12" s="24"/>
      <c r="V12" s="24" t="s">
        <v>220</v>
      </c>
      <c r="W12" s="24"/>
      <c r="X12" s="24" t="s">
        <v>221</v>
      </c>
      <c r="Y12" s="24" t="s">
        <v>130</v>
      </c>
      <c r="Z12" s="24">
        <v>28255</v>
      </c>
      <c r="AA12" s="24" t="s">
        <v>222</v>
      </c>
      <c r="AB12" s="24" t="s">
        <v>1145</v>
      </c>
      <c r="AC12" s="24"/>
      <c r="AD12" s="24">
        <v>15</v>
      </c>
      <c r="AE12" s="24" t="s">
        <v>224</v>
      </c>
      <c r="AF12" s="24"/>
      <c r="AG12" s="24"/>
      <c r="AH12" s="24"/>
      <c r="AI12" s="24">
        <v>43830</v>
      </c>
      <c r="AJ12" s="24">
        <v>208.32</v>
      </c>
      <c r="AK12" s="24">
        <v>4533.2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 t="s">
        <v>26</v>
      </c>
      <c r="BH12" s="24"/>
      <c r="BI12" s="24" t="s">
        <v>225</v>
      </c>
      <c r="BJ12" s="24"/>
      <c r="BK12" s="24" t="s">
        <v>31</v>
      </c>
      <c r="BL12" s="24" t="s">
        <v>238</v>
      </c>
      <c r="BM12" s="24" t="s">
        <v>227</v>
      </c>
      <c r="BN12" s="24">
        <v>43852.067980659725</v>
      </c>
      <c r="BO12" s="24"/>
      <c r="BP12" s="24"/>
      <c r="BQ12" s="24"/>
      <c r="BR12" s="24" t="s">
        <v>228</v>
      </c>
      <c r="BS12" s="24">
        <v>4.0120202016853202E+18</v>
      </c>
      <c r="BT12" s="24" t="s">
        <v>229</v>
      </c>
      <c r="BU12" s="24"/>
      <c r="BV12" s="24">
        <v>2020</v>
      </c>
      <c r="BW12" s="24" t="s">
        <v>230</v>
      </c>
      <c r="BX12" s="24"/>
      <c r="BY12" s="24">
        <v>4.0121202016853601E+18</v>
      </c>
      <c r="BZ12" s="24" t="s">
        <v>1158</v>
      </c>
      <c r="CA12" s="24" t="s">
        <v>232</v>
      </c>
    </row>
    <row r="13" spans="1:79" x14ac:dyDescent="0.25">
      <c r="A13" s="24" t="s">
        <v>209</v>
      </c>
      <c r="B13" s="24" t="s">
        <v>210</v>
      </c>
      <c r="C13" s="24">
        <v>2019</v>
      </c>
      <c r="D13" s="24" t="s">
        <v>252</v>
      </c>
      <c r="E13" s="24">
        <v>2.0190802916135101E+17</v>
      </c>
      <c r="F13" s="24" t="s">
        <v>212</v>
      </c>
      <c r="G13" s="24" t="s">
        <v>1163</v>
      </c>
      <c r="H13" s="24">
        <v>1346685</v>
      </c>
      <c r="I13" s="24"/>
      <c r="J13" s="24" t="s">
        <v>214</v>
      </c>
      <c r="K13" s="24" t="s">
        <v>215</v>
      </c>
      <c r="L13" s="24"/>
      <c r="M13" s="24"/>
      <c r="N13" s="24" t="s">
        <v>1142</v>
      </c>
      <c r="O13" s="24" t="s">
        <v>36</v>
      </c>
      <c r="P13" s="24" t="s">
        <v>217</v>
      </c>
      <c r="Q13" s="24" t="s">
        <v>28</v>
      </c>
      <c r="R13" s="24" t="s">
        <v>1143</v>
      </c>
      <c r="S13" s="24" t="s">
        <v>28</v>
      </c>
      <c r="T13" s="24" t="s">
        <v>1144</v>
      </c>
      <c r="U13" s="24"/>
      <c r="V13" s="24" t="s">
        <v>220</v>
      </c>
      <c r="W13" s="24"/>
      <c r="X13" s="24" t="s">
        <v>221</v>
      </c>
      <c r="Y13" s="24" t="s">
        <v>130</v>
      </c>
      <c r="Z13" s="24">
        <v>28255</v>
      </c>
      <c r="AA13" s="24" t="s">
        <v>222</v>
      </c>
      <c r="AB13" s="24" t="s">
        <v>1145</v>
      </c>
      <c r="AC13" s="24"/>
      <c r="AD13" s="24">
        <v>15</v>
      </c>
      <c r="AE13" s="24" t="s">
        <v>224</v>
      </c>
      <c r="AF13" s="24"/>
      <c r="AG13" s="24"/>
      <c r="AH13" s="24"/>
      <c r="AI13" s="24">
        <v>43631</v>
      </c>
      <c r="AJ13" s="24">
        <v>175</v>
      </c>
      <c r="AK13" s="24">
        <v>1925</v>
      </c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 t="s">
        <v>26</v>
      </c>
      <c r="BH13" s="24"/>
      <c r="BI13" s="24" t="s">
        <v>225</v>
      </c>
      <c r="BJ13" s="24"/>
      <c r="BK13" s="24" t="s">
        <v>0</v>
      </c>
      <c r="BL13" s="24" t="s">
        <v>226</v>
      </c>
      <c r="BM13" s="24" t="s">
        <v>227</v>
      </c>
      <c r="BN13" s="24">
        <v>43680.112698287034</v>
      </c>
      <c r="BO13" s="24"/>
      <c r="BP13" s="24"/>
      <c r="BQ13" s="24"/>
      <c r="BR13" s="24" t="s">
        <v>228</v>
      </c>
      <c r="BS13" s="24">
        <v>4.0802201916626898E+18</v>
      </c>
      <c r="BT13" s="24" t="s">
        <v>229</v>
      </c>
      <c r="BU13" s="24"/>
      <c r="BV13" s="24">
        <v>2020</v>
      </c>
      <c r="BW13" s="24" t="s">
        <v>230</v>
      </c>
      <c r="BX13" s="24"/>
      <c r="BY13" s="24">
        <v>4.0802201916628797E+18</v>
      </c>
      <c r="BZ13" s="24" t="s">
        <v>1164</v>
      </c>
      <c r="CA13" s="24" t="s">
        <v>232</v>
      </c>
    </row>
    <row r="14" spans="1:79" x14ac:dyDescent="0.25">
      <c r="A14" s="24" t="s">
        <v>209</v>
      </c>
      <c r="B14" s="24" t="s">
        <v>210</v>
      </c>
      <c r="C14" s="24">
        <v>2019</v>
      </c>
      <c r="D14" s="24" t="s">
        <v>211</v>
      </c>
      <c r="E14" s="24">
        <v>2.0190802916135101E+17</v>
      </c>
      <c r="F14" s="24" t="s">
        <v>212</v>
      </c>
      <c r="G14" s="24" t="s">
        <v>1165</v>
      </c>
      <c r="H14" s="24">
        <v>1346683</v>
      </c>
      <c r="I14" s="24"/>
      <c r="J14" s="24" t="s">
        <v>214</v>
      </c>
      <c r="K14" s="24" t="s">
        <v>215</v>
      </c>
      <c r="L14" s="24"/>
      <c r="M14" s="24"/>
      <c r="N14" s="24" t="s">
        <v>1142</v>
      </c>
      <c r="O14" s="24" t="s">
        <v>36</v>
      </c>
      <c r="P14" s="24" t="s">
        <v>217</v>
      </c>
      <c r="Q14" s="24" t="s">
        <v>28</v>
      </c>
      <c r="R14" s="24" t="s">
        <v>1143</v>
      </c>
      <c r="S14" s="24" t="s">
        <v>28</v>
      </c>
      <c r="T14" s="24" t="s">
        <v>1144</v>
      </c>
      <c r="U14" s="24"/>
      <c r="V14" s="24" t="s">
        <v>220</v>
      </c>
      <c r="W14" s="24"/>
      <c r="X14" s="24" t="s">
        <v>221</v>
      </c>
      <c r="Y14" s="24" t="s">
        <v>130</v>
      </c>
      <c r="Z14" s="24">
        <v>28255</v>
      </c>
      <c r="AA14" s="24" t="s">
        <v>222</v>
      </c>
      <c r="AB14" s="24" t="s">
        <v>1145</v>
      </c>
      <c r="AC14" s="24"/>
      <c r="AD14" s="24">
        <v>15</v>
      </c>
      <c r="AE14" s="24" t="s">
        <v>224</v>
      </c>
      <c r="AF14" s="24"/>
      <c r="AG14" s="24"/>
      <c r="AH14" s="24"/>
      <c r="AI14" s="24">
        <v>43600</v>
      </c>
      <c r="AJ14" s="24">
        <v>175</v>
      </c>
      <c r="AK14" s="24">
        <v>1575</v>
      </c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 t="s">
        <v>26</v>
      </c>
      <c r="BH14" s="24"/>
      <c r="BI14" s="24" t="s">
        <v>225</v>
      </c>
      <c r="BJ14" s="24"/>
      <c r="BK14" s="24" t="s">
        <v>0</v>
      </c>
      <c r="BL14" s="24" t="s">
        <v>226</v>
      </c>
      <c r="BM14" s="24" t="s">
        <v>227</v>
      </c>
      <c r="BN14" s="24">
        <v>43680.112646168978</v>
      </c>
      <c r="BO14" s="24"/>
      <c r="BP14" s="24"/>
      <c r="BQ14" s="24"/>
      <c r="BR14" s="24" t="s">
        <v>228</v>
      </c>
      <c r="BS14" s="24">
        <v>4.0802201916626898E+18</v>
      </c>
      <c r="BT14" s="24" t="s">
        <v>229</v>
      </c>
      <c r="BU14" s="24"/>
      <c r="BV14" s="24">
        <v>2020</v>
      </c>
      <c r="BW14" s="24" t="s">
        <v>230</v>
      </c>
      <c r="BX14" s="24"/>
      <c r="BY14" s="24">
        <v>4.0802201916628797E+18</v>
      </c>
      <c r="BZ14" s="24" t="s">
        <v>1166</v>
      </c>
      <c r="CA14" s="24" t="s">
        <v>232</v>
      </c>
    </row>
    <row r="15" spans="1:79" x14ac:dyDescent="0.25">
      <c r="A15" s="24" t="s">
        <v>209</v>
      </c>
      <c r="B15" s="24" t="s">
        <v>210</v>
      </c>
      <c r="C15" s="24">
        <v>2019</v>
      </c>
      <c r="D15" s="24" t="s">
        <v>211</v>
      </c>
      <c r="E15" s="24">
        <v>2.0190802916135101E+17</v>
      </c>
      <c r="F15" s="24" t="s">
        <v>212</v>
      </c>
      <c r="G15" s="24" t="s">
        <v>1167</v>
      </c>
      <c r="H15" s="24">
        <v>1346683</v>
      </c>
      <c r="I15" s="24"/>
      <c r="J15" s="24" t="s">
        <v>214</v>
      </c>
      <c r="K15" s="24" t="s">
        <v>215</v>
      </c>
      <c r="L15" s="24"/>
      <c r="M15" s="24"/>
      <c r="N15" s="24" t="s">
        <v>1142</v>
      </c>
      <c r="O15" s="24" t="s">
        <v>36</v>
      </c>
      <c r="P15" s="24" t="s">
        <v>217</v>
      </c>
      <c r="Q15" s="24" t="s">
        <v>28</v>
      </c>
      <c r="R15" s="24" t="s">
        <v>1143</v>
      </c>
      <c r="S15" s="24" t="s">
        <v>28</v>
      </c>
      <c r="T15" s="24" t="s">
        <v>1144</v>
      </c>
      <c r="U15" s="24"/>
      <c r="V15" s="24" t="s">
        <v>220</v>
      </c>
      <c r="W15" s="24"/>
      <c r="X15" s="24" t="s">
        <v>221</v>
      </c>
      <c r="Y15" s="24" t="s">
        <v>130</v>
      </c>
      <c r="Z15" s="24">
        <v>28255</v>
      </c>
      <c r="AA15" s="24" t="s">
        <v>222</v>
      </c>
      <c r="AB15" s="24" t="s">
        <v>1145</v>
      </c>
      <c r="AC15" s="24"/>
      <c r="AD15" s="24">
        <v>15</v>
      </c>
      <c r="AE15" s="24" t="s">
        <v>224</v>
      </c>
      <c r="AF15" s="24"/>
      <c r="AG15" s="24"/>
      <c r="AH15" s="24"/>
      <c r="AI15" s="24">
        <v>43616</v>
      </c>
      <c r="AJ15" s="24">
        <v>175</v>
      </c>
      <c r="AK15" s="24">
        <v>1750</v>
      </c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 t="s">
        <v>26</v>
      </c>
      <c r="BH15" s="24"/>
      <c r="BI15" s="24" t="s">
        <v>225</v>
      </c>
      <c r="BJ15" s="24"/>
      <c r="BK15" s="24" t="s">
        <v>0</v>
      </c>
      <c r="BL15" s="24" t="s">
        <v>226</v>
      </c>
      <c r="BM15" s="24" t="s">
        <v>227</v>
      </c>
      <c r="BN15" s="24">
        <v>43680.112646168978</v>
      </c>
      <c r="BO15" s="24"/>
      <c r="BP15" s="24"/>
      <c r="BQ15" s="24"/>
      <c r="BR15" s="24" t="s">
        <v>228</v>
      </c>
      <c r="BS15" s="24">
        <v>4.0802201916626898E+18</v>
      </c>
      <c r="BT15" s="24" t="s">
        <v>229</v>
      </c>
      <c r="BU15" s="24"/>
      <c r="BV15" s="24">
        <v>2020</v>
      </c>
      <c r="BW15" s="24" t="s">
        <v>230</v>
      </c>
      <c r="BX15" s="24"/>
      <c r="BY15" s="24">
        <v>4.0802201916628797E+18</v>
      </c>
      <c r="BZ15" s="24" t="s">
        <v>1166</v>
      </c>
      <c r="CA15" s="24" t="s">
        <v>232</v>
      </c>
    </row>
    <row r="16" spans="1:79" x14ac:dyDescent="0.25">
      <c r="A16" s="24" t="s">
        <v>209</v>
      </c>
      <c r="B16" s="24" t="s">
        <v>210</v>
      </c>
      <c r="C16" s="24">
        <v>2019</v>
      </c>
      <c r="D16" s="24" t="s">
        <v>252</v>
      </c>
      <c r="E16" s="24">
        <v>2.0190802916135101E+17</v>
      </c>
      <c r="F16" s="24" t="s">
        <v>212</v>
      </c>
      <c r="G16" s="24" t="s">
        <v>1168</v>
      </c>
      <c r="H16" s="24">
        <v>1346685</v>
      </c>
      <c r="I16" s="24"/>
      <c r="J16" s="24" t="s">
        <v>214</v>
      </c>
      <c r="K16" s="24" t="s">
        <v>215</v>
      </c>
      <c r="L16" s="24"/>
      <c r="M16" s="24"/>
      <c r="N16" s="24" t="s">
        <v>1142</v>
      </c>
      <c r="O16" s="24" t="s">
        <v>36</v>
      </c>
      <c r="P16" s="24" t="s">
        <v>217</v>
      </c>
      <c r="Q16" s="24" t="s">
        <v>28</v>
      </c>
      <c r="R16" s="24" t="s">
        <v>1143</v>
      </c>
      <c r="S16" s="24" t="s">
        <v>28</v>
      </c>
      <c r="T16" s="24" t="s">
        <v>1144</v>
      </c>
      <c r="U16" s="24"/>
      <c r="V16" s="24" t="s">
        <v>220</v>
      </c>
      <c r="W16" s="24"/>
      <c r="X16" s="24" t="s">
        <v>221</v>
      </c>
      <c r="Y16" s="24" t="s">
        <v>130</v>
      </c>
      <c r="Z16" s="24">
        <v>28255</v>
      </c>
      <c r="AA16" s="24" t="s">
        <v>222</v>
      </c>
      <c r="AB16" s="24" t="s">
        <v>1145</v>
      </c>
      <c r="AC16" s="24"/>
      <c r="AD16" s="24">
        <v>15</v>
      </c>
      <c r="AE16" s="24" t="s">
        <v>224</v>
      </c>
      <c r="AF16" s="24"/>
      <c r="AG16" s="24"/>
      <c r="AH16" s="24"/>
      <c r="AI16" s="24">
        <v>43646</v>
      </c>
      <c r="AJ16" s="24">
        <v>175</v>
      </c>
      <c r="AK16" s="24">
        <v>2100</v>
      </c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 t="s">
        <v>26</v>
      </c>
      <c r="BH16" s="24"/>
      <c r="BI16" s="24" t="s">
        <v>225</v>
      </c>
      <c r="BJ16" s="24"/>
      <c r="BK16" s="24" t="s">
        <v>0</v>
      </c>
      <c r="BL16" s="24" t="s">
        <v>226</v>
      </c>
      <c r="BM16" s="24" t="s">
        <v>227</v>
      </c>
      <c r="BN16" s="24">
        <v>43680.112698287034</v>
      </c>
      <c r="BO16" s="24"/>
      <c r="BP16" s="24"/>
      <c r="BQ16" s="24"/>
      <c r="BR16" s="24" t="s">
        <v>228</v>
      </c>
      <c r="BS16" s="24">
        <v>4.0802201916626898E+18</v>
      </c>
      <c r="BT16" s="24" t="s">
        <v>229</v>
      </c>
      <c r="BU16" s="24"/>
      <c r="BV16" s="24">
        <v>2020</v>
      </c>
      <c r="BW16" s="24" t="s">
        <v>230</v>
      </c>
      <c r="BX16" s="24"/>
      <c r="BY16" s="24">
        <v>4.0802201916628797E+18</v>
      </c>
      <c r="BZ16" s="24" t="s">
        <v>1169</v>
      </c>
      <c r="CA16" s="24" t="s">
        <v>232</v>
      </c>
    </row>
    <row r="17" spans="1:79" x14ac:dyDescent="0.25">
      <c r="A17" s="24" t="s">
        <v>209</v>
      </c>
      <c r="B17" s="24" t="s">
        <v>210</v>
      </c>
      <c r="C17" s="24">
        <v>2019</v>
      </c>
      <c r="D17" s="24" t="s">
        <v>389</v>
      </c>
      <c r="E17" s="24">
        <v>2.01909139163316E+17</v>
      </c>
      <c r="F17" s="24" t="s">
        <v>212</v>
      </c>
      <c r="G17" s="24" t="s">
        <v>1170</v>
      </c>
      <c r="H17" s="24">
        <v>1351825</v>
      </c>
      <c r="I17" s="24"/>
      <c r="J17" s="24" t="s">
        <v>214</v>
      </c>
      <c r="K17" s="24" t="s">
        <v>215</v>
      </c>
      <c r="L17" s="24"/>
      <c r="M17" s="24"/>
      <c r="N17" s="24" t="s">
        <v>1142</v>
      </c>
      <c r="O17" s="24" t="s">
        <v>36</v>
      </c>
      <c r="P17" s="24" t="s">
        <v>217</v>
      </c>
      <c r="Q17" s="24" t="s">
        <v>28</v>
      </c>
      <c r="R17" s="24" t="s">
        <v>1143</v>
      </c>
      <c r="S17" s="24" t="s">
        <v>28</v>
      </c>
      <c r="T17" s="24" t="s">
        <v>1144</v>
      </c>
      <c r="U17" s="24"/>
      <c r="V17" s="24" t="s">
        <v>220</v>
      </c>
      <c r="W17" s="24"/>
      <c r="X17" s="24" t="s">
        <v>221</v>
      </c>
      <c r="Y17" s="24" t="s">
        <v>130</v>
      </c>
      <c r="Z17" s="24">
        <v>28255</v>
      </c>
      <c r="AA17" s="24" t="s">
        <v>222</v>
      </c>
      <c r="AB17" s="24" t="s">
        <v>1145</v>
      </c>
      <c r="AC17" s="24"/>
      <c r="AD17" s="24">
        <v>15</v>
      </c>
      <c r="AE17" s="24" t="s">
        <v>224</v>
      </c>
      <c r="AF17" s="24"/>
      <c r="AG17" s="24"/>
      <c r="AH17" s="24"/>
      <c r="AI17" s="24">
        <v>43692</v>
      </c>
      <c r="AJ17" s="24">
        <v>208.32</v>
      </c>
      <c r="AK17" s="24">
        <v>2658.32</v>
      </c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 t="s">
        <v>26</v>
      </c>
      <c r="BH17" s="24"/>
      <c r="BI17" s="24" t="s">
        <v>225</v>
      </c>
      <c r="BJ17" s="24"/>
      <c r="BK17" s="24" t="s">
        <v>31</v>
      </c>
      <c r="BL17" s="24" t="s">
        <v>238</v>
      </c>
      <c r="BM17" s="24" t="s">
        <v>227</v>
      </c>
      <c r="BN17" s="24">
        <v>43722.12535292824</v>
      </c>
      <c r="BO17" s="24"/>
      <c r="BP17" s="24"/>
      <c r="BQ17" s="24"/>
      <c r="BR17" s="24" t="s">
        <v>228</v>
      </c>
      <c r="BS17" s="24">
        <v>4.09132019167264E+18</v>
      </c>
      <c r="BT17" s="24" t="s">
        <v>229</v>
      </c>
      <c r="BU17" s="24"/>
      <c r="BV17" s="24">
        <v>2020</v>
      </c>
      <c r="BW17" s="24" t="s">
        <v>230</v>
      </c>
      <c r="BX17" s="24"/>
      <c r="BY17" s="24">
        <v>4.09132019167266E+18</v>
      </c>
      <c r="BZ17" s="24" t="s">
        <v>1171</v>
      </c>
      <c r="CA17" s="24" t="s">
        <v>232</v>
      </c>
    </row>
    <row r="18" spans="1:79" x14ac:dyDescent="0.25">
      <c r="A18" s="24" t="s">
        <v>209</v>
      </c>
      <c r="B18" s="24" t="s">
        <v>210</v>
      </c>
      <c r="C18" s="24">
        <v>2019</v>
      </c>
      <c r="D18" s="24" t="s">
        <v>389</v>
      </c>
      <c r="E18" s="24">
        <v>2.01909139163316E+17</v>
      </c>
      <c r="F18" s="24" t="s">
        <v>212</v>
      </c>
      <c r="G18" s="24" t="s">
        <v>1172</v>
      </c>
      <c r="H18" s="24">
        <v>1351825</v>
      </c>
      <c r="I18" s="24"/>
      <c r="J18" s="24" t="s">
        <v>214</v>
      </c>
      <c r="K18" s="24" t="s">
        <v>215</v>
      </c>
      <c r="L18" s="24"/>
      <c r="M18" s="24"/>
      <c r="N18" s="24" t="s">
        <v>1142</v>
      </c>
      <c r="O18" s="24" t="s">
        <v>36</v>
      </c>
      <c r="P18" s="24" t="s">
        <v>217</v>
      </c>
      <c r="Q18" s="24" t="s">
        <v>28</v>
      </c>
      <c r="R18" s="24" t="s">
        <v>1143</v>
      </c>
      <c r="S18" s="24" t="s">
        <v>28</v>
      </c>
      <c r="T18" s="24" t="s">
        <v>1144</v>
      </c>
      <c r="U18" s="24"/>
      <c r="V18" s="24" t="s">
        <v>220</v>
      </c>
      <c r="W18" s="24"/>
      <c r="X18" s="24" t="s">
        <v>221</v>
      </c>
      <c r="Y18" s="24" t="s">
        <v>130</v>
      </c>
      <c r="Z18" s="24">
        <v>28255</v>
      </c>
      <c r="AA18" s="24" t="s">
        <v>222</v>
      </c>
      <c r="AB18" s="24" t="s">
        <v>1145</v>
      </c>
      <c r="AC18" s="24"/>
      <c r="AD18" s="24">
        <v>15</v>
      </c>
      <c r="AE18" s="24" t="s">
        <v>224</v>
      </c>
      <c r="AF18" s="24"/>
      <c r="AG18" s="24"/>
      <c r="AH18" s="24"/>
      <c r="AI18" s="24">
        <v>43708</v>
      </c>
      <c r="AJ18" s="24">
        <v>208.32</v>
      </c>
      <c r="AK18" s="24">
        <v>2866.64</v>
      </c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 t="s">
        <v>26</v>
      </c>
      <c r="BH18" s="24"/>
      <c r="BI18" s="24" t="s">
        <v>225</v>
      </c>
      <c r="BJ18" s="24"/>
      <c r="BK18" s="24" t="s">
        <v>31</v>
      </c>
      <c r="BL18" s="24" t="s">
        <v>238</v>
      </c>
      <c r="BM18" s="24" t="s">
        <v>227</v>
      </c>
      <c r="BN18" s="24">
        <v>43722.125352939816</v>
      </c>
      <c r="BO18" s="24"/>
      <c r="BP18" s="24"/>
      <c r="BQ18" s="24"/>
      <c r="BR18" s="24" t="s">
        <v>228</v>
      </c>
      <c r="BS18" s="24">
        <v>4.09132019167264E+18</v>
      </c>
      <c r="BT18" s="24" t="s">
        <v>229</v>
      </c>
      <c r="BU18" s="24"/>
      <c r="BV18" s="24">
        <v>2020</v>
      </c>
      <c r="BW18" s="24" t="s">
        <v>230</v>
      </c>
      <c r="BX18" s="24"/>
      <c r="BY18" s="24">
        <v>4.09132019167266E+18</v>
      </c>
      <c r="BZ18" s="24" t="s">
        <v>1171</v>
      </c>
      <c r="CA18" s="24" t="s">
        <v>232</v>
      </c>
    </row>
    <row r="19" spans="1:79" x14ac:dyDescent="0.25">
      <c r="A19" s="24" t="s">
        <v>209</v>
      </c>
      <c r="B19" s="24" t="s">
        <v>210</v>
      </c>
      <c r="C19" s="24">
        <v>2019</v>
      </c>
      <c r="D19" s="24" t="s">
        <v>290</v>
      </c>
      <c r="E19" s="24">
        <v>2.01910169164984E+17</v>
      </c>
      <c r="F19" s="24" t="s">
        <v>212</v>
      </c>
      <c r="G19" s="24" t="s">
        <v>1173</v>
      </c>
      <c r="H19" s="24">
        <v>1359078</v>
      </c>
      <c r="I19" s="24"/>
      <c r="J19" s="24" t="s">
        <v>214</v>
      </c>
      <c r="K19" s="24" t="s">
        <v>215</v>
      </c>
      <c r="L19" s="24"/>
      <c r="M19" s="24"/>
      <c r="N19" s="24" t="s">
        <v>1142</v>
      </c>
      <c r="O19" s="24" t="s">
        <v>36</v>
      </c>
      <c r="P19" s="24" t="s">
        <v>217</v>
      </c>
      <c r="Q19" s="24" t="s">
        <v>28</v>
      </c>
      <c r="R19" s="24" t="s">
        <v>1143</v>
      </c>
      <c r="S19" s="24" t="s">
        <v>28</v>
      </c>
      <c r="T19" s="24" t="s">
        <v>1144</v>
      </c>
      <c r="U19" s="24"/>
      <c r="V19" s="24" t="s">
        <v>220</v>
      </c>
      <c r="W19" s="24"/>
      <c r="X19" s="24" t="s">
        <v>221</v>
      </c>
      <c r="Y19" s="24" t="s">
        <v>130</v>
      </c>
      <c r="Z19" s="24">
        <v>28255</v>
      </c>
      <c r="AA19" s="24" t="s">
        <v>222</v>
      </c>
      <c r="AB19" s="24" t="s">
        <v>1145</v>
      </c>
      <c r="AC19" s="24"/>
      <c r="AD19" s="24">
        <v>15</v>
      </c>
      <c r="AE19" s="24" t="s">
        <v>224</v>
      </c>
      <c r="AF19" s="24"/>
      <c r="AG19" s="24"/>
      <c r="AH19" s="24"/>
      <c r="AI19" s="24">
        <v>43723</v>
      </c>
      <c r="AJ19" s="24">
        <v>208.32</v>
      </c>
      <c r="AK19" s="24">
        <v>3074.96</v>
      </c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 t="s">
        <v>26</v>
      </c>
      <c r="BH19" s="24"/>
      <c r="BI19" s="24" t="s">
        <v>225</v>
      </c>
      <c r="BJ19" s="24"/>
      <c r="BK19" s="24" t="s">
        <v>31</v>
      </c>
      <c r="BL19" s="24" t="s">
        <v>238</v>
      </c>
      <c r="BM19" s="24" t="s">
        <v>227</v>
      </c>
      <c r="BN19" s="24">
        <v>43755.116352210651</v>
      </c>
      <c r="BO19" s="24"/>
      <c r="BP19" s="24"/>
      <c r="BQ19" s="24"/>
      <c r="BR19" s="24" t="s">
        <v>228</v>
      </c>
      <c r="BS19" s="24">
        <v>4.1016201916743598E+18</v>
      </c>
      <c r="BT19" s="24" t="s">
        <v>229</v>
      </c>
      <c r="BU19" s="24"/>
      <c r="BV19" s="24">
        <v>2020</v>
      </c>
      <c r="BW19" s="24" t="s">
        <v>230</v>
      </c>
      <c r="BX19" s="24"/>
      <c r="BY19" s="24">
        <v>4.1016201916744899E+18</v>
      </c>
      <c r="BZ19" s="24" t="s">
        <v>1174</v>
      </c>
      <c r="CA19" s="24" t="s">
        <v>232</v>
      </c>
    </row>
    <row r="20" spans="1:79" x14ac:dyDescent="0.25">
      <c r="A20" s="24" t="s">
        <v>209</v>
      </c>
      <c r="B20" s="24" t="s">
        <v>210</v>
      </c>
      <c r="C20" s="24">
        <v>2019</v>
      </c>
      <c r="D20" s="24" t="s">
        <v>290</v>
      </c>
      <c r="E20" s="24">
        <v>2.01910169164984E+17</v>
      </c>
      <c r="F20" s="24" t="s">
        <v>212</v>
      </c>
      <c r="G20" s="24" t="s">
        <v>1175</v>
      </c>
      <c r="H20" s="24">
        <v>1359078</v>
      </c>
      <c r="I20" s="24"/>
      <c r="J20" s="24" t="s">
        <v>214</v>
      </c>
      <c r="K20" s="24" t="s">
        <v>215</v>
      </c>
      <c r="L20" s="24"/>
      <c r="M20" s="24"/>
      <c r="N20" s="24" t="s">
        <v>1142</v>
      </c>
      <c r="O20" s="24" t="s">
        <v>36</v>
      </c>
      <c r="P20" s="24" t="s">
        <v>217</v>
      </c>
      <c r="Q20" s="24" t="s">
        <v>28</v>
      </c>
      <c r="R20" s="24" t="s">
        <v>1143</v>
      </c>
      <c r="S20" s="24" t="s">
        <v>28</v>
      </c>
      <c r="T20" s="24" t="s">
        <v>1144</v>
      </c>
      <c r="U20" s="24"/>
      <c r="V20" s="24" t="s">
        <v>220</v>
      </c>
      <c r="W20" s="24"/>
      <c r="X20" s="24" t="s">
        <v>221</v>
      </c>
      <c r="Y20" s="24" t="s">
        <v>130</v>
      </c>
      <c r="Z20" s="24">
        <v>28255</v>
      </c>
      <c r="AA20" s="24" t="s">
        <v>222</v>
      </c>
      <c r="AB20" s="24" t="s">
        <v>1145</v>
      </c>
      <c r="AC20" s="24"/>
      <c r="AD20" s="24">
        <v>15</v>
      </c>
      <c r="AE20" s="24" t="s">
        <v>224</v>
      </c>
      <c r="AF20" s="24"/>
      <c r="AG20" s="24"/>
      <c r="AH20" s="24"/>
      <c r="AI20" s="24">
        <v>43738</v>
      </c>
      <c r="AJ20" s="24">
        <v>208.32</v>
      </c>
      <c r="AK20" s="24">
        <v>3283.28</v>
      </c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 t="s">
        <v>26</v>
      </c>
      <c r="BH20" s="24"/>
      <c r="BI20" s="24" t="s">
        <v>225</v>
      </c>
      <c r="BJ20" s="24"/>
      <c r="BK20" s="24" t="s">
        <v>31</v>
      </c>
      <c r="BL20" s="24" t="s">
        <v>238</v>
      </c>
      <c r="BM20" s="24" t="s">
        <v>227</v>
      </c>
      <c r="BN20" s="24">
        <v>43755.116352210651</v>
      </c>
      <c r="BO20" s="24"/>
      <c r="BP20" s="24"/>
      <c r="BQ20" s="24"/>
      <c r="BR20" s="24" t="s">
        <v>228</v>
      </c>
      <c r="BS20" s="24">
        <v>4.1016201916743598E+18</v>
      </c>
      <c r="BT20" s="24" t="s">
        <v>229</v>
      </c>
      <c r="BU20" s="24"/>
      <c r="BV20" s="24">
        <v>2020</v>
      </c>
      <c r="BW20" s="24" t="s">
        <v>230</v>
      </c>
      <c r="BX20" s="24"/>
      <c r="BY20" s="24">
        <v>4.1016201916744899E+18</v>
      </c>
      <c r="BZ20" s="24" t="s">
        <v>1174</v>
      </c>
      <c r="CA20" s="24" t="s">
        <v>232</v>
      </c>
    </row>
    <row r="21" spans="1:79" x14ac:dyDescent="0.25">
      <c r="A21" s="24" t="s">
        <v>209</v>
      </c>
      <c r="B21" s="24" t="s">
        <v>210</v>
      </c>
      <c r="C21" s="24">
        <v>2019</v>
      </c>
      <c r="D21" s="24" t="s">
        <v>578</v>
      </c>
      <c r="E21" s="24">
        <v>2.0191114916550099E+17</v>
      </c>
      <c r="F21" s="24" t="s">
        <v>212</v>
      </c>
      <c r="G21" s="24" t="s">
        <v>1176</v>
      </c>
      <c r="H21" s="24">
        <v>1362663</v>
      </c>
      <c r="I21" s="24"/>
      <c r="J21" s="24" t="s">
        <v>214</v>
      </c>
      <c r="K21" s="24" t="s">
        <v>215</v>
      </c>
      <c r="L21" s="24"/>
      <c r="M21" s="24"/>
      <c r="N21" s="24" t="s">
        <v>1142</v>
      </c>
      <c r="O21" s="24" t="s">
        <v>36</v>
      </c>
      <c r="P21" s="24" t="s">
        <v>217</v>
      </c>
      <c r="Q21" s="24" t="s">
        <v>28</v>
      </c>
      <c r="R21" s="24" t="s">
        <v>1143</v>
      </c>
      <c r="S21" s="24" t="s">
        <v>28</v>
      </c>
      <c r="T21" s="24" t="s">
        <v>1144</v>
      </c>
      <c r="U21" s="24"/>
      <c r="V21" s="24" t="s">
        <v>220</v>
      </c>
      <c r="W21" s="24"/>
      <c r="X21" s="24" t="s">
        <v>221</v>
      </c>
      <c r="Y21" s="24" t="s">
        <v>130</v>
      </c>
      <c r="Z21" s="24">
        <v>28255</v>
      </c>
      <c r="AA21" s="24" t="s">
        <v>222</v>
      </c>
      <c r="AB21" s="24" t="s">
        <v>1145</v>
      </c>
      <c r="AC21" s="24"/>
      <c r="AD21" s="24">
        <v>15</v>
      </c>
      <c r="AE21" s="24" t="s">
        <v>224</v>
      </c>
      <c r="AF21" s="24"/>
      <c r="AG21" s="24"/>
      <c r="AH21" s="24"/>
      <c r="AI21" s="24">
        <v>43753</v>
      </c>
      <c r="AJ21" s="24">
        <v>208.32</v>
      </c>
      <c r="AK21" s="24">
        <v>3491.6</v>
      </c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 t="s">
        <v>26</v>
      </c>
      <c r="BH21" s="24"/>
      <c r="BI21" s="24" t="s">
        <v>225</v>
      </c>
      <c r="BJ21" s="24"/>
      <c r="BK21" s="24" t="s">
        <v>31</v>
      </c>
      <c r="BL21" s="24" t="s">
        <v>238</v>
      </c>
      <c r="BM21" s="24" t="s">
        <v>227</v>
      </c>
      <c r="BN21" s="24">
        <v>43784.092144270835</v>
      </c>
      <c r="BO21" s="24"/>
      <c r="BP21" s="24"/>
      <c r="BQ21" s="24"/>
      <c r="BR21" s="24" t="s">
        <v>228</v>
      </c>
      <c r="BS21" s="24">
        <v>4.1114201916786601E+18</v>
      </c>
      <c r="BT21" s="24" t="s">
        <v>229</v>
      </c>
      <c r="BU21" s="24"/>
      <c r="BV21" s="24">
        <v>2020</v>
      </c>
      <c r="BW21" s="24" t="s">
        <v>230</v>
      </c>
      <c r="BX21" s="24"/>
      <c r="BY21" s="24">
        <v>4.1114201916786801E+18</v>
      </c>
      <c r="BZ21" s="24" t="s">
        <v>1177</v>
      </c>
      <c r="CA21" s="24" t="s">
        <v>232</v>
      </c>
    </row>
    <row r="22" spans="1:79" x14ac:dyDescent="0.25">
      <c r="A22" s="24" t="s">
        <v>209</v>
      </c>
      <c r="B22" s="24" t="s">
        <v>210</v>
      </c>
      <c r="C22" s="24">
        <v>2019</v>
      </c>
      <c r="D22" s="24" t="s">
        <v>578</v>
      </c>
      <c r="E22" s="24">
        <v>2.0191114916550099E+17</v>
      </c>
      <c r="F22" s="24" t="s">
        <v>212</v>
      </c>
      <c r="G22" s="24" t="s">
        <v>1178</v>
      </c>
      <c r="H22" s="24">
        <v>1362663</v>
      </c>
      <c r="I22" s="24"/>
      <c r="J22" s="24" t="s">
        <v>214</v>
      </c>
      <c r="K22" s="24" t="s">
        <v>215</v>
      </c>
      <c r="L22" s="24"/>
      <c r="M22" s="24"/>
      <c r="N22" s="24" t="s">
        <v>1142</v>
      </c>
      <c r="O22" s="24" t="s">
        <v>36</v>
      </c>
      <c r="P22" s="24" t="s">
        <v>217</v>
      </c>
      <c r="Q22" s="24" t="s">
        <v>28</v>
      </c>
      <c r="R22" s="24" t="s">
        <v>1143</v>
      </c>
      <c r="S22" s="24" t="s">
        <v>28</v>
      </c>
      <c r="T22" s="24" t="s">
        <v>1144</v>
      </c>
      <c r="U22" s="24"/>
      <c r="V22" s="24" t="s">
        <v>220</v>
      </c>
      <c r="W22" s="24"/>
      <c r="X22" s="24" t="s">
        <v>221</v>
      </c>
      <c r="Y22" s="24" t="s">
        <v>130</v>
      </c>
      <c r="Z22" s="24">
        <v>28255</v>
      </c>
      <c r="AA22" s="24" t="s">
        <v>222</v>
      </c>
      <c r="AB22" s="24" t="s">
        <v>1145</v>
      </c>
      <c r="AC22" s="24"/>
      <c r="AD22" s="24">
        <v>15</v>
      </c>
      <c r="AE22" s="24" t="s">
        <v>224</v>
      </c>
      <c r="AF22" s="24"/>
      <c r="AG22" s="24"/>
      <c r="AH22" s="24"/>
      <c r="AI22" s="24">
        <v>43769</v>
      </c>
      <c r="AJ22" s="24">
        <v>208.32</v>
      </c>
      <c r="AK22" s="24">
        <v>3699.92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 t="s">
        <v>26</v>
      </c>
      <c r="BH22" s="24"/>
      <c r="BI22" s="24" t="s">
        <v>225</v>
      </c>
      <c r="BJ22" s="24"/>
      <c r="BK22" s="24" t="s">
        <v>31</v>
      </c>
      <c r="BL22" s="24" t="s">
        <v>238</v>
      </c>
      <c r="BM22" s="24" t="s">
        <v>227</v>
      </c>
      <c r="BN22" s="24">
        <v>43784.092144270835</v>
      </c>
      <c r="BO22" s="24"/>
      <c r="BP22" s="24"/>
      <c r="BQ22" s="24"/>
      <c r="BR22" s="24" t="s">
        <v>228</v>
      </c>
      <c r="BS22" s="24">
        <v>4.1114201916786601E+18</v>
      </c>
      <c r="BT22" s="24" t="s">
        <v>229</v>
      </c>
      <c r="BU22" s="24"/>
      <c r="BV22" s="24">
        <v>2020</v>
      </c>
      <c r="BW22" s="24" t="s">
        <v>230</v>
      </c>
      <c r="BX22" s="24"/>
      <c r="BY22" s="24">
        <v>4.1114201916786801E+18</v>
      </c>
      <c r="BZ22" s="24" t="s">
        <v>1179</v>
      </c>
      <c r="CA22" s="24" t="s">
        <v>232</v>
      </c>
    </row>
    <row r="23" spans="1:79" x14ac:dyDescent="0.25">
      <c r="A23" s="24" t="s">
        <v>209</v>
      </c>
      <c r="B23" s="24" t="s">
        <v>210</v>
      </c>
      <c r="C23" s="24">
        <v>2019</v>
      </c>
      <c r="D23" s="24" t="s">
        <v>574</v>
      </c>
      <c r="E23" s="24">
        <v>2.01912169166292E+17</v>
      </c>
      <c r="F23" s="24" t="s">
        <v>212</v>
      </c>
      <c r="G23" s="24" t="s">
        <v>1180</v>
      </c>
      <c r="H23" s="24">
        <v>1366330</v>
      </c>
      <c r="I23" s="24"/>
      <c r="J23" s="24" t="s">
        <v>214</v>
      </c>
      <c r="K23" s="24" t="s">
        <v>215</v>
      </c>
      <c r="L23" s="24"/>
      <c r="M23" s="24"/>
      <c r="N23" s="24" t="s">
        <v>1142</v>
      </c>
      <c r="O23" s="24" t="s">
        <v>36</v>
      </c>
      <c r="P23" s="24" t="s">
        <v>217</v>
      </c>
      <c r="Q23" s="24" t="s">
        <v>28</v>
      </c>
      <c r="R23" s="24" t="s">
        <v>1143</v>
      </c>
      <c r="S23" s="24" t="s">
        <v>28</v>
      </c>
      <c r="T23" s="24" t="s">
        <v>1144</v>
      </c>
      <c r="U23" s="24"/>
      <c r="V23" s="24" t="s">
        <v>220</v>
      </c>
      <c r="W23" s="24"/>
      <c r="X23" s="24" t="s">
        <v>221</v>
      </c>
      <c r="Y23" s="24" t="s">
        <v>130</v>
      </c>
      <c r="Z23" s="24">
        <v>28255</v>
      </c>
      <c r="AA23" s="24" t="s">
        <v>222</v>
      </c>
      <c r="AB23" s="24" t="s">
        <v>1145</v>
      </c>
      <c r="AC23" s="24"/>
      <c r="AD23" s="24">
        <v>15</v>
      </c>
      <c r="AE23" s="24" t="s">
        <v>224</v>
      </c>
      <c r="AF23" s="24"/>
      <c r="AG23" s="24"/>
      <c r="AH23" s="24"/>
      <c r="AI23" s="24">
        <v>43784</v>
      </c>
      <c r="AJ23" s="24">
        <v>208.32</v>
      </c>
      <c r="AK23" s="24">
        <v>3908.24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 t="s">
        <v>26</v>
      </c>
      <c r="BH23" s="24"/>
      <c r="BI23" s="24" t="s">
        <v>225</v>
      </c>
      <c r="BJ23" s="24"/>
      <c r="BK23" s="24" t="s">
        <v>31</v>
      </c>
      <c r="BL23" s="24" t="s">
        <v>238</v>
      </c>
      <c r="BM23" s="24" t="s">
        <v>227</v>
      </c>
      <c r="BN23" s="24">
        <v>43816.067714583332</v>
      </c>
      <c r="BO23" s="24"/>
      <c r="BP23" s="24"/>
      <c r="BQ23" s="24"/>
      <c r="BR23" s="24" t="s">
        <v>228</v>
      </c>
      <c r="BS23" s="24">
        <v>4.1216201916815201E+18</v>
      </c>
      <c r="BT23" s="24" t="s">
        <v>229</v>
      </c>
      <c r="BU23" s="24"/>
      <c r="BV23" s="24">
        <v>2020</v>
      </c>
      <c r="BW23" s="24" t="s">
        <v>230</v>
      </c>
      <c r="BX23" s="24"/>
      <c r="BY23" s="24">
        <v>4.1216201916815401E+18</v>
      </c>
      <c r="BZ23" s="24" t="s">
        <v>1181</v>
      </c>
      <c r="CA23" s="24" t="s">
        <v>232</v>
      </c>
    </row>
    <row r="24" spans="1:79" x14ac:dyDescent="0.25">
      <c r="A24" s="24" t="s">
        <v>209</v>
      </c>
      <c r="B24" s="24" t="s">
        <v>210</v>
      </c>
      <c r="C24" s="24">
        <v>2019</v>
      </c>
      <c r="D24" s="24" t="s">
        <v>574</v>
      </c>
      <c r="E24" s="24">
        <v>2.01912169166292E+17</v>
      </c>
      <c r="F24" s="24" t="s">
        <v>212</v>
      </c>
      <c r="G24" s="24" t="s">
        <v>1182</v>
      </c>
      <c r="H24" s="24">
        <v>1366330</v>
      </c>
      <c r="I24" s="24"/>
      <c r="J24" s="24" t="s">
        <v>214</v>
      </c>
      <c r="K24" s="24" t="s">
        <v>215</v>
      </c>
      <c r="L24" s="24"/>
      <c r="M24" s="24"/>
      <c r="N24" s="24" t="s">
        <v>1142</v>
      </c>
      <c r="O24" s="24" t="s">
        <v>36</v>
      </c>
      <c r="P24" s="24" t="s">
        <v>217</v>
      </c>
      <c r="Q24" s="24" t="s">
        <v>28</v>
      </c>
      <c r="R24" s="24" t="s">
        <v>1143</v>
      </c>
      <c r="S24" s="24" t="s">
        <v>28</v>
      </c>
      <c r="T24" s="24" t="s">
        <v>1144</v>
      </c>
      <c r="U24" s="24"/>
      <c r="V24" s="24" t="s">
        <v>220</v>
      </c>
      <c r="W24" s="24"/>
      <c r="X24" s="24" t="s">
        <v>221</v>
      </c>
      <c r="Y24" s="24" t="s">
        <v>130</v>
      </c>
      <c r="Z24" s="24">
        <v>28255</v>
      </c>
      <c r="AA24" s="24" t="s">
        <v>222</v>
      </c>
      <c r="AB24" s="24" t="s">
        <v>1145</v>
      </c>
      <c r="AC24" s="24"/>
      <c r="AD24" s="24">
        <v>15</v>
      </c>
      <c r="AE24" s="24" t="s">
        <v>224</v>
      </c>
      <c r="AF24" s="24"/>
      <c r="AG24" s="24"/>
      <c r="AH24" s="24"/>
      <c r="AI24" s="24">
        <v>43799</v>
      </c>
      <c r="AJ24" s="24">
        <v>208.32</v>
      </c>
      <c r="AK24" s="24">
        <v>4116.5600000000004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 t="s">
        <v>26</v>
      </c>
      <c r="BH24" s="24"/>
      <c r="BI24" s="24" t="s">
        <v>225</v>
      </c>
      <c r="BJ24" s="24"/>
      <c r="BK24" s="24" t="s">
        <v>31</v>
      </c>
      <c r="BL24" s="24" t="s">
        <v>238</v>
      </c>
      <c r="BM24" s="24" t="s">
        <v>227</v>
      </c>
      <c r="BN24" s="24">
        <v>43816.067714583332</v>
      </c>
      <c r="BO24" s="24"/>
      <c r="BP24" s="24"/>
      <c r="BQ24" s="24"/>
      <c r="BR24" s="24" t="s">
        <v>228</v>
      </c>
      <c r="BS24" s="24">
        <v>4.1216201916815201E+18</v>
      </c>
      <c r="BT24" s="24" t="s">
        <v>229</v>
      </c>
      <c r="BU24" s="24"/>
      <c r="BV24" s="24">
        <v>2020</v>
      </c>
      <c r="BW24" s="24" t="s">
        <v>230</v>
      </c>
      <c r="BX24" s="24"/>
      <c r="BY24" s="24">
        <v>4.1216201916815401E+18</v>
      </c>
      <c r="BZ24" s="24" t="s">
        <v>1181</v>
      </c>
      <c r="CA24" s="24" t="s">
        <v>232</v>
      </c>
    </row>
    <row r="25" spans="1:79" x14ac:dyDescent="0.25">
      <c r="A25" s="24" t="s">
        <v>209</v>
      </c>
      <c r="B25" s="24" t="s">
        <v>210</v>
      </c>
      <c r="C25" s="24">
        <v>2020</v>
      </c>
      <c r="D25" s="24" t="s">
        <v>459</v>
      </c>
      <c r="E25" s="24">
        <v>2.0200214918650499E+17</v>
      </c>
      <c r="F25" s="24" t="s">
        <v>212</v>
      </c>
      <c r="G25" s="24" t="s">
        <v>1183</v>
      </c>
      <c r="H25" s="24">
        <v>1382318</v>
      </c>
      <c r="I25" s="24"/>
      <c r="J25" s="24" t="s">
        <v>214</v>
      </c>
      <c r="K25" s="24" t="s">
        <v>215</v>
      </c>
      <c r="L25" s="24"/>
      <c r="M25" s="24"/>
      <c r="N25" s="24" t="s">
        <v>1142</v>
      </c>
      <c r="O25" s="24" t="s">
        <v>36</v>
      </c>
      <c r="P25" s="24" t="s">
        <v>217</v>
      </c>
      <c r="Q25" s="24" t="s">
        <v>28</v>
      </c>
      <c r="R25" s="24" t="s">
        <v>1143</v>
      </c>
      <c r="S25" s="24" t="s">
        <v>28</v>
      </c>
      <c r="T25" s="24" t="s">
        <v>1144</v>
      </c>
      <c r="U25" s="24"/>
      <c r="V25" s="24" t="s">
        <v>220</v>
      </c>
      <c r="W25" s="24"/>
      <c r="X25" s="24" t="s">
        <v>221</v>
      </c>
      <c r="Y25" s="24" t="s">
        <v>130</v>
      </c>
      <c r="Z25" s="24">
        <v>28255</v>
      </c>
      <c r="AA25" s="24" t="s">
        <v>222</v>
      </c>
      <c r="AB25" s="24" t="s">
        <v>1145</v>
      </c>
      <c r="AC25" s="24"/>
      <c r="AD25" s="24">
        <v>15</v>
      </c>
      <c r="AE25" s="24" t="s">
        <v>224</v>
      </c>
      <c r="AF25" s="24"/>
      <c r="AG25" s="24"/>
      <c r="AH25" s="24"/>
      <c r="AI25" s="24">
        <v>43845</v>
      </c>
      <c r="AJ25" s="24">
        <v>208.32</v>
      </c>
      <c r="AK25" s="24">
        <v>208.32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 t="s">
        <v>26</v>
      </c>
      <c r="BH25" s="24"/>
      <c r="BI25" s="24" t="s">
        <v>225</v>
      </c>
      <c r="BJ25" s="24"/>
      <c r="BK25" s="24" t="s">
        <v>31</v>
      </c>
      <c r="BL25" s="24" t="s">
        <v>238</v>
      </c>
      <c r="BM25" s="24" t="s">
        <v>227</v>
      </c>
      <c r="BN25" s="24">
        <v>43886.069170011571</v>
      </c>
      <c r="BO25" s="24"/>
      <c r="BP25" s="24"/>
      <c r="BQ25" s="24"/>
      <c r="BR25" s="24" t="s">
        <v>228</v>
      </c>
      <c r="BS25" s="24">
        <v>4.0215202016924498E+18</v>
      </c>
      <c r="BT25" s="24" t="s">
        <v>229</v>
      </c>
      <c r="BU25" s="24"/>
      <c r="BV25" s="24">
        <v>2020</v>
      </c>
      <c r="BW25" s="24" t="s">
        <v>230</v>
      </c>
      <c r="BX25" s="24"/>
      <c r="BY25" s="24">
        <v>4.0224202016939602E+18</v>
      </c>
      <c r="BZ25" s="24" t="s">
        <v>1184</v>
      </c>
      <c r="CA25" s="24" t="s">
        <v>232</v>
      </c>
    </row>
    <row r="26" spans="1:79" x14ac:dyDescent="0.25">
      <c r="A26" s="24" t="s">
        <v>209</v>
      </c>
      <c r="B26" s="24" t="s">
        <v>210</v>
      </c>
      <c r="C26" s="24">
        <v>2020</v>
      </c>
      <c r="D26" s="24" t="s">
        <v>459</v>
      </c>
      <c r="E26" s="24">
        <v>2.0200214918650499E+17</v>
      </c>
      <c r="F26" s="24" t="s">
        <v>212</v>
      </c>
      <c r="G26" s="24" t="s">
        <v>1185</v>
      </c>
      <c r="H26" s="24">
        <v>1382318</v>
      </c>
      <c r="I26" s="24"/>
      <c r="J26" s="24" t="s">
        <v>214</v>
      </c>
      <c r="K26" s="24" t="s">
        <v>215</v>
      </c>
      <c r="L26" s="24"/>
      <c r="M26" s="24"/>
      <c r="N26" s="24" t="s">
        <v>1142</v>
      </c>
      <c r="O26" s="24" t="s">
        <v>36</v>
      </c>
      <c r="P26" s="24" t="s">
        <v>217</v>
      </c>
      <c r="Q26" s="24" t="s">
        <v>28</v>
      </c>
      <c r="R26" s="24" t="s">
        <v>1143</v>
      </c>
      <c r="S26" s="24" t="s">
        <v>28</v>
      </c>
      <c r="T26" s="24" t="s">
        <v>1144</v>
      </c>
      <c r="U26" s="24"/>
      <c r="V26" s="24" t="s">
        <v>220</v>
      </c>
      <c r="W26" s="24"/>
      <c r="X26" s="24" t="s">
        <v>221</v>
      </c>
      <c r="Y26" s="24" t="s">
        <v>130</v>
      </c>
      <c r="Z26" s="24">
        <v>28255</v>
      </c>
      <c r="AA26" s="24" t="s">
        <v>222</v>
      </c>
      <c r="AB26" s="24" t="s">
        <v>1145</v>
      </c>
      <c r="AC26" s="24"/>
      <c r="AD26" s="24">
        <v>15</v>
      </c>
      <c r="AE26" s="24" t="s">
        <v>224</v>
      </c>
      <c r="AF26" s="24"/>
      <c r="AG26" s="24"/>
      <c r="AH26" s="24"/>
      <c r="AI26" s="24">
        <v>43861</v>
      </c>
      <c r="AJ26" s="24">
        <v>208.32</v>
      </c>
      <c r="AK26" s="24">
        <v>416.64</v>
      </c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 t="s">
        <v>26</v>
      </c>
      <c r="BH26" s="24"/>
      <c r="BI26" s="24" t="s">
        <v>225</v>
      </c>
      <c r="BJ26" s="24"/>
      <c r="BK26" s="24" t="s">
        <v>31</v>
      </c>
      <c r="BL26" s="24" t="s">
        <v>238</v>
      </c>
      <c r="BM26" s="24" t="s">
        <v>227</v>
      </c>
      <c r="BN26" s="24">
        <v>43886.069170011571</v>
      </c>
      <c r="BO26" s="24"/>
      <c r="BP26" s="24"/>
      <c r="BQ26" s="24"/>
      <c r="BR26" s="24" t="s">
        <v>228</v>
      </c>
      <c r="BS26" s="24">
        <v>4.0215202016924498E+18</v>
      </c>
      <c r="BT26" s="24" t="s">
        <v>229</v>
      </c>
      <c r="BU26" s="24"/>
      <c r="BV26" s="24">
        <v>2020</v>
      </c>
      <c r="BW26" s="24" t="s">
        <v>230</v>
      </c>
      <c r="BX26" s="24"/>
      <c r="BY26" s="24">
        <v>4.0224202016939602E+18</v>
      </c>
      <c r="BZ26" s="24" t="s">
        <v>1184</v>
      </c>
      <c r="CA26" s="24" t="s">
        <v>232</v>
      </c>
    </row>
    <row r="27" spans="1:79" x14ac:dyDescent="0.25">
      <c r="A27" s="24" t="s">
        <v>209</v>
      </c>
      <c r="B27" s="24" t="s">
        <v>210</v>
      </c>
      <c r="C27" s="24">
        <v>2020</v>
      </c>
      <c r="D27" s="24" t="s">
        <v>393</v>
      </c>
      <c r="E27" s="24">
        <v>2.0200316920383398E+17</v>
      </c>
      <c r="F27" s="24" t="s">
        <v>212</v>
      </c>
      <c r="G27" s="24" t="s">
        <v>1186</v>
      </c>
      <c r="H27" s="24">
        <v>1389788</v>
      </c>
      <c r="I27" s="24"/>
      <c r="J27" s="24" t="s">
        <v>214</v>
      </c>
      <c r="K27" s="24" t="s">
        <v>215</v>
      </c>
      <c r="L27" s="24"/>
      <c r="M27" s="24"/>
      <c r="N27" s="24" t="s">
        <v>1142</v>
      </c>
      <c r="O27" s="24" t="s">
        <v>36</v>
      </c>
      <c r="P27" s="24" t="s">
        <v>217</v>
      </c>
      <c r="Q27" s="24" t="s">
        <v>28</v>
      </c>
      <c r="R27" s="24" t="s">
        <v>1143</v>
      </c>
      <c r="S27" s="24" t="s">
        <v>28</v>
      </c>
      <c r="T27" s="24" t="s">
        <v>1144</v>
      </c>
      <c r="U27" s="24"/>
      <c r="V27" s="24" t="s">
        <v>220</v>
      </c>
      <c r="W27" s="24"/>
      <c r="X27" s="24" t="s">
        <v>221</v>
      </c>
      <c r="Y27" s="24" t="s">
        <v>130</v>
      </c>
      <c r="Z27" s="24">
        <v>28255</v>
      </c>
      <c r="AA27" s="24" t="s">
        <v>222</v>
      </c>
      <c r="AB27" s="24" t="s">
        <v>1145</v>
      </c>
      <c r="AC27" s="24"/>
      <c r="AD27" s="24">
        <v>15</v>
      </c>
      <c r="AE27" s="24" t="s">
        <v>224</v>
      </c>
      <c r="AF27" s="24"/>
      <c r="AG27" s="24"/>
      <c r="AH27" s="24"/>
      <c r="AI27" s="24">
        <v>43876</v>
      </c>
      <c r="AJ27" s="24">
        <v>208.32</v>
      </c>
      <c r="AK27" s="24">
        <v>624.96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 t="s">
        <v>26</v>
      </c>
      <c r="BH27" s="24"/>
      <c r="BI27" s="24" t="s">
        <v>225</v>
      </c>
      <c r="BJ27" s="24"/>
      <c r="BK27" s="24" t="s">
        <v>31</v>
      </c>
      <c r="BL27" s="24" t="s">
        <v>238</v>
      </c>
      <c r="BM27" s="24" t="s">
        <v>227</v>
      </c>
      <c r="BN27" s="24">
        <v>43907.10613010417</v>
      </c>
      <c r="BO27" s="24"/>
      <c r="BP27" s="24"/>
      <c r="BQ27" s="24"/>
      <c r="BR27" s="24" t="s">
        <v>228</v>
      </c>
      <c r="BS27" s="24">
        <v>4.0316202017031598E+18</v>
      </c>
      <c r="BT27" s="24" t="s">
        <v>229</v>
      </c>
      <c r="BU27" s="24"/>
      <c r="BV27" s="24">
        <v>2020</v>
      </c>
      <c r="BW27" s="24" t="s">
        <v>230</v>
      </c>
      <c r="BX27" s="24"/>
      <c r="BY27" s="24">
        <v>4.03162020170319E+18</v>
      </c>
      <c r="BZ27" s="24" t="s">
        <v>1187</v>
      </c>
      <c r="CA27" s="24" t="s">
        <v>232</v>
      </c>
    </row>
    <row r="28" spans="1:79" x14ac:dyDescent="0.25">
      <c r="A28" s="24" t="s">
        <v>209</v>
      </c>
      <c r="B28" s="24" t="s">
        <v>210</v>
      </c>
      <c r="C28" s="24">
        <v>2020</v>
      </c>
      <c r="D28" s="24" t="s">
        <v>393</v>
      </c>
      <c r="E28" s="24">
        <v>2.0200316920383398E+17</v>
      </c>
      <c r="F28" s="24" t="s">
        <v>212</v>
      </c>
      <c r="G28" s="24" t="s">
        <v>1188</v>
      </c>
      <c r="H28" s="24">
        <v>1389788</v>
      </c>
      <c r="I28" s="24"/>
      <c r="J28" s="24" t="s">
        <v>214</v>
      </c>
      <c r="K28" s="24" t="s">
        <v>215</v>
      </c>
      <c r="L28" s="24"/>
      <c r="M28" s="24"/>
      <c r="N28" s="24" t="s">
        <v>1142</v>
      </c>
      <c r="O28" s="24" t="s">
        <v>36</v>
      </c>
      <c r="P28" s="24" t="s">
        <v>217</v>
      </c>
      <c r="Q28" s="24" t="s">
        <v>28</v>
      </c>
      <c r="R28" s="24" t="s">
        <v>1143</v>
      </c>
      <c r="S28" s="24" t="s">
        <v>28</v>
      </c>
      <c r="T28" s="24" t="s">
        <v>1144</v>
      </c>
      <c r="U28" s="24"/>
      <c r="V28" s="24" t="s">
        <v>220</v>
      </c>
      <c r="W28" s="24"/>
      <c r="X28" s="24" t="s">
        <v>221</v>
      </c>
      <c r="Y28" s="24" t="s">
        <v>130</v>
      </c>
      <c r="Z28" s="24">
        <v>28255</v>
      </c>
      <c r="AA28" s="24" t="s">
        <v>222</v>
      </c>
      <c r="AB28" s="24" t="s">
        <v>1145</v>
      </c>
      <c r="AC28" s="24"/>
      <c r="AD28" s="24">
        <v>15</v>
      </c>
      <c r="AE28" s="24" t="s">
        <v>224</v>
      </c>
      <c r="AF28" s="24"/>
      <c r="AG28" s="24"/>
      <c r="AH28" s="24"/>
      <c r="AI28" s="24">
        <v>43890</v>
      </c>
      <c r="AJ28" s="24">
        <v>208.32</v>
      </c>
      <c r="AK28" s="24">
        <v>833.28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 t="s">
        <v>26</v>
      </c>
      <c r="BH28" s="24"/>
      <c r="BI28" s="24" t="s">
        <v>225</v>
      </c>
      <c r="BJ28" s="24"/>
      <c r="BK28" s="24" t="s">
        <v>31</v>
      </c>
      <c r="BL28" s="24" t="s">
        <v>238</v>
      </c>
      <c r="BM28" s="24" t="s">
        <v>227</v>
      </c>
      <c r="BN28" s="24">
        <v>43907.10613010417</v>
      </c>
      <c r="BO28" s="24"/>
      <c r="BP28" s="24"/>
      <c r="BQ28" s="24"/>
      <c r="BR28" s="24" t="s">
        <v>228</v>
      </c>
      <c r="BS28" s="24">
        <v>4.0316202017031598E+18</v>
      </c>
      <c r="BT28" s="24" t="s">
        <v>229</v>
      </c>
      <c r="BU28" s="24"/>
      <c r="BV28" s="24">
        <v>2020</v>
      </c>
      <c r="BW28" s="24" t="s">
        <v>230</v>
      </c>
      <c r="BX28" s="24"/>
      <c r="BY28" s="24">
        <v>4.03162020170319E+18</v>
      </c>
      <c r="BZ28" s="24" t="s">
        <v>1187</v>
      </c>
      <c r="CA28" s="24" t="s">
        <v>232</v>
      </c>
    </row>
    <row r="29" spans="1:79" x14ac:dyDescent="0.25">
      <c r="A29" s="24" t="s">
        <v>209</v>
      </c>
      <c r="B29" s="24" t="s">
        <v>210</v>
      </c>
      <c r="C29" s="24">
        <v>2020</v>
      </c>
      <c r="D29" s="24" t="s">
        <v>274</v>
      </c>
      <c r="E29" s="24">
        <v>2.0200814926130499E+17</v>
      </c>
      <c r="F29" s="24" t="s">
        <v>212</v>
      </c>
      <c r="G29" s="24" t="s">
        <v>1189</v>
      </c>
      <c r="H29" s="24">
        <v>1432221</v>
      </c>
      <c r="I29" s="24"/>
      <c r="J29" s="24" t="s">
        <v>214</v>
      </c>
      <c r="K29" s="24" t="s">
        <v>215</v>
      </c>
      <c r="L29" s="24"/>
      <c r="M29" s="24"/>
      <c r="N29" s="24" t="s">
        <v>1142</v>
      </c>
      <c r="O29" s="24" t="s">
        <v>36</v>
      </c>
      <c r="P29" s="24" t="s">
        <v>217</v>
      </c>
      <c r="Q29" s="24" t="s">
        <v>28</v>
      </c>
      <c r="R29" s="24" t="s">
        <v>1143</v>
      </c>
      <c r="S29" s="24" t="s">
        <v>28</v>
      </c>
      <c r="T29" s="24" t="s">
        <v>1144</v>
      </c>
      <c r="U29" s="24"/>
      <c r="V29" s="24" t="s">
        <v>220</v>
      </c>
      <c r="W29" s="24"/>
      <c r="X29" s="24" t="s">
        <v>221</v>
      </c>
      <c r="Y29" s="24" t="s">
        <v>130</v>
      </c>
      <c r="Z29" s="24">
        <v>28255</v>
      </c>
      <c r="AA29" s="24" t="s">
        <v>222</v>
      </c>
      <c r="AB29" s="24" t="s">
        <v>1145</v>
      </c>
      <c r="AC29" s="24"/>
      <c r="AD29" s="24">
        <v>15</v>
      </c>
      <c r="AE29" s="24" t="s">
        <v>224</v>
      </c>
      <c r="AF29" s="24"/>
      <c r="AG29" s="24"/>
      <c r="AH29" s="24"/>
      <c r="AI29" s="24">
        <v>44043</v>
      </c>
      <c r="AJ29" s="24">
        <v>208.32</v>
      </c>
      <c r="AK29" s="24">
        <v>2916.48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 t="s">
        <v>26</v>
      </c>
      <c r="BH29" s="24"/>
      <c r="BI29" s="24" t="s">
        <v>225</v>
      </c>
      <c r="BJ29" s="24"/>
      <c r="BK29" s="24" t="s">
        <v>31</v>
      </c>
      <c r="BL29" s="24" t="s">
        <v>238</v>
      </c>
      <c r="BM29" s="24" t="s">
        <v>227</v>
      </c>
      <c r="BN29" s="24">
        <v>44069.158910081016</v>
      </c>
      <c r="BO29" s="24"/>
      <c r="BP29" s="24"/>
      <c r="BQ29" s="24"/>
      <c r="BR29" s="24" t="s">
        <v>228</v>
      </c>
      <c r="BS29" s="24">
        <v>4.08152020182882E+18</v>
      </c>
      <c r="BT29" s="24" t="s">
        <v>229</v>
      </c>
      <c r="BU29" s="24"/>
      <c r="BV29" s="24">
        <v>2020</v>
      </c>
      <c r="BW29" s="24" t="s">
        <v>230</v>
      </c>
      <c r="BX29" s="24"/>
      <c r="BY29" s="24">
        <v>4.0826202018309699E+18</v>
      </c>
      <c r="BZ29" s="24" t="s">
        <v>1190</v>
      </c>
      <c r="CA29" s="24" t="s">
        <v>232</v>
      </c>
    </row>
    <row r="30" spans="1:79" x14ac:dyDescent="0.25">
      <c r="A30" s="24" t="s">
        <v>209</v>
      </c>
      <c r="B30" s="24" t="s">
        <v>210</v>
      </c>
      <c r="C30" s="24">
        <v>2020</v>
      </c>
      <c r="D30" s="24" t="s">
        <v>563</v>
      </c>
      <c r="E30" s="24">
        <v>2.0200416921966202E+17</v>
      </c>
      <c r="F30" s="24" t="s">
        <v>212</v>
      </c>
      <c r="G30" s="24" t="s">
        <v>1191</v>
      </c>
      <c r="H30" s="24">
        <v>1401113</v>
      </c>
      <c r="I30" s="24"/>
      <c r="J30" s="24" t="s">
        <v>214</v>
      </c>
      <c r="K30" s="24" t="s">
        <v>215</v>
      </c>
      <c r="L30" s="24"/>
      <c r="M30" s="24"/>
      <c r="N30" s="24" t="s">
        <v>1142</v>
      </c>
      <c r="O30" s="24" t="s">
        <v>36</v>
      </c>
      <c r="P30" s="24" t="s">
        <v>217</v>
      </c>
      <c r="Q30" s="24" t="s">
        <v>28</v>
      </c>
      <c r="R30" s="24" t="s">
        <v>1143</v>
      </c>
      <c r="S30" s="24" t="s">
        <v>28</v>
      </c>
      <c r="T30" s="24" t="s">
        <v>1144</v>
      </c>
      <c r="U30" s="24"/>
      <c r="V30" s="24" t="s">
        <v>220</v>
      </c>
      <c r="W30" s="24"/>
      <c r="X30" s="24" t="s">
        <v>221</v>
      </c>
      <c r="Y30" s="24" t="s">
        <v>130</v>
      </c>
      <c r="Z30" s="24">
        <v>28255</v>
      </c>
      <c r="AA30" s="24" t="s">
        <v>222</v>
      </c>
      <c r="AB30" s="24" t="s">
        <v>1145</v>
      </c>
      <c r="AC30" s="24"/>
      <c r="AD30" s="24">
        <v>15</v>
      </c>
      <c r="AE30" s="24" t="s">
        <v>224</v>
      </c>
      <c r="AF30" s="24"/>
      <c r="AG30" s="24"/>
      <c r="AH30" s="24"/>
      <c r="AI30" s="24">
        <v>43905</v>
      </c>
      <c r="AJ30" s="24">
        <v>208.32</v>
      </c>
      <c r="AK30" s="24">
        <v>1041.5999999999999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 t="s">
        <v>26</v>
      </c>
      <c r="BH30" s="24"/>
      <c r="BI30" s="24" t="s">
        <v>225</v>
      </c>
      <c r="BJ30" s="24"/>
      <c r="BK30" s="24" t="s">
        <v>31</v>
      </c>
      <c r="BL30" s="24" t="s">
        <v>238</v>
      </c>
      <c r="BM30" s="24" t="s">
        <v>227</v>
      </c>
      <c r="BN30" s="24">
        <v>43939.068963796293</v>
      </c>
      <c r="BO30" s="24"/>
      <c r="BP30" s="24"/>
      <c r="BQ30" s="24"/>
      <c r="BR30" s="24" t="s">
        <v>228</v>
      </c>
      <c r="BS30" s="24">
        <v>4.0416202017369098E+18</v>
      </c>
      <c r="BT30" s="24" t="s">
        <v>229</v>
      </c>
      <c r="BU30" s="24"/>
      <c r="BV30" s="24">
        <v>2020</v>
      </c>
      <c r="BW30" s="24" t="s">
        <v>230</v>
      </c>
      <c r="BX30" s="24"/>
      <c r="BY30" s="24">
        <v>4.0417202017372498E+18</v>
      </c>
      <c r="BZ30" s="24" t="s">
        <v>1192</v>
      </c>
      <c r="CA30" s="24" t="s">
        <v>232</v>
      </c>
    </row>
    <row r="31" spans="1:79" x14ac:dyDescent="0.25">
      <c r="A31" s="24" t="s">
        <v>209</v>
      </c>
      <c r="B31" s="24" t="s">
        <v>210</v>
      </c>
      <c r="C31" s="24">
        <v>2020</v>
      </c>
      <c r="D31" s="24" t="s">
        <v>563</v>
      </c>
      <c r="E31" s="24">
        <v>2.0200416921966202E+17</v>
      </c>
      <c r="F31" s="24" t="s">
        <v>212</v>
      </c>
      <c r="G31" s="24" t="s">
        <v>1193</v>
      </c>
      <c r="H31" s="24">
        <v>1401113</v>
      </c>
      <c r="I31" s="24"/>
      <c r="J31" s="24" t="s">
        <v>214</v>
      </c>
      <c r="K31" s="24" t="s">
        <v>215</v>
      </c>
      <c r="L31" s="24"/>
      <c r="M31" s="24"/>
      <c r="N31" s="24" t="s">
        <v>1142</v>
      </c>
      <c r="O31" s="24" t="s">
        <v>36</v>
      </c>
      <c r="P31" s="24" t="s">
        <v>217</v>
      </c>
      <c r="Q31" s="24" t="s">
        <v>28</v>
      </c>
      <c r="R31" s="24" t="s">
        <v>1143</v>
      </c>
      <c r="S31" s="24" t="s">
        <v>28</v>
      </c>
      <c r="T31" s="24" t="s">
        <v>1144</v>
      </c>
      <c r="U31" s="24"/>
      <c r="V31" s="24" t="s">
        <v>220</v>
      </c>
      <c r="W31" s="24"/>
      <c r="X31" s="24" t="s">
        <v>221</v>
      </c>
      <c r="Y31" s="24" t="s">
        <v>130</v>
      </c>
      <c r="Z31" s="24">
        <v>28255</v>
      </c>
      <c r="AA31" s="24" t="s">
        <v>222</v>
      </c>
      <c r="AB31" s="24" t="s">
        <v>1145</v>
      </c>
      <c r="AC31" s="24"/>
      <c r="AD31" s="24">
        <v>15</v>
      </c>
      <c r="AE31" s="24" t="s">
        <v>224</v>
      </c>
      <c r="AF31" s="24"/>
      <c r="AG31" s="24"/>
      <c r="AH31" s="24"/>
      <c r="AI31" s="24">
        <v>43921</v>
      </c>
      <c r="AJ31" s="24">
        <v>208.32</v>
      </c>
      <c r="AK31" s="24">
        <v>1249.92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 t="s">
        <v>26</v>
      </c>
      <c r="BH31" s="24"/>
      <c r="BI31" s="24" t="s">
        <v>225</v>
      </c>
      <c r="BJ31" s="24"/>
      <c r="BK31" s="24" t="s">
        <v>31</v>
      </c>
      <c r="BL31" s="24" t="s">
        <v>238</v>
      </c>
      <c r="BM31" s="24" t="s">
        <v>227</v>
      </c>
      <c r="BN31" s="24">
        <v>43939.068963796293</v>
      </c>
      <c r="BO31" s="24"/>
      <c r="BP31" s="24"/>
      <c r="BQ31" s="24"/>
      <c r="BR31" s="24" t="s">
        <v>228</v>
      </c>
      <c r="BS31" s="24">
        <v>4.0416202017369098E+18</v>
      </c>
      <c r="BT31" s="24" t="s">
        <v>229</v>
      </c>
      <c r="BU31" s="24"/>
      <c r="BV31" s="24">
        <v>2020</v>
      </c>
      <c r="BW31" s="24" t="s">
        <v>230</v>
      </c>
      <c r="BX31" s="24"/>
      <c r="BY31" s="24">
        <v>4.0417202017372498E+18</v>
      </c>
      <c r="BZ31" s="24" t="s">
        <v>1192</v>
      </c>
      <c r="CA31" s="24" t="s">
        <v>232</v>
      </c>
    </row>
    <row r="32" spans="1:79" x14ac:dyDescent="0.25">
      <c r="A32" s="24" t="s">
        <v>209</v>
      </c>
      <c r="B32" s="24" t="s">
        <v>210</v>
      </c>
      <c r="C32" s="24">
        <v>2020</v>
      </c>
      <c r="D32" s="24" t="s">
        <v>274</v>
      </c>
      <c r="E32" s="24">
        <v>2.0200814926130499E+17</v>
      </c>
      <c r="F32" s="24" t="s">
        <v>212</v>
      </c>
      <c r="G32" s="24" t="s">
        <v>1194</v>
      </c>
      <c r="H32" s="24">
        <v>1432221</v>
      </c>
      <c r="I32" s="24"/>
      <c r="J32" s="24" t="s">
        <v>214</v>
      </c>
      <c r="K32" s="24" t="s">
        <v>215</v>
      </c>
      <c r="L32" s="24"/>
      <c r="M32" s="24"/>
      <c r="N32" s="24" t="s">
        <v>1142</v>
      </c>
      <c r="O32" s="24" t="s">
        <v>36</v>
      </c>
      <c r="P32" s="24" t="s">
        <v>217</v>
      </c>
      <c r="Q32" s="24" t="s">
        <v>28</v>
      </c>
      <c r="R32" s="24" t="s">
        <v>1143</v>
      </c>
      <c r="S32" s="24" t="s">
        <v>28</v>
      </c>
      <c r="T32" s="24" t="s">
        <v>1144</v>
      </c>
      <c r="U32" s="24"/>
      <c r="V32" s="24" t="s">
        <v>220</v>
      </c>
      <c r="W32" s="24"/>
      <c r="X32" s="24" t="s">
        <v>221</v>
      </c>
      <c r="Y32" s="24" t="s">
        <v>130</v>
      </c>
      <c r="Z32" s="24">
        <v>28255</v>
      </c>
      <c r="AA32" s="24" t="s">
        <v>222</v>
      </c>
      <c r="AB32" s="24" t="s">
        <v>1145</v>
      </c>
      <c r="AC32" s="24"/>
      <c r="AD32" s="24">
        <v>15</v>
      </c>
      <c r="AE32" s="24" t="s">
        <v>224</v>
      </c>
      <c r="AF32" s="24"/>
      <c r="AG32" s="24"/>
      <c r="AH32" s="24"/>
      <c r="AI32" s="24">
        <v>44027</v>
      </c>
      <c r="AJ32" s="24">
        <v>208.32</v>
      </c>
      <c r="AK32" s="24">
        <v>2708.16</v>
      </c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 t="s">
        <v>26</v>
      </c>
      <c r="BH32" s="24"/>
      <c r="BI32" s="24" t="s">
        <v>225</v>
      </c>
      <c r="BJ32" s="24"/>
      <c r="BK32" s="24" t="s">
        <v>31</v>
      </c>
      <c r="BL32" s="24" t="s">
        <v>238</v>
      </c>
      <c r="BM32" s="24" t="s">
        <v>227</v>
      </c>
      <c r="BN32" s="24">
        <v>44069.17637025463</v>
      </c>
      <c r="BO32" s="24"/>
      <c r="BP32" s="24"/>
      <c r="BQ32" s="24"/>
      <c r="BR32" s="24" t="s">
        <v>228</v>
      </c>
      <c r="BS32" s="24">
        <v>4.08152020182882E+18</v>
      </c>
      <c r="BT32" s="24" t="s">
        <v>229</v>
      </c>
      <c r="BU32" s="24"/>
      <c r="BV32" s="24">
        <v>2020</v>
      </c>
      <c r="BW32" s="24" t="s">
        <v>230</v>
      </c>
      <c r="BX32" s="24"/>
      <c r="BY32" s="24">
        <v>4.0826202018309699E+18</v>
      </c>
      <c r="BZ32" s="24" t="s">
        <v>1190</v>
      </c>
      <c r="CA32" s="24" t="s">
        <v>232</v>
      </c>
    </row>
    <row r="33" spans="1:79" x14ac:dyDescent="0.25">
      <c r="A33" s="24" t="s">
        <v>209</v>
      </c>
      <c r="B33" s="24" t="s">
        <v>210</v>
      </c>
      <c r="C33" s="24">
        <v>2020</v>
      </c>
      <c r="D33" s="24" t="s">
        <v>557</v>
      </c>
      <c r="E33" s="24">
        <v>2.0200515923275002E+17</v>
      </c>
      <c r="F33" s="24" t="s">
        <v>212</v>
      </c>
      <c r="G33" s="24" t="s">
        <v>1195</v>
      </c>
      <c r="H33" s="24">
        <v>1405926</v>
      </c>
      <c r="I33" s="24"/>
      <c r="J33" s="24" t="s">
        <v>214</v>
      </c>
      <c r="K33" s="24" t="s">
        <v>215</v>
      </c>
      <c r="L33" s="24"/>
      <c r="M33" s="24"/>
      <c r="N33" s="24" t="s">
        <v>1142</v>
      </c>
      <c r="O33" s="24" t="s">
        <v>36</v>
      </c>
      <c r="P33" s="24" t="s">
        <v>217</v>
      </c>
      <c r="Q33" s="24" t="s">
        <v>28</v>
      </c>
      <c r="R33" s="24" t="s">
        <v>1143</v>
      </c>
      <c r="S33" s="24" t="s">
        <v>28</v>
      </c>
      <c r="T33" s="24" t="s">
        <v>1144</v>
      </c>
      <c r="U33" s="24"/>
      <c r="V33" s="24" t="s">
        <v>220</v>
      </c>
      <c r="W33" s="24"/>
      <c r="X33" s="24" t="s">
        <v>221</v>
      </c>
      <c r="Y33" s="24" t="s">
        <v>130</v>
      </c>
      <c r="Z33" s="24">
        <v>28255</v>
      </c>
      <c r="AA33" s="24" t="s">
        <v>222</v>
      </c>
      <c r="AB33" s="24" t="s">
        <v>1145</v>
      </c>
      <c r="AC33" s="24"/>
      <c r="AD33" s="24">
        <v>15</v>
      </c>
      <c r="AE33" s="24" t="s">
        <v>224</v>
      </c>
      <c r="AF33" s="24"/>
      <c r="AG33" s="24"/>
      <c r="AH33" s="24"/>
      <c r="AI33" s="24">
        <v>43936</v>
      </c>
      <c r="AJ33" s="24">
        <v>208.32</v>
      </c>
      <c r="AK33" s="24">
        <v>1458.24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 t="s">
        <v>26</v>
      </c>
      <c r="BH33" s="24"/>
      <c r="BI33" s="24" t="s">
        <v>225</v>
      </c>
      <c r="BJ33" s="24"/>
      <c r="BK33" s="24" t="s">
        <v>31</v>
      </c>
      <c r="BL33" s="24" t="s">
        <v>238</v>
      </c>
      <c r="BM33" s="24" t="s">
        <v>227</v>
      </c>
      <c r="BN33" s="24">
        <v>43970.057451215274</v>
      </c>
      <c r="BO33" s="24"/>
      <c r="BP33" s="24"/>
      <c r="BQ33" s="24"/>
      <c r="BR33" s="24" t="s">
        <v>228</v>
      </c>
      <c r="BS33" s="24">
        <v>4.0516202017614397E+18</v>
      </c>
      <c r="BT33" s="24" t="s">
        <v>229</v>
      </c>
      <c r="BU33" s="24"/>
      <c r="BV33" s="24">
        <v>2020</v>
      </c>
      <c r="BW33" s="24" t="s">
        <v>230</v>
      </c>
      <c r="BX33" s="24"/>
      <c r="BY33" s="24">
        <v>4.0518202017615099E+18</v>
      </c>
      <c r="BZ33" s="24" t="s">
        <v>1196</v>
      </c>
      <c r="CA33" s="24" t="s">
        <v>232</v>
      </c>
    </row>
    <row r="34" spans="1:79" x14ac:dyDescent="0.25">
      <c r="A34" s="24" t="s">
        <v>209</v>
      </c>
      <c r="B34" s="24" t="s">
        <v>210</v>
      </c>
      <c r="C34" s="24">
        <v>2020</v>
      </c>
      <c r="D34" s="24" t="s">
        <v>557</v>
      </c>
      <c r="E34" s="24">
        <v>2.0200515923275002E+17</v>
      </c>
      <c r="F34" s="24" t="s">
        <v>212</v>
      </c>
      <c r="G34" s="24" t="s">
        <v>1197</v>
      </c>
      <c r="H34" s="24">
        <v>1405926</v>
      </c>
      <c r="I34" s="24"/>
      <c r="J34" s="24" t="s">
        <v>214</v>
      </c>
      <c r="K34" s="24" t="s">
        <v>215</v>
      </c>
      <c r="L34" s="24"/>
      <c r="M34" s="24"/>
      <c r="N34" s="24" t="s">
        <v>1142</v>
      </c>
      <c r="O34" s="24" t="s">
        <v>36</v>
      </c>
      <c r="P34" s="24" t="s">
        <v>217</v>
      </c>
      <c r="Q34" s="24" t="s">
        <v>28</v>
      </c>
      <c r="R34" s="24" t="s">
        <v>1143</v>
      </c>
      <c r="S34" s="24" t="s">
        <v>28</v>
      </c>
      <c r="T34" s="24" t="s">
        <v>1144</v>
      </c>
      <c r="U34" s="24"/>
      <c r="V34" s="24" t="s">
        <v>220</v>
      </c>
      <c r="W34" s="24"/>
      <c r="X34" s="24" t="s">
        <v>221</v>
      </c>
      <c r="Y34" s="24" t="s">
        <v>130</v>
      </c>
      <c r="Z34" s="24">
        <v>28255</v>
      </c>
      <c r="AA34" s="24" t="s">
        <v>222</v>
      </c>
      <c r="AB34" s="24" t="s">
        <v>1145</v>
      </c>
      <c r="AC34" s="24"/>
      <c r="AD34" s="24">
        <v>15</v>
      </c>
      <c r="AE34" s="24" t="s">
        <v>224</v>
      </c>
      <c r="AF34" s="24"/>
      <c r="AG34" s="24"/>
      <c r="AH34" s="24"/>
      <c r="AI34" s="24">
        <v>43951</v>
      </c>
      <c r="AJ34" s="24">
        <v>208.32</v>
      </c>
      <c r="AK34" s="24">
        <v>1666.56</v>
      </c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 t="s">
        <v>26</v>
      </c>
      <c r="BH34" s="24"/>
      <c r="BI34" s="24" t="s">
        <v>225</v>
      </c>
      <c r="BJ34" s="24"/>
      <c r="BK34" s="24" t="s">
        <v>31</v>
      </c>
      <c r="BL34" s="24" t="s">
        <v>238</v>
      </c>
      <c r="BM34" s="24" t="s">
        <v>227</v>
      </c>
      <c r="BN34" s="24">
        <v>43970.057451215274</v>
      </c>
      <c r="BO34" s="24"/>
      <c r="BP34" s="24"/>
      <c r="BQ34" s="24"/>
      <c r="BR34" s="24" t="s">
        <v>228</v>
      </c>
      <c r="BS34" s="24">
        <v>4.0516202017614397E+18</v>
      </c>
      <c r="BT34" s="24" t="s">
        <v>229</v>
      </c>
      <c r="BU34" s="24"/>
      <c r="BV34" s="24">
        <v>2020</v>
      </c>
      <c r="BW34" s="24" t="s">
        <v>230</v>
      </c>
      <c r="BX34" s="24"/>
      <c r="BY34" s="24">
        <v>4.0518202017615099E+18</v>
      </c>
      <c r="BZ34" s="24" t="s">
        <v>1198</v>
      </c>
      <c r="CA34" s="24" t="s">
        <v>232</v>
      </c>
    </row>
    <row r="35" spans="1:79" x14ac:dyDescent="0.25">
      <c r="A35" s="24" t="s">
        <v>209</v>
      </c>
      <c r="B35" s="24" t="s">
        <v>210</v>
      </c>
      <c r="C35" s="24">
        <v>2020</v>
      </c>
      <c r="D35" s="24" t="s">
        <v>211</v>
      </c>
      <c r="E35" s="24">
        <v>2.0200615923978202E+17</v>
      </c>
      <c r="F35" s="24" t="s">
        <v>212</v>
      </c>
      <c r="G35" s="24" t="s">
        <v>1199</v>
      </c>
      <c r="H35" s="24">
        <v>1411779</v>
      </c>
      <c r="I35" s="24"/>
      <c r="J35" s="24" t="s">
        <v>214</v>
      </c>
      <c r="K35" s="24" t="s">
        <v>215</v>
      </c>
      <c r="L35" s="24"/>
      <c r="M35" s="24"/>
      <c r="N35" s="24" t="s">
        <v>1142</v>
      </c>
      <c r="O35" s="24" t="s">
        <v>36</v>
      </c>
      <c r="P35" s="24" t="s">
        <v>217</v>
      </c>
      <c r="Q35" s="24" t="s">
        <v>28</v>
      </c>
      <c r="R35" s="24" t="s">
        <v>1143</v>
      </c>
      <c r="S35" s="24" t="s">
        <v>28</v>
      </c>
      <c r="T35" s="24" t="s">
        <v>1144</v>
      </c>
      <c r="U35" s="24"/>
      <c r="V35" s="24" t="s">
        <v>220</v>
      </c>
      <c r="W35" s="24"/>
      <c r="X35" s="24" t="s">
        <v>221</v>
      </c>
      <c r="Y35" s="24" t="s">
        <v>130</v>
      </c>
      <c r="Z35" s="24">
        <v>28255</v>
      </c>
      <c r="AA35" s="24" t="s">
        <v>222</v>
      </c>
      <c r="AB35" s="24" t="s">
        <v>1145</v>
      </c>
      <c r="AC35" s="24"/>
      <c r="AD35" s="24">
        <v>15</v>
      </c>
      <c r="AE35" s="24" t="s">
        <v>224</v>
      </c>
      <c r="AF35" s="24"/>
      <c r="AG35" s="24"/>
      <c r="AH35" s="24"/>
      <c r="AI35" s="24">
        <v>43982</v>
      </c>
      <c r="AJ35" s="24">
        <v>208.32</v>
      </c>
      <c r="AK35" s="24">
        <v>2083.1999999999998</v>
      </c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 t="s">
        <v>26</v>
      </c>
      <c r="BH35" s="24"/>
      <c r="BI35" s="24" t="s">
        <v>225</v>
      </c>
      <c r="BJ35" s="24"/>
      <c r="BK35" s="24" t="s">
        <v>31</v>
      </c>
      <c r="BL35" s="24" t="s">
        <v>238</v>
      </c>
      <c r="BM35" s="24" t="s">
        <v>227</v>
      </c>
      <c r="BN35" s="24">
        <v>43998.068666909719</v>
      </c>
      <c r="BO35" s="24"/>
      <c r="BP35" s="24"/>
      <c r="BQ35" s="24"/>
      <c r="BR35" s="24" t="s">
        <v>228</v>
      </c>
      <c r="BS35" s="24">
        <v>4.0615202017748398E+18</v>
      </c>
      <c r="BT35" s="24" t="s">
        <v>229</v>
      </c>
      <c r="BU35" s="24"/>
      <c r="BV35" s="24">
        <v>2020</v>
      </c>
      <c r="BW35" s="24" t="s">
        <v>230</v>
      </c>
      <c r="BX35" s="24"/>
      <c r="BY35" s="24">
        <v>4.0615202017749299E+18</v>
      </c>
      <c r="BZ35" s="24" t="s">
        <v>1200</v>
      </c>
      <c r="CA35" s="24" t="s">
        <v>232</v>
      </c>
    </row>
    <row r="36" spans="1:79" x14ac:dyDescent="0.25">
      <c r="A36" s="24" t="s">
        <v>209</v>
      </c>
      <c r="B36" s="24" t="s">
        <v>210</v>
      </c>
      <c r="C36" s="24">
        <v>2020</v>
      </c>
      <c r="D36" s="24" t="s">
        <v>211</v>
      </c>
      <c r="E36" s="24">
        <v>2.0200615923978202E+17</v>
      </c>
      <c r="F36" s="24" t="s">
        <v>212</v>
      </c>
      <c r="G36" s="24" t="s">
        <v>1201</v>
      </c>
      <c r="H36" s="24">
        <v>1411779</v>
      </c>
      <c r="I36" s="24"/>
      <c r="J36" s="24" t="s">
        <v>214</v>
      </c>
      <c r="K36" s="24" t="s">
        <v>215</v>
      </c>
      <c r="L36" s="24"/>
      <c r="M36" s="24"/>
      <c r="N36" s="24" t="s">
        <v>1142</v>
      </c>
      <c r="O36" s="24" t="s">
        <v>36</v>
      </c>
      <c r="P36" s="24" t="s">
        <v>217</v>
      </c>
      <c r="Q36" s="24" t="s">
        <v>28</v>
      </c>
      <c r="R36" s="24" t="s">
        <v>1143</v>
      </c>
      <c r="S36" s="24" t="s">
        <v>28</v>
      </c>
      <c r="T36" s="24" t="s">
        <v>1144</v>
      </c>
      <c r="U36" s="24"/>
      <c r="V36" s="24" t="s">
        <v>220</v>
      </c>
      <c r="W36" s="24"/>
      <c r="X36" s="24" t="s">
        <v>221</v>
      </c>
      <c r="Y36" s="24" t="s">
        <v>130</v>
      </c>
      <c r="Z36" s="24">
        <v>28255</v>
      </c>
      <c r="AA36" s="24" t="s">
        <v>222</v>
      </c>
      <c r="AB36" s="24" t="s">
        <v>1145</v>
      </c>
      <c r="AC36" s="24"/>
      <c r="AD36" s="24">
        <v>15</v>
      </c>
      <c r="AE36" s="24" t="s">
        <v>224</v>
      </c>
      <c r="AF36" s="24"/>
      <c r="AG36" s="24"/>
      <c r="AH36" s="24"/>
      <c r="AI36" s="24">
        <v>43966</v>
      </c>
      <c r="AJ36" s="24">
        <v>208.32</v>
      </c>
      <c r="AK36" s="24">
        <v>1874.88</v>
      </c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 t="s">
        <v>26</v>
      </c>
      <c r="BH36" s="24"/>
      <c r="BI36" s="24" t="s">
        <v>225</v>
      </c>
      <c r="BJ36" s="24"/>
      <c r="BK36" s="24" t="s">
        <v>31</v>
      </c>
      <c r="BL36" s="24" t="s">
        <v>238</v>
      </c>
      <c r="BM36" s="24" t="s">
        <v>227</v>
      </c>
      <c r="BN36" s="24">
        <v>43998.068666909719</v>
      </c>
      <c r="BO36" s="24"/>
      <c r="BP36" s="24"/>
      <c r="BQ36" s="24"/>
      <c r="BR36" s="24" t="s">
        <v>228</v>
      </c>
      <c r="BS36" s="24">
        <v>4.0615202017748398E+18</v>
      </c>
      <c r="BT36" s="24" t="s">
        <v>229</v>
      </c>
      <c r="BU36" s="24"/>
      <c r="BV36" s="24">
        <v>2020</v>
      </c>
      <c r="BW36" s="24" t="s">
        <v>230</v>
      </c>
      <c r="BX36" s="24"/>
      <c r="BY36" s="24">
        <v>4.0615202017749299E+18</v>
      </c>
      <c r="BZ36" s="24" t="s">
        <v>1200</v>
      </c>
      <c r="CA36" s="24" t="s">
        <v>232</v>
      </c>
    </row>
    <row r="37" spans="1:79" x14ac:dyDescent="0.25">
      <c r="A37" s="24" t="s">
        <v>209</v>
      </c>
      <c r="B37" s="24" t="s">
        <v>210</v>
      </c>
      <c r="C37" s="24">
        <v>2020</v>
      </c>
      <c r="D37" s="24" t="s">
        <v>371</v>
      </c>
      <c r="E37" s="24">
        <v>2.0201202933741501E+17</v>
      </c>
      <c r="F37" s="24" t="s">
        <v>212</v>
      </c>
      <c r="G37" s="24" t="s">
        <v>1202</v>
      </c>
      <c r="H37" s="24">
        <v>1476126</v>
      </c>
      <c r="I37" s="24"/>
      <c r="J37" s="24" t="s">
        <v>214</v>
      </c>
      <c r="K37" s="24" t="s">
        <v>215</v>
      </c>
      <c r="L37" s="24"/>
      <c r="M37" s="24"/>
      <c r="N37" s="24" t="s">
        <v>1142</v>
      </c>
      <c r="O37" s="24" t="s">
        <v>36</v>
      </c>
      <c r="P37" s="24" t="s">
        <v>217</v>
      </c>
      <c r="Q37" s="24" t="s">
        <v>28</v>
      </c>
      <c r="R37" s="24" t="s">
        <v>1143</v>
      </c>
      <c r="S37" s="24" t="s">
        <v>28</v>
      </c>
      <c r="T37" s="24" t="s">
        <v>1144</v>
      </c>
      <c r="U37" s="24"/>
      <c r="V37" s="24" t="s">
        <v>220</v>
      </c>
      <c r="W37" s="24"/>
      <c r="X37" s="24" t="s">
        <v>221</v>
      </c>
      <c r="Y37" s="24" t="s">
        <v>130</v>
      </c>
      <c r="Z37" s="24">
        <v>28255</v>
      </c>
      <c r="AA37" s="24" t="s">
        <v>222</v>
      </c>
      <c r="AB37" s="24" t="s">
        <v>1145</v>
      </c>
      <c r="AC37" s="24"/>
      <c r="AD37" s="24">
        <v>15</v>
      </c>
      <c r="AE37" s="24" t="s">
        <v>224</v>
      </c>
      <c r="AF37" s="24"/>
      <c r="AG37" s="24"/>
      <c r="AH37" s="24"/>
      <c r="AI37" s="24">
        <v>44119</v>
      </c>
      <c r="AJ37" s="24">
        <v>208.32</v>
      </c>
      <c r="AK37" s="24">
        <v>3958.08</v>
      </c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 t="s">
        <v>26</v>
      </c>
      <c r="BH37" s="24"/>
      <c r="BI37" s="24" t="s">
        <v>225</v>
      </c>
      <c r="BJ37" s="24"/>
      <c r="BK37" s="24" t="s">
        <v>31</v>
      </c>
      <c r="BL37" s="24" t="s">
        <v>238</v>
      </c>
      <c r="BM37" s="24" t="s">
        <v>227</v>
      </c>
      <c r="BN37" s="24">
        <v>44183.157490752317</v>
      </c>
      <c r="BO37" s="24"/>
      <c r="BP37" s="24"/>
      <c r="BQ37" s="24"/>
      <c r="BR37" s="24" t="s">
        <v>228</v>
      </c>
      <c r="BS37" s="24">
        <v>4.1203202019631401E+18</v>
      </c>
      <c r="BT37" s="24" t="s">
        <v>229</v>
      </c>
      <c r="BU37" s="24"/>
      <c r="BV37" s="24">
        <v>2020</v>
      </c>
      <c r="BW37" s="24" t="s">
        <v>230</v>
      </c>
      <c r="BX37" s="24"/>
      <c r="BY37" s="24">
        <v>4.1218202019773701E+18</v>
      </c>
      <c r="BZ37" s="24" t="s">
        <v>1203</v>
      </c>
      <c r="CA37" s="24" t="s">
        <v>232</v>
      </c>
    </row>
    <row r="38" spans="1:79" x14ac:dyDescent="0.25">
      <c r="A38" s="24" t="s">
        <v>209</v>
      </c>
      <c r="B38" s="24" t="s">
        <v>210</v>
      </c>
      <c r="C38" s="24">
        <v>2020</v>
      </c>
      <c r="D38" s="24" t="s">
        <v>371</v>
      </c>
      <c r="E38" s="24">
        <v>2.0201202933741501E+17</v>
      </c>
      <c r="F38" s="24" t="s">
        <v>212</v>
      </c>
      <c r="G38" s="24" t="s">
        <v>1204</v>
      </c>
      <c r="H38" s="24">
        <v>1476126</v>
      </c>
      <c r="I38" s="24"/>
      <c r="J38" s="24" t="s">
        <v>214</v>
      </c>
      <c r="K38" s="24" t="s">
        <v>215</v>
      </c>
      <c r="L38" s="24"/>
      <c r="M38" s="24"/>
      <c r="N38" s="24" t="s">
        <v>1142</v>
      </c>
      <c r="O38" s="24" t="s">
        <v>36</v>
      </c>
      <c r="P38" s="24" t="s">
        <v>217</v>
      </c>
      <c r="Q38" s="24" t="s">
        <v>28</v>
      </c>
      <c r="R38" s="24" t="s">
        <v>1143</v>
      </c>
      <c r="S38" s="24" t="s">
        <v>28</v>
      </c>
      <c r="T38" s="24" t="s">
        <v>1144</v>
      </c>
      <c r="U38" s="24"/>
      <c r="V38" s="24" t="s">
        <v>220</v>
      </c>
      <c r="W38" s="24"/>
      <c r="X38" s="24" t="s">
        <v>221</v>
      </c>
      <c r="Y38" s="24" t="s">
        <v>130</v>
      </c>
      <c r="Z38" s="24">
        <v>28255</v>
      </c>
      <c r="AA38" s="24" t="s">
        <v>222</v>
      </c>
      <c r="AB38" s="24" t="s">
        <v>1145</v>
      </c>
      <c r="AC38" s="24"/>
      <c r="AD38" s="24">
        <v>15</v>
      </c>
      <c r="AE38" s="24" t="s">
        <v>224</v>
      </c>
      <c r="AF38" s="24"/>
      <c r="AG38" s="24"/>
      <c r="AH38" s="24"/>
      <c r="AI38" s="24">
        <v>44135</v>
      </c>
      <c r="AJ38" s="24">
        <v>208.32</v>
      </c>
      <c r="AK38" s="24">
        <v>4166.3999999999996</v>
      </c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 t="s">
        <v>26</v>
      </c>
      <c r="BH38" s="24"/>
      <c r="BI38" s="24" t="s">
        <v>225</v>
      </c>
      <c r="BJ38" s="24"/>
      <c r="BK38" s="24" t="s">
        <v>31</v>
      </c>
      <c r="BL38" s="24" t="s">
        <v>238</v>
      </c>
      <c r="BM38" s="24" t="s">
        <v>227</v>
      </c>
      <c r="BN38" s="24">
        <v>44183.157490752317</v>
      </c>
      <c r="BO38" s="24"/>
      <c r="BP38" s="24"/>
      <c r="BQ38" s="24"/>
      <c r="BR38" s="24" t="s">
        <v>228</v>
      </c>
      <c r="BS38" s="24">
        <v>4.1203202019631401E+18</v>
      </c>
      <c r="BT38" s="24" t="s">
        <v>229</v>
      </c>
      <c r="BU38" s="24"/>
      <c r="BV38" s="24">
        <v>2020</v>
      </c>
      <c r="BW38" s="24" t="s">
        <v>230</v>
      </c>
      <c r="BX38" s="24"/>
      <c r="BY38" s="24">
        <v>4.1218202019773701E+18</v>
      </c>
      <c r="BZ38" s="24" t="s">
        <v>1203</v>
      </c>
      <c r="CA38" s="24" t="s">
        <v>232</v>
      </c>
    </row>
    <row r="39" spans="1:79" x14ac:dyDescent="0.25">
      <c r="A39" s="24" t="s">
        <v>209</v>
      </c>
      <c r="B39" s="24" t="s">
        <v>210</v>
      </c>
      <c r="C39" s="24">
        <v>2020</v>
      </c>
      <c r="D39" s="24" t="s">
        <v>371</v>
      </c>
      <c r="E39" s="24">
        <v>2.0201202933741501E+17</v>
      </c>
      <c r="F39" s="24" t="s">
        <v>212</v>
      </c>
      <c r="G39" s="24" t="s">
        <v>1205</v>
      </c>
      <c r="H39" s="24">
        <v>1476126</v>
      </c>
      <c r="I39" s="24"/>
      <c r="J39" s="24" t="s">
        <v>214</v>
      </c>
      <c r="K39" s="24" t="s">
        <v>215</v>
      </c>
      <c r="L39" s="24"/>
      <c r="M39" s="24"/>
      <c r="N39" s="24" t="s">
        <v>1142</v>
      </c>
      <c r="O39" s="24" t="s">
        <v>36</v>
      </c>
      <c r="P39" s="24" t="s">
        <v>217</v>
      </c>
      <c r="Q39" s="24" t="s">
        <v>28</v>
      </c>
      <c r="R39" s="24" t="s">
        <v>1143</v>
      </c>
      <c r="S39" s="24" t="s">
        <v>28</v>
      </c>
      <c r="T39" s="24" t="s">
        <v>1144</v>
      </c>
      <c r="U39" s="24"/>
      <c r="V39" s="24" t="s">
        <v>220</v>
      </c>
      <c r="W39" s="24"/>
      <c r="X39" s="24" t="s">
        <v>221</v>
      </c>
      <c r="Y39" s="24" t="s">
        <v>130</v>
      </c>
      <c r="Z39" s="24">
        <v>28255</v>
      </c>
      <c r="AA39" s="24" t="s">
        <v>222</v>
      </c>
      <c r="AB39" s="24" t="s">
        <v>1145</v>
      </c>
      <c r="AC39" s="24"/>
      <c r="AD39" s="24">
        <v>15</v>
      </c>
      <c r="AE39" s="24" t="s">
        <v>224</v>
      </c>
      <c r="AF39" s="24"/>
      <c r="AG39" s="24"/>
      <c r="AH39" s="24"/>
      <c r="AI39" s="24">
        <v>44150</v>
      </c>
      <c r="AJ39" s="24">
        <v>208.32</v>
      </c>
      <c r="AK39" s="24">
        <v>4374.72</v>
      </c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 t="s">
        <v>26</v>
      </c>
      <c r="BH39" s="24"/>
      <c r="BI39" s="24" t="s">
        <v>225</v>
      </c>
      <c r="BJ39" s="24"/>
      <c r="BK39" s="24" t="s">
        <v>31</v>
      </c>
      <c r="BL39" s="24" t="s">
        <v>238</v>
      </c>
      <c r="BM39" s="24" t="s">
        <v>227</v>
      </c>
      <c r="BN39" s="24">
        <v>44183.157490752317</v>
      </c>
      <c r="BO39" s="24"/>
      <c r="BP39" s="24"/>
      <c r="BQ39" s="24"/>
      <c r="BR39" s="24" t="s">
        <v>228</v>
      </c>
      <c r="BS39" s="24">
        <v>4.1203202019631401E+18</v>
      </c>
      <c r="BT39" s="24" t="s">
        <v>229</v>
      </c>
      <c r="BU39" s="24"/>
      <c r="BV39" s="24">
        <v>2020</v>
      </c>
      <c r="BW39" s="24" t="s">
        <v>230</v>
      </c>
      <c r="BX39" s="24"/>
      <c r="BY39" s="24">
        <v>4.1218202019773701E+18</v>
      </c>
      <c r="BZ39" s="24" t="s">
        <v>1206</v>
      </c>
      <c r="CA39" s="24" t="s">
        <v>232</v>
      </c>
    </row>
    <row r="40" spans="1:79" x14ac:dyDescent="0.25">
      <c r="A40" s="24" t="s">
        <v>209</v>
      </c>
      <c r="B40" s="24" t="s">
        <v>210</v>
      </c>
      <c r="C40" s="24">
        <v>2020</v>
      </c>
      <c r="D40" s="24" t="s">
        <v>252</v>
      </c>
      <c r="E40" s="24">
        <v>2.0200720926010598E+17</v>
      </c>
      <c r="F40" s="24" t="s">
        <v>212</v>
      </c>
      <c r="G40" s="24" t="s">
        <v>1207</v>
      </c>
      <c r="H40" s="24">
        <v>1427301</v>
      </c>
      <c r="I40" s="24"/>
      <c r="J40" s="24" t="s">
        <v>214</v>
      </c>
      <c r="K40" s="24" t="s">
        <v>215</v>
      </c>
      <c r="L40" s="24"/>
      <c r="M40" s="24"/>
      <c r="N40" s="24" t="s">
        <v>1142</v>
      </c>
      <c r="O40" s="24" t="s">
        <v>36</v>
      </c>
      <c r="P40" s="24" t="s">
        <v>217</v>
      </c>
      <c r="Q40" s="24" t="s">
        <v>28</v>
      </c>
      <c r="R40" s="24" t="s">
        <v>1143</v>
      </c>
      <c r="S40" s="24" t="s">
        <v>28</v>
      </c>
      <c r="T40" s="24" t="s">
        <v>1144</v>
      </c>
      <c r="U40" s="24"/>
      <c r="V40" s="24" t="s">
        <v>220</v>
      </c>
      <c r="W40" s="24"/>
      <c r="X40" s="24" t="s">
        <v>221</v>
      </c>
      <c r="Y40" s="24" t="s">
        <v>130</v>
      </c>
      <c r="Z40" s="24">
        <v>28255</v>
      </c>
      <c r="AA40" s="24" t="s">
        <v>222</v>
      </c>
      <c r="AB40" s="24" t="s">
        <v>1145</v>
      </c>
      <c r="AC40" s="24"/>
      <c r="AD40" s="24">
        <v>15</v>
      </c>
      <c r="AE40" s="24" t="s">
        <v>224</v>
      </c>
      <c r="AF40" s="24"/>
      <c r="AG40" s="24"/>
      <c r="AH40" s="24"/>
      <c r="AI40" s="24">
        <v>43997</v>
      </c>
      <c r="AJ40" s="24">
        <v>208.32</v>
      </c>
      <c r="AK40" s="24">
        <v>2291.52</v>
      </c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 t="s">
        <v>26</v>
      </c>
      <c r="BH40" s="24"/>
      <c r="BI40" s="24" t="s">
        <v>225</v>
      </c>
      <c r="BJ40" s="24"/>
      <c r="BK40" s="24" t="s">
        <v>31</v>
      </c>
      <c r="BL40" s="24" t="s">
        <v>238</v>
      </c>
      <c r="BM40" s="24" t="s">
        <v>227</v>
      </c>
      <c r="BN40" s="24">
        <v>44043.159373912036</v>
      </c>
      <c r="BO40" s="24"/>
      <c r="BP40" s="24"/>
      <c r="BQ40" s="24"/>
      <c r="BR40" s="24" t="s">
        <v>228</v>
      </c>
      <c r="BS40" s="24">
        <v>4.0720202017911798E+18</v>
      </c>
      <c r="BT40" s="24" t="s">
        <v>229</v>
      </c>
      <c r="BU40" s="24"/>
      <c r="BV40" s="24">
        <v>2020</v>
      </c>
      <c r="BW40" s="24" t="s">
        <v>230</v>
      </c>
      <c r="BX40" s="24"/>
      <c r="BY40" s="24">
        <v>4.0731202018102001E+18</v>
      </c>
      <c r="BZ40" s="24" t="s">
        <v>1208</v>
      </c>
      <c r="CA40" s="24" t="s">
        <v>232</v>
      </c>
    </row>
    <row r="41" spans="1:79" x14ac:dyDescent="0.25">
      <c r="A41" s="24" t="s">
        <v>209</v>
      </c>
      <c r="B41" s="24" t="s">
        <v>210</v>
      </c>
      <c r="C41" s="24">
        <v>2020</v>
      </c>
      <c r="D41" s="24" t="s">
        <v>252</v>
      </c>
      <c r="E41" s="24">
        <v>2.0200720926010598E+17</v>
      </c>
      <c r="F41" s="24" t="s">
        <v>212</v>
      </c>
      <c r="G41" s="24" t="s">
        <v>1209</v>
      </c>
      <c r="H41" s="24">
        <v>1427301</v>
      </c>
      <c r="I41" s="24"/>
      <c r="J41" s="24" t="s">
        <v>214</v>
      </c>
      <c r="K41" s="24" t="s">
        <v>215</v>
      </c>
      <c r="L41" s="24"/>
      <c r="M41" s="24"/>
      <c r="N41" s="24" t="s">
        <v>1142</v>
      </c>
      <c r="O41" s="24" t="s">
        <v>36</v>
      </c>
      <c r="P41" s="24" t="s">
        <v>217</v>
      </c>
      <c r="Q41" s="24" t="s">
        <v>28</v>
      </c>
      <c r="R41" s="24" t="s">
        <v>1143</v>
      </c>
      <c r="S41" s="24" t="s">
        <v>28</v>
      </c>
      <c r="T41" s="24" t="s">
        <v>1144</v>
      </c>
      <c r="U41" s="24"/>
      <c r="V41" s="24" t="s">
        <v>220</v>
      </c>
      <c r="W41" s="24"/>
      <c r="X41" s="24" t="s">
        <v>221</v>
      </c>
      <c r="Y41" s="24" t="s">
        <v>130</v>
      </c>
      <c r="Z41" s="24">
        <v>28255</v>
      </c>
      <c r="AA41" s="24" t="s">
        <v>222</v>
      </c>
      <c r="AB41" s="24" t="s">
        <v>1145</v>
      </c>
      <c r="AC41" s="24"/>
      <c r="AD41" s="24">
        <v>15</v>
      </c>
      <c r="AE41" s="24" t="s">
        <v>224</v>
      </c>
      <c r="AF41" s="24"/>
      <c r="AG41" s="24"/>
      <c r="AH41" s="24"/>
      <c r="AI41" s="24">
        <v>44012</v>
      </c>
      <c r="AJ41" s="24">
        <v>208.32</v>
      </c>
      <c r="AK41" s="24">
        <v>2499.84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 t="s">
        <v>26</v>
      </c>
      <c r="BH41" s="24"/>
      <c r="BI41" s="24" t="s">
        <v>225</v>
      </c>
      <c r="BJ41" s="24"/>
      <c r="BK41" s="24" t="s">
        <v>31</v>
      </c>
      <c r="BL41" s="24" t="s">
        <v>238</v>
      </c>
      <c r="BM41" s="24" t="s">
        <v>227</v>
      </c>
      <c r="BN41" s="24">
        <v>44043.159373923612</v>
      </c>
      <c r="BO41" s="24"/>
      <c r="BP41" s="24"/>
      <c r="BQ41" s="24"/>
      <c r="BR41" s="24" t="s">
        <v>228</v>
      </c>
      <c r="BS41" s="24">
        <v>4.0720202017911798E+18</v>
      </c>
      <c r="BT41" s="24" t="s">
        <v>229</v>
      </c>
      <c r="BU41" s="24"/>
      <c r="BV41" s="24">
        <v>2020</v>
      </c>
      <c r="BW41" s="24" t="s">
        <v>230</v>
      </c>
      <c r="BX41" s="24"/>
      <c r="BY41" s="24">
        <v>4.0731202018102001E+18</v>
      </c>
      <c r="BZ41" s="24" t="s">
        <v>1208</v>
      </c>
      <c r="CA41" s="24" t="s">
        <v>232</v>
      </c>
    </row>
    <row r="42" spans="1:79" x14ac:dyDescent="0.25">
      <c r="A42" s="24" t="s">
        <v>209</v>
      </c>
      <c r="B42" s="24" t="s">
        <v>210</v>
      </c>
      <c r="C42" s="24">
        <v>2020</v>
      </c>
      <c r="D42" s="24" t="s">
        <v>389</v>
      </c>
      <c r="E42" s="24">
        <v>2.02009179267228E+17</v>
      </c>
      <c r="F42" s="24" t="s">
        <v>212</v>
      </c>
      <c r="G42" s="24" t="s">
        <v>1210</v>
      </c>
      <c r="H42" s="24">
        <v>1438708</v>
      </c>
      <c r="I42" s="24"/>
      <c r="J42" s="24" t="s">
        <v>214</v>
      </c>
      <c r="K42" s="24" t="s">
        <v>215</v>
      </c>
      <c r="L42" s="24"/>
      <c r="M42" s="24"/>
      <c r="N42" s="24" t="s">
        <v>1142</v>
      </c>
      <c r="O42" s="24" t="s">
        <v>36</v>
      </c>
      <c r="P42" s="24" t="s">
        <v>217</v>
      </c>
      <c r="Q42" s="24" t="s">
        <v>28</v>
      </c>
      <c r="R42" s="24" t="s">
        <v>1143</v>
      </c>
      <c r="S42" s="24" t="s">
        <v>28</v>
      </c>
      <c r="T42" s="24" t="s">
        <v>1144</v>
      </c>
      <c r="U42" s="24"/>
      <c r="V42" s="24" t="s">
        <v>220</v>
      </c>
      <c r="W42" s="24"/>
      <c r="X42" s="24" t="s">
        <v>221</v>
      </c>
      <c r="Y42" s="24" t="s">
        <v>130</v>
      </c>
      <c r="Z42" s="24">
        <v>28255</v>
      </c>
      <c r="AA42" s="24" t="s">
        <v>222</v>
      </c>
      <c r="AB42" s="24" t="s">
        <v>1145</v>
      </c>
      <c r="AC42" s="24"/>
      <c r="AD42" s="24">
        <v>15</v>
      </c>
      <c r="AE42" s="24" t="s">
        <v>224</v>
      </c>
      <c r="AF42" s="24"/>
      <c r="AG42" s="24"/>
      <c r="AH42" s="24"/>
      <c r="AI42" s="24">
        <v>44058</v>
      </c>
      <c r="AJ42" s="24">
        <v>208.32</v>
      </c>
      <c r="AK42" s="24">
        <v>3124.8</v>
      </c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 t="s">
        <v>26</v>
      </c>
      <c r="BH42" s="24"/>
      <c r="BI42" s="24" t="s">
        <v>225</v>
      </c>
      <c r="BJ42" s="24"/>
      <c r="BK42" s="24" t="s">
        <v>31</v>
      </c>
      <c r="BL42" s="24" t="s">
        <v>238</v>
      </c>
      <c r="BM42" s="24" t="s">
        <v>227</v>
      </c>
      <c r="BN42" s="24">
        <v>44093.150760706019</v>
      </c>
      <c r="BO42" s="24"/>
      <c r="BP42" s="24"/>
      <c r="BQ42" s="24"/>
      <c r="BR42" s="24" t="s">
        <v>228</v>
      </c>
      <c r="BS42" s="24">
        <v>4.0918202018489201E+18</v>
      </c>
      <c r="BT42" s="24" t="s">
        <v>229</v>
      </c>
      <c r="BU42" s="24"/>
      <c r="BV42" s="24">
        <v>2020</v>
      </c>
      <c r="BW42" s="24" t="s">
        <v>230</v>
      </c>
      <c r="BX42" s="24"/>
      <c r="BY42" s="24">
        <v>4.0919202018490701E+18</v>
      </c>
      <c r="BZ42" s="24" t="s">
        <v>1211</v>
      </c>
      <c r="CA42" s="24" t="s">
        <v>232</v>
      </c>
    </row>
    <row r="43" spans="1:79" x14ac:dyDescent="0.25">
      <c r="A43" s="24" t="s">
        <v>209</v>
      </c>
      <c r="B43" s="24" t="s">
        <v>210</v>
      </c>
      <c r="C43" s="24">
        <v>2020</v>
      </c>
      <c r="D43" s="24" t="s">
        <v>389</v>
      </c>
      <c r="E43" s="24">
        <v>2.02009179267228E+17</v>
      </c>
      <c r="F43" s="24" t="s">
        <v>212</v>
      </c>
      <c r="G43" s="24" t="s">
        <v>1212</v>
      </c>
      <c r="H43" s="24">
        <v>1438708</v>
      </c>
      <c r="I43" s="24"/>
      <c r="J43" s="24" t="s">
        <v>214</v>
      </c>
      <c r="K43" s="24" t="s">
        <v>215</v>
      </c>
      <c r="L43" s="24"/>
      <c r="M43" s="24"/>
      <c r="N43" s="24" t="s">
        <v>1142</v>
      </c>
      <c r="O43" s="24" t="s">
        <v>36</v>
      </c>
      <c r="P43" s="24" t="s">
        <v>217</v>
      </c>
      <c r="Q43" s="24" t="s">
        <v>28</v>
      </c>
      <c r="R43" s="24" t="s">
        <v>1143</v>
      </c>
      <c r="S43" s="24" t="s">
        <v>28</v>
      </c>
      <c r="T43" s="24" t="s">
        <v>1144</v>
      </c>
      <c r="U43" s="24"/>
      <c r="V43" s="24" t="s">
        <v>220</v>
      </c>
      <c r="W43" s="24"/>
      <c r="X43" s="24" t="s">
        <v>221</v>
      </c>
      <c r="Y43" s="24" t="s">
        <v>130</v>
      </c>
      <c r="Z43" s="24">
        <v>28255</v>
      </c>
      <c r="AA43" s="24" t="s">
        <v>222</v>
      </c>
      <c r="AB43" s="24" t="s">
        <v>1145</v>
      </c>
      <c r="AC43" s="24"/>
      <c r="AD43" s="24">
        <v>15</v>
      </c>
      <c r="AE43" s="24" t="s">
        <v>224</v>
      </c>
      <c r="AF43" s="24"/>
      <c r="AG43" s="24"/>
      <c r="AH43" s="24"/>
      <c r="AI43" s="24">
        <v>44074</v>
      </c>
      <c r="AJ43" s="24">
        <v>208.32</v>
      </c>
      <c r="AK43" s="24">
        <v>3333.12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 t="s">
        <v>26</v>
      </c>
      <c r="BH43" s="24"/>
      <c r="BI43" s="24" t="s">
        <v>225</v>
      </c>
      <c r="BJ43" s="24"/>
      <c r="BK43" s="24" t="s">
        <v>31</v>
      </c>
      <c r="BL43" s="24" t="s">
        <v>238</v>
      </c>
      <c r="BM43" s="24" t="s">
        <v>227</v>
      </c>
      <c r="BN43" s="24">
        <v>44093.150760706019</v>
      </c>
      <c r="BO43" s="24"/>
      <c r="BP43" s="24"/>
      <c r="BQ43" s="24"/>
      <c r="BR43" s="24" t="s">
        <v>228</v>
      </c>
      <c r="BS43" s="24">
        <v>4.0918202018489201E+18</v>
      </c>
      <c r="BT43" s="24" t="s">
        <v>229</v>
      </c>
      <c r="BU43" s="24"/>
      <c r="BV43" s="24">
        <v>2020</v>
      </c>
      <c r="BW43" s="24" t="s">
        <v>230</v>
      </c>
      <c r="BX43" s="24"/>
      <c r="BY43" s="24">
        <v>4.0919202018490701E+18</v>
      </c>
      <c r="BZ43" s="24" t="s">
        <v>1211</v>
      </c>
      <c r="CA43" s="24" t="s">
        <v>232</v>
      </c>
    </row>
    <row r="44" spans="1:79" x14ac:dyDescent="0.25">
      <c r="A44" s="24" t="s">
        <v>209</v>
      </c>
      <c r="B44" s="24" t="s">
        <v>210</v>
      </c>
      <c r="C44" s="24">
        <v>2020</v>
      </c>
      <c r="D44" s="24" t="s">
        <v>290</v>
      </c>
      <c r="E44" s="24">
        <v>2.0201016929694598E+17</v>
      </c>
      <c r="F44" s="24" t="s">
        <v>212</v>
      </c>
      <c r="G44" s="24" t="s">
        <v>1213</v>
      </c>
      <c r="H44" s="24">
        <v>1453323</v>
      </c>
      <c r="I44" s="24"/>
      <c r="J44" s="24" t="s">
        <v>214</v>
      </c>
      <c r="K44" s="24" t="s">
        <v>215</v>
      </c>
      <c r="L44" s="24"/>
      <c r="M44" s="24"/>
      <c r="N44" s="24" t="s">
        <v>1142</v>
      </c>
      <c r="O44" s="24" t="s">
        <v>36</v>
      </c>
      <c r="P44" s="24" t="s">
        <v>217</v>
      </c>
      <c r="Q44" s="24" t="s">
        <v>28</v>
      </c>
      <c r="R44" s="24" t="s">
        <v>1143</v>
      </c>
      <c r="S44" s="24" t="s">
        <v>28</v>
      </c>
      <c r="T44" s="24" t="s">
        <v>1144</v>
      </c>
      <c r="U44" s="24"/>
      <c r="V44" s="24" t="s">
        <v>220</v>
      </c>
      <c r="W44" s="24"/>
      <c r="X44" s="24" t="s">
        <v>221</v>
      </c>
      <c r="Y44" s="24" t="s">
        <v>130</v>
      </c>
      <c r="Z44" s="24">
        <v>28255</v>
      </c>
      <c r="AA44" s="24" t="s">
        <v>222</v>
      </c>
      <c r="AB44" s="24" t="s">
        <v>1145</v>
      </c>
      <c r="AC44" s="24"/>
      <c r="AD44" s="24">
        <v>15</v>
      </c>
      <c r="AE44" s="24" t="s">
        <v>224</v>
      </c>
      <c r="AF44" s="24"/>
      <c r="AG44" s="24"/>
      <c r="AH44" s="24"/>
      <c r="AI44" s="24">
        <v>44089</v>
      </c>
      <c r="AJ44" s="24">
        <v>208.32</v>
      </c>
      <c r="AK44" s="24">
        <v>3541.44</v>
      </c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 t="s">
        <v>26</v>
      </c>
      <c r="BH44" s="24"/>
      <c r="BI44" s="24" t="s">
        <v>225</v>
      </c>
      <c r="BJ44" s="24"/>
      <c r="BK44" s="24" t="s">
        <v>31</v>
      </c>
      <c r="BL44" s="24" t="s">
        <v>238</v>
      </c>
      <c r="BM44" s="24" t="s">
        <v>227</v>
      </c>
      <c r="BN44" s="24">
        <v>44156.161240462963</v>
      </c>
      <c r="BO44" s="24"/>
      <c r="BP44" s="24"/>
      <c r="BQ44" s="24"/>
      <c r="BR44" s="24" t="s">
        <v>228</v>
      </c>
      <c r="BS44" s="24">
        <v>4.10162020185858E+18</v>
      </c>
      <c r="BT44" s="24" t="s">
        <v>229</v>
      </c>
      <c r="BU44" s="24"/>
      <c r="BV44" s="24">
        <v>2020</v>
      </c>
      <c r="BW44" s="24" t="s">
        <v>230</v>
      </c>
      <c r="BX44" s="24"/>
      <c r="BY44" s="24">
        <v>4.1121202019599201E+18</v>
      </c>
      <c r="BZ44" s="24" t="s">
        <v>1214</v>
      </c>
      <c r="CA44" s="24" t="s">
        <v>232</v>
      </c>
    </row>
    <row r="45" spans="1:79" x14ac:dyDescent="0.25">
      <c r="A45" s="24" t="s">
        <v>209</v>
      </c>
      <c r="B45" s="24" t="s">
        <v>210</v>
      </c>
      <c r="C45" s="24">
        <v>2020</v>
      </c>
      <c r="D45" s="24" t="s">
        <v>290</v>
      </c>
      <c r="E45" s="24">
        <v>2.0201016929694598E+17</v>
      </c>
      <c r="F45" s="24" t="s">
        <v>212</v>
      </c>
      <c r="G45" s="24" t="s">
        <v>1215</v>
      </c>
      <c r="H45" s="24">
        <v>1453323</v>
      </c>
      <c r="I45" s="24"/>
      <c r="J45" s="24" t="s">
        <v>214</v>
      </c>
      <c r="K45" s="24" t="s">
        <v>215</v>
      </c>
      <c r="L45" s="24"/>
      <c r="M45" s="24"/>
      <c r="N45" s="24" t="s">
        <v>1142</v>
      </c>
      <c r="O45" s="24" t="s">
        <v>36</v>
      </c>
      <c r="P45" s="24" t="s">
        <v>217</v>
      </c>
      <c r="Q45" s="24" t="s">
        <v>28</v>
      </c>
      <c r="R45" s="24" t="s">
        <v>1143</v>
      </c>
      <c r="S45" s="24" t="s">
        <v>28</v>
      </c>
      <c r="T45" s="24" t="s">
        <v>1144</v>
      </c>
      <c r="U45" s="24"/>
      <c r="V45" s="24" t="s">
        <v>220</v>
      </c>
      <c r="W45" s="24"/>
      <c r="X45" s="24" t="s">
        <v>221</v>
      </c>
      <c r="Y45" s="24" t="s">
        <v>130</v>
      </c>
      <c r="Z45" s="24">
        <v>28255</v>
      </c>
      <c r="AA45" s="24" t="s">
        <v>222</v>
      </c>
      <c r="AB45" s="24" t="s">
        <v>1145</v>
      </c>
      <c r="AC45" s="24"/>
      <c r="AD45" s="24">
        <v>15</v>
      </c>
      <c r="AE45" s="24" t="s">
        <v>224</v>
      </c>
      <c r="AF45" s="24"/>
      <c r="AG45" s="24"/>
      <c r="AH45" s="24"/>
      <c r="AI45" s="24">
        <v>44104</v>
      </c>
      <c r="AJ45" s="24">
        <v>208.32</v>
      </c>
      <c r="AK45" s="24">
        <v>3749.76</v>
      </c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 t="s">
        <v>26</v>
      </c>
      <c r="BH45" s="24"/>
      <c r="BI45" s="24" t="s">
        <v>225</v>
      </c>
      <c r="BJ45" s="24"/>
      <c r="BK45" s="24" t="s">
        <v>31</v>
      </c>
      <c r="BL45" s="24" t="s">
        <v>238</v>
      </c>
      <c r="BM45" s="24" t="s">
        <v>227</v>
      </c>
      <c r="BN45" s="24">
        <v>44156.161240462963</v>
      </c>
      <c r="BO45" s="24"/>
      <c r="BP45" s="24"/>
      <c r="BQ45" s="24"/>
      <c r="BR45" s="24" t="s">
        <v>228</v>
      </c>
      <c r="BS45" s="24">
        <v>4.10162020185858E+18</v>
      </c>
      <c r="BT45" s="24" t="s">
        <v>229</v>
      </c>
      <c r="BU45" s="24"/>
      <c r="BV45" s="24">
        <v>2020</v>
      </c>
      <c r="BW45" s="24" t="s">
        <v>230</v>
      </c>
      <c r="BX45" s="24"/>
      <c r="BY45" s="24">
        <v>4.1121202019599201E+18</v>
      </c>
      <c r="BZ45" s="24" t="s">
        <v>1216</v>
      </c>
      <c r="CA45" s="24" t="s">
        <v>232</v>
      </c>
    </row>
    <row r="46" spans="1:79" x14ac:dyDescent="0.25">
      <c r="A46" s="24" t="s">
        <v>209</v>
      </c>
      <c r="B46" s="24" t="s">
        <v>210</v>
      </c>
      <c r="C46" s="24">
        <v>2020</v>
      </c>
      <c r="D46" s="24" t="s">
        <v>508</v>
      </c>
      <c r="E46" s="24">
        <v>2.0210125940539501E+17</v>
      </c>
      <c r="F46" s="24" t="s">
        <v>212</v>
      </c>
      <c r="G46" s="24" t="s">
        <v>1217</v>
      </c>
      <c r="H46" s="24">
        <v>1490358</v>
      </c>
      <c r="I46" s="24"/>
      <c r="J46" s="24" t="s">
        <v>214</v>
      </c>
      <c r="K46" s="24" t="s">
        <v>215</v>
      </c>
      <c r="L46" s="24"/>
      <c r="M46" s="24"/>
      <c r="N46" s="24" t="s">
        <v>1142</v>
      </c>
      <c r="O46" s="24" t="s">
        <v>36</v>
      </c>
      <c r="P46" s="24" t="s">
        <v>217</v>
      </c>
      <c r="Q46" s="24" t="s">
        <v>28</v>
      </c>
      <c r="R46" s="24" t="s">
        <v>1143</v>
      </c>
      <c r="S46" s="24" t="s">
        <v>28</v>
      </c>
      <c r="T46" s="24" t="s">
        <v>1144</v>
      </c>
      <c r="U46" s="24"/>
      <c r="V46" s="24" t="s">
        <v>220</v>
      </c>
      <c r="W46" s="24"/>
      <c r="X46" s="24" t="s">
        <v>221</v>
      </c>
      <c r="Y46" s="24" t="s">
        <v>130</v>
      </c>
      <c r="Z46" s="24">
        <v>28255</v>
      </c>
      <c r="AA46" s="24" t="s">
        <v>222</v>
      </c>
      <c r="AB46" s="24" t="s">
        <v>1145</v>
      </c>
      <c r="AC46" s="24"/>
      <c r="AD46" s="24">
        <v>15</v>
      </c>
      <c r="AE46" s="24" t="s">
        <v>224</v>
      </c>
      <c r="AF46" s="24"/>
      <c r="AG46" s="24"/>
      <c r="AH46" s="24"/>
      <c r="AI46" s="24">
        <v>44165</v>
      </c>
      <c r="AJ46" s="24">
        <v>208.32</v>
      </c>
      <c r="AK46" s="24">
        <v>4583.04</v>
      </c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 t="s">
        <v>26</v>
      </c>
      <c r="BH46" s="24"/>
      <c r="BI46" s="24" t="s">
        <v>225</v>
      </c>
      <c r="BJ46" s="24"/>
      <c r="BK46" s="24" t="s">
        <v>31</v>
      </c>
      <c r="BL46" s="24" t="s">
        <v>238</v>
      </c>
      <c r="BM46" s="24" t="s">
        <v>227</v>
      </c>
      <c r="BN46" s="24">
        <v>44223.15055677083</v>
      </c>
      <c r="BO46" s="24"/>
      <c r="BP46" s="24"/>
      <c r="BQ46" s="24"/>
      <c r="BR46" s="24" t="s">
        <v>228</v>
      </c>
      <c r="BS46" s="24">
        <v>4.0125202121377597E+18</v>
      </c>
      <c r="BT46" s="24" t="s">
        <v>229</v>
      </c>
      <c r="BU46" s="24"/>
      <c r="BV46" s="24">
        <v>2020</v>
      </c>
      <c r="BW46" s="24" t="s">
        <v>230</v>
      </c>
      <c r="BX46" s="24"/>
      <c r="BY46" s="24">
        <v>4.01272021213811E+18</v>
      </c>
      <c r="BZ46" s="24" t="s">
        <v>1218</v>
      </c>
      <c r="CA46" s="24" t="s">
        <v>232</v>
      </c>
    </row>
    <row r="47" spans="1:79" x14ac:dyDescent="0.25">
      <c r="A47" s="24" t="s">
        <v>209</v>
      </c>
      <c r="B47" s="24" t="s">
        <v>210</v>
      </c>
      <c r="C47" s="24">
        <v>2020</v>
      </c>
      <c r="D47" s="24" t="s">
        <v>508</v>
      </c>
      <c r="E47" s="24">
        <v>2.0210125940539501E+17</v>
      </c>
      <c r="F47" s="24" t="s">
        <v>212</v>
      </c>
      <c r="G47" s="24" t="s">
        <v>1219</v>
      </c>
      <c r="H47" s="24">
        <v>1490358</v>
      </c>
      <c r="I47" s="24"/>
      <c r="J47" s="24" t="s">
        <v>214</v>
      </c>
      <c r="K47" s="24" t="s">
        <v>215</v>
      </c>
      <c r="L47" s="24"/>
      <c r="M47" s="24"/>
      <c r="N47" s="24" t="s">
        <v>1142</v>
      </c>
      <c r="O47" s="24" t="s">
        <v>36</v>
      </c>
      <c r="P47" s="24" t="s">
        <v>217</v>
      </c>
      <c r="Q47" s="24" t="s">
        <v>28</v>
      </c>
      <c r="R47" s="24" t="s">
        <v>1143</v>
      </c>
      <c r="S47" s="24" t="s">
        <v>28</v>
      </c>
      <c r="T47" s="24" t="s">
        <v>1144</v>
      </c>
      <c r="U47" s="24"/>
      <c r="V47" s="24" t="s">
        <v>220</v>
      </c>
      <c r="W47" s="24"/>
      <c r="X47" s="24" t="s">
        <v>221</v>
      </c>
      <c r="Y47" s="24" t="s">
        <v>130</v>
      </c>
      <c r="Z47" s="24">
        <v>28255</v>
      </c>
      <c r="AA47" s="24" t="s">
        <v>222</v>
      </c>
      <c r="AB47" s="24" t="s">
        <v>1145</v>
      </c>
      <c r="AC47" s="24"/>
      <c r="AD47" s="24">
        <v>15</v>
      </c>
      <c r="AE47" s="24" t="s">
        <v>224</v>
      </c>
      <c r="AF47" s="24"/>
      <c r="AG47" s="24"/>
      <c r="AH47" s="24"/>
      <c r="AI47" s="24">
        <v>44180</v>
      </c>
      <c r="AJ47" s="24">
        <v>208.32</v>
      </c>
      <c r="AK47" s="24">
        <v>4791.3599999999997</v>
      </c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 t="s">
        <v>26</v>
      </c>
      <c r="BH47" s="24"/>
      <c r="BI47" s="24" t="s">
        <v>225</v>
      </c>
      <c r="BJ47" s="24"/>
      <c r="BK47" s="24" t="s">
        <v>31</v>
      </c>
      <c r="BL47" s="24" t="s">
        <v>238</v>
      </c>
      <c r="BM47" s="24" t="s">
        <v>227</v>
      </c>
      <c r="BN47" s="24">
        <v>44223.15055677083</v>
      </c>
      <c r="BO47" s="24"/>
      <c r="BP47" s="24"/>
      <c r="BQ47" s="24"/>
      <c r="BR47" s="24" t="s">
        <v>228</v>
      </c>
      <c r="BS47" s="24">
        <v>4.0125202121377597E+18</v>
      </c>
      <c r="BT47" s="24" t="s">
        <v>229</v>
      </c>
      <c r="BU47" s="24"/>
      <c r="BV47" s="24">
        <v>2020</v>
      </c>
      <c r="BW47" s="24" t="s">
        <v>230</v>
      </c>
      <c r="BX47" s="24"/>
      <c r="BY47" s="24">
        <v>4.01272021213811E+18</v>
      </c>
      <c r="BZ47" s="24" t="s">
        <v>1220</v>
      </c>
      <c r="CA47" s="24" t="s">
        <v>232</v>
      </c>
    </row>
    <row r="48" spans="1:79" x14ac:dyDescent="0.25">
      <c r="A48" s="24" t="s">
        <v>209</v>
      </c>
      <c r="B48" s="24" t="s">
        <v>210</v>
      </c>
      <c r="C48" s="24">
        <v>2020</v>
      </c>
      <c r="D48" s="24" t="s">
        <v>508</v>
      </c>
      <c r="E48" s="24">
        <v>2.0210125940539501E+17</v>
      </c>
      <c r="F48" s="24" t="s">
        <v>212</v>
      </c>
      <c r="G48" s="24" t="s">
        <v>1221</v>
      </c>
      <c r="H48" s="24">
        <v>1490358</v>
      </c>
      <c r="I48" s="24"/>
      <c r="J48" s="24" t="s">
        <v>214</v>
      </c>
      <c r="K48" s="24" t="s">
        <v>215</v>
      </c>
      <c r="L48" s="24"/>
      <c r="M48" s="24"/>
      <c r="N48" s="24" t="s">
        <v>1142</v>
      </c>
      <c r="O48" s="24" t="s">
        <v>36</v>
      </c>
      <c r="P48" s="24" t="s">
        <v>217</v>
      </c>
      <c r="Q48" s="24" t="s">
        <v>28</v>
      </c>
      <c r="R48" s="24" t="s">
        <v>1143</v>
      </c>
      <c r="S48" s="24" t="s">
        <v>28</v>
      </c>
      <c r="T48" s="24" t="s">
        <v>1144</v>
      </c>
      <c r="U48" s="24"/>
      <c r="V48" s="24" t="s">
        <v>220</v>
      </c>
      <c r="W48" s="24"/>
      <c r="X48" s="24" t="s">
        <v>221</v>
      </c>
      <c r="Y48" s="24" t="s">
        <v>130</v>
      </c>
      <c r="Z48" s="24">
        <v>28255</v>
      </c>
      <c r="AA48" s="24" t="s">
        <v>222</v>
      </c>
      <c r="AB48" s="24" t="s">
        <v>1145</v>
      </c>
      <c r="AC48" s="24"/>
      <c r="AD48" s="24">
        <v>15</v>
      </c>
      <c r="AE48" s="24" t="s">
        <v>224</v>
      </c>
      <c r="AF48" s="24"/>
      <c r="AG48" s="24"/>
      <c r="AH48" s="24"/>
      <c r="AI48" s="24">
        <v>44196</v>
      </c>
      <c r="AJ48" s="24">
        <v>208.32</v>
      </c>
      <c r="AK48" s="24">
        <v>4999.68</v>
      </c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 t="s">
        <v>26</v>
      </c>
      <c r="BH48" s="24"/>
      <c r="BI48" s="24" t="s">
        <v>225</v>
      </c>
      <c r="BJ48" s="24"/>
      <c r="BK48" s="24" t="s">
        <v>31</v>
      </c>
      <c r="BL48" s="24" t="s">
        <v>238</v>
      </c>
      <c r="BM48" s="24" t="s">
        <v>227</v>
      </c>
      <c r="BN48" s="24">
        <v>44223.15055677083</v>
      </c>
      <c r="BO48" s="24"/>
      <c r="BP48" s="24"/>
      <c r="BQ48" s="24"/>
      <c r="BR48" s="24" t="s">
        <v>228</v>
      </c>
      <c r="BS48" s="24">
        <v>4.0125202121377597E+18</v>
      </c>
      <c r="BT48" s="24" t="s">
        <v>229</v>
      </c>
      <c r="BU48" s="24"/>
      <c r="BV48" s="24">
        <v>2020</v>
      </c>
      <c r="BW48" s="24" t="s">
        <v>230</v>
      </c>
      <c r="BX48" s="24"/>
      <c r="BY48" s="24">
        <v>4.01272021213811E+18</v>
      </c>
      <c r="BZ48" s="24" t="s">
        <v>1220</v>
      </c>
      <c r="CA48" s="24" t="s">
        <v>232</v>
      </c>
    </row>
    <row r="50" spans="1:22" x14ac:dyDescent="0.25">
      <c r="V50" t="str">
        <f>+V48&amp;X48&amp;Y48&amp;Z48</f>
        <v>100 N TRYON STCHARLOTTENC28255</v>
      </c>
    </row>
    <row r="51" spans="1:22" x14ac:dyDescent="0.25">
      <c r="A51" s="20" t="s">
        <v>299</v>
      </c>
      <c r="B51" t="s">
        <v>301</v>
      </c>
    </row>
    <row r="52" spans="1:22" x14ac:dyDescent="0.25">
      <c r="A52" s="21" t="s">
        <v>210</v>
      </c>
      <c r="B52" s="2">
        <v>9357.8799999999937</v>
      </c>
    </row>
    <row r="53" spans="1:22" x14ac:dyDescent="0.25">
      <c r="A53" s="21" t="s">
        <v>300</v>
      </c>
      <c r="B53" s="2">
        <v>9357.8799999999937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52"/>
  <sheetViews>
    <sheetView topLeftCell="A137" workbookViewId="0">
      <selection activeCell="C145" sqref="C145"/>
    </sheetView>
  </sheetViews>
  <sheetFormatPr defaultRowHeight="15" x14ac:dyDescent="0.25"/>
  <cols>
    <col min="1" max="1" width="45.28515625" bestFit="1" customWidth="1"/>
    <col min="2" max="2" width="34.5703125" bestFit="1" customWidth="1"/>
    <col min="3" max="3" width="9.28515625" bestFit="1" customWidth="1"/>
    <col min="5" max="5" width="12.42578125" bestFit="1" customWidth="1"/>
    <col min="6" max="6" width="9.28515625" bestFit="1" customWidth="1"/>
    <col min="8" max="8" width="9.28515625" bestFit="1" customWidth="1"/>
    <col min="26" max="26" width="10" bestFit="1" customWidth="1"/>
    <col min="27" max="27" width="32.7109375" bestFit="1" customWidth="1"/>
    <col min="30" max="30" width="9.28515625" bestFit="1" customWidth="1"/>
    <col min="35" max="37" width="9.28515625" bestFit="1" customWidth="1"/>
    <col min="56" max="56" width="9.28515625" bestFit="1" customWidth="1"/>
    <col min="62" max="62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24" t="s">
        <v>131</v>
      </c>
      <c r="B1" s="24" t="s">
        <v>132</v>
      </c>
      <c r="C1" s="24" t="s">
        <v>133</v>
      </c>
      <c r="D1" s="24" t="s">
        <v>134</v>
      </c>
      <c r="E1" s="24" t="s">
        <v>135</v>
      </c>
      <c r="F1" s="24" t="s">
        <v>136</v>
      </c>
      <c r="G1" s="24" t="s">
        <v>137</v>
      </c>
      <c r="H1" s="24" t="s">
        <v>138</v>
      </c>
      <c r="I1" s="24" t="s">
        <v>132</v>
      </c>
      <c r="J1" s="24" t="s">
        <v>139</v>
      </c>
      <c r="K1" s="24" t="s">
        <v>140</v>
      </c>
      <c r="L1" s="24" t="s">
        <v>141</v>
      </c>
      <c r="M1" s="24" t="s">
        <v>142</v>
      </c>
      <c r="N1" s="24" t="s">
        <v>143</v>
      </c>
      <c r="O1" s="24" t="s">
        <v>144</v>
      </c>
      <c r="P1" s="24" t="s">
        <v>145</v>
      </c>
      <c r="Q1" s="24" t="s">
        <v>146</v>
      </c>
      <c r="R1" s="24" t="s">
        <v>147</v>
      </c>
      <c r="S1" s="24" t="s">
        <v>148</v>
      </c>
      <c r="T1" s="24" t="s">
        <v>149</v>
      </c>
      <c r="U1" s="24" t="s">
        <v>150</v>
      </c>
      <c r="V1" s="24" t="s">
        <v>151</v>
      </c>
      <c r="W1" s="24" t="s">
        <v>152</v>
      </c>
      <c r="X1" s="24" t="s">
        <v>153</v>
      </c>
      <c r="Y1" s="24" t="s">
        <v>154</v>
      </c>
      <c r="Z1" s="24" t="s">
        <v>155</v>
      </c>
      <c r="AA1" s="24" t="s">
        <v>156</v>
      </c>
      <c r="AB1" s="24" t="s">
        <v>157</v>
      </c>
      <c r="AC1" s="24" t="s">
        <v>158</v>
      </c>
      <c r="AD1" s="24" t="s">
        <v>159</v>
      </c>
      <c r="AE1" s="24" t="s">
        <v>160</v>
      </c>
      <c r="AF1" s="24" t="s">
        <v>161</v>
      </c>
      <c r="AG1" s="24" t="s">
        <v>162</v>
      </c>
      <c r="AH1" s="24" t="s">
        <v>163</v>
      </c>
      <c r="AI1" s="24" t="s">
        <v>164</v>
      </c>
      <c r="AJ1" s="24" t="s">
        <v>165</v>
      </c>
      <c r="AK1" s="24" t="s">
        <v>166</v>
      </c>
      <c r="AL1" s="24" t="s">
        <v>167</v>
      </c>
      <c r="AM1" s="24" t="s">
        <v>168</v>
      </c>
      <c r="AN1" s="24" t="s">
        <v>169</v>
      </c>
      <c r="AO1" s="24" t="s">
        <v>170</v>
      </c>
      <c r="AP1" s="24" t="s">
        <v>171</v>
      </c>
      <c r="AQ1" s="24" t="s">
        <v>172</v>
      </c>
      <c r="AR1" s="24" t="s">
        <v>173</v>
      </c>
      <c r="AS1" s="24" t="s">
        <v>174</v>
      </c>
      <c r="AT1" s="24" t="s">
        <v>175</v>
      </c>
      <c r="AU1" s="24" t="s">
        <v>176</v>
      </c>
      <c r="AV1" s="24" t="s">
        <v>177</v>
      </c>
      <c r="AW1" s="24" t="s">
        <v>178</v>
      </c>
      <c r="AX1" s="24" t="s">
        <v>179</v>
      </c>
      <c r="AY1" s="24" t="s">
        <v>180</v>
      </c>
      <c r="AZ1" s="24" t="s">
        <v>181</v>
      </c>
      <c r="BA1" s="24" t="s">
        <v>182</v>
      </c>
      <c r="BB1" s="24" t="s">
        <v>183</v>
      </c>
      <c r="BC1" s="24" t="s">
        <v>184</v>
      </c>
      <c r="BD1" s="24" t="s">
        <v>185</v>
      </c>
      <c r="BE1" s="24" t="s">
        <v>186</v>
      </c>
      <c r="BF1" s="24" t="s">
        <v>187</v>
      </c>
      <c r="BG1" s="24" t="s">
        <v>188</v>
      </c>
      <c r="BH1" s="24" t="s">
        <v>189</v>
      </c>
      <c r="BI1" s="24" t="s">
        <v>190</v>
      </c>
      <c r="BJ1" s="24" t="s">
        <v>191</v>
      </c>
      <c r="BK1" s="24" t="s">
        <v>192</v>
      </c>
      <c r="BL1" s="24" t="s">
        <v>193</v>
      </c>
      <c r="BM1" s="24" t="s">
        <v>194</v>
      </c>
      <c r="BN1" s="24" t="s">
        <v>195</v>
      </c>
      <c r="BO1" s="24" t="s">
        <v>196</v>
      </c>
      <c r="BP1" s="24" t="s">
        <v>197</v>
      </c>
      <c r="BQ1" s="24" t="s">
        <v>198</v>
      </c>
      <c r="BR1" s="24" t="s">
        <v>199</v>
      </c>
      <c r="BS1" s="24" t="s">
        <v>200</v>
      </c>
      <c r="BT1" s="24" t="s">
        <v>201</v>
      </c>
      <c r="BU1" s="24" t="s">
        <v>202</v>
      </c>
      <c r="BV1" s="24" t="s">
        <v>203</v>
      </c>
      <c r="BW1" s="24" t="s">
        <v>204</v>
      </c>
      <c r="BX1" s="24" t="s">
        <v>205</v>
      </c>
      <c r="BY1" s="24" t="s">
        <v>206</v>
      </c>
      <c r="BZ1" s="24" t="s">
        <v>207</v>
      </c>
      <c r="CA1" s="24" t="s">
        <v>208</v>
      </c>
    </row>
    <row r="2" spans="1:79" x14ac:dyDescent="0.25">
      <c r="A2" s="24" t="s">
        <v>735</v>
      </c>
      <c r="B2" s="24" t="s">
        <v>736</v>
      </c>
      <c r="C2" s="24">
        <v>2019</v>
      </c>
      <c r="D2" s="24" t="s">
        <v>737</v>
      </c>
      <c r="E2" s="24">
        <v>2.01907159150604E+17</v>
      </c>
      <c r="F2" s="24">
        <v>12</v>
      </c>
      <c r="G2" s="24" t="s">
        <v>738</v>
      </c>
      <c r="H2" s="24">
        <v>1339265</v>
      </c>
      <c r="I2" s="24"/>
      <c r="J2" s="24" t="s">
        <v>214</v>
      </c>
      <c r="K2" s="24" t="s">
        <v>215</v>
      </c>
      <c r="L2" s="24"/>
      <c r="M2" s="24"/>
      <c r="N2" s="24" t="s">
        <v>739</v>
      </c>
      <c r="O2" s="24" t="s">
        <v>310</v>
      </c>
      <c r="P2" s="24"/>
      <c r="Q2" s="24" t="s">
        <v>26</v>
      </c>
      <c r="R2" s="24" t="s">
        <v>740</v>
      </c>
      <c r="S2" s="24"/>
      <c r="T2" s="24" t="s">
        <v>741</v>
      </c>
      <c r="U2" s="24"/>
      <c r="V2" s="24" t="s">
        <v>742</v>
      </c>
      <c r="W2" s="24"/>
      <c r="X2" s="24" t="s">
        <v>613</v>
      </c>
      <c r="Y2" s="24" t="s">
        <v>32</v>
      </c>
      <c r="Z2" s="24">
        <v>100213502</v>
      </c>
      <c r="AA2" s="24" t="s">
        <v>222</v>
      </c>
      <c r="AB2" s="24" t="s">
        <v>743</v>
      </c>
      <c r="AC2" s="24"/>
      <c r="AD2" s="24" t="s">
        <v>242</v>
      </c>
      <c r="AE2" s="24" t="s">
        <v>241</v>
      </c>
      <c r="AF2" s="24"/>
      <c r="AG2" s="24" t="s">
        <v>239</v>
      </c>
      <c r="AH2" s="24"/>
      <c r="AI2" s="24">
        <v>43552</v>
      </c>
      <c r="AJ2" s="24">
        <v>2800</v>
      </c>
      <c r="AK2" s="24">
        <v>5600</v>
      </c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 t="s">
        <v>297</v>
      </c>
      <c r="BH2" s="24"/>
      <c r="BI2" s="24" t="s">
        <v>296</v>
      </c>
      <c r="BJ2" s="24">
        <v>2020</v>
      </c>
      <c r="BK2" s="24" t="s">
        <v>0</v>
      </c>
      <c r="BL2" s="24" t="s">
        <v>226</v>
      </c>
      <c r="BM2" s="24" t="s">
        <v>227</v>
      </c>
      <c r="BN2" s="24">
        <v>43662.17352640046</v>
      </c>
      <c r="BO2" s="24"/>
      <c r="BP2" s="24" t="s">
        <v>744</v>
      </c>
      <c r="BQ2" s="24" t="s">
        <v>236</v>
      </c>
      <c r="BR2" s="24" t="s">
        <v>278</v>
      </c>
      <c r="BS2" s="24">
        <v>4.07152019165954E+18</v>
      </c>
      <c r="BT2" s="24" t="s">
        <v>229</v>
      </c>
      <c r="BU2" s="24"/>
      <c r="BV2" s="24">
        <v>2020</v>
      </c>
      <c r="BW2" s="24" t="s">
        <v>230</v>
      </c>
      <c r="BX2" s="24"/>
      <c r="BY2" s="24">
        <v>4.0715201916595599E+18</v>
      </c>
      <c r="BZ2" s="24" t="s">
        <v>745</v>
      </c>
      <c r="CA2" s="24" t="s">
        <v>746</v>
      </c>
    </row>
    <row r="3" spans="1:79" x14ac:dyDescent="0.25">
      <c r="A3" s="24" t="s">
        <v>735</v>
      </c>
      <c r="B3" s="24" t="s">
        <v>736</v>
      </c>
      <c r="C3" s="24">
        <v>2019</v>
      </c>
      <c r="D3" s="24" t="s">
        <v>737</v>
      </c>
      <c r="E3" s="24">
        <v>2.01907159150604E+17</v>
      </c>
      <c r="F3" s="24">
        <v>12</v>
      </c>
      <c r="G3" s="24" t="s">
        <v>747</v>
      </c>
      <c r="H3" s="24">
        <v>1339265</v>
      </c>
      <c r="I3" s="24"/>
      <c r="J3" s="24" t="s">
        <v>214</v>
      </c>
      <c r="K3" s="24" t="s">
        <v>215</v>
      </c>
      <c r="L3" s="24"/>
      <c r="M3" s="24"/>
      <c r="N3" s="24" t="s">
        <v>739</v>
      </c>
      <c r="O3" s="24" t="s">
        <v>310</v>
      </c>
      <c r="P3" s="24"/>
      <c r="Q3" s="24" t="s">
        <v>26</v>
      </c>
      <c r="R3" s="24" t="s">
        <v>740</v>
      </c>
      <c r="S3" s="24"/>
      <c r="T3" s="24" t="s">
        <v>741</v>
      </c>
      <c r="U3" s="24"/>
      <c r="V3" s="24" t="s">
        <v>742</v>
      </c>
      <c r="W3" s="24"/>
      <c r="X3" s="24" t="s">
        <v>613</v>
      </c>
      <c r="Y3" s="24" t="s">
        <v>32</v>
      </c>
      <c r="Z3" s="24">
        <v>100213502</v>
      </c>
      <c r="AA3" s="24" t="s">
        <v>222</v>
      </c>
      <c r="AB3" s="24" t="s">
        <v>743</v>
      </c>
      <c r="AC3" s="24"/>
      <c r="AD3" s="24" t="s">
        <v>242</v>
      </c>
      <c r="AE3" s="24" t="s">
        <v>241</v>
      </c>
      <c r="AF3" s="24"/>
      <c r="AG3" s="24" t="s">
        <v>239</v>
      </c>
      <c r="AH3" s="24"/>
      <c r="AI3" s="24">
        <v>43552</v>
      </c>
      <c r="AJ3" s="24">
        <v>2800</v>
      </c>
      <c r="AK3" s="24">
        <v>5600</v>
      </c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 t="s">
        <v>279</v>
      </c>
      <c r="BH3" s="24"/>
      <c r="BI3" s="24" t="s">
        <v>225</v>
      </c>
      <c r="BJ3" s="24">
        <v>2020</v>
      </c>
      <c r="BK3" s="24" t="s">
        <v>0</v>
      </c>
      <c r="BL3" s="24" t="s">
        <v>226</v>
      </c>
      <c r="BM3" s="24" t="s">
        <v>227</v>
      </c>
      <c r="BN3" s="24">
        <v>43662.173526469909</v>
      </c>
      <c r="BO3" s="24"/>
      <c r="BP3" s="24" t="s">
        <v>748</v>
      </c>
      <c r="BQ3" s="24" t="s">
        <v>236</v>
      </c>
      <c r="BR3" s="24" t="s">
        <v>278</v>
      </c>
      <c r="BS3" s="24">
        <v>4.07152019165954E+18</v>
      </c>
      <c r="BT3" s="24" t="s">
        <v>229</v>
      </c>
      <c r="BU3" s="24"/>
      <c r="BV3" s="24">
        <v>2020</v>
      </c>
      <c r="BW3" s="24" t="s">
        <v>230</v>
      </c>
      <c r="BX3" s="24"/>
      <c r="BY3" s="24">
        <v>4.0715201916595599E+18</v>
      </c>
      <c r="BZ3" s="24" t="s">
        <v>749</v>
      </c>
      <c r="CA3" s="24" t="s">
        <v>746</v>
      </c>
    </row>
    <row r="4" spans="1:79" x14ac:dyDescent="0.25">
      <c r="A4" s="24" t="s">
        <v>750</v>
      </c>
      <c r="B4" s="24" t="s">
        <v>751</v>
      </c>
      <c r="C4" s="24">
        <v>2019</v>
      </c>
      <c r="D4" s="24" t="s">
        <v>737</v>
      </c>
      <c r="E4" s="24">
        <v>2.0190823916310099E+17</v>
      </c>
      <c r="F4" s="24">
        <v>12</v>
      </c>
      <c r="G4" s="24" t="s">
        <v>752</v>
      </c>
      <c r="H4" s="24">
        <v>1349484</v>
      </c>
      <c r="I4" s="24"/>
      <c r="J4" s="24" t="s">
        <v>214</v>
      </c>
      <c r="K4" s="24" t="s">
        <v>215</v>
      </c>
      <c r="L4" s="24"/>
      <c r="M4" s="24" t="s">
        <v>288</v>
      </c>
      <c r="N4" s="24" t="s">
        <v>753</v>
      </c>
      <c r="O4" s="24" t="s">
        <v>310</v>
      </c>
      <c r="P4" s="24"/>
      <c r="Q4" s="24" t="s">
        <v>26</v>
      </c>
      <c r="R4" s="24" t="s">
        <v>740</v>
      </c>
      <c r="S4" s="24"/>
      <c r="T4" s="24" t="s">
        <v>741</v>
      </c>
      <c r="U4" s="24"/>
      <c r="V4" s="24" t="s">
        <v>754</v>
      </c>
      <c r="W4" s="24"/>
      <c r="X4" s="24" t="s">
        <v>613</v>
      </c>
      <c r="Y4" s="24" t="s">
        <v>32</v>
      </c>
      <c r="Z4" s="24">
        <v>100213502</v>
      </c>
      <c r="AA4" s="24" t="s">
        <v>222</v>
      </c>
      <c r="AB4" s="24" t="s">
        <v>743</v>
      </c>
      <c r="AC4" s="24"/>
      <c r="AD4" s="24" t="s">
        <v>242</v>
      </c>
      <c r="AE4" s="24" t="s">
        <v>241</v>
      </c>
      <c r="AF4" s="24" t="s">
        <v>240</v>
      </c>
      <c r="AG4" s="24" t="s">
        <v>239</v>
      </c>
      <c r="AH4" s="24"/>
      <c r="AI4" s="24">
        <v>43539</v>
      </c>
      <c r="AJ4" s="24">
        <v>2800</v>
      </c>
      <c r="AK4" s="24">
        <v>5600</v>
      </c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 t="s">
        <v>297</v>
      </c>
      <c r="BH4" s="24"/>
      <c r="BI4" s="24" t="s">
        <v>296</v>
      </c>
      <c r="BJ4" s="24">
        <v>2020</v>
      </c>
      <c r="BK4" s="24" t="s">
        <v>0</v>
      </c>
      <c r="BL4" s="24" t="s">
        <v>226</v>
      </c>
      <c r="BM4" s="24" t="s">
        <v>227</v>
      </c>
      <c r="BN4" s="24">
        <v>43702.107113738428</v>
      </c>
      <c r="BO4" s="24"/>
      <c r="BP4" s="24" t="s">
        <v>755</v>
      </c>
      <c r="BQ4" s="24" t="s">
        <v>236</v>
      </c>
      <c r="BR4" s="24" t="s">
        <v>278</v>
      </c>
      <c r="BS4" s="24">
        <v>4.0823201916710502E+18</v>
      </c>
      <c r="BT4" s="24" t="s">
        <v>229</v>
      </c>
      <c r="BU4" s="24" t="s">
        <v>756</v>
      </c>
      <c r="BV4" s="24">
        <v>2020</v>
      </c>
      <c r="BW4" s="24" t="s">
        <v>230</v>
      </c>
      <c r="BX4" s="24"/>
      <c r="BY4" s="24">
        <v>4.0824201916720799E+18</v>
      </c>
      <c r="BZ4" s="24" t="s">
        <v>757</v>
      </c>
      <c r="CA4" s="24" t="s">
        <v>746</v>
      </c>
    </row>
    <row r="5" spans="1:79" x14ac:dyDescent="0.25">
      <c r="A5" s="24" t="s">
        <v>750</v>
      </c>
      <c r="B5" s="24" t="s">
        <v>751</v>
      </c>
      <c r="C5" s="24">
        <v>2019</v>
      </c>
      <c r="D5" s="24" t="s">
        <v>737</v>
      </c>
      <c r="E5" s="24">
        <v>2.0190823916310099E+17</v>
      </c>
      <c r="F5" s="24">
        <v>12</v>
      </c>
      <c r="G5" s="24" t="s">
        <v>758</v>
      </c>
      <c r="H5" s="24">
        <v>1349484</v>
      </c>
      <c r="I5" s="24"/>
      <c r="J5" s="24" t="s">
        <v>214</v>
      </c>
      <c r="K5" s="24" t="s">
        <v>215</v>
      </c>
      <c r="L5" s="24"/>
      <c r="M5" s="24" t="s">
        <v>288</v>
      </c>
      <c r="N5" s="24" t="s">
        <v>753</v>
      </c>
      <c r="O5" s="24" t="s">
        <v>310</v>
      </c>
      <c r="P5" s="24"/>
      <c r="Q5" s="24" t="s">
        <v>26</v>
      </c>
      <c r="R5" s="24" t="s">
        <v>740</v>
      </c>
      <c r="S5" s="24"/>
      <c r="T5" s="24" t="s">
        <v>741</v>
      </c>
      <c r="U5" s="24"/>
      <c r="V5" s="24" t="s">
        <v>754</v>
      </c>
      <c r="W5" s="24"/>
      <c r="X5" s="24" t="s">
        <v>613</v>
      </c>
      <c r="Y5" s="24" t="s">
        <v>32</v>
      </c>
      <c r="Z5" s="24">
        <v>100213502</v>
      </c>
      <c r="AA5" s="24" t="s">
        <v>222</v>
      </c>
      <c r="AB5" s="24" t="s">
        <v>743</v>
      </c>
      <c r="AC5" s="24"/>
      <c r="AD5" s="24" t="s">
        <v>242</v>
      </c>
      <c r="AE5" s="24" t="s">
        <v>241</v>
      </c>
      <c r="AF5" s="24" t="s">
        <v>240</v>
      </c>
      <c r="AG5" s="24" t="s">
        <v>239</v>
      </c>
      <c r="AH5" s="24"/>
      <c r="AI5" s="24">
        <v>43539</v>
      </c>
      <c r="AJ5" s="24">
        <v>2800</v>
      </c>
      <c r="AK5" s="24">
        <v>5600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 t="s">
        <v>279</v>
      </c>
      <c r="BH5" s="24"/>
      <c r="BI5" s="24" t="s">
        <v>225</v>
      </c>
      <c r="BJ5" s="24">
        <v>2020</v>
      </c>
      <c r="BK5" s="24" t="s">
        <v>0</v>
      </c>
      <c r="BL5" s="24" t="s">
        <v>226</v>
      </c>
      <c r="BM5" s="24" t="s">
        <v>227</v>
      </c>
      <c r="BN5" s="24">
        <v>43702.107113854167</v>
      </c>
      <c r="BO5" s="24"/>
      <c r="BP5" s="24" t="s">
        <v>759</v>
      </c>
      <c r="BQ5" s="24" t="s">
        <v>236</v>
      </c>
      <c r="BR5" s="24" t="s">
        <v>278</v>
      </c>
      <c r="BS5" s="24">
        <v>4.0823201916710502E+18</v>
      </c>
      <c r="BT5" s="24" t="s">
        <v>229</v>
      </c>
      <c r="BU5" s="24" t="s">
        <v>756</v>
      </c>
      <c r="BV5" s="24">
        <v>2020</v>
      </c>
      <c r="BW5" s="24" t="s">
        <v>230</v>
      </c>
      <c r="BX5" s="24"/>
      <c r="BY5" s="24">
        <v>4.0824201916720799E+18</v>
      </c>
      <c r="BZ5" s="24" t="s">
        <v>760</v>
      </c>
      <c r="CA5" s="24" t="s">
        <v>746</v>
      </c>
    </row>
    <row r="6" spans="1:79" x14ac:dyDescent="0.25">
      <c r="A6" s="24" t="s">
        <v>761</v>
      </c>
      <c r="B6" s="24" t="s">
        <v>762</v>
      </c>
      <c r="C6" s="24">
        <v>2019</v>
      </c>
      <c r="D6" s="24" t="s">
        <v>737</v>
      </c>
      <c r="E6" s="24">
        <v>2.01908269163104E+17</v>
      </c>
      <c r="F6" s="24">
        <v>12</v>
      </c>
      <c r="G6" s="24" t="s">
        <v>763</v>
      </c>
      <c r="H6" s="24">
        <v>1349830</v>
      </c>
      <c r="I6" s="24"/>
      <c r="J6" s="24" t="s">
        <v>214</v>
      </c>
      <c r="K6" s="24" t="s">
        <v>215</v>
      </c>
      <c r="L6" s="24"/>
      <c r="M6" s="24"/>
      <c r="N6" s="24" t="s">
        <v>739</v>
      </c>
      <c r="O6" s="24" t="s">
        <v>310</v>
      </c>
      <c r="P6" s="24"/>
      <c r="Q6" s="24" t="s">
        <v>26</v>
      </c>
      <c r="R6" s="24" t="s">
        <v>740</v>
      </c>
      <c r="S6" s="24"/>
      <c r="T6" s="24" t="s">
        <v>741</v>
      </c>
      <c r="U6" s="24"/>
      <c r="V6" s="24" t="s">
        <v>742</v>
      </c>
      <c r="W6" s="24"/>
      <c r="X6" s="24" t="s">
        <v>613</v>
      </c>
      <c r="Y6" s="24" t="s">
        <v>32</v>
      </c>
      <c r="Z6" s="24">
        <v>10021</v>
      </c>
      <c r="AA6" s="24" t="s">
        <v>222</v>
      </c>
      <c r="AB6" s="24" t="s">
        <v>743</v>
      </c>
      <c r="AC6" s="24"/>
      <c r="AD6" s="24" t="s">
        <v>242</v>
      </c>
      <c r="AE6" s="24" t="s">
        <v>241</v>
      </c>
      <c r="AF6" s="24"/>
      <c r="AG6" s="24" t="s">
        <v>239</v>
      </c>
      <c r="AH6" s="24"/>
      <c r="AI6" s="24">
        <v>43539</v>
      </c>
      <c r="AJ6" s="24">
        <v>2651.22</v>
      </c>
      <c r="AK6" s="24">
        <v>2651.22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 t="s">
        <v>279</v>
      </c>
      <c r="BH6" s="24"/>
      <c r="BI6" s="24" t="s">
        <v>225</v>
      </c>
      <c r="BJ6" s="24">
        <v>2020</v>
      </c>
      <c r="BK6" s="24" t="s">
        <v>0</v>
      </c>
      <c r="BL6" s="24" t="s">
        <v>226</v>
      </c>
      <c r="BM6" s="24" t="s">
        <v>227</v>
      </c>
      <c r="BN6" s="24">
        <v>43705.109424907409</v>
      </c>
      <c r="BO6" s="24"/>
      <c r="BP6" s="24" t="s">
        <v>764</v>
      </c>
      <c r="BQ6" s="24" t="s">
        <v>236</v>
      </c>
      <c r="BR6" s="24" t="s">
        <v>278</v>
      </c>
      <c r="BS6" s="24">
        <v>4.0826201916720799E+18</v>
      </c>
      <c r="BT6" s="24" t="s">
        <v>229</v>
      </c>
      <c r="BU6" s="24"/>
      <c r="BV6" s="24">
        <v>2020</v>
      </c>
      <c r="BW6" s="24" t="s">
        <v>230</v>
      </c>
      <c r="BX6" s="24"/>
      <c r="BY6" s="24">
        <v>4.0827201916720901E+18</v>
      </c>
      <c r="BZ6" s="24" t="s">
        <v>765</v>
      </c>
      <c r="CA6" s="24" t="s">
        <v>746</v>
      </c>
    </row>
    <row r="7" spans="1:79" x14ac:dyDescent="0.25">
      <c r="A7" s="24" t="s">
        <v>766</v>
      </c>
      <c r="B7" s="24" t="s">
        <v>767</v>
      </c>
      <c r="C7" s="24">
        <v>2019</v>
      </c>
      <c r="D7" s="24" t="s">
        <v>737</v>
      </c>
      <c r="E7" s="24">
        <v>2.0210404944306202E+17</v>
      </c>
      <c r="F7" s="24">
        <v>12</v>
      </c>
      <c r="G7" s="24" t="s">
        <v>768</v>
      </c>
      <c r="H7" s="24">
        <v>1507515</v>
      </c>
      <c r="I7" s="24"/>
      <c r="J7" s="24" t="s">
        <v>214</v>
      </c>
      <c r="K7" s="24" t="s">
        <v>215</v>
      </c>
      <c r="L7" s="24"/>
      <c r="M7" s="24"/>
      <c r="N7" s="24" t="s">
        <v>739</v>
      </c>
      <c r="O7" s="24" t="s">
        <v>310</v>
      </c>
      <c r="P7" s="24"/>
      <c r="Q7" s="24" t="s">
        <v>26</v>
      </c>
      <c r="R7" s="24" t="s">
        <v>740</v>
      </c>
      <c r="S7" s="24"/>
      <c r="T7" s="24" t="s">
        <v>741</v>
      </c>
      <c r="U7" s="24"/>
      <c r="V7" s="24" t="s">
        <v>769</v>
      </c>
      <c r="W7" s="24" t="s">
        <v>613</v>
      </c>
      <c r="X7" s="24" t="s">
        <v>32</v>
      </c>
      <c r="Y7" s="24" t="s">
        <v>32</v>
      </c>
      <c r="Z7" s="24">
        <v>100213502</v>
      </c>
      <c r="AA7" s="24" t="s">
        <v>222</v>
      </c>
      <c r="AB7" s="24" t="s">
        <v>743</v>
      </c>
      <c r="AC7" s="24"/>
      <c r="AD7" s="24" t="s">
        <v>242</v>
      </c>
      <c r="AE7" s="24" t="s">
        <v>241</v>
      </c>
      <c r="AF7" s="24" t="s">
        <v>240</v>
      </c>
      <c r="AG7" s="24" t="s">
        <v>239</v>
      </c>
      <c r="AH7" s="24"/>
      <c r="AI7" s="24">
        <v>43539</v>
      </c>
      <c r="AJ7" s="24">
        <v>2651.22</v>
      </c>
      <c r="AK7" s="24">
        <v>2651.22</v>
      </c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 t="s">
        <v>279</v>
      </c>
      <c r="BH7" s="24"/>
      <c r="BI7" s="24" t="s">
        <v>225</v>
      </c>
      <c r="BJ7" s="24">
        <v>2020</v>
      </c>
      <c r="BK7" s="24" t="s">
        <v>0</v>
      </c>
      <c r="BL7" s="24" t="s">
        <v>226</v>
      </c>
      <c r="BM7" s="24" t="s">
        <v>227</v>
      </c>
      <c r="BN7" s="24">
        <v>44292.173603819443</v>
      </c>
      <c r="BO7" s="24"/>
      <c r="BP7" s="24" t="s">
        <v>770</v>
      </c>
      <c r="BQ7" s="24" t="s">
        <v>236</v>
      </c>
      <c r="BR7" s="24" t="s">
        <v>278</v>
      </c>
      <c r="BS7" s="24">
        <v>4.0405202112748498E+18</v>
      </c>
      <c r="BT7" s="24" t="s">
        <v>229</v>
      </c>
      <c r="BU7" s="24" t="s">
        <v>756</v>
      </c>
      <c r="BV7" s="24">
        <v>2020</v>
      </c>
      <c r="BW7" s="24" t="s">
        <v>230</v>
      </c>
      <c r="BX7" s="24"/>
      <c r="BY7" s="24">
        <v>4.0406202112748902E+18</v>
      </c>
      <c r="BZ7" s="24" t="s">
        <v>771</v>
      </c>
      <c r="CA7" s="24" t="s">
        <v>746</v>
      </c>
    </row>
    <row r="8" spans="1:79" x14ac:dyDescent="0.25">
      <c r="A8" s="24" t="s">
        <v>772</v>
      </c>
      <c r="B8" s="24" t="s">
        <v>773</v>
      </c>
      <c r="C8" s="24">
        <v>2019</v>
      </c>
      <c r="D8" s="24" t="s">
        <v>737</v>
      </c>
      <c r="E8" s="24">
        <v>2.01904159146156E+17</v>
      </c>
      <c r="F8" s="24">
        <v>12</v>
      </c>
      <c r="G8" s="24" t="s">
        <v>774</v>
      </c>
      <c r="H8" s="24">
        <v>1325376</v>
      </c>
      <c r="I8" s="24"/>
      <c r="J8" s="24" t="s">
        <v>214</v>
      </c>
      <c r="K8" s="24" t="s">
        <v>215</v>
      </c>
      <c r="L8" s="24"/>
      <c r="M8" s="24"/>
      <c r="N8" s="24" t="s">
        <v>739</v>
      </c>
      <c r="O8" s="24" t="s">
        <v>310</v>
      </c>
      <c r="P8" s="24"/>
      <c r="Q8" s="24" t="s">
        <v>26</v>
      </c>
      <c r="R8" s="24" t="s">
        <v>740</v>
      </c>
      <c r="S8" s="24"/>
      <c r="T8" s="24" t="s">
        <v>741</v>
      </c>
      <c r="U8" s="24"/>
      <c r="V8" s="24" t="s">
        <v>742</v>
      </c>
      <c r="W8" s="24"/>
      <c r="X8" s="24" t="s">
        <v>613</v>
      </c>
      <c r="Y8" s="24" t="s">
        <v>32</v>
      </c>
      <c r="Z8" s="24">
        <v>10021</v>
      </c>
      <c r="AA8" s="24" t="s">
        <v>222</v>
      </c>
      <c r="AB8" s="24" t="s">
        <v>743</v>
      </c>
      <c r="AC8" s="24"/>
      <c r="AD8" s="24" t="s">
        <v>242</v>
      </c>
      <c r="AE8" s="24" t="s">
        <v>241</v>
      </c>
      <c r="AF8" s="24" t="s">
        <v>775</v>
      </c>
      <c r="AG8" s="24" t="s">
        <v>239</v>
      </c>
      <c r="AH8" s="24"/>
      <c r="AI8" s="24">
        <v>43539</v>
      </c>
      <c r="AJ8" s="24">
        <v>2800</v>
      </c>
      <c r="AK8" s="24">
        <v>5600</v>
      </c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 t="s">
        <v>297</v>
      </c>
      <c r="BH8" s="24"/>
      <c r="BI8" s="24" t="s">
        <v>296</v>
      </c>
      <c r="BJ8" s="24">
        <v>2020</v>
      </c>
      <c r="BK8" s="24" t="s">
        <v>31</v>
      </c>
      <c r="BL8" s="24" t="s">
        <v>238</v>
      </c>
      <c r="BM8" s="24" t="s">
        <v>227</v>
      </c>
      <c r="BN8" s="24">
        <v>43576.149372314816</v>
      </c>
      <c r="BO8" s="24"/>
      <c r="BP8" s="24"/>
      <c r="BQ8" s="24"/>
      <c r="BR8" s="24" t="s">
        <v>278</v>
      </c>
      <c r="BS8" s="24">
        <v>4.0415201916463299E+18</v>
      </c>
      <c r="BT8" s="24" t="s">
        <v>229</v>
      </c>
      <c r="BU8" s="24" t="s">
        <v>776</v>
      </c>
      <c r="BV8" s="24">
        <v>2020</v>
      </c>
      <c r="BW8" s="24" t="s">
        <v>230</v>
      </c>
      <c r="BX8" s="24"/>
      <c r="BY8" s="24">
        <v>4.0420201916469202E+18</v>
      </c>
      <c r="BZ8" s="24" t="s">
        <v>777</v>
      </c>
      <c r="CA8" s="24" t="s">
        <v>746</v>
      </c>
    </row>
    <row r="9" spans="1:79" x14ac:dyDescent="0.25">
      <c r="A9" s="24" t="s">
        <v>778</v>
      </c>
      <c r="B9" s="24" t="s">
        <v>779</v>
      </c>
      <c r="C9" s="24">
        <v>2019</v>
      </c>
      <c r="D9" s="24" t="s">
        <v>737</v>
      </c>
      <c r="E9" s="24">
        <v>2.0190415914620099E+17</v>
      </c>
      <c r="F9" s="24">
        <v>12</v>
      </c>
      <c r="G9" s="24" t="s">
        <v>780</v>
      </c>
      <c r="H9" s="24">
        <v>1325998</v>
      </c>
      <c r="I9" s="24"/>
      <c r="J9" s="24" t="s">
        <v>214</v>
      </c>
      <c r="K9" s="24" t="s">
        <v>215</v>
      </c>
      <c r="L9" s="24"/>
      <c r="M9" s="24"/>
      <c r="N9" s="24" t="s">
        <v>739</v>
      </c>
      <c r="O9" s="24" t="s">
        <v>310</v>
      </c>
      <c r="P9" s="24"/>
      <c r="Q9" s="24" t="s">
        <v>26</v>
      </c>
      <c r="R9" s="24" t="s">
        <v>740</v>
      </c>
      <c r="S9" s="24"/>
      <c r="T9" s="24" t="s">
        <v>741</v>
      </c>
      <c r="U9" s="24"/>
      <c r="V9" s="24" t="s">
        <v>742</v>
      </c>
      <c r="W9" s="24"/>
      <c r="X9" s="24" t="s">
        <v>613</v>
      </c>
      <c r="Y9" s="24" t="s">
        <v>32</v>
      </c>
      <c r="Z9" s="24">
        <v>100213502</v>
      </c>
      <c r="AA9" s="24" t="s">
        <v>222</v>
      </c>
      <c r="AB9" s="24" t="s">
        <v>743</v>
      </c>
      <c r="AC9" s="24"/>
      <c r="AD9" s="24" t="s">
        <v>242</v>
      </c>
      <c r="AE9" s="24" t="s">
        <v>241</v>
      </c>
      <c r="AF9" s="24"/>
      <c r="AG9" s="24" t="s">
        <v>239</v>
      </c>
      <c r="AH9" s="24"/>
      <c r="AI9" s="24">
        <v>43539</v>
      </c>
      <c r="AJ9" s="24">
        <v>2651.22</v>
      </c>
      <c r="AK9" s="24">
        <v>2651.22</v>
      </c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 t="s">
        <v>279</v>
      </c>
      <c r="BH9" s="24"/>
      <c r="BI9" s="24" t="s">
        <v>225</v>
      </c>
      <c r="BJ9" s="24">
        <v>2020</v>
      </c>
      <c r="BK9" s="24" t="s">
        <v>31</v>
      </c>
      <c r="BL9" s="24" t="s">
        <v>238</v>
      </c>
      <c r="BM9" s="24" t="s">
        <v>227</v>
      </c>
      <c r="BN9" s="24">
        <v>43576.149513854165</v>
      </c>
      <c r="BO9" s="24"/>
      <c r="BP9" s="24" t="s">
        <v>781</v>
      </c>
      <c r="BQ9" s="24" t="s">
        <v>236</v>
      </c>
      <c r="BR9" s="24" t="s">
        <v>278</v>
      </c>
      <c r="BS9" s="24">
        <v>4.0415201916463299E+18</v>
      </c>
      <c r="BT9" s="24" t="s">
        <v>229</v>
      </c>
      <c r="BU9" s="24"/>
      <c r="BV9" s="24">
        <v>2020</v>
      </c>
      <c r="BW9" s="24" t="s">
        <v>230</v>
      </c>
      <c r="BX9" s="24"/>
      <c r="BY9" s="24">
        <v>4.0420201916469299E+18</v>
      </c>
      <c r="BZ9" s="24" t="s">
        <v>782</v>
      </c>
      <c r="CA9" s="24" t="s">
        <v>746</v>
      </c>
    </row>
    <row r="10" spans="1:79" x14ac:dyDescent="0.25">
      <c r="A10" s="24" t="s">
        <v>783</v>
      </c>
      <c r="B10" s="24" t="s">
        <v>784</v>
      </c>
      <c r="C10" s="24">
        <v>2019</v>
      </c>
      <c r="D10" s="24" t="s">
        <v>737</v>
      </c>
      <c r="E10" s="24">
        <v>2.0190605914992998E+17</v>
      </c>
      <c r="F10" s="24">
        <v>12</v>
      </c>
      <c r="G10" s="24" t="s">
        <v>785</v>
      </c>
      <c r="H10" s="24">
        <v>1333095</v>
      </c>
      <c r="I10" s="24"/>
      <c r="J10" s="24" t="s">
        <v>214</v>
      </c>
      <c r="K10" s="24" t="s">
        <v>215</v>
      </c>
      <c r="L10" s="24"/>
      <c r="M10" s="24"/>
      <c r="N10" s="24" t="s">
        <v>739</v>
      </c>
      <c r="O10" s="24" t="s">
        <v>310</v>
      </c>
      <c r="P10" s="24"/>
      <c r="Q10" s="24" t="s">
        <v>26</v>
      </c>
      <c r="R10" s="24" t="s">
        <v>740</v>
      </c>
      <c r="S10" s="24"/>
      <c r="T10" s="24" t="s">
        <v>741</v>
      </c>
      <c r="U10" s="24"/>
      <c r="V10" s="24" t="s">
        <v>769</v>
      </c>
      <c r="W10" s="24"/>
      <c r="X10" s="24" t="s">
        <v>613</v>
      </c>
      <c r="Y10" s="24" t="s">
        <v>32</v>
      </c>
      <c r="Z10" s="24">
        <v>10021</v>
      </c>
      <c r="AA10" s="24" t="s">
        <v>222</v>
      </c>
      <c r="AB10" s="24" t="s">
        <v>743</v>
      </c>
      <c r="AC10" s="24"/>
      <c r="AD10" s="24" t="s">
        <v>242</v>
      </c>
      <c r="AE10" s="24" t="s">
        <v>241</v>
      </c>
      <c r="AF10" s="24"/>
      <c r="AG10" s="24" t="s">
        <v>239</v>
      </c>
      <c r="AH10" s="24"/>
      <c r="AI10" s="24">
        <v>43539</v>
      </c>
      <c r="AJ10" s="24">
        <v>2651.22</v>
      </c>
      <c r="AK10" s="24">
        <v>2651.22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 t="s">
        <v>776</v>
      </c>
      <c r="AZ10" s="24" t="s">
        <v>786</v>
      </c>
      <c r="BA10" s="24"/>
      <c r="BB10" s="24" t="s">
        <v>787</v>
      </c>
      <c r="BC10" s="24" t="s">
        <v>788</v>
      </c>
      <c r="BD10" s="24">
        <v>20824</v>
      </c>
      <c r="BE10" s="24"/>
      <c r="BF10" s="24"/>
      <c r="BG10" s="24" t="s">
        <v>279</v>
      </c>
      <c r="BH10" s="24"/>
      <c r="BI10" s="24" t="s">
        <v>225</v>
      </c>
      <c r="BJ10" s="24">
        <v>2020</v>
      </c>
      <c r="BK10" s="24" t="s">
        <v>217</v>
      </c>
      <c r="BL10" s="24" t="s">
        <v>497</v>
      </c>
      <c r="BM10" s="24" t="s">
        <v>227</v>
      </c>
      <c r="BN10" s="24">
        <v>43623.113017673611</v>
      </c>
      <c r="BO10" s="24"/>
      <c r="BP10" s="24" t="s">
        <v>789</v>
      </c>
      <c r="BQ10" s="24" t="s">
        <v>236</v>
      </c>
      <c r="BR10" s="24" t="s">
        <v>278</v>
      </c>
      <c r="BS10" s="24">
        <v>4.0605201916574899E+18</v>
      </c>
      <c r="BT10" s="24" t="s">
        <v>229</v>
      </c>
      <c r="BU10" s="24"/>
      <c r="BV10" s="24">
        <v>2020</v>
      </c>
      <c r="BW10" s="24" t="s">
        <v>230</v>
      </c>
      <c r="BX10" s="24"/>
      <c r="BY10" s="24">
        <v>4.0606201916575099E+18</v>
      </c>
      <c r="BZ10" s="24" t="s">
        <v>790</v>
      </c>
      <c r="CA10" s="24" t="s">
        <v>746</v>
      </c>
    </row>
    <row r="11" spans="1:79" x14ac:dyDescent="0.25">
      <c r="A11" s="24" t="s">
        <v>791</v>
      </c>
      <c r="B11" s="24" t="s">
        <v>792</v>
      </c>
      <c r="C11" s="24">
        <v>2019</v>
      </c>
      <c r="D11" s="24" t="s">
        <v>737</v>
      </c>
      <c r="E11" s="24">
        <v>2.0190415914634598E+17</v>
      </c>
      <c r="F11" s="24">
        <v>12</v>
      </c>
      <c r="G11" s="24" t="s">
        <v>793</v>
      </c>
      <c r="H11" s="24">
        <v>1326297</v>
      </c>
      <c r="I11" s="24"/>
      <c r="J11" s="24" t="s">
        <v>214</v>
      </c>
      <c r="K11" s="24" t="s">
        <v>215</v>
      </c>
      <c r="L11" s="24"/>
      <c r="M11" s="24"/>
      <c r="N11" s="24" t="s">
        <v>739</v>
      </c>
      <c r="O11" s="24" t="s">
        <v>310</v>
      </c>
      <c r="P11" s="24"/>
      <c r="Q11" s="24" t="s">
        <v>26</v>
      </c>
      <c r="R11" s="24" t="s">
        <v>740</v>
      </c>
      <c r="S11" s="24"/>
      <c r="T11" s="24" t="s">
        <v>741</v>
      </c>
      <c r="U11" s="24"/>
      <c r="V11" s="24" t="s">
        <v>742</v>
      </c>
      <c r="W11" s="24"/>
      <c r="X11" s="24" t="s">
        <v>613</v>
      </c>
      <c r="Y11" s="24" t="s">
        <v>32</v>
      </c>
      <c r="Z11" s="24">
        <v>100213502</v>
      </c>
      <c r="AA11" s="24" t="s">
        <v>222</v>
      </c>
      <c r="AB11" s="24" t="s">
        <v>743</v>
      </c>
      <c r="AC11" s="24"/>
      <c r="AD11" s="24" t="s">
        <v>242</v>
      </c>
      <c r="AE11" s="24" t="s">
        <v>241</v>
      </c>
      <c r="AF11" s="24"/>
      <c r="AG11" s="24" t="s">
        <v>239</v>
      </c>
      <c r="AH11" s="24"/>
      <c r="AI11" s="24">
        <v>43539</v>
      </c>
      <c r="AJ11" s="24">
        <v>2651.22</v>
      </c>
      <c r="AK11" s="24">
        <v>2651.22</v>
      </c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 t="s">
        <v>279</v>
      </c>
      <c r="BH11" s="24"/>
      <c r="BI11" s="24" t="s">
        <v>225</v>
      </c>
      <c r="BJ11" s="24">
        <v>2020</v>
      </c>
      <c r="BK11" s="24" t="s">
        <v>31</v>
      </c>
      <c r="BL11" s="24" t="s">
        <v>238</v>
      </c>
      <c r="BM11" s="24" t="s">
        <v>227</v>
      </c>
      <c r="BN11" s="24">
        <v>43574.204906018516</v>
      </c>
      <c r="BO11" s="24"/>
      <c r="BP11" s="24" t="s">
        <v>794</v>
      </c>
      <c r="BQ11" s="24" t="s">
        <v>236</v>
      </c>
      <c r="BR11" s="24" t="s">
        <v>278</v>
      </c>
      <c r="BS11" s="24">
        <v>4.0416201916464302E+18</v>
      </c>
      <c r="BT11" s="24" t="s">
        <v>229</v>
      </c>
      <c r="BU11" s="24"/>
      <c r="BV11" s="24">
        <v>2020</v>
      </c>
      <c r="BW11" s="24" t="s">
        <v>230</v>
      </c>
      <c r="BX11" s="24"/>
      <c r="BY11" s="24">
        <v>4.04182019164685E+18</v>
      </c>
      <c r="BZ11" s="24" t="s">
        <v>795</v>
      </c>
      <c r="CA11" s="24" t="s">
        <v>746</v>
      </c>
    </row>
    <row r="12" spans="1:79" x14ac:dyDescent="0.25">
      <c r="A12" s="24" t="s">
        <v>796</v>
      </c>
      <c r="B12" s="24" t="s">
        <v>797</v>
      </c>
      <c r="C12" s="24">
        <v>2019</v>
      </c>
      <c r="D12" s="24" t="s">
        <v>737</v>
      </c>
      <c r="E12" s="24">
        <v>2.0190415914616998E+17</v>
      </c>
      <c r="F12" s="24">
        <v>12</v>
      </c>
      <c r="G12" s="24" t="s">
        <v>798</v>
      </c>
      <c r="H12" s="24">
        <v>1325616</v>
      </c>
      <c r="I12" s="24"/>
      <c r="J12" s="24" t="s">
        <v>214</v>
      </c>
      <c r="K12" s="24" t="s">
        <v>215</v>
      </c>
      <c r="L12" s="24"/>
      <c r="M12" s="24"/>
      <c r="N12" s="24" t="s">
        <v>739</v>
      </c>
      <c r="O12" s="24" t="s">
        <v>310</v>
      </c>
      <c r="P12" s="24"/>
      <c r="Q12" s="24" t="s">
        <v>26</v>
      </c>
      <c r="R12" s="24" t="s">
        <v>740</v>
      </c>
      <c r="S12" s="24"/>
      <c r="T12" s="24" t="s">
        <v>741</v>
      </c>
      <c r="U12" s="24"/>
      <c r="V12" s="24" t="s">
        <v>742</v>
      </c>
      <c r="W12" s="24"/>
      <c r="X12" s="24" t="s">
        <v>613</v>
      </c>
      <c r="Y12" s="24" t="s">
        <v>32</v>
      </c>
      <c r="Z12" s="24">
        <v>100213502</v>
      </c>
      <c r="AA12" s="24" t="s">
        <v>222</v>
      </c>
      <c r="AB12" s="24" t="s">
        <v>743</v>
      </c>
      <c r="AC12" s="24"/>
      <c r="AD12" s="24" t="s">
        <v>242</v>
      </c>
      <c r="AE12" s="24" t="s">
        <v>241</v>
      </c>
      <c r="AF12" s="24" t="s">
        <v>240</v>
      </c>
      <c r="AG12" s="24" t="s">
        <v>239</v>
      </c>
      <c r="AH12" s="24"/>
      <c r="AI12" s="24">
        <v>43539</v>
      </c>
      <c r="AJ12" s="24">
        <v>2651.22</v>
      </c>
      <c r="AK12" s="24">
        <v>2651.22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 t="s">
        <v>279</v>
      </c>
      <c r="BH12" s="24"/>
      <c r="BI12" s="24" t="s">
        <v>225</v>
      </c>
      <c r="BJ12" s="24">
        <v>2020</v>
      </c>
      <c r="BK12" s="24" t="s">
        <v>31</v>
      </c>
      <c r="BL12" s="24" t="s">
        <v>238</v>
      </c>
      <c r="BM12" s="24" t="s">
        <v>227</v>
      </c>
      <c r="BN12" s="24">
        <v>43574.201895775463</v>
      </c>
      <c r="BO12" s="24"/>
      <c r="BP12" s="24" t="s">
        <v>799</v>
      </c>
      <c r="BQ12" s="24" t="s">
        <v>236</v>
      </c>
      <c r="BR12" s="24" t="s">
        <v>278</v>
      </c>
      <c r="BS12" s="24">
        <v>4.0415201916463299E+18</v>
      </c>
      <c r="BT12" s="24" t="s">
        <v>229</v>
      </c>
      <c r="BU12" s="24" t="s">
        <v>756</v>
      </c>
      <c r="BV12" s="24">
        <v>2020</v>
      </c>
      <c r="BW12" s="24" t="s">
        <v>230</v>
      </c>
      <c r="BX12" s="24"/>
      <c r="BY12" s="24">
        <v>4.0418201916468198E+18</v>
      </c>
      <c r="BZ12" s="24" t="s">
        <v>800</v>
      </c>
      <c r="CA12" s="24" t="s">
        <v>746</v>
      </c>
    </row>
    <row r="13" spans="1:79" x14ac:dyDescent="0.25">
      <c r="A13" s="24" t="s">
        <v>801</v>
      </c>
      <c r="B13" s="24" t="s">
        <v>802</v>
      </c>
      <c r="C13" s="24">
        <v>2019</v>
      </c>
      <c r="D13" s="24" t="s">
        <v>737</v>
      </c>
      <c r="E13" s="24">
        <v>2.0190415914636E+17</v>
      </c>
      <c r="F13" s="24">
        <v>12</v>
      </c>
      <c r="G13" s="24" t="s">
        <v>803</v>
      </c>
      <c r="H13" s="24">
        <v>1326357</v>
      </c>
      <c r="I13" s="24"/>
      <c r="J13" s="24" t="s">
        <v>214</v>
      </c>
      <c r="K13" s="24" t="s">
        <v>215</v>
      </c>
      <c r="L13" s="24"/>
      <c r="M13" s="24"/>
      <c r="N13" s="24" t="s">
        <v>739</v>
      </c>
      <c r="O13" s="24" t="s">
        <v>310</v>
      </c>
      <c r="P13" s="24"/>
      <c r="Q13" s="24" t="s">
        <v>26</v>
      </c>
      <c r="R13" s="24" t="s">
        <v>740</v>
      </c>
      <c r="S13" s="24"/>
      <c r="T13" s="24" t="s">
        <v>741</v>
      </c>
      <c r="U13" s="24"/>
      <c r="V13" s="24" t="s">
        <v>742</v>
      </c>
      <c r="W13" s="24"/>
      <c r="X13" s="24" t="s">
        <v>613</v>
      </c>
      <c r="Y13" s="24" t="s">
        <v>32</v>
      </c>
      <c r="Z13" s="24">
        <v>10021</v>
      </c>
      <c r="AA13" s="24" t="s">
        <v>222</v>
      </c>
      <c r="AB13" s="24" t="s">
        <v>743</v>
      </c>
      <c r="AC13" s="24"/>
      <c r="AD13" s="24" t="s">
        <v>242</v>
      </c>
      <c r="AE13" s="24" t="s">
        <v>241</v>
      </c>
      <c r="AF13" s="24"/>
      <c r="AG13" s="24" t="s">
        <v>239</v>
      </c>
      <c r="AH13" s="24"/>
      <c r="AI13" s="24">
        <v>43539</v>
      </c>
      <c r="AJ13" s="24">
        <v>2651.22</v>
      </c>
      <c r="AK13" s="24">
        <v>2651.22</v>
      </c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 t="s">
        <v>279</v>
      </c>
      <c r="BH13" s="24"/>
      <c r="BI13" s="24" t="s">
        <v>225</v>
      </c>
      <c r="BJ13" s="24">
        <v>2020</v>
      </c>
      <c r="BK13" s="24" t="s">
        <v>31</v>
      </c>
      <c r="BL13" s="24" t="s">
        <v>238</v>
      </c>
      <c r="BM13" s="24" t="s">
        <v>227</v>
      </c>
      <c r="BN13" s="24">
        <v>43576.149554629628</v>
      </c>
      <c r="BO13" s="24"/>
      <c r="BP13" s="24" t="s">
        <v>804</v>
      </c>
      <c r="BQ13" s="24" t="s">
        <v>236</v>
      </c>
      <c r="BR13" s="24" t="s">
        <v>278</v>
      </c>
      <c r="BS13" s="24">
        <v>4.0416201916464302E+18</v>
      </c>
      <c r="BT13" s="24" t="s">
        <v>229</v>
      </c>
      <c r="BU13" s="24"/>
      <c r="BV13" s="24">
        <v>2020</v>
      </c>
      <c r="BW13" s="24" t="s">
        <v>230</v>
      </c>
      <c r="BX13" s="24"/>
      <c r="BY13" s="24">
        <v>4.0420201916469402E+18</v>
      </c>
      <c r="BZ13" s="24" t="s">
        <v>805</v>
      </c>
      <c r="CA13" s="24" t="s">
        <v>746</v>
      </c>
    </row>
    <row r="14" spans="1:79" x14ac:dyDescent="0.25">
      <c r="A14" s="24" t="s">
        <v>806</v>
      </c>
      <c r="B14" s="24" t="s">
        <v>807</v>
      </c>
      <c r="C14" s="24">
        <v>2019</v>
      </c>
      <c r="D14" s="24" t="s">
        <v>737</v>
      </c>
      <c r="E14" s="24">
        <v>2.0190415914617101E+17</v>
      </c>
      <c r="F14" s="24">
        <v>12</v>
      </c>
      <c r="G14" s="24" t="s">
        <v>808</v>
      </c>
      <c r="H14" s="24">
        <v>1325638</v>
      </c>
      <c r="I14" s="24"/>
      <c r="J14" s="24" t="s">
        <v>214</v>
      </c>
      <c r="K14" s="24" t="s">
        <v>215</v>
      </c>
      <c r="L14" s="24"/>
      <c r="M14" s="24"/>
      <c r="N14" s="24" t="s">
        <v>739</v>
      </c>
      <c r="O14" s="24" t="s">
        <v>310</v>
      </c>
      <c r="P14" s="24"/>
      <c r="Q14" s="24" t="s">
        <v>26</v>
      </c>
      <c r="R14" s="24" t="s">
        <v>740</v>
      </c>
      <c r="S14" s="24"/>
      <c r="T14" s="24" t="s">
        <v>741</v>
      </c>
      <c r="U14" s="24"/>
      <c r="V14" s="24" t="s">
        <v>742</v>
      </c>
      <c r="W14" s="24"/>
      <c r="X14" s="24" t="s">
        <v>613</v>
      </c>
      <c r="Y14" s="24" t="s">
        <v>32</v>
      </c>
      <c r="Z14" s="24">
        <v>100213502</v>
      </c>
      <c r="AA14" s="24" t="s">
        <v>222</v>
      </c>
      <c r="AB14" s="24" t="s">
        <v>743</v>
      </c>
      <c r="AC14" s="24"/>
      <c r="AD14" s="24" t="s">
        <v>242</v>
      </c>
      <c r="AE14" s="24" t="s">
        <v>241</v>
      </c>
      <c r="AF14" s="24"/>
      <c r="AG14" s="24" t="s">
        <v>239</v>
      </c>
      <c r="AH14" s="24"/>
      <c r="AI14" s="24">
        <v>43539</v>
      </c>
      <c r="AJ14" s="24">
        <v>2800</v>
      </c>
      <c r="AK14" s="24">
        <v>5600</v>
      </c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 t="s">
        <v>279</v>
      </c>
      <c r="BH14" s="24"/>
      <c r="BI14" s="24" t="s">
        <v>225</v>
      </c>
      <c r="BJ14" s="24">
        <v>2020</v>
      </c>
      <c r="BK14" s="24" t="s">
        <v>31</v>
      </c>
      <c r="BL14" s="24" t="s">
        <v>238</v>
      </c>
      <c r="BM14" s="24" t="s">
        <v>227</v>
      </c>
      <c r="BN14" s="24">
        <v>43576.149418831017</v>
      </c>
      <c r="BO14" s="24"/>
      <c r="BP14" s="24" t="s">
        <v>809</v>
      </c>
      <c r="BQ14" s="24" t="s">
        <v>236</v>
      </c>
      <c r="BR14" s="24" t="s">
        <v>278</v>
      </c>
      <c r="BS14" s="24">
        <v>4.0415201916463299E+18</v>
      </c>
      <c r="BT14" s="24" t="s">
        <v>229</v>
      </c>
      <c r="BU14" s="24"/>
      <c r="BV14" s="24">
        <v>2020</v>
      </c>
      <c r="BW14" s="24" t="s">
        <v>230</v>
      </c>
      <c r="BX14" s="24"/>
      <c r="BY14" s="24">
        <v>4.0420201916469202E+18</v>
      </c>
      <c r="BZ14" s="24" t="s">
        <v>810</v>
      </c>
      <c r="CA14" s="24" t="s">
        <v>746</v>
      </c>
    </row>
    <row r="15" spans="1:79" x14ac:dyDescent="0.25">
      <c r="A15" s="24" t="s">
        <v>806</v>
      </c>
      <c r="B15" s="24" t="s">
        <v>807</v>
      </c>
      <c r="C15" s="24">
        <v>2019</v>
      </c>
      <c r="D15" s="24" t="s">
        <v>737</v>
      </c>
      <c r="E15" s="24">
        <v>2.0190415914617101E+17</v>
      </c>
      <c r="F15" s="24">
        <v>12</v>
      </c>
      <c r="G15" s="24" t="s">
        <v>811</v>
      </c>
      <c r="H15" s="24">
        <v>1325638</v>
      </c>
      <c r="I15" s="24"/>
      <c r="J15" s="24" t="s">
        <v>214</v>
      </c>
      <c r="K15" s="24" t="s">
        <v>215</v>
      </c>
      <c r="L15" s="24"/>
      <c r="M15" s="24"/>
      <c r="N15" s="24" t="s">
        <v>739</v>
      </c>
      <c r="O15" s="24" t="s">
        <v>310</v>
      </c>
      <c r="P15" s="24"/>
      <c r="Q15" s="24" t="s">
        <v>26</v>
      </c>
      <c r="R15" s="24" t="s">
        <v>740</v>
      </c>
      <c r="S15" s="24"/>
      <c r="T15" s="24" t="s">
        <v>741</v>
      </c>
      <c r="U15" s="24"/>
      <c r="V15" s="24" t="s">
        <v>742</v>
      </c>
      <c r="W15" s="24"/>
      <c r="X15" s="24" t="s">
        <v>613</v>
      </c>
      <c r="Y15" s="24" t="s">
        <v>32</v>
      </c>
      <c r="Z15" s="24">
        <v>100213502</v>
      </c>
      <c r="AA15" s="24" t="s">
        <v>222</v>
      </c>
      <c r="AB15" s="24" t="s">
        <v>743</v>
      </c>
      <c r="AC15" s="24"/>
      <c r="AD15" s="24" t="s">
        <v>242</v>
      </c>
      <c r="AE15" s="24" t="s">
        <v>241</v>
      </c>
      <c r="AF15" s="24"/>
      <c r="AG15" s="24" t="s">
        <v>239</v>
      </c>
      <c r="AH15" s="24"/>
      <c r="AI15" s="24">
        <v>43539</v>
      </c>
      <c r="AJ15" s="24">
        <v>2800</v>
      </c>
      <c r="AK15" s="24">
        <v>5600</v>
      </c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 t="s">
        <v>297</v>
      </c>
      <c r="BH15" s="24"/>
      <c r="BI15" s="24" t="s">
        <v>296</v>
      </c>
      <c r="BJ15" s="24">
        <v>2020</v>
      </c>
      <c r="BK15" s="24" t="s">
        <v>31</v>
      </c>
      <c r="BL15" s="24" t="s">
        <v>238</v>
      </c>
      <c r="BM15" s="24" t="s">
        <v>227</v>
      </c>
      <c r="BN15" s="24">
        <v>43576.14941888889</v>
      </c>
      <c r="BO15" s="24"/>
      <c r="BP15" s="24" t="s">
        <v>812</v>
      </c>
      <c r="BQ15" s="24" t="s">
        <v>236</v>
      </c>
      <c r="BR15" s="24" t="s">
        <v>278</v>
      </c>
      <c r="BS15" s="24">
        <v>4.0415201916463299E+18</v>
      </c>
      <c r="BT15" s="24" t="s">
        <v>229</v>
      </c>
      <c r="BU15" s="24"/>
      <c r="BV15" s="24">
        <v>2020</v>
      </c>
      <c r="BW15" s="24" t="s">
        <v>230</v>
      </c>
      <c r="BX15" s="24"/>
      <c r="BY15" s="24">
        <v>4.0420201916469202E+18</v>
      </c>
      <c r="BZ15" s="24" t="s">
        <v>813</v>
      </c>
      <c r="CA15" s="24" t="s">
        <v>746</v>
      </c>
    </row>
    <row r="16" spans="1:79" x14ac:dyDescent="0.25">
      <c r="A16" s="24" t="s">
        <v>814</v>
      </c>
      <c r="B16" s="24" t="s">
        <v>815</v>
      </c>
      <c r="C16" s="24">
        <v>2019</v>
      </c>
      <c r="D16" s="24" t="s">
        <v>737</v>
      </c>
      <c r="E16" s="24">
        <v>2.0190713915058701E+17</v>
      </c>
      <c r="F16" s="24">
        <v>12</v>
      </c>
      <c r="G16" s="24" t="s">
        <v>816</v>
      </c>
      <c r="H16" s="24">
        <v>1338851</v>
      </c>
      <c r="I16" s="24"/>
      <c r="J16" s="24" t="s">
        <v>214</v>
      </c>
      <c r="K16" s="24" t="s">
        <v>215</v>
      </c>
      <c r="L16" s="24"/>
      <c r="M16" s="24"/>
      <c r="N16" s="24" t="s">
        <v>739</v>
      </c>
      <c r="O16" s="24" t="s">
        <v>310</v>
      </c>
      <c r="P16" s="24"/>
      <c r="Q16" s="24" t="s">
        <v>26</v>
      </c>
      <c r="R16" s="24" t="s">
        <v>740</v>
      </c>
      <c r="S16" s="24"/>
      <c r="T16" s="24" t="s">
        <v>741</v>
      </c>
      <c r="U16" s="24"/>
      <c r="V16" s="24" t="s">
        <v>742</v>
      </c>
      <c r="W16" s="24"/>
      <c r="X16" s="24" t="s">
        <v>613</v>
      </c>
      <c r="Y16" s="24" t="s">
        <v>32</v>
      </c>
      <c r="Z16" s="24">
        <v>100213502</v>
      </c>
      <c r="AA16" s="24" t="s">
        <v>222</v>
      </c>
      <c r="AB16" s="24" t="s">
        <v>743</v>
      </c>
      <c r="AC16" s="24"/>
      <c r="AD16" s="24" t="s">
        <v>242</v>
      </c>
      <c r="AE16" s="24" t="s">
        <v>241</v>
      </c>
      <c r="AF16" s="24"/>
      <c r="AG16" s="24" t="s">
        <v>239</v>
      </c>
      <c r="AH16" s="24"/>
      <c r="AI16" s="24">
        <v>43553</v>
      </c>
      <c r="AJ16" s="24">
        <v>2651.22</v>
      </c>
      <c r="AK16" s="24">
        <v>2651.22</v>
      </c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 t="s">
        <v>279</v>
      </c>
      <c r="BH16" s="24"/>
      <c r="BI16" s="24" t="s">
        <v>225</v>
      </c>
      <c r="BJ16" s="24">
        <v>2020</v>
      </c>
      <c r="BK16" s="24" t="s">
        <v>0</v>
      </c>
      <c r="BL16" s="24" t="s">
        <v>226</v>
      </c>
      <c r="BM16" s="24" t="s">
        <v>227</v>
      </c>
      <c r="BN16" s="24">
        <v>43673.109525057873</v>
      </c>
      <c r="BO16" s="24"/>
      <c r="BP16" s="24" t="s">
        <v>817</v>
      </c>
      <c r="BQ16" s="24" t="s">
        <v>236</v>
      </c>
      <c r="BR16" s="24" t="s">
        <v>278</v>
      </c>
      <c r="BS16" s="24">
        <v>4.0713201916593603E+18</v>
      </c>
      <c r="BT16" s="24" t="s">
        <v>229</v>
      </c>
      <c r="BU16" s="24" t="s">
        <v>818</v>
      </c>
      <c r="BV16" s="24">
        <v>2020</v>
      </c>
      <c r="BW16" s="24" t="s">
        <v>230</v>
      </c>
      <c r="BX16" s="24"/>
      <c r="BY16" s="24">
        <v>4.0726201916613202E+18</v>
      </c>
      <c r="BZ16" s="24" t="s">
        <v>819</v>
      </c>
      <c r="CA16" s="24" t="s">
        <v>746</v>
      </c>
    </row>
    <row r="17" spans="1:79" x14ac:dyDescent="0.25">
      <c r="A17" s="24" t="s">
        <v>820</v>
      </c>
      <c r="B17" s="24" t="s">
        <v>821</v>
      </c>
      <c r="C17" s="24">
        <v>2019</v>
      </c>
      <c r="D17" s="24" t="s">
        <v>737</v>
      </c>
      <c r="E17" s="24">
        <v>2.0190722915161402E+17</v>
      </c>
      <c r="F17" s="24">
        <v>12</v>
      </c>
      <c r="G17" s="24" t="s">
        <v>822</v>
      </c>
      <c r="H17" s="24">
        <v>1343250</v>
      </c>
      <c r="I17" s="24"/>
      <c r="J17" s="24" t="s">
        <v>214</v>
      </c>
      <c r="K17" s="24" t="s">
        <v>215</v>
      </c>
      <c r="L17" s="24"/>
      <c r="M17" s="24"/>
      <c r="N17" s="24" t="s">
        <v>739</v>
      </c>
      <c r="O17" s="24" t="s">
        <v>310</v>
      </c>
      <c r="P17" s="24"/>
      <c r="Q17" s="24" t="s">
        <v>26</v>
      </c>
      <c r="R17" s="24" t="s">
        <v>740</v>
      </c>
      <c r="S17" s="24"/>
      <c r="T17" s="24" t="s">
        <v>741</v>
      </c>
      <c r="U17" s="24"/>
      <c r="V17" s="24" t="s">
        <v>742</v>
      </c>
      <c r="W17" s="24"/>
      <c r="X17" s="24" t="s">
        <v>613</v>
      </c>
      <c r="Y17" s="24" t="s">
        <v>32</v>
      </c>
      <c r="Z17" s="24">
        <v>10021</v>
      </c>
      <c r="AA17" s="24" t="s">
        <v>222</v>
      </c>
      <c r="AB17" s="24" t="s">
        <v>743</v>
      </c>
      <c r="AC17" s="24"/>
      <c r="AD17" s="24" t="s">
        <v>242</v>
      </c>
      <c r="AE17" s="24" t="s">
        <v>241</v>
      </c>
      <c r="AF17" s="24" t="s">
        <v>823</v>
      </c>
      <c r="AG17" s="24" t="s">
        <v>239</v>
      </c>
      <c r="AH17" s="24"/>
      <c r="AI17" s="24">
        <v>43539</v>
      </c>
      <c r="AJ17" s="24">
        <v>2651.22</v>
      </c>
      <c r="AK17" s="24">
        <v>2651.22</v>
      </c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 t="s">
        <v>279</v>
      </c>
      <c r="BH17" s="24"/>
      <c r="BI17" s="24" t="s">
        <v>225</v>
      </c>
      <c r="BJ17" s="24">
        <v>2020</v>
      </c>
      <c r="BK17" s="24" t="s">
        <v>31</v>
      </c>
      <c r="BL17" s="24" t="s">
        <v>238</v>
      </c>
      <c r="BM17" s="24" t="s">
        <v>227</v>
      </c>
      <c r="BN17" s="24">
        <v>43673.109885451391</v>
      </c>
      <c r="BO17" s="24"/>
      <c r="BP17" s="24"/>
      <c r="BQ17" s="24"/>
      <c r="BR17" s="24" t="s">
        <v>278</v>
      </c>
      <c r="BS17" s="24">
        <v>4.0722201916607401E+18</v>
      </c>
      <c r="BT17" s="24" t="s">
        <v>229</v>
      </c>
      <c r="BU17" s="24"/>
      <c r="BV17" s="24">
        <v>2020</v>
      </c>
      <c r="BW17" s="24" t="s">
        <v>230</v>
      </c>
      <c r="BX17" s="24"/>
      <c r="BY17" s="24">
        <v>4.0726201916613499E+18</v>
      </c>
      <c r="BZ17" s="24" t="s">
        <v>824</v>
      </c>
      <c r="CA17" s="24" t="s">
        <v>746</v>
      </c>
    </row>
    <row r="18" spans="1:79" x14ac:dyDescent="0.25">
      <c r="A18" s="24" t="s">
        <v>825</v>
      </c>
      <c r="B18" s="24" t="s">
        <v>826</v>
      </c>
      <c r="C18" s="24">
        <v>2019</v>
      </c>
      <c r="D18" s="24" t="s">
        <v>737</v>
      </c>
      <c r="E18" s="24">
        <v>2.0190715915099802E+17</v>
      </c>
      <c r="F18" s="24">
        <v>12</v>
      </c>
      <c r="G18" s="24" t="s">
        <v>827</v>
      </c>
      <c r="H18" s="24">
        <v>1340871</v>
      </c>
      <c r="I18" s="24"/>
      <c r="J18" s="24" t="s">
        <v>214</v>
      </c>
      <c r="K18" s="24" t="s">
        <v>215</v>
      </c>
      <c r="L18" s="24"/>
      <c r="M18" s="24"/>
      <c r="N18" s="24" t="s">
        <v>739</v>
      </c>
      <c r="O18" s="24" t="s">
        <v>310</v>
      </c>
      <c r="P18" s="24"/>
      <c r="Q18" s="24" t="s">
        <v>26</v>
      </c>
      <c r="R18" s="24" t="s">
        <v>740</v>
      </c>
      <c r="S18" s="24"/>
      <c r="T18" s="24" t="s">
        <v>741</v>
      </c>
      <c r="U18" s="24"/>
      <c r="V18" s="24" t="s">
        <v>754</v>
      </c>
      <c r="W18" s="24"/>
      <c r="X18" s="24" t="s">
        <v>613</v>
      </c>
      <c r="Y18" s="24" t="s">
        <v>32</v>
      </c>
      <c r="Z18" s="24">
        <v>10021</v>
      </c>
      <c r="AA18" s="24" t="s">
        <v>222</v>
      </c>
      <c r="AB18" s="24" t="s">
        <v>743</v>
      </c>
      <c r="AC18" s="24"/>
      <c r="AD18" s="24" t="s">
        <v>242</v>
      </c>
      <c r="AE18" s="24" t="s">
        <v>241</v>
      </c>
      <c r="AF18" s="24"/>
      <c r="AG18" s="24" t="s">
        <v>239</v>
      </c>
      <c r="AH18" s="24"/>
      <c r="AI18" s="24">
        <v>43539</v>
      </c>
      <c r="AJ18" s="24">
        <v>2800</v>
      </c>
      <c r="AK18" s="24">
        <v>5600</v>
      </c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 t="s">
        <v>297</v>
      </c>
      <c r="BH18" s="24"/>
      <c r="BI18" s="24" t="s">
        <v>296</v>
      </c>
      <c r="BJ18" s="24">
        <v>2020</v>
      </c>
      <c r="BK18" s="24" t="s">
        <v>0</v>
      </c>
      <c r="BL18" s="24" t="s">
        <v>226</v>
      </c>
      <c r="BM18" s="24" t="s">
        <v>227</v>
      </c>
      <c r="BN18" s="24">
        <v>43673.110211608793</v>
      </c>
      <c r="BO18" s="24"/>
      <c r="BP18" s="24" t="s">
        <v>828</v>
      </c>
      <c r="BQ18" s="24" t="s">
        <v>236</v>
      </c>
      <c r="BR18" s="24" t="s">
        <v>278</v>
      </c>
      <c r="BS18" s="24">
        <v>4.0716201916595799E+18</v>
      </c>
      <c r="BT18" s="24" t="s">
        <v>229</v>
      </c>
      <c r="BU18" s="24"/>
      <c r="BV18" s="24">
        <v>2020</v>
      </c>
      <c r="BW18" s="24" t="s">
        <v>230</v>
      </c>
      <c r="BX18" s="24"/>
      <c r="BY18" s="24">
        <v>4.0726201916614001E+18</v>
      </c>
      <c r="BZ18" s="24" t="s">
        <v>829</v>
      </c>
      <c r="CA18" s="24" t="s">
        <v>746</v>
      </c>
    </row>
    <row r="19" spans="1:79" x14ac:dyDescent="0.25">
      <c r="A19" s="24" t="s">
        <v>825</v>
      </c>
      <c r="B19" s="24" t="s">
        <v>826</v>
      </c>
      <c r="C19" s="24">
        <v>2019</v>
      </c>
      <c r="D19" s="24" t="s">
        <v>737</v>
      </c>
      <c r="E19" s="24">
        <v>2.0190715915099802E+17</v>
      </c>
      <c r="F19" s="24">
        <v>12</v>
      </c>
      <c r="G19" s="24" t="s">
        <v>830</v>
      </c>
      <c r="H19" s="24">
        <v>1340871</v>
      </c>
      <c r="I19" s="24"/>
      <c r="J19" s="24" t="s">
        <v>214</v>
      </c>
      <c r="K19" s="24" t="s">
        <v>215</v>
      </c>
      <c r="L19" s="24"/>
      <c r="M19" s="24"/>
      <c r="N19" s="24" t="s">
        <v>739</v>
      </c>
      <c r="O19" s="24" t="s">
        <v>310</v>
      </c>
      <c r="P19" s="24"/>
      <c r="Q19" s="24" t="s">
        <v>26</v>
      </c>
      <c r="R19" s="24" t="s">
        <v>740</v>
      </c>
      <c r="S19" s="24"/>
      <c r="T19" s="24" t="s">
        <v>741</v>
      </c>
      <c r="U19" s="24"/>
      <c r="V19" s="24" t="s">
        <v>754</v>
      </c>
      <c r="W19" s="24"/>
      <c r="X19" s="24" t="s">
        <v>613</v>
      </c>
      <c r="Y19" s="24" t="s">
        <v>32</v>
      </c>
      <c r="Z19" s="24">
        <v>10021</v>
      </c>
      <c r="AA19" s="24" t="s">
        <v>222</v>
      </c>
      <c r="AB19" s="24" t="s">
        <v>743</v>
      </c>
      <c r="AC19" s="24"/>
      <c r="AD19" s="24" t="s">
        <v>242</v>
      </c>
      <c r="AE19" s="24" t="s">
        <v>241</v>
      </c>
      <c r="AF19" s="24"/>
      <c r="AG19" s="24" t="s">
        <v>239</v>
      </c>
      <c r="AH19" s="24"/>
      <c r="AI19" s="24">
        <v>43539</v>
      </c>
      <c r="AJ19" s="24">
        <v>2800</v>
      </c>
      <c r="AK19" s="24">
        <v>5600</v>
      </c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 t="s">
        <v>279</v>
      </c>
      <c r="BH19" s="24"/>
      <c r="BI19" s="24" t="s">
        <v>225</v>
      </c>
      <c r="BJ19" s="24">
        <v>2020</v>
      </c>
      <c r="BK19" s="24" t="s">
        <v>0</v>
      </c>
      <c r="BL19" s="24" t="s">
        <v>226</v>
      </c>
      <c r="BM19" s="24" t="s">
        <v>227</v>
      </c>
      <c r="BN19" s="24">
        <v>43673.110233703701</v>
      </c>
      <c r="BO19" s="24"/>
      <c r="BP19" s="24" t="s">
        <v>831</v>
      </c>
      <c r="BQ19" s="24" t="s">
        <v>236</v>
      </c>
      <c r="BR19" s="24" t="s">
        <v>278</v>
      </c>
      <c r="BS19" s="24">
        <v>4.0716201916595799E+18</v>
      </c>
      <c r="BT19" s="24" t="s">
        <v>229</v>
      </c>
      <c r="BU19" s="24"/>
      <c r="BV19" s="24">
        <v>2020</v>
      </c>
      <c r="BW19" s="24" t="s">
        <v>230</v>
      </c>
      <c r="BX19" s="24"/>
      <c r="BY19" s="24">
        <v>4.0726201916614001E+18</v>
      </c>
      <c r="BZ19" s="24" t="s">
        <v>832</v>
      </c>
      <c r="CA19" s="24" t="s">
        <v>746</v>
      </c>
    </row>
    <row r="20" spans="1:79" x14ac:dyDescent="0.25">
      <c r="A20" s="24" t="s">
        <v>833</v>
      </c>
      <c r="B20" s="24" t="s">
        <v>834</v>
      </c>
      <c r="C20" s="24">
        <v>2019</v>
      </c>
      <c r="D20" s="24" t="s">
        <v>737</v>
      </c>
      <c r="E20" s="24">
        <v>2.01907159150896E+17</v>
      </c>
      <c r="F20" s="24">
        <v>12</v>
      </c>
      <c r="G20" s="24" t="s">
        <v>835</v>
      </c>
      <c r="H20" s="24">
        <v>1340635</v>
      </c>
      <c r="I20" s="24"/>
      <c r="J20" s="24" t="s">
        <v>214</v>
      </c>
      <c r="K20" s="24" t="s">
        <v>215</v>
      </c>
      <c r="L20" s="24"/>
      <c r="M20" s="24"/>
      <c r="N20" s="24" t="s">
        <v>739</v>
      </c>
      <c r="O20" s="24" t="s">
        <v>310</v>
      </c>
      <c r="P20" s="24"/>
      <c r="Q20" s="24" t="s">
        <v>26</v>
      </c>
      <c r="R20" s="24" t="s">
        <v>740</v>
      </c>
      <c r="S20" s="24"/>
      <c r="T20" s="24" t="s">
        <v>741</v>
      </c>
      <c r="U20" s="24"/>
      <c r="V20" s="24" t="s">
        <v>742</v>
      </c>
      <c r="W20" s="24"/>
      <c r="X20" s="24" t="s">
        <v>613</v>
      </c>
      <c r="Y20" s="24" t="s">
        <v>32</v>
      </c>
      <c r="Z20" s="24">
        <v>10021</v>
      </c>
      <c r="AA20" s="24" t="s">
        <v>222</v>
      </c>
      <c r="AB20" s="24" t="s">
        <v>743</v>
      </c>
      <c r="AC20" s="24"/>
      <c r="AD20" s="24" t="s">
        <v>242</v>
      </c>
      <c r="AE20" s="24" t="s">
        <v>241</v>
      </c>
      <c r="AF20" s="24"/>
      <c r="AG20" s="24" t="s">
        <v>239</v>
      </c>
      <c r="AH20" s="24"/>
      <c r="AI20" s="24">
        <v>43539</v>
      </c>
      <c r="AJ20" s="24">
        <v>2651.22</v>
      </c>
      <c r="AK20" s="24">
        <v>2651.22</v>
      </c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 t="s">
        <v>279</v>
      </c>
      <c r="BH20" s="24"/>
      <c r="BI20" s="24" t="s">
        <v>225</v>
      </c>
      <c r="BJ20" s="24">
        <v>2020</v>
      </c>
      <c r="BK20" s="24" t="s">
        <v>0</v>
      </c>
      <c r="BL20" s="24" t="s">
        <v>226</v>
      </c>
      <c r="BM20" s="24" t="s">
        <v>227</v>
      </c>
      <c r="BN20" s="24">
        <v>43673.110234814812</v>
      </c>
      <c r="BO20" s="24"/>
      <c r="BP20" s="24" t="s">
        <v>836</v>
      </c>
      <c r="BQ20" s="24" t="s">
        <v>236</v>
      </c>
      <c r="BR20" s="24" t="s">
        <v>278</v>
      </c>
      <c r="BS20" s="24">
        <v>4.07152019165954E+18</v>
      </c>
      <c r="BT20" s="24" t="s">
        <v>229</v>
      </c>
      <c r="BU20" s="24"/>
      <c r="BV20" s="24">
        <v>2020</v>
      </c>
      <c r="BW20" s="24" t="s">
        <v>230</v>
      </c>
      <c r="BX20" s="24"/>
      <c r="BY20" s="24">
        <v>4.0726201916614001E+18</v>
      </c>
      <c r="BZ20" s="24" t="s">
        <v>837</v>
      </c>
      <c r="CA20" s="24" t="s">
        <v>746</v>
      </c>
    </row>
    <row r="21" spans="1:79" x14ac:dyDescent="0.25">
      <c r="A21" s="24" t="s">
        <v>838</v>
      </c>
      <c r="B21" s="24" t="s">
        <v>839</v>
      </c>
      <c r="C21" s="24">
        <v>2019</v>
      </c>
      <c r="D21" s="24" t="s">
        <v>737</v>
      </c>
      <c r="E21" s="24">
        <v>2.0190415914633299E+17</v>
      </c>
      <c r="F21" s="24">
        <v>12</v>
      </c>
      <c r="G21" s="24" t="s">
        <v>840</v>
      </c>
      <c r="H21" s="24">
        <v>1326169</v>
      </c>
      <c r="I21" s="24"/>
      <c r="J21" s="24" t="s">
        <v>214</v>
      </c>
      <c r="K21" s="24" t="s">
        <v>215</v>
      </c>
      <c r="L21" s="24"/>
      <c r="M21" s="24"/>
      <c r="N21" s="24" t="s">
        <v>739</v>
      </c>
      <c r="O21" s="24" t="s">
        <v>310</v>
      </c>
      <c r="P21" s="24"/>
      <c r="Q21" s="24" t="s">
        <v>26</v>
      </c>
      <c r="R21" s="24" t="s">
        <v>740</v>
      </c>
      <c r="S21" s="24"/>
      <c r="T21" s="24" t="s">
        <v>741</v>
      </c>
      <c r="U21" s="24"/>
      <c r="V21" s="24" t="s">
        <v>754</v>
      </c>
      <c r="W21" s="24"/>
      <c r="X21" s="24" t="s">
        <v>613</v>
      </c>
      <c r="Y21" s="24" t="s">
        <v>32</v>
      </c>
      <c r="Z21" s="24">
        <v>10021</v>
      </c>
      <c r="AA21" s="24" t="s">
        <v>222</v>
      </c>
      <c r="AB21" s="24" t="s">
        <v>743</v>
      </c>
      <c r="AC21" s="24"/>
      <c r="AD21" s="24" t="s">
        <v>242</v>
      </c>
      <c r="AE21" s="24" t="s">
        <v>241</v>
      </c>
      <c r="AF21" s="24"/>
      <c r="AG21" s="24" t="s">
        <v>239</v>
      </c>
      <c r="AH21" s="24"/>
      <c r="AI21" s="24">
        <v>43539</v>
      </c>
      <c r="AJ21" s="24">
        <v>2651.22</v>
      </c>
      <c r="AK21" s="24">
        <v>2651.22</v>
      </c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 t="s">
        <v>279</v>
      </c>
      <c r="BH21" s="24"/>
      <c r="BI21" s="24" t="s">
        <v>225</v>
      </c>
      <c r="BJ21" s="24">
        <v>2020</v>
      </c>
      <c r="BK21" s="24" t="s">
        <v>31</v>
      </c>
      <c r="BL21" s="24" t="s">
        <v>238</v>
      </c>
      <c r="BM21" s="24" t="s">
        <v>227</v>
      </c>
      <c r="BN21" s="24">
        <v>43572.114679837963</v>
      </c>
      <c r="BO21" s="24"/>
      <c r="BP21" s="24" t="s">
        <v>841</v>
      </c>
      <c r="BQ21" s="24" t="s">
        <v>236</v>
      </c>
      <c r="BR21" s="24" t="s">
        <v>278</v>
      </c>
      <c r="BS21" s="24">
        <v>4.0415201916463299E+18</v>
      </c>
      <c r="BT21" s="24" t="s">
        <v>229</v>
      </c>
      <c r="BU21" s="24"/>
      <c r="BV21" s="24">
        <v>2020</v>
      </c>
      <c r="BW21" s="24" t="s">
        <v>230</v>
      </c>
      <c r="BX21" s="24"/>
      <c r="BY21" s="24">
        <v>4.0416201916464599E+18</v>
      </c>
      <c r="BZ21" s="24" t="s">
        <v>842</v>
      </c>
      <c r="CA21" s="24" t="s">
        <v>746</v>
      </c>
    </row>
    <row r="22" spans="1:79" x14ac:dyDescent="0.25">
      <c r="A22" s="24" t="s">
        <v>843</v>
      </c>
      <c r="B22" s="24" t="s">
        <v>844</v>
      </c>
      <c r="C22" s="24">
        <v>2019</v>
      </c>
      <c r="D22" s="24" t="s">
        <v>737</v>
      </c>
      <c r="E22" s="24">
        <v>2.0190415914616198E+17</v>
      </c>
      <c r="F22" s="24">
        <v>12</v>
      </c>
      <c r="G22" s="24" t="s">
        <v>845</v>
      </c>
      <c r="H22" s="24">
        <v>1325492</v>
      </c>
      <c r="I22" s="24"/>
      <c r="J22" s="24" t="s">
        <v>214</v>
      </c>
      <c r="K22" s="24" t="s">
        <v>215</v>
      </c>
      <c r="L22" s="24"/>
      <c r="M22" s="24"/>
      <c r="N22" s="24" t="s">
        <v>739</v>
      </c>
      <c r="O22" s="24" t="s">
        <v>310</v>
      </c>
      <c r="P22" s="24"/>
      <c r="Q22" s="24" t="s">
        <v>26</v>
      </c>
      <c r="R22" s="24" t="s">
        <v>740</v>
      </c>
      <c r="S22" s="24"/>
      <c r="T22" s="24" t="s">
        <v>741</v>
      </c>
      <c r="U22" s="24"/>
      <c r="V22" s="24" t="s">
        <v>846</v>
      </c>
      <c r="W22" s="24"/>
      <c r="X22" s="24" t="s">
        <v>613</v>
      </c>
      <c r="Y22" s="24" t="s">
        <v>32</v>
      </c>
      <c r="Z22" s="24">
        <v>100213502</v>
      </c>
      <c r="AA22" s="24" t="s">
        <v>222</v>
      </c>
      <c r="AB22" s="24" t="s">
        <v>743</v>
      </c>
      <c r="AC22" s="24"/>
      <c r="AD22" s="24" t="s">
        <v>242</v>
      </c>
      <c r="AE22" s="24" t="s">
        <v>241</v>
      </c>
      <c r="AF22" s="24"/>
      <c r="AG22" s="24" t="s">
        <v>239</v>
      </c>
      <c r="AH22" s="24"/>
      <c r="AI22" s="24">
        <v>43552</v>
      </c>
      <c r="AJ22" s="24">
        <v>2651.22</v>
      </c>
      <c r="AK22" s="24">
        <v>2651.22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 t="s">
        <v>279</v>
      </c>
      <c r="BH22" s="24"/>
      <c r="BI22" s="24" t="s">
        <v>225</v>
      </c>
      <c r="BJ22" s="24">
        <v>2020</v>
      </c>
      <c r="BK22" s="24" t="s">
        <v>31</v>
      </c>
      <c r="BL22" s="24" t="s">
        <v>238</v>
      </c>
      <c r="BM22" s="24" t="s">
        <v>227</v>
      </c>
      <c r="BN22" s="24">
        <v>43571.117575729164</v>
      </c>
      <c r="BO22" s="24"/>
      <c r="BP22" s="24" t="s">
        <v>847</v>
      </c>
      <c r="BQ22" s="24" t="s">
        <v>236</v>
      </c>
      <c r="BR22" s="24" t="s">
        <v>278</v>
      </c>
      <c r="BS22" s="24">
        <v>4.0415201916463299E+18</v>
      </c>
      <c r="BT22" s="24" t="s">
        <v>229</v>
      </c>
      <c r="BU22" s="24"/>
      <c r="BV22" s="24">
        <v>2020</v>
      </c>
      <c r="BW22" s="24" t="s">
        <v>230</v>
      </c>
      <c r="BX22" s="24"/>
      <c r="BY22" s="24">
        <v>4.0415201916464102E+18</v>
      </c>
      <c r="BZ22" s="24" t="s">
        <v>848</v>
      </c>
      <c r="CA22" s="24" t="s">
        <v>746</v>
      </c>
    </row>
    <row r="23" spans="1:79" x14ac:dyDescent="0.25">
      <c r="A23" s="24" t="s">
        <v>849</v>
      </c>
      <c r="B23" s="24" t="s">
        <v>850</v>
      </c>
      <c r="C23" s="24">
        <v>2019</v>
      </c>
      <c r="D23" s="24" t="s">
        <v>737</v>
      </c>
      <c r="E23" s="24">
        <v>2.0190415914638598E+17</v>
      </c>
      <c r="F23" s="24">
        <v>12</v>
      </c>
      <c r="G23" s="24" t="s">
        <v>851</v>
      </c>
      <c r="H23" s="24">
        <v>1326500</v>
      </c>
      <c r="I23" s="24"/>
      <c r="J23" s="24" t="s">
        <v>214</v>
      </c>
      <c r="K23" s="24" t="s">
        <v>215</v>
      </c>
      <c r="L23" s="24"/>
      <c r="M23" s="24" t="s">
        <v>288</v>
      </c>
      <c r="N23" s="24" t="s">
        <v>753</v>
      </c>
      <c r="O23" s="24" t="s">
        <v>310</v>
      </c>
      <c r="P23" s="24"/>
      <c r="Q23" s="24" t="s">
        <v>26</v>
      </c>
      <c r="R23" s="24" t="s">
        <v>740</v>
      </c>
      <c r="S23" s="24"/>
      <c r="T23" s="24" t="s">
        <v>741</v>
      </c>
      <c r="U23" s="24"/>
      <c r="V23" s="24" t="s">
        <v>769</v>
      </c>
      <c r="W23" s="24"/>
      <c r="X23" s="24" t="s">
        <v>613</v>
      </c>
      <c r="Y23" s="24" t="s">
        <v>32</v>
      </c>
      <c r="Z23" s="24">
        <v>100213502</v>
      </c>
      <c r="AA23" s="24" t="s">
        <v>222</v>
      </c>
      <c r="AB23" s="24" t="s">
        <v>743</v>
      </c>
      <c r="AC23" s="24"/>
      <c r="AD23" s="24" t="s">
        <v>242</v>
      </c>
      <c r="AE23" s="24" t="s">
        <v>241</v>
      </c>
      <c r="AF23" s="24"/>
      <c r="AG23" s="24" t="s">
        <v>239</v>
      </c>
      <c r="AH23" s="24"/>
      <c r="AI23" s="24">
        <v>43539</v>
      </c>
      <c r="AJ23" s="24">
        <v>2651.21</v>
      </c>
      <c r="AK23" s="24">
        <v>2651.21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 t="s">
        <v>279</v>
      </c>
      <c r="BH23" s="24"/>
      <c r="BI23" s="24" t="s">
        <v>225</v>
      </c>
      <c r="BJ23" s="24">
        <v>2020</v>
      </c>
      <c r="BK23" s="24" t="s">
        <v>31</v>
      </c>
      <c r="BL23" s="24" t="s">
        <v>238</v>
      </c>
      <c r="BM23" s="24" t="s">
        <v>227</v>
      </c>
      <c r="BN23" s="24">
        <v>43576.149573819443</v>
      </c>
      <c r="BO23" s="24"/>
      <c r="BP23" s="24" t="s">
        <v>852</v>
      </c>
      <c r="BQ23" s="24" t="s">
        <v>236</v>
      </c>
      <c r="BR23" s="24" t="s">
        <v>278</v>
      </c>
      <c r="BS23" s="24">
        <v>4.0416201916464302E+18</v>
      </c>
      <c r="BT23" s="24" t="s">
        <v>229</v>
      </c>
      <c r="BU23" s="24"/>
      <c r="BV23" s="24">
        <v>2020</v>
      </c>
      <c r="BW23" s="24" t="s">
        <v>230</v>
      </c>
      <c r="BX23" s="24"/>
      <c r="BY23" s="24">
        <v>4.0420201916469402E+18</v>
      </c>
      <c r="BZ23" s="24" t="s">
        <v>853</v>
      </c>
      <c r="CA23" s="24" t="s">
        <v>746</v>
      </c>
    </row>
    <row r="24" spans="1:79" x14ac:dyDescent="0.25">
      <c r="A24" s="24" t="s">
        <v>854</v>
      </c>
      <c r="B24" s="24" t="s">
        <v>855</v>
      </c>
      <c r="C24" s="24">
        <v>2019</v>
      </c>
      <c r="D24" s="24" t="s">
        <v>737</v>
      </c>
      <c r="E24" s="24">
        <v>2.0200120916727699E+17</v>
      </c>
      <c r="F24" s="24">
        <v>12</v>
      </c>
      <c r="G24" s="24" t="s">
        <v>856</v>
      </c>
      <c r="H24" s="24">
        <v>1371459</v>
      </c>
      <c r="I24" s="24"/>
      <c r="J24" s="24" t="s">
        <v>214</v>
      </c>
      <c r="K24" s="24" t="s">
        <v>215</v>
      </c>
      <c r="L24" s="24"/>
      <c r="M24" s="24"/>
      <c r="N24" s="24" t="s">
        <v>739</v>
      </c>
      <c r="O24" s="24" t="s">
        <v>310</v>
      </c>
      <c r="P24" s="24"/>
      <c r="Q24" s="24" t="s">
        <v>26</v>
      </c>
      <c r="R24" s="24" t="s">
        <v>740</v>
      </c>
      <c r="S24" s="24"/>
      <c r="T24" s="24" t="s">
        <v>741</v>
      </c>
      <c r="U24" s="24"/>
      <c r="V24" s="24" t="s">
        <v>742</v>
      </c>
      <c r="W24" s="24"/>
      <c r="X24" s="24" t="s">
        <v>613</v>
      </c>
      <c r="Y24" s="24" t="s">
        <v>32</v>
      </c>
      <c r="Z24" s="24">
        <v>100213502</v>
      </c>
      <c r="AA24" s="24" t="s">
        <v>222</v>
      </c>
      <c r="AB24" s="24" t="s">
        <v>743</v>
      </c>
      <c r="AC24" s="24"/>
      <c r="AD24" s="24" t="s">
        <v>242</v>
      </c>
      <c r="AE24" s="24" t="s">
        <v>241</v>
      </c>
      <c r="AF24" s="24"/>
      <c r="AG24" s="24" t="s">
        <v>239</v>
      </c>
      <c r="AH24" s="24"/>
      <c r="AI24" s="24">
        <v>43555</v>
      </c>
      <c r="AJ24" s="24">
        <v>2651.21</v>
      </c>
      <c r="AK24" s="24">
        <v>2651.21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 t="s">
        <v>279</v>
      </c>
      <c r="BH24" s="24"/>
      <c r="BI24" s="24" t="s">
        <v>225</v>
      </c>
      <c r="BJ24" s="24">
        <v>2020</v>
      </c>
      <c r="BK24" s="24" t="s">
        <v>31</v>
      </c>
      <c r="BL24" s="24" t="s">
        <v>238</v>
      </c>
      <c r="BM24" s="24" t="s">
        <v>227</v>
      </c>
      <c r="BN24" s="24">
        <v>43852.068352361108</v>
      </c>
      <c r="BO24" s="24"/>
      <c r="BP24" s="24" t="s">
        <v>857</v>
      </c>
      <c r="BQ24" s="24" t="s">
        <v>236</v>
      </c>
      <c r="BR24" s="24" t="s">
        <v>278</v>
      </c>
      <c r="BS24" s="24">
        <v>4.0120202016853202E+18</v>
      </c>
      <c r="BT24" s="24" t="s">
        <v>229</v>
      </c>
      <c r="BU24" s="24"/>
      <c r="BV24" s="24">
        <v>2020</v>
      </c>
      <c r="BW24" s="24" t="s">
        <v>230</v>
      </c>
      <c r="BX24" s="24"/>
      <c r="BY24" s="24">
        <v>4.0121202016853601E+18</v>
      </c>
      <c r="BZ24" s="24" t="s">
        <v>858</v>
      </c>
      <c r="CA24" s="24" t="s">
        <v>746</v>
      </c>
    </row>
    <row r="25" spans="1:79" x14ac:dyDescent="0.25">
      <c r="A25" s="24" t="s">
        <v>859</v>
      </c>
      <c r="B25" s="24" t="s">
        <v>860</v>
      </c>
      <c r="C25" s="24">
        <v>2019</v>
      </c>
      <c r="D25" s="24" t="s">
        <v>737</v>
      </c>
      <c r="E25" s="24">
        <v>2.0190415914619901E+17</v>
      </c>
      <c r="F25" s="24">
        <v>12</v>
      </c>
      <c r="G25" s="24" t="s">
        <v>861</v>
      </c>
      <c r="H25" s="24">
        <v>1325974</v>
      </c>
      <c r="I25" s="24"/>
      <c r="J25" s="24" t="s">
        <v>214</v>
      </c>
      <c r="K25" s="24" t="s">
        <v>215</v>
      </c>
      <c r="L25" s="24"/>
      <c r="M25" s="24"/>
      <c r="N25" s="24" t="s">
        <v>739</v>
      </c>
      <c r="O25" s="24" t="s">
        <v>310</v>
      </c>
      <c r="P25" s="24"/>
      <c r="Q25" s="24" t="s">
        <v>26</v>
      </c>
      <c r="R25" s="24" t="s">
        <v>740</v>
      </c>
      <c r="S25" s="24"/>
      <c r="T25" s="24" t="s">
        <v>741</v>
      </c>
      <c r="U25" s="24"/>
      <c r="V25" s="24" t="s">
        <v>742</v>
      </c>
      <c r="W25" s="24"/>
      <c r="X25" s="24" t="s">
        <v>613</v>
      </c>
      <c r="Y25" s="24" t="s">
        <v>32</v>
      </c>
      <c r="Z25" s="24">
        <v>100213502</v>
      </c>
      <c r="AA25" s="24" t="s">
        <v>222</v>
      </c>
      <c r="AB25" s="24" t="s">
        <v>743</v>
      </c>
      <c r="AC25" s="24"/>
      <c r="AD25" s="24" t="s">
        <v>242</v>
      </c>
      <c r="AE25" s="24" t="s">
        <v>241</v>
      </c>
      <c r="AF25" s="24"/>
      <c r="AG25" s="24" t="s">
        <v>239</v>
      </c>
      <c r="AH25" s="24"/>
      <c r="AI25" s="24">
        <v>43539</v>
      </c>
      <c r="AJ25" s="24">
        <v>2651.22</v>
      </c>
      <c r="AK25" s="24">
        <v>2651.22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 t="s">
        <v>279</v>
      </c>
      <c r="BH25" s="24"/>
      <c r="BI25" s="24" t="s">
        <v>225</v>
      </c>
      <c r="BJ25" s="24">
        <v>2020</v>
      </c>
      <c r="BK25" s="24" t="s">
        <v>31</v>
      </c>
      <c r="BL25" s="24" t="s">
        <v>238</v>
      </c>
      <c r="BM25" s="24" t="s">
        <v>227</v>
      </c>
      <c r="BN25" s="24">
        <v>43574.193300185187</v>
      </c>
      <c r="BO25" s="24"/>
      <c r="BP25" s="24" t="s">
        <v>862</v>
      </c>
      <c r="BQ25" s="24" t="s">
        <v>236</v>
      </c>
      <c r="BR25" s="24" t="s">
        <v>278</v>
      </c>
      <c r="BS25" s="24">
        <v>4.0415201916463299E+18</v>
      </c>
      <c r="BT25" s="24" t="s">
        <v>229</v>
      </c>
      <c r="BU25" s="24"/>
      <c r="BV25" s="24">
        <v>2020</v>
      </c>
      <c r="BW25" s="24" t="s">
        <v>230</v>
      </c>
      <c r="BX25" s="24"/>
      <c r="BY25" s="24">
        <v>4.0418201916467599E+18</v>
      </c>
      <c r="BZ25" s="24" t="s">
        <v>863</v>
      </c>
      <c r="CA25" s="24" t="s">
        <v>746</v>
      </c>
    </row>
    <row r="26" spans="1:79" x14ac:dyDescent="0.25">
      <c r="A26" s="24" t="s">
        <v>864</v>
      </c>
      <c r="B26" s="24" t="s">
        <v>865</v>
      </c>
      <c r="C26" s="24">
        <v>2019</v>
      </c>
      <c r="D26" s="24" t="s">
        <v>737</v>
      </c>
      <c r="E26" s="24">
        <v>2.0190415914617101E+17</v>
      </c>
      <c r="F26" s="24">
        <v>12</v>
      </c>
      <c r="G26" s="24" t="s">
        <v>866</v>
      </c>
      <c r="H26" s="24">
        <v>1325632</v>
      </c>
      <c r="I26" s="24"/>
      <c r="J26" s="24" t="s">
        <v>214</v>
      </c>
      <c r="K26" s="24" t="s">
        <v>215</v>
      </c>
      <c r="L26" s="24"/>
      <c r="M26" s="24"/>
      <c r="N26" s="24" t="s">
        <v>739</v>
      </c>
      <c r="O26" s="24" t="s">
        <v>310</v>
      </c>
      <c r="P26" s="24"/>
      <c r="Q26" s="24" t="s">
        <v>26</v>
      </c>
      <c r="R26" s="24" t="s">
        <v>740</v>
      </c>
      <c r="S26" s="24"/>
      <c r="T26" s="24" t="s">
        <v>741</v>
      </c>
      <c r="U26" s="24"/>
      <c r="V26" s="24" t="s">
        <v>742</v>
      </c>
      <c r="W26" s="24"/>
      <c r="X26" s="24" t="s">
        <v>613</v>
      </c>
      <c r="Y26" s="24" t="s">
        <v>32</v>
      </c>
      <c r="Z26" s="24">
        <v>100213502</v>
      </c>
      <c r="AA26" s="24" t="s">
        <v>222</v>
      </c>
      <c r="AB26" s="24" t="s">
        <v>743</v>
      </c>
      <c r="AC26" s="24"/>
      <c r="AD26" s="24" t="s">
        <v>242</v>
      </c>
      <c r="AE26" s="24" t="s">
        <v>241</v>
      </c>
      <c r="AF26" s="24" t="s">
        <v>240</v>
      </c>
      <c r="AG26" s="24" t="s">
        <v>239</v>
      </c>
      <c r="AH26" s="24"/>
      <c r="AI26" s="24">
        <v>43539</v>
      </c>
      <c r="AJ26" s="24">
        <v>2651.22</v>
      </c>
      <c r="AK26" s="24">
        <v>2651.22</v>
      </c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 t="s">
        <v>279</v>
      </c>
      <c r="BH26" s="24"/>
      <c r="BI26" s="24" t="s">
        <v>225</v>
      </c>
      <c r="BJ26" s="24">
        <v>2020</v>
      </c>
      <c r="BK26" s="24" t="s">
        <v>31</v>
      </c>
      <c r="BL26" s="24" t="s">
        <v>238</v>
      </c>
      <c r="BM26" s="24" t="s">
        <v>227</v>
      </c>
      <c r="BN26" s="24">
        <v>43574.201719710647</v>
      </c>
      <c r="BO26" s="24"/>
      <c r="BP26" s="24" t="s">
        <v>867</v>
      </c>
      <c r="BQ26" s="24" t="s">
        <v>236</v>
      </c>
      <c r="BR26" s="24" t="s">
        <v>278</v>
      </c>
      <c r="BS26" s="24">
        <v>4.0415201916463299E+18</v>
      </c>
      <c r="BT26" s="24" t="s">
        <v>229</v>
      </c>
      <c r="BU26" s="24" t="s">
        <v>756</v>
      </c>
      <c r="BV26" s="24">
        <v>2020</v>
      </c>
      <c r="BW26" s="24" t="s">
        <v>230</v>
      </c>
      <c r="BX26" s="24"/>
      <c r="BY26" s="24">
        <v>4.0418201916468198E+18</v>
      </c>
      <c r="BZ26" s="24" t="s">
        <v>868</v>
      </c>
      <c r="CA26" s="24" t="s">
        <v>746</v>
      </c>
    </row>
    <row r="27" spans="1:79" x14ac:dyDescent="0.25">
      <c r="A27" s="24" t="s">
        <v>869</v>
      </c>
      <c r="B27" s="24" t="s">
        <v>870</v>
      </c>
      <c r="C27" s="24">
        <v>2019</v>
      </c>
      <c r="D27" s="24" t="s">
        <v>737</v>
      </c>
      <c r="E27" s="24">
        <v>2.0190415914616998E+17</v>
      </c>
      <c r="F27" s="24">
        <v>12</v>
      </c>
      <c r="G27" s="24" t="s">
        <v>871</v>
      </c>
      <c r="H27" s="24">
        <v>1325593</v>
      </c>
      <c r="I27" s="24"/>
      <c r="J27" s="24" t="s">
        <v>214</v>
      </c>
      <c r="K27" s="24" t="s">
        <v>215</v>
      </c>
      <c r="L27" s="24"/>
      <c r="M27" s="24"/>
      <c r="N27" s="24" t="s">
        <v>739</v>
      </c>
      <c r="O27" s="24" t="s">
        <v>310</v>
      </c>
      <c r="P27" s="24"/>
      <c r="Q27" s="24" t="s">
        <v>26</v>
      </c>
      <c r="R27" s="24" t="s">
        <v>740</v>
      </c>
      <c r="S27" s="24"/>
      <c r="T27" s="24" t="s">
        <v>741</v>
      </c>
      <c r="U27" s="24"/>
      <c r="V27" s="24" t="s">
        <v>742</v>
      </c>
      <c r="W27" s="24"/>
      <c r="X27" s="24" t="s">
        <v>613</v>
      </c>
      <c r="Y27" s="24" t="s">
        <v>32</v>
      </c>
      <c r="Z27" s="24">
        <v>100213502</v>
      </c>
      <c r="AA27" s="24" t="s">
        <v>222</v>
      </c>
      <c r="AB27" s="24" t="s">
        <v>743</v>
      </c>
      <c r="AC27" s="24"/>
      <c r="AD27" s="24" t="s">
        <v>242</v>
      </c>
      <c r="AE27" s="24" t="s">
        <v>241</v>
      </c>
      <c r="AF27" s="24" t="s">
        <v>240</v>
      </c>
      <c r="AG27" s="24" t="s">
        <v>239</v>
      </c>
      <c r="AH27" s="24"/>
      <c r="AI27" s="24">
        <v>43539</v>
      </c>
      <c r="AJ27" s="24">
        <v>2651.22</v>
      </c>
      <c r="AK27" s="24">
        <v>2651.22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 t="s">
        <v>279</v>
      </c>
      <c r="BH27" s="24"/>
      <c r="BI27" s="24" t="s">
        <v>225</v>
      </c>
      <c r="BJ27" s="24">
        <v>2020</v>
      </c>
      <c r="BK27" s="24" t="s">
        <v>31</v>
      </c>
      <c r="BL27" s="24" t="s">
        <v>238</v>
      </c>
      <c r="BM27" s="24" t="s">
        <v>227</v>
      </c>
      <c r="BN27" s="24">
        <v>43574.190968483796</v>
      </c>
      <c r="BO27" s="24"/>
      <c r="BP27" s="24" t="s">
        <v>872</v>
      </c>
      <c r="BQ27" s="24" t="s">
        <v>236</v>
      </c>
      <c r="BR27" s="24" t="s">
        <v>278</v>
      </c>
      <c r="BS27" s="24">
        <v>4.0415201916463299E+18</v>
      </c>
      <c r="BT27" s="24" t="s">
        <v>229</v>
      </c>
      <c r="BU27" s="24" t="s">
        <v>756</v>
      </c>
      <c r="BV27" s="24">
        <v>2020</v>
      </c>
      <c r="BW27" s="24" t="s">
        <v>230</v>
      </c>
      <c r="BX27" s="24"/>
      <c r="BY27" s="24">
        <v>4.04182019164672E+18</v>
      </c>
      <c r="BZ27" s="24" t="s">
        <v>873</v>
      </c>
      <c r="CA27" s="24" t="s">
        <v>746</v>
      </c>
    </row>
    <row r="28" spans="1:79" x14ac:dyDescent="0.25">
      <c r="A28" s="24" t="s">
        <v>874</v>
      </c>
      <c r="B28" s="24" t="s">
        <v>875</v>
      </c>
      <c r="C28" s="24">
        <v>2019</v>
      </c>
      <c r="D28" s="24" t="s">
        <v>737</v>
      </c>
      <c r="E28" s="24">
        <v>2.0190415914634499E+17</v>
      </c>
      <c r="F28" s="24">
        <v>12</v>
      </c>
      <c r="G28" s="24" t="s">
        <v>876</v>
      </c>
      <c r="H28" s="24">
        <v>1326263</v>
      </c>
      <c r="I28" s="24"/>
      <c r="J28" s="24" t="s">
        <v>214</v>
      </c>
      <c r="K28" s="24" t="s">
        <v>215</v>
      </c>
      <c r="L28" s="24"/>
      <c r="M28" s="24"/>
      <c r="N28" s="24" t="s">
        <v>739</v>
      </c>
      <c r="O28" s="24" t="s">
        <v>310</v>
      </c>
      <c r="P28" s="24"/>
      <c r="Q28" s="24" t="s">
        <v>26</v>
      </c>
      <c r="R28" s="24" t="s">
        <v>740</v>
      </c>
      <c r="S28" s="24"/>
      <c r="T28" s="24" t="s">
        <v>741</v>
      </c>
      <c r="U28" s="24"/>
      <c r="V28" s="24" t="s">
        <v>742</v>
      </c>
      <c r="W28" s="24"/>
      <c r="X28" s="24" t="s">
        <v>613</v>
      </c>
      <c r="Y28" s="24" t="s">
        <v>32</v>
      </c>
      <c r="Z28" s="24">
        <v>100213502</v>
      </c>
      <c r="AA28" s="24" t="s">
        <v>222</v>
      </c>
      <c r="AB28" s="24" t="s">
        <v>743</v>
      </c>
      <c r="AC28" s="24"/>
      <c r="AD28" s="24" t="s">
        <v>242</v>
      </c>
      <c r="AE28" s="24" t="s">
        <v>241</v>
      </c>
      <c r="AF28" s="24"/>
      <c r="AG28" s="24" t="s">
        <v>239</v>
      </c>
      <c r="AH28" s="24"/>
      <c r="AI28" s="24">
        <v>43539</v>
      </c>
      <c r="AJ28" s="24">
        <v>2651.22</v>
      </c>
      <c r="AK28" s="24">
        <v>2651.22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 t="s">
        <v>279</v>
      </c>
      <c r="BH28" s="24"/>
      <c r="BI28" s="24" t="s">
        <v>225</v>
      </c>
      <c r="BJ28" s="24">
        <v>2020</v>
      </c>
      <c r="BK28" s="24" t="s">
        <v>31</v>
      </c>
      <c r="BL28" s="24" t="s">
        <v>238</v>
      </c>
      <c r="BM28" s="24" t="s">
        <v>227</v>
      </c>
      <c r="BN28" s="24">
        <v>43574.208603819447</v>
      </c>
      <c r="BO28" s="24"/>
      <c r="BP28" s="24" t="s">
        <v>877</v>
      </c>
      <c r="BQ28" s="24" t="s">
        <v>236</v>
      </c>
      <c r="BR28" s="24" t="s">
        <v>278</v>
      </c>
      <c r="BS28" s="24">
        <v>4.0415201916463299E+18</v>
      </c>
      <c r="BT28" s="24" t="s">
        <v>229</v>
      </c>
      <c r="BU28" s="24" t="s">
        <v>878</v>
      </c>
      <c r="BV28" s="24">
        <v>2020</v>
      </c>
      <c r="BW28" s="24" t="s">
        <v>230</v>
      </c>
      <c r="BX28" s="24"/>
      <c r="BY28" s="24">
        <v>4.0418201916468797E+18</v>
      </c>
      <c r="BZ28" s="24" t="s">
        <v>879</v>
      </c>
      <c r="CA28" s="24" t="s">
        <v>746</v>
      </c>
    </row>
    <row r="29" spans="1:79" x14ac:dyDescent="0.25">
      <c r="A29" s="24" t="s">
        <v>880</v>
      </c>
      <c r="B29" s="24" t="s">
        <v>881</v>
      </c>
      <c r="C29" s="24">
        <v>2019</v>
      </c>
      <c r="D29" s="24" t="s">
        <v>737</v>
      </c>
      <c r="E29" s="24">
        <v>2.01904119146072E+17</v>
      </c>
      <c r="F29" s="24">
        <v>12</v>
      </c>
      <c r="G29" s="24" t="s">
        <v>882</v>
      </c>
      <c r="H29" s="24">
        <v>1323781</v>
      </c>
      <c r="I29" s="24"/>
      <c r="J29" s="24" t="s">
        <v>214</v>
      </c>
      <c r="K29" s="24" t="s">
        <v>215</v>
      </c>
      <c r="L29" s="24"/>
      <c r="M29" s="24"/>
      <c r="N29" s="24" t="s">
        <v>739</v>
      </c>
      <c r="O29" s="24" t="s">
        <v>310</v>
      </c>
      <c r="P29" s="24"/>
      <c r="Q29" s="24" t="s">
        <v>26</v>
      </c>
      <c r="R29" s="24" t="s">
        <v>740</v>
      </c>
      <c r="S29" s="24"/>
      <c r="T29" s="24" t="s">
        <v>741</v>
      </c>
      <c r="U29" s="24"/>
      <c r="V29" s="24" t="s">
        <v>742</v>
      </c>
      <c r="W29" s="24"/>
      <c r="X29" s="24" t="s">
        <v>613</v>
      </c>
      <c r="Y29" s="24" t="s">
        <v>32</v>
      </c>
      <c r="Z29" s="24">
        <v>100213502</v>
      </c>
      <c r="AA29" s="24" t="s">
        <v>222</v>
      </c>
      <c r="AB29" s="24" t="s">
        <v>743</v>
      </c>
      <c r="AC29" s="24"/>
      <c r="AD29" s="24" t="s">
        <v>242</v>
      </c>
      <c r="AE29" s="24" t="s">
        <v>241</v>
      </c>
      <c r="AF29" s="24"/>
      <c r="AG29" s="24" t="s">
        <v>239</v>
      </c>
      <c r="AH29" s="24"/>
      <c r="AI29" s="24">
        <v>43539</v>
      </c>
      <c r="AJ29" s="24">
        <v>2651.22</v>
      </c>
      <c r="AK29" s="24">
        <v>2651.22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 t="s">
        <v>279</v>
      </c>
      <c r="BH29" s="24"/>
      <c r="BI29" s="24" t="s">
        <v>225</v>
      </c>
      <c r="BJ29" s="24">
        <v>2020</v>
      </c>
      <c r="BK29" s="24" t="s">
        <v>31</v>
      </c>
      <c r="BL29" s="24" t="s">
        <v>238</v>
      </c>
      <c r="BM29" s="24" t="s">
        <v>227</v>
      </c>
      <c r="BN29" s="24">
        <v>43567.131017997686</v>
      </c>
      <c r="BO29" s="24"/>
      <c r="BP29" s="24" t="s">
        <v>883</v>
      </c>
      <c r="BQ29" s="24" t="s">
        <v>236</v>
      </c>
      <c r="BR29" s="24" t="s">
        <v>278</v>
      </c>
      <c r="BS29" s="24">
        <v>4.0411201916461798E+18</v>
      </c>
      <c r="BT29" s="24" t="s">
        <v>229</v>
      </c>
      <c r="BU29" s="24"/>
      <c r="BV29" s="24">
        <v>2020</v>
      </c>
      <c r="BW29" s="24" t="s">
        <v>230</v>
      </c>
      <c r="BX29" s="24"/>
      <c r="BY29" s="24">
        <v>4.04112019164621E+18</v>
      </c>
      <c r="BZ29" s="24" t="s">
        <v>884</v>
      </c>
      <c r="CA29" s="24" t="s">
        <v>746</v>
      </c>
    </row>
    <row r="30" spans="1:79" x14ac:dyDescent="0.25">
      <c r="A30" s="24" t="s">
        <v>885</v>
      </c>
      <c r="B30" s="24" t="s">
        <v>886</v>
      </c>
      <c r="C30" s="24">
        <v>2019</v>
      </c>
      <c r="D30" s="24" t="s">
        <v>737</v>
      </c>
      <c r="E30" s="24">
        <v>2.0190415914636899E+17</v>
      </c>
      <c r="F30" s="24">
        <v>12</v>
      </c>
      <c r="G30" s="24" t="s">
        <v>887</v>
      </c>
      <c r="H30" s="24">
        <v>1326459</v>
      </c>
      <c r="I30" s="24"/>
      <c r="J30" s="24" t="s">
        <v>214</v>
      </c>
      <c r="K30" s="24" t="s">
        <v>215</v>
      </c>
      <c r="L30" s="24"/>
      <c r="M30" s="24"/>
      <c r="N30" s="24" t="s">
        <v>739</v>
      </c>
      <c r="O30" s="24" t="s">
        <v>310</v>
      </c>
      <c r="P30" s="24"/>
      <c r="Q30" s="24" t="s">
        <v>26</v>
      </c>
      <c r="R30" s="24" t="s">
        <v>740</v>
      </c>
      <c r="S30" s="24"/>
      <c r="T30" s="24" t="s">
        <v>741</v>
      </c>
      <c r="U30" s="24"/>
      <c r="V30" s="24" t="s">
        <v>754</v>
      </c>
      <c r="W30" s="24"/>
      <c r="X30" s="24" t="s">
        <v>613</v>
      </c>
      <c r="Y30" s="24" t="s">
        <v>32</v>
      </c>
      <c r="Z30" s="24">
        <v>10021</v>
      </c>
      <c r="AA30" s="24" t="s">
        <v>222</v>
      </c>
      <c r="AB30" s="24" t="s">
        <v>743</v>
      </c>
      <c r="AC30" s="24"/>
      <c r="AD30" s="24" t="s">
        <v>242</v>
      </c>
      <c r="AE30" s="24" t="s">
        <v>241</v>
      </c>
      <c r="AF30" s="24" t="s">
        <v>888</v>
      </c>
      <c r="AG30" s="24" t="s">
        <v>239</v>
      </c>
      <c r="AH30" s="24"/>
      <c r="AI30" s="24">
        <v>43551</v>
      </c>
      <c r="AJ30" s="24">
        <v>2800</v>
      </c>
      <c r="AK30" s="24">
        <v>2800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 t="s">
        <v>279</v>
      </c>
      <c r="BH30" s="24"/>
      <c r="BI30" s="24" t="s">
        <v>225</v>
      </c>
      <c r="BJ30" s="24">
        <v>2020</v>
      </c>
      <c r="BK30" s="24" t="s">
        <v>31</v>
      </c>
      <c r="BL30" s="24" t="s">
        <v>238</v>
      </c>
      <c r="BM30" s="24" t="s">
        <v>227</v>
      </c>
      <c r="BN30" s="24">
        <v>43574.197265740739</v>
      </c>
      <c r="BO30" s="24"/>
      <c r="BP30" s="24" t="s">
        <v>889</v>
      </c>
      <c r="BQ30" s="24" t="s">
        <v>236</v>
      </c>
      <c r="BR30" s="24" t="s">
        <v>278</v>
      </c>
      <c r="BS30" s="24">
        <v>4.0416201916464302E+18</v>
      </c>
      <c r="BT30" s="24" t="s">
        <v>229</v>
      </c>
      <c r="BU30" s="24"/>
      <c r="BV30" s="24">
        <v>2020</v>
      </c>
      <c r="BW30" s="24" t="s">
        <v>230</v>
      </c>
      <c r="BX30" s="24"/>
      <c r="BY30" s="24">
        <v>4.0418201916467999E+18</v>
      </c>
      <c r="BZ30" s="24" t="s">
        <v>890</v>
      </c>
      <c r="CA30" s="24" t="s">
        <v>746</v>
      </c>
    </row>
    <row r="31" spans="1:79" x14ac:dyDescent="0.25">
      <c r="A31" s="24" t="s">
        <v>885</v>
      </c>
      <c r="B31" s="24" t="s">
        <v>886</v>
      </c>
      <c r="C31" s="24">
        <v>2019</v>
      </c>
      <c r="D31" s="24" t="s">
        <v>737</v>
      </c>
      <c r="E31" s="24">
        <v>2.0190415914636899E+17</v>
      </c>
      <c r="F31" s="24">
        <v>12</v>
      </c>
      <c r="G31" s="24" t="s">
        <v>891</v>
      </c>
      <c r="H31" s="24">
        <v>1326459</v>
      </c>
      <c r="I31" s="24"/>
      <c r="J31" s="24" t="s">
        <v>214</v>
      </c>
      <c r="K31" s="24" t="s">
        <v>215</v>
      </c>
      <c r="L31" s="24"/>
      <c r="M31" s="24"/>
      <c r="N31" s="24" t="s">
        <v>739</v>
      </c>
      <c r="O31" s="24" t="s">
        <v>310</v>
      </c>
      <c r="P31" s="24"/>
      <c r="Q31" s="24" t="s">
        <v>26</v>
      </c>
      <c r="R31" s="24" t="s">
        <v>740</v>
      </c>
      <c r="S31" s="24"/>
      <c r="T31" s="24" t="s">
        <v>741</v>
      </c>
      <c r="U31" s="24"/>
      <c r="V31" s="24" t="s">
        <v>754</v>
      </c>
      <c r="W31" s="24"/>
      <c r="X31" s="24" t="s">
        <v>613</v>
      </c>
      <c r="Y31" s="24" t="s">
        <v>32</v>
      </c>
      <c r="Z31" s="24">
        <v>10021</v>
      </c>
      <c r="AA31" s="24" t="s">
        <v>222</v>
      </c>
      <c r="AB31" s="24" t="s">
        <v>743</v>
      </c>
      <c r="AC31" s="24"/>
      <c r="AD31" s="24" t="s">
        <v>242</v>
      </c>
      <c r="AE31" s="24" t="s">
        <v>241</v>
      </c>
      <c r="AF31" s="24" t="s">
        <v>888</v>
      </c>
      <c r="AG31" s="24" t="s">
        <v>239</v>
      </c>
      <c r="AH31" s="24"/>
      <c r="AI31" s="24">
        <v>43551</v>
      </c>
      <c r="AJ31" s="24">
        <v>2800</v>
      </c>
      <c r="AK31" s="24">
        <v>5600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 t="s">
        <v>297</v>
      </c>
      <c r="BH31" s="24"/>
      <c r="BI31" s="24" t="s">
        <v>296</v>
      </c>
      <c r="BJ31" s="24">
        <v>2020</v>
      </c>
      <c r="BK31" s="24" t="s">
        <v>31</v>
      </c>
      <c r="BL31" s="24" t="s">
        <v>238</v>
      </c>
      <c r="BM31" s="24" t="s">
        <v>227</v>
      </c>
      <c r="BN31" s="24">
        <v>43574.197265787036</v>
      </c>
      <c r="BO31" s="24"/>
      <c r="BP31" s="24" t="s">
        <v>892</v>
      </c>
      <c r="BQ31" s="24" t="s">
        <v>236</v>
      </c>
      <c r="BR31" s="24" t="s">
        <v>278</v>
      </c>
      <c r="BS31" s="24">
        <v>4.0416201916464302E+18</v>
      </c>
      <c r="BT31" s="24" t="s">
        <v>229</v>
      </c>
      <c r="BU31" s="24"/>
      <c r="BV31" s="24">
        <v>2020</v>
      </c>
      <c r="BW31" s="24" t="s">
        <v>230</v>
      </c>
      <c r="BX31" s="24"/>
      <c r="BY31" s="24">
        <v>4.0418201916467999E+18</v>
      </c>
      <c r="BZ31" s="24" t="s">
        <v>893</v>
      </c>
      <c r="CA31" s="24" t="s">
        <v>746</v>
      </c>
    </row>
    <row r="32" spans="1:79" x14ac:dyDescent="0.25">
      <c r="A32" s="24" t="s">
        <v>894</v>
      </c>
      <c r="B32" s="24" t="s">
        <v>895</v>
      </c>
      <c r="C32" s="24">
        <v>2019</v>
      </c>
      <c r="D32" s="24" t="s">
        <v>737</v>
      </c>
      <c r="E32" s="24">
        <v>2.0190415914615699E+17</v>
      </c>
      <c r="F32" s="24">
        <v>12</v>
      </c>
      <c r="G32" s="24" t="s">
        <v>896</v>
      </c>
      <c r="H32" s="24">
        <v>1325406</v>
      </c>
      <c r="I32" s="24"/>
      <c r="J32" s="24" t="s">
        <v>214</v>
      </c>
      <c r="K32" s="24" t="s">
        <v>215</v>
      </c>
      <c r="L32" s="24"/>
      <c r="M32" s="24"/>
      <c r="N32" s="24" t="s">
        <v>739</v>
      </c>
      <c r="O32" s="24" t="s">
        <v>310</v>
      </c>
      <c r="P32" s="24"/>
      <c r="Q32" s="24" t="s">
        <v>26</v>
      </c>
      <c r="R32" s="24" t="s">
        <v>740</v>
      </c>
      <c r="S32" s="24"/>
      <c r="T32" s="24" t="s">
        <v>741</v>
      </c>
      <c r="U32" s="24"/>
      <c r="V32" s="24" t="s">
        <v>769</v>
      </c>
      <c r="W32" s="24"/>
      <c r="X32" s="24" t="s">
        <v>613</v>
      </c>
      <c r="Y32" s="24" t="s">
        <v>32</v>
      </c>
      <c r="Z32" s="24">
        <v>100213502</v>
      </c>
      <c r="AA32" s="24" t="s">
        <v>222</v>
      </c>
      <c r="AB32" s="24" t="s">
        <v>743</v>
      </c>
      <c r="AC32" s="24"/>
      <c r="AD32" s="24" t="s">
        <v>242</v>
      </c>
      <c r="AE32" s="24" t="s">
        <v>241</v>
      </c>
      <c r="AF32" s="24"/>
      <c r="AG32" s="24" t="s">
        <v>239</v>
      </c>
      <c r="AH32" s="24"/>
      <c r="AI32" s="24">
        <v>43553</v>
      </c>
      <c r="AJ32" s="24">
        <v>2800</v>
      </c>
      <c r="AK32" s="24">
        <v>5600</v>
      </c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 t="s">
        <v>297</v>
      </c>
      <c r="BH32" s="24"/>
      <c r="BI32" s="24" t="s">
        <v>296</v>
      </c>
      <c r="BJ32" s="24">
        <v>2020</v>
      </c>
      <c r="BK32" s="24" t="s">
        <v>31</v>
      </c>
      <c r="BL32" s="24" t="s">
        <v>238</v>
      </c>
      <c r="BM32" s="24" t="s">
        <v>227</v>
      </c>
      <c r="BN32" s="24">
        <v>43576.149398240741</v>
      </c>
      <c r="BO32" s="24"/>
      <c r="BP32" s="24" t="s">
        <v>897</v>
      </c>
      <c r="BQ32" s="24" t="s">
        <v>236</v>
      </c>
      <c r="BR32" s="24" t="s">
        <v>278</v>
      </c>
      <c r="BS32" s="24">
        <v>4.0415201916463299E+18</v>
      </c>
      <c r="BT32" s="24" t="s">
        <v>229</v>
      </c>
      <c r="BU32" s="24" t="s">
        <v>818</v>
      </c>
      <c r="BV32" s="24">
        <v>2020</v>
      </c>
      <c r="BW32" s="24" t="s">
        <v>230</v>
      </c>
      <c r="BX32" s="24"/>
      <c r="BY32" s="24">
        <v>4.0420201916469202E+18</v>
      </c>
      <c r="BZ32" s="24" t="s">
        <v>898</v>
      </c>
      <c r="CA32" s="24" t="s">
        <v>746</v>
      </c>
    </row>
    <row r="33" spans="1:79" x14ac:dyDescent="0.25">
      <c r="A33" s="24" t="s">
        <v>894</v>
      </c>
      <c r="B33" s="24" t="s">
        <v>895</v>
      </c>
      <c r="C33" s="24">
        <v>2019</v>
      </c>
      <c r="D33" s="24" t="s">
        <v>737</v>
      </c>
      <c r="E33" s="24">
        <v>2.0190415914615699E+17</v>
      </c>
      <c r="F33" s="24">
        <v>12</v>
      </c>
      <c r="G33" s="24" t="s">
        <v>899</v>
      </c>
      <c r="H33" s="24">
        <v>1325406</v>
      </c>
      <c r="I33" s="24"/>
      <c r="J33" s="24" t="s">
        <v>214</v>
      </c>
      <c r="K33" s="24" t="s">
        <v>215</v>
      </c>
      <c r="L33" s="24"/>
      <c r="M33" s="24"/>
      <c r="N33" s="24" t="s">
        <v>739</v>
      </c>
      <c r="O33" s="24" t="s">
        <v>310</v>
      </c>
      <c r="P33" s="24"/>
      <c r="Q33" s="24" t="s">
        <v>26</v>
      </c>
      <c r="R33" s="24" t="s">
        <v>740</v>
      </c>
      <c r="S33" s="24"/>
      <c r="T33" s="24" t="s">
        <v>741</v>
      </c>
      <c r="U33" s="24"/>
      <c r="V33" s="24" t="s">
        <v>769</v>
      </c>
      <c r="W33" s="24"/>
      <c r="X33" s="24" t="s">
        <v>613</v>
      </c>
      <c r="Y33" s="24" t="s">
        <v>32</v>
      </c>
      <c r="Z33" s="24">
        <v>100213502</v>
      </c>
      <c r="AA33" s="24" t="s">
        <v>222</v>
      </c>
      <c r="AB33" s="24" t="s">
        <v>743</v>
      </c>
      <c r="AC33" s="24"/>
      <c r="AD33" s="24" t="s">
        <v>242</v>
      </c>
      <c r="AE33" s="24" t="s">
        <v>241</v>
      </c>
      <c r="AF33" s="24"/>
      <c r="AG33" s="24" t="s">
        <v>239</v>
      </c>
      <c r="AH33" s="24"/>
      <c r="AI33" s="24">
        <v>43553</v>
      </c>
      <c r="AJ33" s="24">
        <v>2800</v>
      </c>
      <c r="AK33" s="24">
        <v>5600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 t="s">
        <v>279</v>
      </c>
      <c r="BH33" s="24"/>
      <c r="BI33" s="24" t="s">
        <v>225</v>
      </c>
      <c r="BJ33" s="24">
        <v>2020</v>
      </c>
      <c r="BK33" s="24" t="s">
        <v>31</v>
      </c>
      <c r="BL33" s="24" t="s">
        <v>238</v>
      </c>
      <c r="BM33" s="24" t="s">
        <v>227</v>
      </c>
      <c r="BN33" s="24">
        <v>43576.149398275462</v>
      </c>
      <c r="BO33" s="24"/>
      <c r="BP33" s="24" t="s">
        <v>900</v>
      </c>
      <c r="BQ33" s="24" t="s">
        <v>236</v>
      </c>
      <c r="BR33" s="24" t="s">
        <v>278</v>
      </c>
      <c r="BS33" s="24">
        <v>4.0415201916463299E+18</v>
      </c>
      <c r="BT33" s="24" t="s">
        <v>229</v>
      </c>
      <c r="BU33" s="24" t="s">
        <v>818</v>
      </c>
      <c r="BV33" s="24">
        <v>2020</v>
      </c>
      <c r="BW33" s="24" t="s">
        <v>230</v>
      </c>
      <c r="BX33" s="24"/>
      <c r="BY33" s="24">
        <v>4.0420201916469202E+18</v>
      </c>
      <c r="BZ33" s="24" t="s">
        <v>901</v>
      </c>
      <c r="CA33" s="24" t="s">
        <v>746</v>
      </c>
    </row>
    <row r="34" spans="1:79" x14ac:dyDescent="0.25">
      <c r="A34" s="24" t="s">
        <v>902</v>
      </c>
      <c r="B34" s="24" t="s">
        <v>903</v>
      </c>
      <c r="C34" s="24">
        <v>2019</v>
      </c>
      <c r="D34" s="24" t="s">
        <v>737</v>
      </c>
      <c r="E34" s="24">
        <v>2.0190414914612198E+17</v>
      </c>
      <c r="F34" s="24">
        <v>12</v>
      </c>
      <c r="G34" s="24" t="s">
        <v>904</v>
      </c>
      <c r="H34" s="24">
        <v>1324776</v>
      </c>
      <c r="I34" s="24"/>
      <c r="J34" s="24" t="s">
        <v>214</v>
      </c>
      <c r="K34" s="24" t="s">
        <v>215</v>
      </c>
      <c r="L34" s="24"/>
      <c r="M34" s="24"/>
      <c r="N34" s="24" t="s">
        <v>739</v>
      </c>
      <c r="O34" s="24" t="s">
        <v>310</v>
      </c>
      <c r="P34" s="24"/>
      <c r="Q34" s="24" t="s">
        <v>26</v>
      </c>
      <c r="R34" s="24" t="s">
        <v>740</v>
      </c>
      <c r="S34" s="24"/>
      <c r="T34" s="24" t="s">
        <v>741</v>
      </c>
      <c r="U34" s="24"/>
      <c r="V34" s="24" t="s">
        <v>742</v>
      </c>
      <c r="W34" s="24"/>
      <c r="X34" s="24" t="s">
        <v>613</v>
      </c>
      <c r="Y34" s="24" t="s">
        <v>32</v>
      </c>
      <c r="Z34" s="24">
        <v>10021</v>
      </c>
      <c r="AA34" s="24" t="s">
        <v>222</v>
      </c>
      <c r="AB34" s="24" t="s">
        <v>743</v>
      </c>
      <c r="AC34" s="24"/>
      <c r="AD34" s="24" t="s">
        <v>242</v>
      </c>
      <c r="AE34" s="24" t="s">
        <v>241</v>
      </c>
      <c r="AF34" s="24" t="s">
        <v>905</v>
      </c>
      <c r="AG34" s="24" t="s">
        <v>239</v>
      </c>
      <c r="AH34" s="24"/>
      <c r="AI34" s="24">
        <v>43539</v>
      </c>
      <c r="AJ34" s="24">
        <v>2651.22</v>
      </c>
      <c r="AK34" s="24">
        <v>2651.22</v>
      </c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 t="s">
        <v>279</v>
      </c>
      <c r="BH34" s="24"/>
      <c r="BI34" s="24" t="s">
        <v>225</v>
      </c>
      <c r="BJ34" s="24">
        <v>2020</v>
      </c>
      <c r="BK34" s="24" t="s">
        <v>31</v>
      </c>
      <c r="BL34" s="24" t="s">
        <v>238</v>
      </c>
      <c r="BM34" s="24" t="s">
        <v>227</v>
      </c>
      <c r="BN34" s="24">
        <v>43571.116481064812</v>
      </c>
      <c r="BO34" s="24"/>
      <c r="BP34" s="24"/>
      <c r="BQ34" s="24"/>
      <c r="BR34" s="24" t="s">
        <v>278</v>
      </c>
      <c r="BS34" s="24">
        <v>4.0415201916463299E+18</v>
      </c>
      <c r="BT34" s="24" t="s">
        <v>229</v>
      </c>
      <c r="BU34" s="24"/>
      <c r="BV34" s="24">
        <v>2020</v>
      </c>
      <c r="BW34" s="24" t="s">
        <v>230</v>
      </c>
      <c r="BX34" s="24"/>
      <c r="BY34" s="24">
        <v>4.0415201916463601E+18</v>
      </c>
      <c r="BZ34" s="24" t="s">
        <v>906</v>
      </c>
      <c r="CA34" s="24" t="s">
        <v>746</v>
      </c>
    </row>
    <row r="35" spans="1:79" x14ac:dyDescent="0.25">
      <c r="A35" s="24" t="s">
        <v>907</v>
      </c>
      <c r="B35" s="24" t="s">
        <v>908</v>
      </c>
      <c r="C35" s="24">
        <v>2019</v>
      </c>
      <c r="D35" s="24" t="s">
        <v>737</v>
      </c>
      <c r="E35" s="24">
        <v>2.0190413914611398E+17</v>
      </c>
      <c r="F35" s="24">
        <v>12</v>
      </c>
      <c r="G35" s="24" t="s">
        <v>909</v>
      </c>
      <c r="H35" s="24">
        <v>1324574</v>
      </c>
      <c r="I35" s="24"/>
      <c r="J35" s="24" t="s">
        <v>214</v>
      </c>
      <c r="K35" s="24" t="s">
        <v>215</v>
      </c>
      <c r="L35" s="24"/>
      <c r="M35" s="24"/>
      <c r="N35" s="24" t="s">
        <v>739</v>
      </c>
      <c r="O35" s="24" t="s">
        <v>310</v>
      </c>
      <c r="P35" s="24"/>
      <c r="Q35" s="24" t="s">
        <v>26</v>
      </c>
      <c r="R35" s="24" t="s">
        <v>740</v>
      </c>
      <c r="S35" s="24"/>
      <c r="T35" s="24" t="s">
        <v>741</v>
      </c>
      <c r="U35" s="24"/>
      <c r="V35" s="24" t="s">
        <v>742</v>
      </c>
      <c r="W35" s="24"/>
      <c r="X35" s="24" t="s">
        <v>613</v>
      </c>
      <c r="Y35" s="24" t="s">
        <v>32</v>
      </c>
      <c r="Z35" s="24">
        <v>100213502</v>
      </c>
      <c r="AA35" s="24" t="s">
        <v>222</v>
      </c>
      <c r="AB35" s="24" t="s">
        <v>743</v>
      </c>
      <c r="AC35" s="24"/>
      <c r="AD35" s="24" t="s">
        <v>242</v>
      </c>
      <c r="AE35" s="24" t="s">
        <v>241</v>
      </c>
      <c r="AF35" s="24"/>
      <c r="AG35" s="24" t="s">
        <v>239</v>
      </c>
      <c r="AH35" s="24"/>
      <c r="AI35" s="24">
        <v>43539</v>
      </c>
      <c r="AJ35" s="24">
        <v>2651.22</v>
      </c>
      <c r="AK35" s="24">
        <v>2651.22</v>
      </c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 t="s">
        <v>279</v>
      </c>
      <c r="BH35" s="24"/>
      <c r="BI35" s="24" t="s">
        <v>225</v>
      </c>
      <c r="BJ35" s="24">
        <v>2020</v>
      </c>
      <c r="BK35" s="24" t="s">
        <v>31</v>
      </c>
      <c r="BL35" s="24" t="s">
        <v>238</v>
      </c>
      <c r="BM35" s="24" t="s">
        <v>227</v>
      </c>
      <c r="BN35" s="24">
        <v>43569.11432508102</v>
      </c>
      <c r="BO35" s="24"/>
      <c r="BP35" s="24" t="s">
        <v>910</v>
      </c>
      <c r="BQ35" s="24" t="s">
        <v>236</v>
      </c>
      <c r="BR35" s="24" t="s">
        <v>278</v>
      </c>
      <c r="BS35" s="24">
        <v>4.0413201916462602E+18</v>
      </c>
      <c r="BT35" s="24" t="s">
        <v>229</v>
      </c>
      <c r="BU35" s="24"/>
      <c r="BV35" s="24">
        <v>2020</v>
      </c>
      <c r="BW35" s="24" t="s">
        <v>230</v>
      </c>
      <c r="BX35" s="24"/>
      <c r="BY35" s="24">
        <v>4.0413201916463099E+18</v>
      </c>
      <c r="BZ35" s="24" t="s">
        <v>911</v>
      </c>
      <c r="CA35" s="24" t="s">
        <v>746</v>
      </c>
    </row>
    <row r="36" spans="1:79" x14ac:dyDescent="0.25">
      <c r="A36" s="24" t="s">
        <v>912</v>
      </c>
      <c r="B36" s="24" t="s">
        <v>913</v>
      </c>
      <c r="C36" s="24">
        <v>2019</v>
      </c>
      <c r="D36" s="24" t="s">
        <v>737</v>
      </c>
      <c r="E36" s="24">
        <v>2.01904159146344E+17</v>
      </c>
      <c r="F36" s="24">
        <v>12</v>
      </c>
      <c r="G36" s="24" t="s">
        <v>914</v>
      </c>
      <c r="H36" s="24">
        <v>1326246</v>
      </c>
      <c r="I36" s="24"/>
      <c r="J36" s="24" t="s">
        <v>214</v>
      </c>
      <c r="K36" s="24" t="s">
        <v>215</v>
      </c>
      <c r="L36" s="24"/>
      <c r="M36" s="24"/>
      <c r="N36" s="24" t="s">
        <v>739</v>
      </c>
      <c r="O36" s="24" t="s">
        <v>310</v>
      </c>
      <c r="P36" s="24"/>
      <c r="Q36" s="24" t="s">
        <v>26</v>
      </c>
      <c r="R36" s="24" t="s">
        <v>740</v>
      </c>
      <c r="S36" s="24"/>
      <c r="T36" s="24" t="s">
        <v>741</v>
      </c>
      <c r="U36" s="24"/>
      <c r="V36" s="24" t="s">
        <v>742</v>
      </c>
      <c r="W36" s="24"/>
      <c r="X36" s="24" t="s">
        <v>613</v>
      </c>
      <c r="Y36" s="24" t="s">
        <v>32</v>
      </c>
      <c r="Z36" s="24">
        <v>100213502</v>
      </c>
      <c r="AA36" s="24" t="s">
        <v>222</v>
      </c>
      <c r="AB36" s="24" t="s">
        <v>743</v>
      </c>
      <c r="AC36" s="24"/>
      <c r="AD36" s="24" t="s">
        <v>242</v>
      </c>
      <c r="AE36" s="24" t="s">
        <v>241</v>
      </c>
      <c r="AF36" s="24" t="s">
        <v>240</v>
      </c>
      <c r="AG36" s="24" t="s">
        <v>239</v>
      </c>
      <c r="AH36" s="24"/>
      <c r="AI36" s="24">
        <v>43539</v>
      </c>
      <c r="AJ36" s="24">
        <v>2651.22</v>
      </c>
      <c r="AK36" s="24">
        <v>2651.22</v>
      </c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 t="s">
        <v>279</v>
      </c>
      <c r="BH36" s="24"/>
      <c r="BI36" s="24" t="s">
        <v>225</v>
      </c>
      <c r="BJ36" s="24">
        <v>2020</v>
      </c>
      <c r="BK36" s="24" t="s">
        <v>31</v>
      </c>
      <c r="BL36" s="24" t="s">
        <v>238</v>
      </c>
      <c r="BM36" s="24" t="s">
        <v>227</v>
      </c>
      <c r="BN36" s="24">
        <v>43574.195637037039</v>
      </c>
      <c r="BO36" s="24"/>
      <c r="BP36" s="24" t="s">
        <v>915</v>
      </c>
      <c r="BQ36" s="24" t="s">
        <v>236</v>
      </c>
      <c r="BR36" s="24" t="s">
        <v>278</v>
      </c>
      <c r="BS36" s="24">
        <v>4.0415201916463299E+18</v>
      </c>
      <c r="BT36" s="24" t="s">
        <v>229</v>
      </c>
      <c r="BU36" s="24" t="s">
        <v>756</v>
      </c>
      <c r="BV36" s="24">
        <v>2020</v>
      </c>
      <c r="BW36" s="24" t="s">
        <v>230</v>
      </c>
      <c r="BX36" s="24"/>
      <c r="BY36" s="24">
        <v>4.0418201916467799E+18</v>
      </c>
      <c r="BZ36" s="24" t="s">
        <v>916</v>
      </c>
      <c r="CA36" s="24" t="s">
        <v>746</v>
      </c>
    </row>
    <row r="37" spans="1:79" x14ac:dyDescent="0.25">
      <c r="A37" s="24" t="s">
        <v>917</v>
      </c>
      <c r="B37" s="24" t="s">
        <v>918</v>
      </c>
      <c r="C37" s="24">
        <v>2019</v>
      </c>
      <c r="D37" s="24" t="s">
        <v>737</v>
      </c>
      <c r="E37" s="24">
        <v>2.0190415914621699E+17</v>
      </c>
      <c r="F37" s="24">
        <v>12</v>
      </c>
      <c r="G37" s="24" t="s">
        <v>919</v>
      </c>
      <c r="H37" s="24">
        <v>1326058</v>
      </c>
      <c r="I37" s="24"/>
      <c r="J37" s="24" t="s">
        <v>214</v>
      </c>
      <c r="K37" s="24" t="s">
        <v>215</v>
      </c>
      <c r="L37" s="24"/>
      <c r="M37" s="24"/>
      <c r="N37" s="24" t="s">
        <v>739</v>
      </c>
      <c r="O37" s="24" t="s">
        <v>310</v>
      </c>
      <c r="P37" s="24"/>
      <c r="Q37" s="24" t="s">
        <v>26</v>
      </c>
      <c r="R37" s="24" t="s">
        <v>740</v>
      </c>
      <c r="S37" s="24"/>
      <c r="T37" s="24" t="s">
        <v>741</v>
      </c>
      <c r="U37" s="24"/>
      <c r="V37" s="24" t="s">
        <v>742</v>
      </c>
      <c r="W37" s="24"/>
      <c r="X37" s="24" t="s">
        <v>613</v>
      </c>
      <c r="Y37" s="24" t="s">
        <v>32</v>
      </c>
      <c r="Z37" s="24">
        <v>100213502</v>
      </c>
      <c r="AA37" s="24" t="s">
        <v>222</v>
      </c>
      <c r="AB37" s="24" t="s">
        <v>743</v>
      </c>
      <c r="AC37" s="24"/>
      <c r="AD37" s="24" t="s">
        <v>242</v>
      </c>
      <c r="AE37" s="24" t="s">
        <v>241</v>
      </c>
      <c r="AF37" s="24"/>
      <c r="AG37" s="24" t="s">
        <v>239</v>
      </c>
      <c r="AH37" s="24"/>
      <c r="AI37" s="24">
        <v>43539</v>
      </c>
      <c r="AJ37" s="24">
        <v>2651.22</v>
      </c>
      <c r="AK37" s="24">
        <v>2651.22</v>
      </c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 t="s">
        <v>279</v>
      </c>
      <c r="BH37" s="24"/>
      <c r="BI37" s="24" t="s">
        <v>225</v>
      </c>
      <c r="BJ37" s="24">
        <v>2020</v>
      </c>
      <c r="BK37" s="24" t="s">
        <v>31</v>
      </c>
      <c r="BL37" s="24" t="s">
        <v>238</v>
      </c>
      <c r="BM37" s="24" t="s">
        <v>227</v>
      </c>
      <c r="BN37" s="24">
        <v>43573.117264525463</v>
      </c>
      <c r="BO37" s="24"/>
      <c r="BP37" s="24" t="s">
        <v>920</v>
      </c>
      <c r="BQ37" s="24" t="s">
        <v>236</v>
      </c>
      <c r="BR37" s="24" t="s">
        <v>278</v>
      </c>
      <c r="BS37" s="24">
        <v>4.0415201916463299E+18</v>
      </c>
      <c r="BT37" s="24" t="s">
        <v>229</v>
      </c>
      <c r="BU37" s="24"/>
      <c r="BV37" s="24">
        <v>2020</v>
      </c>
      <c r="BW37" s="24" t="s">
        <v>230</v>
      </c>
      <c r="BX37" s="24"/>
      <c r="BY37" s="24">
        <v>4.04172019164657E+18</v>
      </c>
      <c r="BZ37" s="24" t="s">
        <v>921</v>
      </c>
      <c r="CA37" s="24" t="s">
        <v>746</v>
      </c>
    </row>
    <row r="38" spans="1:79" x14ac:dyDescent="0.25">
      <c r="A38" s="24" t="s">
        <v>922</v>
      </c>
      <c r="B38" s="24" t="s">
        <v>923</v>
      </c>
      <c r="C38" s="24">
        <v>2019</v>
      </c>
      <c r="D38" s="24" t="s">
        <v>737</v>
      </c>
      <c r="E38" s="24">
        <v>2.0190415914615299E+17</v>
      </c>
      <c r="F38" s="24">
        <v>12</v>
      </c>
      <c r="G38" s="24" t="s">
        <v>924</v>
      </c>
      <c r="H38" s="24">
        <v>1325330</v>
      </c>
      <c r="I38" s="24"/>
      <c r="J38" s="24" t="s">
        <v>214</v>
      </c>
      <c r="K38" s="24" t="s">
        <v>215</v>
      </c>
      <c r="L38" s="24"/>
      <c r="M38" s="24"/>
      <c r="N38" s="24" t="s">
        <v>739</v>
      </c>
      <c r="O38" s="24" t="s">
        <v>310</v>
      </c>
      <c r="P38" s="24"/>
      <c r="Q38" s="24" t="s">
        <v>26</v>
      </c>
      <c r="R38" s="24" t="s">
        <v>740</v>
      </c>
      <c r="S38" s="24"/>
      <c r="T38" s="24" t="s">
        <v>741</v>
      </c>
      <c r="U38" s="24"/>
      <c r="V38" s="24" t="s">
        <v>754</v>
      </c>
      <c r="W38" s="24"/>
      <c r="X38" s="24" t="s">
        <v>613</v>
      </c>
      <c r="Y38" s="24" t="s">
        <v>32</v>
      </c>
      <c r="Z38" s="24">
        <v>100213502</v>
      </c>
      <c r="AA38" s="24" t="s">
        <v>222</v>
      </c>
      <c r="AB38" s="24" t="s">
        <v>925</v>
      </c>
      <c r="AC38" s="24"/>
      <c r="AD38" s="24" t="s">
        <v>242</v>
      </c>
      <c r="AE38" s="24" t="s">
        <v>241</v>
      </c>
      <c r="AF38" s="24"/>
      <c r="AG38" s="24" t="s">
        <v>239</v>
      </c>
      <c r="AH38" s="24"/>
      <c r="AI38" s="24">
        <v>43539</v>
      </c>
      <c r="AJ38" s="24">
        <v>2800</v>
      </c>
      <c r="AK38" s="24">
        <v>5600</v>
      </c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 t="s">
        <v>279</v>
      </c>
      <c r="BH38" s="24"/>
      <c r="BI38" s="24" t="s">
        <v>225</v>
      </c>
      <c r="BJ38" s="24">
        <v>2020</v>
      </c>
      <c r="BK38" s="24" t="s">
        <v>31</v>
      </c>
      <c r="BL38" s="24" t="s">
        <v>238</v>
      </c>
      <c r="BM38" s="24" t="s">
        <v>227</v>
      </c>
      <c r="BN38" s="24">
        <v>43571.117483958333</v>
      </c>
      <c r="BO38" s="24"/>
      <c r="BP38" s="24" t="s">
        <v>926</v>
      </c>
      <c r="BQ38" s="24" t="s">
        <v>236</v>
      </c>
      <c r="BR38" s="24" t="s">
        <v>278</v>
      </c>
      <c r="BS38" s="24">
        <v>4.0415201916463299E+18</v>
      </c>
      <c r="BT38" s="24" t="s">
        <v>229</v>
      </c>
      <c r="BU38" s="24"/>
      <c r="BV38" s="24">
        <v>2020</v>
      </c>
      <c r="BW38" s="24" t="s">
        <v>230</v>
      </c>
      <c r="BX38" s="24"/>
      <c r="BY38" s="24">
        <v>4.0415201916464102E+18</v>
      </c>
      <c r="BZ38" s="24" t="s">
        <v>927</v>
      </c>
      <c r="CA38" s="24" t="s">
        <v>746</v>
      </c>
    </row>
    <row r="39" spans="1:79" x14ac:dyDescent="0.25">
      <c r="A39" s="24" t="s">
        <v>922</v>
      </c>
      <c r="B39" s="24" t="s">
        <v>923</v>
      </c>
      <c r="C39" s="24">
        <v>2019</v>
      </c>
      <c r="D39" s="24" t="s">
        <v>737</v>
      </c>
      <c r="E39" s="24">
        <v>2.0190415914615299E+17</v>
      </c>
      <c r="F39" s="24">
        <v>12</v>
      </c>
      <c r="G39" s="24" t="s">
        <v>928</v>
      </c>
      <c r="H39" s="24">
        <v>1325330</v>
      </c>
      <c r="I39" s="24"/>
      <c r="J39" s="24" t="s">
        <v>214</v>
      </c>
      <c r="K39" s="24" t="s">
        <v>215</v>
      </c>
      <c r="L39" s="24"/>
      <c r="M39" s="24"/>
      <c r="N39" s="24" t="s">
        <v>739</v>
      </c>
      <c r="O39" s="24" t="s">
        <v>310</v>
      </c>
      <c r="P39" s="24"/>
      <c r="Q39" s="24" t="s">
        <v>26</v>
      </c>
      <c r="R39" s="24" t="s">
        <v>740</v>
      </c>
      <c r="S39" s="24"/>
      <c r="T39" s="24" t="s">
        <v>741</v>
      </c>
      <c r="U39" s="24"/>
      <c r="V39" s="24" t="s">
        <v>754</v>
      </c>
      <c r="W39" s="24"/>
      <c r="X39" s="24" t="s">
        <v>613</v>
      </c>
      <c r="Y39" s="24" t="s">
        <v>32</v>
      </c>
      <c r="Z39" s="24">
        <v>100213502</v>
      </c>
      <c r="AA39" s="24" t="s">
        <v>222</v>
      </c>
      <c r="AB39" s="24" t="s">
        <v>925</v>
      </c>
      <c r="AC39" s="24"/>
      <c r="AD39" s="24" t="s">
        <v>242</v>
      </c>
      <c r="AE39" s="24" t="s">
        <v>241</v>
      </c>
      <c r="AF39" s="24"/>
      <c r="AG39" s="24" t="s">
        <v>239</v>
      </c>
      <c r="AH39" s="24"/>
      <c r="AI39" s="24">
        <v>43539</v>
      </c>
      <c r="AJ39" s="24">
        <v>2800</v>
      </c>
      <c r="AK39" s="24">
        <v>5600</v>
      </c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 t="s">
        <v>297</v>
      </c>
      <c r="BH39" s="24"/>
      <c r="BI39" s="24" t="s">
        <v>296</v>
      </c>
      <c r="BJ39" s="24">
        <v>2020</v>
      </c>
      <c r="BK39" s="24" t="s">
        <v>31</v>
      </c>
      <c r="BL39" s="24" t="s">
        <v>238</v>
      </c>
      <c r="BM39" s="24" t="s">
        <v>227</v>
      </c>
      <c r="BN39" s="24">
        <v>43571.117484340277</v>
      </c>
      <c r="BO39" s="24"/>
      <c r="BP39" s="24" t="s">
        <v>929</v>
      </c>
      <c r="BQ39" s="24" t="s">
        <v>236</v>
      </c>
      <c r="BR39" s="24" t="s">
        <v>278</v>
      </c>
      <c r="BS39" s="24">
        <v>4.0415201916463299E+18</v>
      </c>
      <c r="BT39" s="24" t="s">
        <v>229</v>
      </c>
      <c r="BU39" s="24"/>
      <c r="BV39" s="24">
        <v>2020</v>
      </c>
      <c r="BW39" s="24" t="s">
        <v>230</v>
      </c>
      <c r="BX39" s="24"/>
      <c r="BY39" s="24">
        <v>4.0415201916464102E+18</v>
      </c>
      <c r="BZ39" s="24" t="s">
        <v>930</v>
      </c>
      <c r="CA39" s="24" t="s">
        <v>746</v>
      </c>
    </row>
    <row r="40" spans="1:79" x14ac:dyDescent="0.25">
      <c r="A40" s="24" t="s">
        <v>931</v>
      </c>
      <c r="B40" s="24" t="s">
        <v>932</v>
      </c>
      <c r="C40" s="24">
        <v>2019</v>
      </c>
      <c r="D40" s="24" t="s">
        <v>563</v>
      </c>
      <c r="E40" s="24">
        <v>2.0190418914949402E+17</v>
      </c>
      <c r="F40" s="24">
        <v>12</v>
      </c>
      <c r="G40" s="24" t="s">
        <v>933</v>
      </c>
      <c r="H40" s="24">
        <v>1327356</v>
      </c>
      <c r="I40" s="24"/>
      <c r="J40" s="24" t="s">
        <v>214</v>
      </c>
      <c r="K40" s="24" t="s">
        <v>215</v>
      </c>
      <c r="L40" s="24"/>
      <c r="M40" s="24"/>
      <c r="N40" s="24" t="s">
        <v>739</v>
      </c>
      <c r="O40" s="24" t="s">
        <v>36</v>
      </c>
      <c r="P40" s="24"/>
      <c r="Q40" s="24" t="s">
        <v>333</v>
      </c>
      <c r="R40" s="24" t="s">
        <v>740</v>
      </c>
      <c r="S40" s="24"/>
      <c r="T40" s="24" t="s">
        <v>741</v>
      </c>
      <c r="U40" s="24"/>
      <c r="V40" s="24" t="s">
        <v>742</v>
      </c>
      <c r="W40" s="24"/>
      <c r="X40" s="24" t="s">
        <v>613</v>
      </c>
      <c r="Y40" s="24" t="s">
        <v>32</v>
      </c>
      <c r="Z40" s="24">
        <v>100213502</v>
      </c>
      <c r="AA40" s="24" t="s">
        <v>934</v>
      </c>
      <c r="AB40" s="24" t="s">
        <v>935</v>
      </c>
      <c r="AC40" s="24"/>
      <c r="AD40" s="24" t="s">
        <v>242</v>
      </c>
      <c r="AE40" s="24" t="s">
        <v>241</v>
      </c>
      <c r="AF40" s="24"/>
      <c r="AG40" s="24" t="s">
        <v>239</v>
      </c>
      <c r="AH40" s="24"/>
      <c r="AI40" s="24">
        <v>43539</v>
      </c>
      <c r="AJ40" s="24">
        <v>5000</v>
      </c>
      <c r="AK40" s="24">
        <v>5000</v>
      </c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 t="s">
        <v>26</v>
      </c>
      <c r="BH40" s="24"/>
      <c r="BI40" s="24" t="s">
        <v>225</v>
      </c>
      <c r="BJ40" s="24"/>
      <c r="BK40" s="24" t="s">
        <v>31</v>
      </c>
      <c r="BL40" s="24" t="s">
        <v>238</v>
      </c>
      <c r="BM40" s="24" t="s">
        <v>227</v>
      </c>
      <c r="BN40" s="24">
        <v>43574.20860208333</v>
      </c>
      <c r="BO40" s="24"/>
      <c r="BP40" s="24" t="s">
        <v>936</v>
      </c>
      <c r="BQ40" s="24" t="s">
        <v>236</v>
      </c>
      <c r="BR40" s="24" t="s">
        <v>228</v>
      </c>
      <c r="BS40" s="24">
        <v>4.0418201916466898E+18</v>
      </c>
      <c r="BT40" s="24" t="s">
        <v>229</v>
      </c>
      <c r="BU40" s="24"/>
      <c r="BV40" s="24">
        <v>2020</v>
      </c>
      <c r="BW40" s="24" t="s">
        <v>230</v>
      </c>
      <c r="BX40" s="24"/>
      <c r="BY40" s="24">
        <v>4.0418201916468797E+18</v>
      </c>
      <c r="BZ40" s="24" t="s">
        <v>937</v>
      </c>
      <c r="CA40" s="24" t="s">
        <v>233</v>
      </c>
    </row>
    <row r="41" spans="1:79" x14ac:dyDescent="0.25">
      <c r="A41" s="24" t="s">
        <v>938</v>
      </c>
      <c r="B41" s="24" t="s">
        <v>939</v>
      </c>
      <c r="C41" s="24">
        <v>2019</v>
      </c>
      <c r="D41" s="24" t="s">
        <v>737</v>
      </c>
      <c r="E41" s="24">
        <v>2.0190415914615802E+17</v>
      </c>
      <c r="F41" s="24">
        <v>12</v>
      </c>
      <c r="G41" s="24" t="s">
        <v>940</v>
      </c>
      <c r="H41" s="24">
        <v>1325428</v>
      </c>
      <c r="I41" s="24"/>
      <c r="J41" s="24" t="s">
        <v>214</v>
      </c>
      <c r="K41" s="24" t="s">
        <v>215</v>
      </c>
      <c r="L41" s="24"/>
      <c r="M41" s="24"/>
      <c r="N41" s="24" t="s">
        <v>739</v>
      </c>
      <c r="O41" s="24" t="s">
        <v>310</v>
      </c>
      <c r="P41" s="24"/>
      <c r="Q41" s="24" t="s">
        <v>26</v>
      </c>
      <c r="R41" s="24" t="s">
        <v>740</v>
      </c>
      <c r="S41" s="24"/>
      <c r="T41" s="24" t="s">
        <v>741</v>
      </c>
      <c r="U41" s="24"/>
      <c r="V41" s="24" t="s">
        <v>742</v>
      </c>
      <c r="W41" s="24"/>
      <c r="X41" s="24" t="s">
        <v>613</v>
      </c>
      <c r="Y41" s="24" t="s">
        <v>32</v>
      </c>
      <c r="Z41" s="24">
        <v>10021</v>
      </c>
      <c r="AA41" s="24" t="s">
        <v>222</v>
      </c>
      <c r="AB41" s="24" t="s">
        <v>743</v>
      </c>
      <c r="AC41" s="24"/>
      <c r="AD41" s="24" t="s">
        <v>242</v>
      </c>
      <c r="AE41" s="24" t="s">
        <v>241</v>
      </c>
      <c r="AF41" s="24" t="s">
        <v>775</v>
      </c>
      <c r="AG41" s="24" t="s">
        <v>239</v>
      </c>
      <c r="AH41" s="24"/>
      <c r="AI41" s="24">
        <v>43539</v>
      </c>
      <c r="AJ41" s="24">
        <v>2800</v>
      </c>
      <c r="AK41" s="24">
        <v>2800</v>
      </c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 t="s">
        <v>297</v>
      </c>
      <c r="BH41" s="24"/>
      <c r="BI41" s="24" t="s">
        <v>296</v>
      </c>
      <c r="BJ41" s="24">
        <v>2020</v>
      </c>
      <c r="BK41" s="24" t="s">
        <v>31</v>
      </c>
      <c r="BL41" s="24" t="s">
        <v>238</v>
      </c>
      <c r="BM41" s="24" t="s">
        <v>227</v>
      </c>
      <c r="BN41" s="24">
        <v>43576.149398761576</v>
      </c>
      <c r="BO41" s="24"/>
      <c r="BP41" s="24"/>
      <c r="BQ41" s="24"/>
      <c r="BR41" s="24" t="s">
        <v>278</v>
      </c>
      <c r="BS41" s="24">
        <v>4.0415201916463299E+18</v>
      </c>
      <c r="BT41" s="24" t="s">
        <v>229</v>
      </c>
      <c r="BU41" s="24" t="s">
        <v>776</v>
      </c>
      <c r="BV41" s="24">
        <v>2020</v>
      </c>
      <c r="BW41" s="24" t="s">
        <v>230</v>
      </c>
      <c r="BX41" s="24"/>
      <c r="BY41" s="24">
        <v>4.0420201916469202E+18</v>
      </c>
      <c r="BZ41" s="24" t="s">
        <v>941</v>
      </c>
      <c r="CA41" s="24" t="s">
        <v>746</v>
      </c>
    </row>
    <row r="42" spans="1:79" x14ac:dyDescent="0.25">
      <c r="A42" s="24" t="s">
        <v>938</v>
      </c>
      <c r="B42" s="24" t="s">
        <v>939</v>
      </c>
      <c r="C42" s="24">
        <v>2019</v>
      </c>
      <c r="D42" s="24" t="s">
        <v>737</v>
      </c>
      <c r="E42" s="24">
        <v>2.0190415914615802E+17</v>
      </c>
      <c r="F42" s="24">
        <v>12</v>
      </c>
      <c r="G42" s="24" t="s">
        <v>942</v>
      </c>
      <c r="H42" s="24">
        <v>1325428</v>
      </c>
      <c r="I42" s="24"/>
      <c r="J42" s="24" t="s">
        <v>214</v>
      </c>
      <c r="K42" s="24" t="s">
        <v>215</v>
      </c>
      <c r="L42" s="24"/>
      <c r="M42" s="24"/>
      <c r="N42" s="24" t="s">
        <v>739</v>
      </c>
      <c r="O42" s="24" t="s">
        <v>310</v>
      </c>
      <c r="P42" s="24"/>
      <c r="Q42" s="24" t="s">
        <v>26</v>
      </c>
      <c r="R42" s="24" t="s">
        <v>740</v>
      </c>
      <c r="S42" s="24"/>
      <c r="T42" s="24" t="s">
        <v>741</v>
      </c>
      <c r="U42" s="24"/>
      <c r="V42" s="24" t="s">
        <v>742</v>
      </c>
      <c r="W42" s="24"/>
      <c r="X42" s="24" t="s">
        <v>613</v>
      </c>
      <c r="Y42" s="24" t="s">
        <v>32</v>
      </c>
      <c r="Z42" s="24">
        <v>10021</v>
      </c>
      <c r="AA42" s="24" t="s">
        <v>222</v>
      </c>
      <c r="AB42" s="24" t="s">
        <v>743</v>
      </c>
      <c r="AC42" s="24"/>
      <c r="AD42" s="24" t="s">
        <v>242</v>
      </c>
      <c r="AE42" s="24" t="s">
        <v>241</v>
      </c>
      <c r="AF42" s="24" t="s">
        <v>775</v>
      </c>
      <c r="AG42" s="24" t="s">
        <v>239</v>
      </c>
      <c r="AH42" s="24"/>
      <c r="AI42" s="24">
        <v>43539</v>
      </c>
      <c r="AJ42" s="24">
        <v>2800</v>
      </c>
      <c r="AK42" s="24">
        <v>5600</v>
      </c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 t="s">
        <v>279</v>
      </c>
      <c r="BH42" s="24"/>
      <c r="BI42" s="24" t="s">
        <v>225</v>
      </c>
      <c r="BJ42" s="24">
        <v>2020</v>
      </c>
      <c r="BK42" s="24" t="s">
        <v>31</v>
      </c>
      <c r="BL42" s="24" t="s">
        <v>238</v>
      </c>
      <c r="BM42" s="24" t="s">
        <v>227</v>
      </c>
      <c r="BN42" s="24">
        <v>43576.149398819442</v>
      </c>
      <c r="BO42" s="24"/>
      <c r="BP42" s="24"/>
      <c r="BQ42" s="24"/>
      <c r="BR42" s="24" t="s">
        <v>278</v>
      </c>
      <c r="BS42" s="24">
        <v>4.0415201916463299E+18</v>
      </c>
      <c r="BT42" s="24" t="s">
        <v>229</v>
      </c>
      <c r="BU42" s="24" t="s">
        <v>776</v>
      </c>
      <c r="BV42" s="24">
        <v>2020</v>
      </c>
      <c r="BW42" s="24" t="s">
        <v>230</v>
      </c>
      <c r="BX42" s="24"/>
      <c r="BY42" s="24">
        <v>4.0420201916469202E+18</v>
      </c>
      <c r="BZ42" s="24" t="s">
        <v>943</v>
      </c>
      <c r="CA42" s="24" t="s">
        <v>746</v>
      </c>
    </row>
    <row r="43" spans="1:79" x14ac:dyDescent="0.25">
      <c r="A43" s="24" t="s">
        <v>944</v>
      </c>
      <c r="B43" s="24" t="s">
        <v>945</v>
      </c>
      <c r="C43" s="24">
        <v>2019</v>
      </c>
      <c r="D43" s="24" t="s">
        <v>737</v>
      </c>
      <c r="E43" s="24">
        <v>2.0190414914612198E+17</v>
      </c>
      <c r="F43" s="24">
        <v>12</v>
      </c>
      <c r="G43" s="24" t="s">
        <v>946</v>
      </c>
      <c r="H43" s="24">
        <v>1324771</v>
      </c>
      <c r="I43" s="24"/>
      <c r="J43" s="24" t="s">
        <v>214</v>
      </c>
      <c r="K43" s="24" t="s">
        <v>215</v>
      </c>
      <c r="L43" s="24"/>
      <c r="M43" s="24"/>
      <c r="N43" s="24" t="s">
        <v>739</v>
      </c>
      <c r="O43" s="24" t="s">
        <v>310</v>
      </c>
      <c r="P43" s="24"/>
      <c r="Q43" s="24" t="s">
        <v>26</v>
      </c>
      <c r="R43" s="24" t="s">
        <v>740</v>
      </c>
      <c r="S43" s="24"/>
      <c r="T43" s="24" t="s">
        <v>741</v>
      </c>
      <c r="U43" s="24"/>
      <c r="V43" s="24" t="s">
        <v>742</v>
      </c>
      <c r="W43" s="24"/>
      <c r="X43" s="24" t="s">
        <v>613</v>
      </c>
      <c r="Y43" s="24" t="s">
        <v>32</v>
      </c>
      <c r="Z43" s="24">
        <v>10021</v>
      </c>
      <c r="AA43" s="24" t="s">
        <v>222</v>
      </c>
      <c r="AB43" s="24" t="s">
        <v>743</v>
      </c>
      <c r="AC43" s="24"/>
      <c r="AD43" s="24" t="s">
        <v>242</v>
      </c>
      <c r="AE43" s="24" t="s">
        <v>241</v>
      </c>
      <c r="AF43" s="24" t="s">
        <v>905</v>
      </c>
      <c r="AG43" s="24" t="s">
        <v>239</v>
      </c>
      <c r="AH43" s="24"/>
      <c r="AI43" s="24">
        <v>43539</v>
      </c>
      <c r="AJ43" s="24">
        <v>2651.22</v>
      </c>
      <c r="AK43" s="24">
        <v>2651.22</v>
      </c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 t="s">
        <v>279</v>
      </c>
      <c r="BH43" s="24"/>
      <c r="BI43" s="24" t="s">
        <v>225</v>
      </c>
      <c r="BJ43" s="24">
        <v>2020</v>
      </c>
      <c r="BK43" s="24" t="s">
        <v>31</v>
      </c>
      <c r="BL43" s="24" t="s">
        <v>238</v>
      </c>
      <c r="BM43" s="24" t="s">
        <v>227</v>
      </c>
      <c r="BN43" s="24">
        <v>43571.116480868055</v>
      </c>
      <c r="BO43" s="24"/>
      <c r="BP43" s="24"/>
      <c r="BQ43" s="24"/>
      <c r="BR43" s="24" t="s">
        <v>278</v>
      </c>
      <c r="BS43" s="24">
        <v>4.0415201916463299E+18</v>
      </c>
      <c r="BT43" s="24" t="s">
        <v>229</v>
      </c>
      <c r="BU43" s="24"/>
      <c r="BV43" s="24">
        <v>2020</v>
      </c>
      <c r="BW43" s="24" t="s">
        <v>230</v>
      </c>
      <c r="BX43" s="24"/>
      <c r="BY43" s="24">
        <v>4.0415201916463601E+18</v>
      </c>
      <c r="BZ43" s="24" t="s">
        <v>947</v>
      </c>
      <c r="CA43" s="24" t="s">
        <v>746</v>
      </c>
    </row>
    <row r="44" spans="1:79" x14ac:dyDescent="0.25">
      <c r="A44" s="24" t="s">
        <v>948</v>
      </c>
      <c r="B44" s="24" t="s">
        <v>949</v>
      </c>
      <c r="C44" s="24">
        <v>2019</v>
      </c>
      <c r="D44" s="24" t="s">
        <v>737</v>
      </c>
      <c r="E44" s="24">
        <v>2.01904159146388E+17</v>
      </c>
      <c r="F44" s="24">
        <v>12</v>
      </c>
      <c r="G44" s="24" t="s">
        <v>950</v>
      </c>
      <c r="H44" s="24">
        <v>1326512</v>
      </c>
      <c r="I44" s="24"/>
      <c r="J44" s="24" t="s">
        <v>214</v>
      </c>
      <c r="K44" s="24" t="s">
        <v>215</v>
      </c>
      <c r="L44" s="24"/>
      <c r="M44" s="24"/>
      <c r="N44" s="24" t="s">
        <v>739</v>
      </c>
      <c r="O44" s="24" t="s">
        <v>310</v>
      </c>
      <c r="P44" s="24"/>
      <c r="Q44" s="24" t="s">
        <v>26</v>
      </c>
      <c r="R44" s="24" t="s">
        <v>740</v>
      </c>
      <c r="S44" s="24"/>
      <c r="T44" s="24" t="s">
        <v>741</v>
      </c>
      <c r="U44" s="24"/>
      <c r="V44" s="24" t="s">
        <v>742</v>
      </c>
      <c r="W44" s="24"/>
      <c r="X44" s="24" t="s">
        <v>613</v>
      </c>
      <c r="Y44" s="24" t="s">
        <v>32</v>
      </c>
      <c r="Z44" s="24">
        <v>10021</v>
      </c>
      <c r="AA44" s="24" t="s">
        <v>222</v>
      </c>
      <c r="AB44" s="24" t="s">
        <v>743</v>
      </c>
      <c r="AC44" s="24"/>
      <c r="AD44" s="24" t="s">
        <v>242</v>
      </c>
      <c r="AE44" s="24" t="s">
        <v>241</v>
      </c>
      <c r="AF44" s="24" t="s">
        <v>240</v>
      </c>
      <c r="AG44" s="24" t="s">
        <v>239</v>
      </c>
      <c r="AH44" s="24"/>
      <c r="AI44" s="24">
        <v>43539</v>
      </c>
      <c r="AJ44" s="24">
        <v>2651.22</v>
      </c>
      <c r="AK44" s="24">
        <v>2651.22</v>
      </c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 t="s">
        <v>279</v>
      </c>
      <c r="BH44" s="24"/>
      <c r="BI44" s="24" t="s">
        <v>225</v>
      </c>
      <c r="BJ44" s="24">
        <v>2020</v>
      </c>
      <c r="BK44" s="24" t="s">
        <v>31</v>
      </c>
      <c r="BL44" s="24" t="s">
        <v>238</v>
      </c>
      <c r="BM44" s="24" t="s">
        <v>227</v>
      </c>
      <c r="BN44" s="24">
        <v>43574.197131967594</v>
      </c>
      <c r="BO44" s="24"/>
      <c r="BP44" s="24" t="s">
        <v>951</v>
      </c>
      <c r="BQ44" s="24" t="s">
        <v>236</v>
      </c>
      <c r="BR44" s="24" t="s">
        <v>278</v>
      </c>
      <c r="BS44" s="24">
        <v>4.0416201916464302E+18</v>
      </c>
      <c r="BT44" s="24" t="s">
        <v>229</v>
      </c>
      <c r="BU44" s="24" t="s">
        <v>756</v>
      </c>
      <c r="BV44" s="24">
        <v>2020</v>
      </c>
      <c r="BW44" s="24" t="s">
        <v>230</v>
      </c>
      <c r="BX44" s="24"/>
      <c r="BY44" s="24">
        <v>4.0418201916467901E+18</v>
      </c>
      <c r="BZ44" s="24" t="s">
        <v>952</v>
      </c>
      <c r="CA44" s="24" t="s">
        <v>746</v>
      </c>
    </row>
    <row r="45" spans="1:79" x14ac:dyDescent="0.25">
      <c r="A45" s="24" t="s">
        <v>953</v>
      </c>
      <c r="B45" s="24" t="s">
        <v>954</v>
      </c>
      <c r="C45" s="24">
        <v>2019</v>
      </c>
      <c r="D45" s="24" t="s">
        <v>737</v>
      </c>
      <c r="E45" s="24">
        <v>2.0190412914609101E+17</v>
      </c>
      <c r="F45" s="24">
        <v>12</v>
      </c>
      <c r="G45" s="24" t="s">
        <v>955</v>
      </c>
      <c r="H45" s="24">
        <v>1324116</v>
      </c>
      <c r="I45" s="24"/>
      <c r="J45" s="24" t="s">
        <v>214</v>
      </c>
      <c r="K45" s="24" t="s">
        <v>215</v>
      </c>
      <c r="L45" s="24"/>
      <c r="M45" s="24" t="s">
        <v>288</v>
      </c>
      <c r="N45" s="24" t="s">
        <v>753</v>
      </c>
      <c r="O45" s="24" t="s">
        <v>310</v>
      </c>
      <c r="P45" s="24"/>
      <c r="Q45" s="24" t="s">
        <v>26</v>
      </c>
      <c r="R45" s="24" t="s">
        <v>740</v>
      </c>
      <c r="S45" s="24"/>
      <c r="T45" s="24" t="s">
        <v>741</v>
      </c>
      <c r="U45" s="24"/>
      <c r="V45" s="24" t="s">
        <v>742</v>
      </c>
      <c r="W45" s="24"/>
      <c r="X45" s="24" t="s">
        <v>613</v>
      </c>
      <c r="Y45" s="24" t="s">
        <v>32</v>
      </c>
      <c r="Z45" s="24">
        <v>10021</v>
      </c>
      <c r="AA45" s="24" t="s">
        <v>222</v>
      </c>
      <c r="AB45" s="24" t="s">
        <v>743</v>
      </c>
      <c r="AC45" s="24"/>
      <c r="AD45" s="24" t="s">
        <v>242</v>
      </c>
      <c r="AE45" s="24" t="s">
        <v>241</v>
      </c>
      <c r="AF45" s="24"/>
      <c r="AG45" s="24" t="s">
        <v>239</v>
      </c>
      <c r="AH45" s="24"/>
      <c r="AI45" s="24">
        <v>43539</v>
      </c>
      <c r="AJ45" s="24">
        <v>2651.22</v>
      </c>
      <c r="AK45" s="24">
        <v>2651.22</v>
      </c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 t="s">
        <v>776</v>
      </c>
      <c r="AZ45" s="24" t="s">
        <v>956</v>
      </c>
      <c r="BA45" s="24"/>
      <c r="BB45" s="24" t="s">
        <v>787</v>
      </c>
      <c r="BC45" s="24" t="s">
        <v>788</v>
      </c>
      <c r="BD45" s="24">
        <v>20824</v>
      </c>
      <c r="BE45" s="24"/>
      <c r="BF45" s="24"/>
      <c r="BG45" s="24" t="s">
        <v>279</v>
      </c>
      <c r="BH45" s="24"/>
      <c r="BI45" s="24" t="s">
        <v>225</v>
      </c>
      <c r="BJ45" s="24">
        <v>2020</v>
      </c>
      <c r="BK45" s="24" t="s">
        <v>31</v>
      </c>
      <c r="BL45" s="24" t="s">
        <v>238</v>
      </c>
      <c r="BM45" s="24" t="s">
        <v>227</v>
      </c>
      <c r="BN45" s="24">
        <v>43568.111173182871</v>
      </c>
      <c r="BO45" s="24"/>
      <c r="BP45" s="24"/>
      <c r="BQ45" s="24"/>
      <c r="BR45" s="24" t="s">
        <v>278</v>
      </c>
      <c r="BS45" s="24">
        <v>4.0412201916462198E+18</v>
      </c>
      <c r="BT45" s="24" t="s">
        <v>229</v>
      </c>
      <c r="BU45" s="24"/>
      <c r="BV45" s="24">
        <v>2020</v>
      </c>
      <c r="BW45" s="24" t="s">
        <v>230</v>
      </c>
      <c r="BX45" s="24"/>
      <c r="BY45" s="24">
        <v>4.04122019164625E+18</v>
      </c>
      <c r="BZ45" s="24" t="s">
        <v>957</v>
      </c>
      <c r="CA45" s="24" t="s">
        <v>746</v>
      </c>
    </row>
    <row r="46" spans="1:79" x14ac:dyDescent="0.25">
      <c r="A46" s="24" t="s">
        <v>958</v>
      </c>
      <c r="B46" s="24" t="s">
        <v>959</v>
      </c>
      <c r="C46" s="24">
        <v>2019</v>
      </c>
      <c r="D46" s="24" t="s">
        <v>737</v>
      </c>
      <c r="E46" s="24">
        <v>2.0190415914613299E+17</v>
      </c>
      <c r="F46" s="24">
        <v>12</v>
      </c>
      <c r="G46" s="24" t="s">
        <v>960</v>
      </c>
      <c r="H46" s="24">
        <v>1324955</v>
      </c>
      <c r="I46" s="24"/>
      <c r="J46" s="24" t="s">
        <v>214</v>
      </c>
      <c r="K46" s="24" t="s">
        <v>215</v>
      </c>
      <c r="L46" s="24"/>
      <c r="M46" s="24"/>
      <c r="N46" s="24" t="s">
        <v>739</v>
      </c>
      <c r="O46" s="24" t="s">
        <v>310</v>
      </c>
      <c r="P46" s="24"/>
      <c r="Q46" s="24" t="s">
        <v>26</v>
      </c>
      <c r="R46" s="24" t="s">
        <v>740</v>
      </c>
      <c r="S46" s="24"/>
      <c r="T46" s="24" t="s">
        <v>741</v>
      </c>
      <c r="U46" s="24"/>
      <c r="V46" s="24" t="s">
        <v>742</v>
      </c>
      <c r="W46" s="24"/>
      <c r="X46" s="24" t="s">
        <v>613</v>
      </c>
      <c r="Y46" s="24" t="s">
        <v>32</v>
      </c>
      <c r="Z46" s="24">
        <v>10021</v>
      </c>
      <c r="AA46" s="24" t="s">
        <v>222</v>
      </c>
      <c r="AB46" s="24" t="s">
        <v>743</v>
      </c>
      <c r="AC46" s="24"/>
      <c r="AD46" s="24" t="s">
        <v>242</v>
      </c>
      <c r="AE46" s="24" t="s">
        <v>241</v>
      </c>
      <c r="AF46" s="24"/>
      <c r="AG46" s="24" t="s">
        <v>239</v>
      </c>
      <c r="AH46" s="24"/>
      <c r="AI46" s="24">
        <v>43555</v>
      </c>
      <c r="AJ46" s="24">
        <v>2800</v>
      </c>
      <c r="AK46" s="24">
        <v>5600</v>
      </c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 t="s">
        <v>297</v>
      </c>
      <c r="BH46" s="24"/>
      <c r="BI46" s="24" t="s">
        <v>296</v>
      </c>
      <c r="BJ46" s="24">
        <v>2020</v>
      </c>
      <c r="BK46" s="24" t="s">
        <v>31</v>
      </c>
      <c r="BL46" s="24" t="s">
        <v>238</v>
      </c>
      <c r="BM46" s="24" t="s">
        <v>227</v>
      </c>
      <c r="BN46" s="24">
        <v>43571.116659965279</v>
      </c>
      <c r="BO46" s="24"/>
      <c r="BP46" s="24" t="s">
        <v>961</v>
      </c>
      <c r="BQ46" s="24" t="s">
        <v>236</v>
      </c>
      <c r="BR46" s="24" t="s">
        <v>278</v>
      </c>
      <c r="BS46" s="24">
        <v>4.0415201916463299E+18</v>
      </c>
      <c r="BT46" s="24" t="s">
        <v>229</v>
      </c>
      <c r="BU46" s="24"/>
      <c r="BV46" s="24">
        <v>2020</v>
      </c>
      <c r="BW46" s="24" t="s">
        <v>230</v>
      </c>
      <c r="BX46" s="24"/>
      <c r="BY46" s="24">
        <v>4.0415201916463698E+18</v>
      </c>
      <c r="BZ46" s="24" t="s">
        <v>962</v>
      </c>
      <c r="CA46" s="24" t="s">
        <v>746</v>
      </c>
    </row>
    <row r="47" spans="1:79" x14ac:dyDescent="0.25">
      <c r="A47" s="24" t="s">
        <v>958</v>
      </c>
      <c r="B47" s="24" t="s">
        <v>959</v>
      </c>
      <c r="C47" s="24">
        <v>2019</v>
      </c>
      <c r="D47" s="24" t="s">
        <v>737</v>
      </c>
      <c r="E47" s="24">
        <v>2.0190415914613299E+17</v>
      </c>
      <c r="F47" s="24">
        <v>12</v>
      </c>
      <c r="G47" s="24" t="s">
        <v>963</v>
      </c>
      <c r="H47" s="24">
        <v>1324955</v>
      </c>
      <c r="I47" s="24"/>
      <c r="J47" s="24" t="s">
        <v>214</v>
      </c>
      <c r="K47" s="24" t="s">
        <v>215</v>
      </c>
      <c r="L47" s="24"/>
      <c r="M47" s="24"/>
      <c r="N47" s="24" t="s">
        <v>739</v>
      </c>
      <c r="O47" s="24" t="s">
        <v>310</v>
      </c>
      <c r="P47" s="24"/>
      <c r="Q47" s="24" t="s">
        <v>26</v>
      </c>
      <c r="R47" s="24" t="s">
        <v>740</v>
      </c>
      <c r="S47" s="24"/>
      <c r="T47" s="24" t="s">
        <v>741</v>
      </c>
      <c r="U47" s="24"/>
      <c r="V47" s="24" t="s">
        <v>742</v>
      </c>
      <c r="W47" s="24"/>
      <c r="X47" s="24" t="s">
        <v>613</v>
      </c>
      <c r="Y47" s="24" t="s">
        <v>32</v>
      </c>
      <c r="Z47" s="24">
        <v>10021</v>
      </c>
      <c r="AA47" s="24" t="s">
        <v>222</v>
      </c>
      <c r="AB47" s="24" t="s">
        <v>743</v>
      </c>
      <c r="AC47" s="24"/>
      <c r="AD47" s="24" t="s">
        <v>242</v>
      </c>
      <c r="AE47" s="24" t="s">
        <v>241</v>
      </c>
      <c r="AF47" s="24"/>
      <c r="AG47" s="24" t="s">
        <v>239</v>
      </c>
      <c r="AH47" s="24"/>
      <c r="AI47" s="24">
        <v>43555</v>
      </c>
      <c r="AJ47" s="24">
        <v>2800</v>
      </c>
      <c r="AK47" s="24">
        <v>5600</v>
      </c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 t="s">
        <v>279</v>
      </c>
      <c r="BH47" s="24"/>
      <c r="BI47" s="24" t="s">
        <v>225</v>
      </c>
      <c r="BJ47" s="24">
        <v>2020</v>
      </c>
      <c r="BK47" s="24" t="s">
        <v>31</v>
      </c>
      <c r="BL47" s="24" t="s">
        <v>238</v>
      </c>
      <c r="BM47" s="24" t="s">
        <v>227</v>
      </c>
      <c r="BN47" s="24">
        <v>43571.116660011576</v>
      </c>
      <c r="BO47" s="24"/>
      <c r="BP47" s="24" t="s">
        <v>964</v>
      </c>
      <c r="BQ47" s="24" t="s">
        <v>236</v>
      </c>
      <c r="BR47" s="24" t="s">
        <v>278</v>
      </c>
      <c r="BS47" s="24">
        <v>4.0415201916463299E+18</v>
      </c>
      <c r="BT47" s="24" t="s">
        <v>229</v>
      </c>
      <c r="BU47" s="24"/>
      <c r="BV47" s="24">
        <v>2020</v>
      </c>
      <c r="BW47" s="24" t="s">
        <v>230</v>
      </c>
      <c r="BX47" s="24"/>
      <c r="BY47" s="24">
        <v>4.0415201916463698E+18</v>
      </c>
      <c r="BZ47" s="24" t="s">
        <v>965</v>
      </c>
      <c r="CA47" s="24" t="s">
        <v>746</v>
      </c>
    </row>
    <row r="48" spans="1:79" x14ac:dyDescent="0.25">
      <c r="A48" s="24" t="s">
        <v>966</v>
      </c>
      <c r="B48" s="24" t="s">
        <v>967</v>
      </c>
      <c r="C48" s="24">
        <v>2019</v>
      </c>
      <c r="D48" s="24" t="s">
        <v>737</v>
      </c>
      <c r="E48" s="24">
        <v>2.0190413914611398E+17</v>
      </c>
      <c r="F48" s="24">
        <v>12</v>
      </c>
      <c r="G48" s="24" t="s">
        <v>968</v>
      </c>
      <c r="H48" s="24">
        <v>1324575</v>
      </c>
      <c r="I48" s="24"/>
      <c r="J48" s="24" t="s">
        <v>214</v>
      </c>
      <c r="K48" s="24" t="s">
        <v>215</v>
      </c>
      <c r="L48" s="24"/>
      <c r="M48" s="24"/>
      <c r="N48" s="24" t="s">
        <v>739</v>
      </c>
      <c r="O48" s="24" t="s">
        <v>310</v>
      </c>
      <c r="P48" s="24"/>
      <c r="Q48" s="24" t="s">
        <v>26</v>
      </c>
      <c r="R48" s="24" t="s">
        <v>740</v>
      </c>
      <c r="S48" s="24"/>
      <c r="T48" s="24" t="s">
        <v>741</v>
      </c>
      <c r="U48" s="24"/>
      <c r="V48" s="24" t="s">
        <v>742</v>
      </c>
      <c r="W48" s="24"/>
      <c r="X48" s="24" t="s">
        <v>613</v>
      </c>
      <c r="Y48" s="24" t="s">
        <v>32</v>
      </c>
      <c r="Z48" s="24">
        <v>10021</v>
      </c>
      <c r="AA48" s="24" t="s">
        <v>743</v>
      </c>
      <c r="AB48" s="24" t="s">
        <v>222</v>
      </c>
      <c r="AC48" s="24"/>
      <c r="AD48" s="24" t="s">
        <v>242</v>
      </c>
      <c r="AE48" s="24" t="s">
        <v>241</v>
      </c>
      <c r="AF48" s="24"/>
      <c r="AG48" s="24" t="s">
        <v>239</v>
      </c>
      <c r="AH48" s="24"/>
      <c r="AI48" s="24">
        <v>43539</v>
      </c>
      <c r="AJ48" s="24">
        <v>2651.22</v>
      </c>
      <c r="AK48" s="24">
        <v>2651.22</v>
      </c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 t="s">
        <v>279</v>
      </c>
      <c r="BH48" s="24"/>
      <c r="BI48" s="24" t="s">
        <v>225</v>
      </c>
      <c r="BJ48" s="24">
        <v>2020</v>
      </c>
      <c r="BK48" s="24" t="s">
        <v>31</v>
      </c>
      <c r="BL48" s="24" t="s">
        <v>238</v>
      </c>
      <c r="BM48" s="24" t="s">
        <v>227</v>
      </c>
      <c r="BN48" s="24">
        <v>43569.114392175929</v>
      </c>
      <c r="BO48" s="24"/>
      <c r="BP48" s="24" t="s">
        <v>969</v>
      </c>
      <c r="BQ48" s="24" t="s">
        <v>236</v>
      </c>
      <c r="BR48" s="24" t="s">
        <v>278</v>
      </c>
      <c r="BS48" s="24">
        <v>4.0413201916462602E+18</v>
      </c>
      <c r="BT48" s="24" t="s">
        <v>229</v>
      </c>
      <c r="BU48" s="24"/>
      <c r="BV48" s="24">
        <v>2020</v>
      </c>
      <c r="BW48" s="24" t="s">
        <v>230</v>
      </c>
      <c r="BX48" s="24"/>
      <c r="BY48" s="24">
        <v>4.0413201916463099E+18</v>
      </c>
      <c r="BZ48" s="24" t="s">
        <v>970</v>
      </c>
      <c r="CA48" s="24" t="s">
        <v>746</v>
      </c>
    </row>
    <row r="49" spans="1:79" x14ac:dyDescent="0.25">
      <c r="A49" s="24" t="s">
        <v>971</v>
      </c>
      <c r="B49" s="24" t="s">
        <v>972</v>
      </c>
      <c r="C49" s="24">
        <v>2019</v>
      </c>
      <c r="D49" s="24" t="s">
        <v>737</v>
      </c>
      <c r="E49" s="24">
        <v>2.0190411914607101E+17</v>
      </c>
      <c r="F49" s="24">
        <v>12</v>
      </c>
      <c r="G49" s="24" t="s">
        <v>973</v>
      </c>
      <c r="H49" s="24">
        <v>1323775</v>
      </c>
      <c r="I49" s="24"/>
      <c r="J49" s="24" t="s">
        <v>214</v>
      </c>
      <c r="K49" s="24" t="s">
        <v>215</v>
      </c>
      <c r="L49" s="24"/>
      <c r="M49" s="24"/>
      <c r="N49" s="24" t="s">
        <v>739</v>
      </c>
      <c r="O49" s="24" t="s">
        <v>310</v>
      </c>
      <c r="P49" s="24"/>
      <c r="Q49" s="24" t="s">
        <v>26</v>
      </c>
      <c r="R49" s="24" t="s">
        <v>740</v>
      </c>
      <c r="S49" s="24"/>
      <c r="T49" s="24" t="s">
        <v>741</v>
      </c>
      <c r="U49" s="24"/>
      <c r="V49" s="24" t="s">
        <v>742</v>
      </c>
      <c r="W49" s="24"/>
      <c r="X49" s="24" t="s">
        <v>613</v>
      </c>
      <c r="Y49" s="24" t="s">
        <v>32</v>
      </c>
      <c r="Z49" s="24">
        <v>100213502</v>
      </c>
      <c r="AA49" s="24" t="s">
        <v>222</v>
      </c>
      <c r="AB49" s="24" t="s">
        <v>925</v>
      </c>
      <c r="AC49" s="24"/>
      <c r="AD49" s="24" t="s">
        <v>242</v>
      </c>
      <c r="AE49" s="24" t="s">
        <v>241</v>
      </c>
      <c r="AF49" s="24" t="s">
        <v>240</v>
      </c>
      <c r="AG49" s="24" t="s">
        <v>239</v>
      </c>
      <c r="AH49" s="24"/>
      <c r="AI49" s="24">
        <v>43539</v>
      </c>
      <c r="AJ49" s="24">
        <v>2651.22</v>
      </c>
      <c r="AK49" s="24">
        <v>2651.22</v>
      </c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 t="s">
        <v>279</v>
      </c>
      <c r="BH49" s="24"/>
      <c r="BI49" s="24" t="s">
        <v>225</v>
      </c>
      <c r="BJ49" s="24">
        <v>2020</v>
      </c>
      <c r="BK49" s="24" t="s">
        <v>31</v>
      </c>
      <c r="BL49" s="24" t="s">
        <v>238</v>
      </c>
      <c r="BM49" s="24" t="s">
        <v>227</v>
      </c>
      <c r="BN49" s="24">
        <v>43567.131016585648</v>
      </c>
      <c r="BO49" s="24"/>
      <c r="BP49" s="24" t="s">
        <v>974</v>
      </c>
      <c r="BQ49" s="24" t="s">
        <v>236</v>
      </c>
      <c r="BR49" s="24" t="s">
        <v>278</v>
      </c>
      <c r="BS49" s="24">
        <v>4.0411201916461798E+18</v>
      </c>
      <c r="BT49" s="24" t="s">
        <v>229</v>
      </c>
      <c r="BU49" s="24" t="s">
        <v>756</v>
      </c>
      <c r="BV49" s="24">
        <v>2020</v>
      </c>
      <c r="BW49" s="24" t="s">
        <v>230</v>
      </c>
      <c r="BX49" s="24"/>
      <c r="BY49" s="24">
        <v>4.04112019164621E+18</v>
      </c>
      <c r="BZ49" s="24" t="s">
        <v>975</v>
      </c>
      <c r="CA49" s="24" t="s">
        <v>746</v>
      </c>
    </row>
    <row r="50" spans="1:79" x14ac:dyDescent="0.25">
      <c r="A50" s="24" t="s">
        <v>976</v>
      </c>
      <c r="B50" s="24" t="s">
        <v>977</v>
      </c>
      <c r="C50" s="24">
        <v>2019</v>
      </c>
      <c r="D50" s="24" t="s">
        <v>737</v>
      </c>
      <c r="E50" s="24">
        <v>2.01904159146384E+17</v>
      </c>
      <c r="F50" s="24">
        <v>12</v>
      </c>
      <c r="G50" s="24" t="s">
        <v>978</v>
      </c>
      <c r="H50" s="24">
        <v>1326490</v>
      </c>
      <c r="I50" s="24"/>
      <c r="J50" s="24" t="s">
        <v>214</v>
      </c>
      <c r="K50" s="24" t="s">
        <v>215</v>
      </c>
      <c r="L50" s="24"/>
      <c r="M50" s="24"/>
      <c r="N50" s="24" t="s">
        <v>739</v>
      </c>
      <c r="O50" s="24" t="s">
        <v>310</v>
      </c>
      <c r="P50" s="24"/>
      <c r="Q50" s="24" t="s">
        <v>26</v>
      </c>
      <c r="R50" s="24" t="s">
        <v>740</v>
      </c>
      <c r="S50" s="24"/>
      <c r="T50" s="24" t="s">
        <v>741</v>
      </c>
      <c r="U50" s="24"/>
      <c r="V50" s="24" t="s">
        <v>742</v>
      </c>
      <c r="W50" s="24"/>
      <c r="X50" s="24" t="s">
        <v>613</v>
      </c>
      <c r="Y50" s="24" t="s">
        <v>32</v>
      </c>
      <c r="Z50" s="24">
        <v>100213502</v>
      </c>
      <c r="AA50" s="24" t="s">
        <v>222</v>
      </c>
      <c r="AB50" s="24" t="s">
        <v>743</v>
      </c>
      <c r="AC50" s="24"/>
      <c r="AD50" s="24" t="s">
        <v>242</v>
      </c>
      <c r="AE50" s="24" t="s">
        <v>241</v>
      </c>
      <c r="AF50" s="24"/>
      <c r="AG50" s="24" t="s">
        <v>239</v>
      </c>
      <c r="AH50" s="24"/>
      <c r="AI50" s="24">
        <v>43539</v>
      </c>
      <c r="AJ50" s="24">
        <v>2800</v>
      </c>
      <c r="AK50" s="24">
        <v>5600</v>
      </c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 t="s">
        <v>297</v>
      </c>
      <c r="BH50" s="24"/>
      <c r="BI50" s="24" t="s">
        <v>296</v>
      </c>
      <c r="BJ50" s="24">
        <v>2020</v>
      </c>
      <c r="BK50" s="24" t="s">
        <v>31</v>
      </c>
      <c r="BL50" s="24" t="s">
        <v>238</v>
      </c>
      <c r="BM50" s="24" t="s">
        <v>227</v>
      </c>
      <c r="BN50" s="24">
        <v>43576.149573668983</v>
      </c>
      <c r="BO50" s="24"/>
      <c r="BP50" s="24" t="s">
        <v>979</v>
      </c>
      <c r="BQ50" s="24" t="s">
        <v>236</v>
      </c>
      <c r="BR50" s="24" t="s">
        <v>278</v>
      </c>
      <c r="BS50" s="24">
        <v>4.0416201916464302E+18</v>
      </c>
      <c r="BT50" s="24" t="s">
        <v>229</v>
      </c>
      <c r="BU50" s="24"/>
      <c r="BV50" s="24">
        <v>2020</v>
      </c>
      <c r="BW50" s="24" t="s">
        <v>230</v>
      </c>
      <c r="BX50" s="24"/>
      <c r="BY50" s="24">
        <v>4.0420201916469402E+18</v>
      </c>
      <c r="BZ50" s="24" t="s">
        <v>980</v>
      </c>
      <c r="CA50" s="24" t="s">
        <v>746</v>
      </c>
    </row>
    <row r="51" spans="1:79" x14ac:dyDescent="0.25">
      <c r="A51" s="24" t="s">
        <v>976</v>
      </c>
      <c r="B51" s="24" t="s">
        <v>977</v>
      </c>
      <c r="C51" s="24">
        <v>2019</v>
      </c>
      <c r="D51" s="24" t="s">
        <v>737</v>
      </c>
      <c r="E51" s="24">
        <v>2.01904159146384E+17</v>
      </c>
      <c r="F51" s="24">
        <v>12</v>
      </c>
      <c r="G51" s="24" t="s">
        <v>981</v>
      </c>
      <c r="H51" s="24">
        <v>1326490</v>
      </c>
      <c r="I51" s="24"/>
      <c r="J51" s="24" t="s">
        <v>214</v>
      </c>
      <c r="K51" s="24" t="s">
        <v>215</v>
      </c>
      <c r="L51" s="24"/>
      <c r="M51" s="24"/>
      <c r="N51" s="24" t="s">
        <v>739</v>
      </c>
      <c r="O51" s="24" t="s">
        <v>310</v>
      </c>
      <c r="P51" s="24"/>
      <c r="Q51" s="24" t="s">
        <v>26</v>
      </c>
      <c r="R51" s="24" t="s">
        <v>740</v>
      </c>
      <c r="S51" s="24"/>
      <c r="T51" s="24" t="s">
        <v>741</v>
      </c>
      <c r="U51" s="24"/>
      <c r="V51" s="24" t="s">
        <v>742</v>
      </c>
      <c r="W51" s="24"/>
      <c r="X51" s="24" t="s">
        <v>613</v>
      </c>
      <c r="Y51" s="24" t="s">
        <v>32</v>
      </c>
      <c r="Z51" s="24">
        <v>100213502</v>
      </c>
      <c r="AA51" s="24" t="s">
        <v>222</v>
      </c>
      <c r="AB51" s="24" t="s">
        <v>743</v>
      </c>
      <c r="AC51" s="24"/>
      <c r="AD51" s="24" t="s">
        <v>242</v>
      </c>
      <c r="AE51" s="24" t="s">
        <v>241</v>
      </c>
      <c r="AF51" s="24"/>
      <c r="AG51" s="24" t="s">
        <v>239</v>
      </c>
      <c r="AH51" s="24"/>
      <c r="AI51" s="24">
        <v>43539</v>
      </c>
      <c r="AJ51" s="24">
        <v>2800</v>
      </c>
      <c r="AK51" s="24">
        <v>5600</v>
      </c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 t="s">
        <v>279</v>
      </c>
      <c r="BH51" s="24"/>
      <c r="BI51" s="24" t="s">
        <v>225</v>
      </c>
      <c r="BJ51" s="24">
        <v>2020</v>
      </c>
      <c r="BK51" s="24" t="s">
        <v>31</v>
      </c>
      <c r="BL51" s="24" t="s">
        <v>238</v>
      </c>
      <c r="BM51" s="24" t="s">
        <v>227</v>
      </c>
      <c r="BN51" s="24">
        <v>43576.14957371528</v>
      </c>
      <c r="BO51" s="24"/>
      <c r="BP51" s="24" t="s">
        <v>982</v>
      </c>
      <c r="BQ51" s="24" t="s">
        <v>236</v>
      </c>
      <c r="BR51" s="24" t="s">
        <v>278</v>
      </c>
      <c r="BS51" s="24">
        <v>4.0416201916464302E+18</v>
      </c>
      <c r="BT51" s="24" t="s">
        <v>229</v>
      </c>
      <c r="BU51" s="24"/>
      <c r="BV51" s="24">
        <v>2020</v>
      </c>
      <c r="BW51" s="24" t="s">
        <v>230</v>
      </c>
      <c r="BX51" s="24"/>
      <c r="BY51" s="24">
        <v>4.0420201916469402E+18</v>
      </c>
      <c r="BZ51" s="24" t="s">
        <v>983</v>
      </c>
      <c r="CA51" s="24" t="s">
        <v>746</v>
      </c>
    </row>
    <row r="52" spans="1:79" x14ac:dyDescent="0.25">
      <c r="A52" s="24" t="s">
        <v>984</v>
      </c>
      <c r="B52" s="24" t="s">
        <v>985</v>
      </c>
      <c r="C52" s="24">
        <v>2019</v>
      </c>
      <c r="D52" s="24" t="s">
        <v>737</v>
      </c>
      <c r="E52" s="24">
        <v>2.01904159146192E+17</v>
      </c>
      <c r="F52" s="24">
        <v>12</v>
      </c>
      <c r="G52" s="24" t="s">
        <v>986</v>
      </c>
      <c r="H52" s="24">
        <v>1325869</v>
      </c>
      <c r="I52" s="24"/>
      <c r="J52" s="24" t="s">
        <v>214</v>
      </c>
      <c r="K52" s="24" t="s">
        <v>215</v>
      </c>
      <c r="L52" s="24"/>
      <c r="M52" s="24"/>
      <c r="N52" s="24" t="s">
        <v>739</v>
      </c>
      <c r="O52" s="24" t="s">
        <v>310</v>
      </c>
      <c r="P52" s="24"/>
      <c r="Q52" s="24" t="s">
        <v>26</v>
      </c>
      <c r="R52" s="24" t="s">
        <v>740</v>
      </c>
      <c r="S52" s="24"/>
      <c r="T52" s="24" t="s">
        <v>741</v>
      </c>
      <c r="U52" s="24"/>
      <c r="V52" s="24" t="s">
        <v>742</v>
      </c>
      <c r="W52" s="24"/>
      <c r="X52" s="24" t="s">
        <v>613</v>
      </c>
      <c r="Y52" s="24" t="s">
        <v>32</v>
      </c>
      <c r="Z52" s="24">
        <v>100213502</v>
      </c>
      <c r="AA52" s="24" t="s">
        <v>222</v>
      </c>
      <c r="AB52" s="24" t="s">
        <v>743</v>
      </c>
      <c r="AC52" s="24"/>
      <c r="AD52" s="24" t="s">
        <v>242</v>
      </c>
      <c r="AE52" s="24" t="s">
        <v>241</v>
      </c>
      <c r="AF52" s="24" t="s">
        <v>240</v>
      </c>
      <c r="AG52" s="24" t="s">
        <v>239</v>
      </c>
      <c r="AH52" s="24"/>
      <c r="AI52" s="24">
        <v>43539</v>
      </c>
      <c r="AJ52" s="24">
        <v>2800</v>
      </c>
      <c r="AK52" s="24">
        <v>5600</v>
      </c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 t="s">
        <v>279</v>
      </c>
      <c r="BH52" s="24"/>
      <c r="BI52" s="24" t="s">
        <v>225</v>
      </c>
      <c r="BJ52" s="24">
        <v>2020</v>
      </c>
      <c r="BK52" s="24" t="s">
        <v>31</v>
      </c>
      <c r="BL52" s="24" t="s">
        <v>238</v>
      </c>
      <c r="BM52" s="24" t="s">
        <v>227</v>
      </c>
      <c r="BN52" s="24">
        <v>43574.193300462961</v>
      </c>
      <c r="BO52" s="24"/>
      <c r="BP52" s="24" t="s">
        <v>987</v>
      </c>
      <c r="BQ52" s="24" t="s">
        <v>236</v>
      </c>
      <c r="BR52" s="24" t="s">
        <v>278</v>
      </c>
      <c r="BS52" s="24">
        <v>4.0415201916463299E+18</v>
      </c>
      <c r="BT52" s="24" t="s">
        <v>229</v>
      </c>
      <c r="BU52" s="24" t="s">
        <v>756</v>
      </c>
      <c r="BV52" s="24">
        <v>2020</v>
      </c>
      <c r="BW52" s="24" t="s">
        <v>230</v>
      </c>
      <c r="BX52" s="24"/>
      <c r="BY52" s="24">
        <v>4.0418201916467599E+18</v>
      </c>
      <c r="BZ52" s="24" t="s">
        <v>988</v>
      </c>
      <c r="CA52" s="24" t="s">
        <v>746</v>
      </c>
    </row>
    <row r="53" spans="1:79" x14ac:dyDescent="0.25">
      <c r="A53" s="24" t="s">
        <v>984</v>
      </c>
      <c r="B53" s="24" t="s">
        <v>985</v>
      </c>
      <c r="C53" s="24">
        <v>2019</v>
      </c>
      <c r="D53" s="24" t="s">
        <v>737</v>
      </c>
      <c r="E53" s="24">
        <v>2.01904159146192E+17</v>
      </c>
      <c r="F53" s="24">
        <v>12</v>
      </c>
      <c r="G53" s="24" t="s">
        <v>989</v>
      </c>
      <c r="H53" s="24">
        <v>1325869</v>
      </c>
      <c r="I53" s="24"/>
      <c r="J53" s="24" t="s">
        <v>214</v>
      </c>
      <c r="K53" s="24" t="s">
        <v>215</v>
      </c>
      <c r="L53" s="24"/>
      <c r="M53" s="24"/>
      <c r="N53" s="24" t="s">
        <v>739</v>
      </c>
      <c r="O53" s="24" t="s">
        <v>310</v>
      </c>
      <c r="P53" s="24"/>
      <c r="Q53" s="24" t="s">
        <v>26</v>
      </c>
      <c r="R53" s="24" t="s">
        <v>740</v>
      </c>
      <c r="S53" s="24"/>
      <c r="T53" s="24" t="s">
        <v>741</v>
      </c>
      <c r="U53" s="24"/>
      <c r="V53" s="24" t="s">
        <v>742</v>
      </c>
      <c r="W53" s="24"/>
      <c r="X53" s="24" t="s">
        <v>613</v>
      </c>
      <c r="Y53" s="24" t="s">
        <v>32</v>
      </c>
      <c r="Z53" s="24">
        <v>100213502</v>
      </c>
      <c r="AA53" s="24" t="s">
        <v>222</v>
      </c>
      <c r="AB53" s="24" t="s">
        <v>743</v>
      </c>
      <c r="AC53" s="24"/>
      <c r="AD53" s="24" t="s">
        <v>242</v>
      </c>
      <c r="AE53" s="24" t="s">
        <v>241</v>
      </c>
      <c r="AF53" s="24" t="s">
        <v>240</v>
      </c>
      <c r="AG53" s="24" t="s">
        <v>239</v>
      </c>
      <c r="AH53" s="24"/>
      <c r="AI53" s="24">
        <v>43539</v>
      </c>
      <c r="AJ53" s="24">
        <v>2800</v>
      </c>
      <c r="AK53" s="24">
        <v>5600</v>
      </c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 t="s">
        <v>297</v>
      </c>
      <c r="BH53" s="24"/>
      <c r="BI53" s="24" t="s">
        <v>296</v>
      </c>
      <c r="BJ53" s="24">
        <v>2020</v>
      </c>
      <c r="BK53" s="24" t="s">
        <v>31</v>
      </c>
      <c r="BL53" s="24" t="s">
        <v>238</v>
      </c>
      <c r="BM53" s="24" t="s">
        <v>227</v>
      </c>
      <c r="BN53" s="24">
        <v>43574.193300509258</v>
      </c>
      <c r="BO53" s="24"/>
      <c r="BP53" s="24" t="s">
        <v>990</v>
      </c>
      <c r="BQ53" s="24" t="s">
        <v>236</v>
      </c>
      <c r="BR53" s="24" t="s">
        <v>278</v>
      </c>
      <c r="BS53" s="24">
        <v>4.0415201916463299E+18</v>
      </c>
      <c r="BT53" s="24" t="s">
        <v>229</v>
      </c>
      <c r="BU53" s="24" t="s">
        <v>756</v>
      </c>
      <c r="BV53" s="24">
        <v>2020</v>
      </c>
      <c r="BW53" s="24" t="s">
        <v>230</v>
      </c>
      <c r="BX53" s="24"/>
      <c r="BY53" s="24">
        <v>4.0418201916467599E+18</v>
      </c>
      <c r="BZ53" s="24" t="s">
        <v>991</v>
      </c>
      <c r="CA53" s="24" t="s">
        <v>746</v>
      </c>
    </row>
    <row r="54" spans="1:79" x14ac:dyDescent="0.25">
      <c r="A54" s="24" t="s">
        <v>992</v>
      </c>
      <c r="B54" s="24" t="s">
        <v>993</v>
      </c>
      <c r="C54" s="24">
        <v>2019</v>
      </c>
      <c r="D54" s="24" t="s">
        <v>737</v>
      </c>
      <c r="E54" s="24">
        <v>2.0190415914614099E+17</v>
      </c>
      <c r="F54" s="24">
        <v>12</v>
      </c>
      <c r="G54" s="24" t="s">
        <v>994</v>
      </c>
      <c r="H54" s="24">
        <v>1325180</v>
      </c>
      <c r="I54" s="24"/>
      <c r="J54" s="24" t="s">
        <v>214</v>
      </c>
      <c r="K54" s="24" t="s">
        <v>215</v>
      </c>
      <c r="L54" s="24"/>
      <c r="M54" s="24" t="s">
        <v>288</v>
      </c>
      <c r="N54" s="24" t="s">
        <v>753</v>
      </c>
      <c r="O54" s="24" t="s">
        <v>310</v>
      </c>
      <c r="P54" s="24"/>
      <c r="Q54" s="24" t="s">
        <v>26</v>
      </c>
      <c r="R54" s="24" t="s">
        <v>740</v>
      </c>
      <c r="S54" s="24"/>
      <c r="T54" s="24" t="s">
        <v>741</v>
      </c>
      <c r="U54" s="24"/>
      <c r="V54" s="24" t="s">
        <v>754</v>
      </c>
      <c r="W54" s="24"/>
      <c r="X54" s="24" t="s">
        <v>613</v>
      </c>
      <c r="Y54" s="24" t="s">
        <v>32</v>
      </c>
      <c r="Z54" s="24">
        <v>10021</v>
      </c>
      <c r="AA54" s="24" t="s">
        <v>222</v>
      </c>
      <c r="AB54" s="24" t="s">
        <v>743</v>
      </c>
      <c r="AC54" s="24"/>
      <c r="AD54" s="24" t="s">
        <v>242</v>
      </c>
      <c r="AE54" s="24" t="s">
        <v>241</v>
      </c>
      <c r="AF54" s="24" t="s">
        <v>775</v>
      </c>
      <c r="AG54" s="24" t="s">
        <v>239</v>
      </c>
      <c r="AH54" s="24"/>
      <c r="AI54" s="24">
        <v>43553</v>
      </c>
      <c r="AJ54" s="24">
        <v>2651.22</v>
      </c>
      <c r="AK54" s="24">
        <v>2651.22</v>
      </c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 t="s">
        <v>279</v>
      </c>
      <c r="BH54" s="24"/>
      <c r="BI54" s="24" t="s">
        <v>225</v>
      </c>
      <c r="BJ54" s="24">
        <v>2020</v>
      </c>
      <c r="BK54" s="24" t="s">
        <v>31</v>
      </c>
      <c r="BL54" s="24" t="s">
        <v>238</v>
      </c>
      <c r="BM54" s="24" t="s">
        <v>227</v>
      </c>
      <c r="BN54" s="24">
        <v>43571.116998865742</v>
      </c>
      <c r="BO54" s="24"/>
      <c r="BP54" s="24"/>
      <c r="BQ54" s="24"/>
      <c r="BR54" s="24" t="s">
        <v>278</v>
      </c>
      <c r="BS54" s="24">
        <v>4.0415201916463299E+18</v>
      </c>
      <c r="BT54" s="24" t="s">
        <v>229</v>
      </c>
      <c r="BU54" s="24" t="s">
        <v>776</v>
      </c>
      <c r="BV54" s="24">
        <v>2020</v>
      </c>
      <c r="BW54" s="24" t="s">
        <v>230</v>
      </c>
      <c r="BX54" s="24"/>
      <c r="BY54" s="24">
        <v>4.0415201916463898E+18</v>
      </c>
      <c r="BZ54" s="24" t="s">
        <v>995</v>
      </c>
      <c r="CA54" s="24" t="s">
        <v>746</v>
      </c>
    </row>
    <row r="55" spans="1:79" x14ac:dyDescent="0.25">
      <c r="A55" s="24" t="s">
        <v>996</v>
      </c>
      <c r="B55" s="24" t="s">
        <v>997</v>
      </c>
      <c r="C55" s="24">
        <v>2019</v>
      </c>
      <c r="D55" s="24" t="s">
        <v>737</v>
      </c>
      <c r="E55" s="24">
        <v>2.01904159146184E+17</v>
      </c>
      <c r="F55" s="24">
        <v>12</v>
      </c>
      <c r="G55" s="24" t="s">
        <v>998</v>
      </c>
      <c r="H55" s="24">
        <v>1325785</v>
      </c>
      <c r="I55" s="24"/>
      <c r="J55" s="24" t="s">
        <v>214</v>
      </c>
      <c r="K55" s="24" t="s">
        <v>215</v>
      </c>
      <c r="L55" s="24"/>
      <c r="M55" s="24"/>
      <c r="N55" s="24" t="s">
        <v>739</v>
      </c>
      <c r="O55" s="24" t="s">
        <v>310</v>
      </c>
      <c r="P55" s="24"/>
      <c r="Q55" s="24" t="s">
        <v>26</v>
      </c>
      <c r="R55" s="24" t="s">
        <v>740</v>
      </c>
      <c r="S55" s="24"/>
      <c r="T55" s="24" t="s">
        <v>741</v>
      </c>
      <c r="U55" s="24"/>
      <c r="V55" s="24" t="s">
        <v>769</v>
      </c>
      <c r="W55" s="24"/>
      <c r="X55" s="24" t="s">
        <v>613</v>
      </c>
      <c r="Y55" s="24" t="s">
        <v>32</v>
      </c>
      <c r="Z55" s="24">
        <v>100213502</v>
      </c>
      <c r="AA55" s="24" t="s">
        <v>222</v>
      </c>
      <c r="AB55" s="24" t="s">
        <v>743</v>
      </c>
      <c r="AC55" s="24"/>
      <c r="AD55" s="24" t="s">
        <v>242</v>
      </c>
      <c r="AE55" s="24" t="s">
        <v>241</v>
      </c>
      <c r="AF55" s="24"/>
      <c r="AG55" s="24" t="s">
        <v>239</v>
      </c>
      <c r="AH55" s="24"/>
      <c r="AI55" s="24">
        <v>43539</v>
      </c>
      <c r="AJ55" s="24">
        <v>2651.22</v>
      </c>
      <c r="AK55" s="24">
        <v>2651.22</v>
      </c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 t="s">
        <v>279</v>
      </c>
      <c r="BH55" s="24"/>
      <c r="BI55" s="24" t="s">
        <v>225</v>
      </c>
      <c r="BJ55" s="24">
        <v>2020</v>
      </c>
      <c r="BK55" s="24" t="s">
        <v>31</v>
      </c>
      <c r="BL55" s="24" t="s">
        <v>238</v>
      </c>
      <c r="BM55" s="24" t="s">
        <v>227</v>
      </c>
      <c r="BN55" s="24">
        <v>43574.195328125003</v>
      </c>
      <c r="BO55" s="24"/>
      <c r="BP55" s="24" t="s">
        <v>999</v>
      </c>
      <c r="BQ55" s="24" t="s">
        <v>236</v>
      </c>
      <c r="BR55" s="24" t="s">
        <v>278</v>
      </c>
      <c r="BS55" s="24">
        <v>4.0415201916463299E+18</v>
      </c>
      <c r="BT55" s="24" t="s">
        <v>229</v>
      </c>
      <c r="BU55" s="24" t="s">
        <v>224</v>
      </c>
      <c r="BV55" s="24">
        <v>2020</v>
      </c>
      <c r="BW55" s="24" t="s">
        <v>230</v>
      </c>
      <c r="BX55" s="24"/>
      <c r="BY55" s="24">
        <v>4.0418201916467799E+18</v>
      </c>
      <c r="BZ55" s="24" t="s">
        <v>1000</v>
      </c>
      <c r="CA55" s="24" t="s">
        <v>746</v>
      </c>
    </row>
    <row r="56" spans="1:79" x14ac:dyDescent="0.25">
      <c r="A56" s="24" t="s">
        <v>1001</v>
      </c>
      <c r="B56" s="24" t="s">
        <v>1002</v>
      </c>
      <c r="C56" s="24">
        <v>2019</v>
      </c>
      <c r="D56" s="24" t="s">
        <v>737</v>
      </c>
      <c r="E56" s="24">
        <v>2.0190415914613798E+17</v>
      </c>
      <c r="F56" s="24">
        <v>12</v>
      </c>
      <c r="G56" s="24" t="s">
        <v>942</v>
      </c>
      <c r="H56" s="24">
        <v>1325118</v>
      </c>
      <c r="I56" s="24"/>
      <c r="J56" s="24" t="s">
        <v>214</v>
      </c>
      <c r="K56" s="24" t="s">
        <v>215</v>
      </c>
      <c r="L56" s="24"/>
      <c r="M56" s="24"/>
      <c r="N56" s="24" t="s">
        <v>739</v>
      </c>
      <c r="O56" s="24" t="s">
        <v>310</v>
      </c>
      <c r="P56" s="24"/>
      <c r="Q56" s="24" t="s">
        <v>26</v>
      </c>
      <c r="R56" s="24" t="s">
        <v>740</v>
      </c>
      <c r="S56" s="24"/>
      <c r="T56" s="24" t="s">
        <v>741</v>
      </c>
      <c r="U56" s="24"/>
      <c r="V56" s="24" t="s">
        <v>742</v>
      </c>
      <c r="W56" s="24"/>
      <c r="X56" s="24" t="s">
        <v>613</v>
      </c>
      <c r="Y56" s="24" t="s">
        <v>32</v>
      </c>
      <c r="Z56" s="24">
        <v>10021</v>
      </c>
      <c r="AA56" s="24" t="s">
        <v>222</v>
      </c>
      <c r="AB56" s="24" t="s">
        <v>743</v>
      </c>
      <c r="AC56" s="24"/>
      <c r="AD56" s="24" t="s">
        <v>242</v>
      </c>
      <c r="AE56" s="24" t="s">
        <v>241</v>
      </c>
      <c r="AF56" s="24" t="s">
        <v>775</v>
      </c>
      <c r="AG56" s="24" t="s">
        <v>239</v>
      </c>
      <c r="AH56" s="24"/>
      <c r="AI56" s="24">
        <v>43539</v>
      </c>
      <c r="AJ56" s="24">
        <v>2800</v>
      </c>
      <c r="AK56" s="24">
        <v>2800</v>
      </c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 t="s">
        <v>279</v>
      </c>
      <c r="BH56" s="24"/>
      <c r="BI56" s="24" t="s">
        <v>225</v>
      </c>
      <c r="BJ56" s="24">
        <v>2020</v>
      </c>
      <c r="BK56" s="24" t="s">
        <v>31</v>
      </c>
      <c r="BL56" s="24" t="s">
        <v>238</v>
      </c>
      <c r="BM56" s="24" t="s">
        <v>227</v>
      </c>
      <c r="BN56" s="24">
        <v>43571.116889687502</v>
      </c>
      <c r="BO56" s="24"/>
      <c r="BP56" s="24"/>
      <c r="BQ56" s="24"/>
      <c r="BR56" s="24" t="s">
        <v>278</v>
      </c>
      <c r="BS56" s="24">
        <v>4.0415201916463299E+18</v>
      </c>
      <c r="BT56" s="24" t="s">
        <v>229</v>
      </c>
      <c r="BU56" s="24" t="s">
        <v>776</v>
      </c>
      <c r="BV56" s="24">
        <v>2020</v>
      </c>
      <c r="BW56" s="24" t="s">
        <v>230</v>
      </c>
      <c r="BX56" s="24"/>
      <c r="BY56" s="24">
        <v>4.04152019164638E+18</v>
      </c>
      <c r="BZ56" s="24" t="s">
        <v>1003</v>
      </c>
      <c r="CA56" s="24" t="s">
        <v>746</v>
      </c>
    </row>
    <row r="57" spans="1:79" x14ac:dyDescent="0.25">
      <c r="A57" s="24" t="s">
        <v>1001</v>
      </c>
      <c r="B57" s="24" t="s">
        <v>1002</v>
      </c>
      <c r="C57" s="24">
        <v>2019</v>
      </c>
      <c r="D57" s="24" t="s">
        <v>737</v>
      </c>
      <c r="E57" s="24">
        <v>2.0190415914613798E+17</v>
      </c>
      <c r="F57" s="24">
        <v>12</v>
      </c>
      <c r="G57" s="24" t="s">
        <v>1004</v>
      </c>
      <c r="H57" s="24">
        <v>1325118</v>
      </c>
      <c r="I57" s="24"/>
      <c r="J57" s="24" t="s">
        <v>214</v>
      </c>
      <c r="K57" s="24" t="s">
        <v>215</v>
      </c>
      <c r="L57" s="24"/>
      <c r="M57" s="24"/>
      <c r="N57" s="24" t="s">
        <v>739</v>
      </c>
      <c r="O57" s="24" t="s">
        <v>310</v>
      </c>
      <c r="P57" s="24"/>
      <c r="Q57" s="24" t="s">
        <v>26</v>
      </c>
      <c r="R57" s="24" t="s">
        <v>740</v>
      </c>
      <c r="S57" s="24"/>
      <c r="T57" s="24" t="s">
        <v>741</v>
      </c>
      <c r="U57" s="24"/>
      <c r="V57" s="24" t="s">
        <v>742</v>
      </c>
      <c r="W57" s="24"/>
      <c r="X57" s="24" t="s">
        <v>613</v>
      </c>
      <c r="Y57" s="24" t="s">
        <v>32</v>
      </c>
      <c r="Z57" s="24">
        <v>10021</v>
      </c>
      <c r="AA57" s="24" t="s">
        <v>222</v>
      </c>
      <c r="AB57" s="24" t="s">
        <v>743</v>
      </c>
      <c r="AC57" s="24"/>
      <c r="AD57" s="24" t="s">
        <v>242</v>
      </c>
      <c r="AE57" s="24" t="s">
        <v>241</v>
      </c>
      <c r="AF57" s="24" t="s">
        <v>775</v>
      </c>
      <c r="AG57" s="24" t="s">
        <v>239</v>
      </c>
      <c r="AH57" s="24"/>
      <c r="AI57" s="24">
        <v>43539</v>
      </c>
      <c r="AJ57" s="24">
        <v>2800</v>
      </c>
      <c r="AK57" s="24">
        <v>5600</v>
      </c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 t="s">
        <v>297</v>
      </c>
      <c r="BH57" s="24"/>
      <c r="BI57" s="24" t="s">
        <v>296</v>
      </c>
      <c r="BJ57" s="24">
        <v>2020</v>
      </c>
      <c r="BK57" s="24" t="s">
        <v>31</v>
      </c>
      <c r="BL57" s="24" t="s">
        <v>238</v>
      </c>
      <c r="BM57" s="24" t="s">
        <v>227</v>
      </c>
      <c r="BN57" s="24">
        <v>43571.116889722223</v>
      </c>
      <c r="BO57" s="24"/>
      <c r="BP57" s="24"/>
      <c r="BQ57" s="24"/>
      <c r="BR57" s="24" t="s">
        <v>278</v>
      </c>
      <c r="BS57" s="24">
        <v>4.0415201916463299E+18</v>
      </c>
      <c r="BT57" s="24" t="s">
        <v>229</v>
      </c>
      <c r="BU57" s="24" t="s">
        <v>776</v>
      </c>
      <c r="BV57" s="24">
        <v>2020</v>
      </c>
      <c r="BW57" s="24" t="s">
        <v>230</v>
      </c>
      <c r="BX57" s="24"/>
      <c r="BY57" s="24">
        <v>4.04152019164638E+18</v>
      </c>
      <c r="BZ57" s="24" t="s">
        <v>1005</v>
      </c>
      <c r="CA57" s="24" t="s">
        <v>746</v>
      </c>
    </row>
    <row r="58" spans="1:79" x14ac:dyDescent="0.25">
      <c r="A58" s="24" t="s">
        <v>1006</v>
      </c>
      <c r="B58" s="24" t="s">
        <v>1007</v>
      </c>
      <c r="C58" s="24">
        <v>2019</v>
      </c>
      <c r="D58" s="24" t="s">
        <v>737</v>
      </c>
      <c r="E58" s="24">
        <v>2.01905069149632E+17</v>
      </c>
      <c r="F58" s="24" t="s">
        <v>212</v>
      </c>
      <c r="G58" s="24" t="s">
        <v>1008</v>
      </c>
      <c r="H58" s="24">
        <v>1329670</v>
      </c>
      <c r="I58" s="24"/>
      <c r="J58" s="24" t="s">
        <v>214</v>
      </c>
      <c r="K58" s="24" t="s">
        <v>215</v>
      </c>
      <c r="L58" s="24" t="s">
        <v>1009</v>
      </c>
      <c r="M58" s="24"/>
      <c r="N58" s="24" t="s">
        <v>739</v>
      </c>
      <c r="O58" s="24" t="s">
        <v>310</v>
      </c>
      <c r="P58" s="24"/>
      <c r="Q58" s="24" t="s">
        <v>26</v>
      </c>
      <c r="R58" s="24" t="s">
        <v>740</v>
      </c>
      <c r="S58" s="24"/>
      <c r="T58" s="24" t="s">
        <v>741</v>
      </c>
      <c r="U58" s="24"/>
      <c r="V58" s="24" t="s">
        <v>769</v>
      </c>
      <c r="W58" s="24"/>
      <c r="X58" s="24" t="s">
        <v>613</v>
      </c>
      <c r="Y58" s="24" t="s">
        <v>32</v>
      </c>
      <c r="Z58" s="24">
        <v>100213502</v>
      </c>
      <c r="AA58" s="24" t="s">
        <v>222</v>
      </c>
      <c r="AB58" s="24" t="s">
        <v>743</v>
      </c>
      <c r="AC58" s="24" t="s">
        <v>1009</v>
      </c>
      <c r="AD58" s="24" t="s">
        <v>324</v>
      </c>
      <c r="AE58" s="24" t="s">
        <v>325</v>
      </c>
      <c r="AF58" s="24" t="s">
        <v>1010</v>
      </c>
      <c r="AG58" s="24"/>
      <c r="AH58" s="24"/>
      <c r="AI58" s="24">
        <v>43553</v>
      </c>
      <c r="AJ58" s="24">
        <v>2651.22</v>
      </c>
      <c r="AK58" s="24">
        <v>2651.22</v>
      </c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 t="s">
        <v>279</v>
      </c>
      <c r="BH58" s="24"/>
      <c r="BI58" s="24" t="s">
        <v>225</v>
      </c>
      <c r="BJ58" s="24">
        <v>2020</v>
      </c>
      <c r="BK58" s="24" t="s">
        <v>31</v>
      </c>
      <c r="BL58" s="24" t="s">
        <v>238</v>
      </c>
      <c r="BM58" s="24" t="s">
        <v>227</v>
      </c>
      <c r="BN58" s="24">
        <v>43593.148933391203</v>
      </c>
      <c r="BO58" s="24"/>
      <c r="BP58" s="24"/>
      <c r="BQ58" s="24"/>
      <c r="BR58" s="24" t="s">
        <v>278</v>
      </c>
      <c r="BS58" s="24">
        <v>4.0506201916474102E+18</v>
      </c>
      <c r="BT58" s="24" t="s">
        <v>229</v>
      </c>
      <c r="BU58" s="24"/>
      <c r="BV58" s="24">
        <v>2020</v>
      </c>
      <c r="BW58" s="24" t="s">
        <v>230</v>
      </c>
      <c r="BX58" s="24"/>
      <c r="BY58" s="24">
        <v>4.0507201916474199E+18</v>
      </c>
      <c r="BZ58" s="24" t="s">
        <v>1011</v>
      </c>
      <c r="CA58" s="24" t="s">
        <v>232</v>
      </c>
    </row>
    <row r="59" spans="1:79" x14ac:dyDescent="0.25">
      <c r="A59" s="24" t="s">
        <v>1012</v>
      </c>
      <c r="B59" s="24" t="s">
        <v>1013</v>
      </c>
      <c r="C59" s="24">
        <v>2019</v>
      </c>
      <c r="D59" s="24" t="s">
        <v>737</v>
      </c>
      <c r="E59" s="24">
        <v>2.01904159146376E+17</v>
      </c>
      <c r="F59" s="24">
        <v>12</v>
      </c>
      <c r="G59" s="24" t="s">
        <v>1014</v>
      </c>
      <c r="H59" s="24">
        <v>1326470</v>
      </c>
      <c r="I59" s="24"/>
      <c r="J59" s="24" t="s">
        <v>214</v>
      </c>
      <c r="K59" s="24" t="s">
        <v>215</v>
      </c>
      <c r="L59" s="24"/>
      <c r="M59" s="24"/>
      <c r="N59" s="24" t="s">
        <v>739</v>
      </c>
      <c r="O59" s="24" t="s">
        <v>310</v>
      </c>
      <c r="P59" s="24"/>
      <c r="Q59" s="24" t="s">
        <v>26</v>
      </c>
      <c r="R59" s="24" t="s">
        <v>740</v>
      </c>
      <c r="S59" s="24"/>
      <c r="T59" s="24" t="s">
        <v>741</v>
      </c>
      <c r="U59" s="24"/>
      <c r="V59" s="24" t="s">
        <v>742</v>
      </c>
      <c r="W59" s="24"/>
      <c r="X59" s="24" t="s">
        <v>613</v>
      </c>
      <c r="Y59" s="24" t="s">
        <v>32</v>
      </c>
      <c r="Z59" s="24">
        <v>10021</v>
      </c>
      <c r="AA59" s="24" t="s">
        <v>222</v>
      </c>
      <c r="AB59" s="24" t="s">
        <v>743</v>
      </c>
      <c r="AC59" s="24"/>
      <c r="AD59" s="24" t="s">
        <v>242</v>
      </c>
      <c r="AE59" s="24" t="s">
        <v>241</v>
      </c>
      <c r="AF59" s="24" t="s">
        <v>775</v>
      </c>
      <c r="AG59" s="24" t="s">
        <v>239</v>
      </c>
      <c r="AH59" s="24"/>
      <c r="AI59" s="24">
        <v>43539</v>
      </c>
      <c r="AJ59" s="24">
        <v>2651.22</v>
      </c>
      <c r="AK59" s="24">
        <v>2651.22</v>
      </c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 t="s">
        <v>279</v>
      </c>
      <c r="BH59" s="24"/>
      <c r="BI59" s="24" t="s">
        <v>225</v>
      </c>
      <c r="BJ59" s="24">
        <v>2020</v>
      </c>
      <c r="BK59" s="24" t="s">
        <v>31</v>
      </c>
      <c r="BL59" s="24" t="s">
        <v>238</v>
      </c>
      <c r="BM59" s="24" t="s">
        <v>227</v>
      </c>
      <c r="BN59" s="24">
        <v>43576.149555104166</v>
      </c>
      <c r="BO59" s="24"/>
      <c r="BP59" s="24"/>
      <c r="BQ59" s="24"/>
      <c r="BR59" s="24" t="s">
        <v>278</v>
      </c>
      <c r="BS59" s="24">
        <v>4.0416201916464302E+18</v>
      </c>
      <c r="BT59" s="24" t="s">
        <v>229</v>
      </c>
      <c r="BU59" s="24" t="s">
        <v>776</v>
      </c>
      <c r="BV59" s="24">
        <v>2020</v>
      </c>
      <c r="BW59" s="24" t="s">
        <v>230</v>
      </c>
      <c r="BX59" s="24"/>
      <c r="BY59" s="24">
        <v>4.0420201916469402E+18</v>
      </c>
      <c r="BZ59" s="24" t="s">
        <v>1015</v>
      </c>
      <c r="CA59" s="24" t="s">
        <v>746</v>
      </c>
    </row>
    <row r="60" spans="1:79" x14ac:dyDescent="0.25">
      <c r="A60" s="24" t="s">
        <v>1016</v>
      </c>
      <c r="B60" s="24" t="s">
        <v>1017</v>
      </c>
      <c r="C60" s="24">
        <v>2019</v>
      </c>
      <c r="D60" s="24" t="s">
        <v>737</v>
      </c>
      <c r="E60" s="24">
        <v>2.0190415914633901E+17</v>
      </c>
      <c r="F60" s="24">
        <v>12</v>
      </c>
      <c r="G60" s="24" t="s">
        <v>1018</v>
      </c>
      <c r="H60" s="24">
        <v>1326213</v>
      </c>
      <c r="I60" s="24"/>
      <c r="J60" s="24" t="s">
        <v>214</v>
      </c>
      <c r="K60" s="24" t="s">
        <v>215</v>
      </c>
      <c r="L60" s="24"/>
      <c r="M60" s="24"/>
      <c r="N60" s="24" t="s">
        <v>739</v>
      </c>
      <c r="O60" s="24" t="s">
        <v>310</v>
      </c>
      <c r="P60" s="24"/>
      <c r="Q60" s="24" t="s">
        <v>26</v>
      </c>
      <c r="R60" s="24" t="s">
        <v>740</v>
      </c>
      <c r="S60" s="24"/>
      <c r="T60" s="24" t="s">
        <v>741</v>
      </c>
      <c r="U60" s="24"/>
      <c r="V60" s="24" t="s">
        <v>742</v>
      </c>
      <c r="W60" s="24"/>
      <c r="X60" s="24" t="s">
        <v>613</v>
      </c>
      <c r="Y60" s="24" t="s">
        <v>32</v>
      </c>
      <c r="Z60" s="24">
        <v>100213502</v>
      </c>
      <c r="AA60" s="24" t="s">
        <v>222</v>
      </c>
      <c r="AB60" s="24" t="s">
        <v>743</v>
      </c>
      <c r="AC60" s="24"/>
      <c r="AD60" s="24" t="s">
        <v>242</v>
      </c>
      <c r="AE60" s="24" t="s">
        <v>241</v>
      </c>
      <c r="AF60" s="24" t="s">
        <v>240</v>
      </c>
      <c r="AG60" s="24" t="s">
        <v>239</v>
      </c>
      <c r="AH60" s="24"/>
      <c r="AI60" s="24">
        <v>43555</v>
      </c>
      <c r="AJ60" s="24">
        <v>2800</v>
      </c>
      <c r="AK60" s="24">
        <v>5600</v>
      </c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 t="s">
        <v>279</v>
      </c>
      <c r="BH60" s="24"/>
      <c r="BI60" s="24" t="s">
        <v>225</v>
      </c>
      <c r="BJ60" s="24">
        <v>2020</v>
      </c>
      <c r="BK60" s="24" t="s">
        <v>31</v>
      </c>
      <c r="BL60" s="24" t="s">
        <v>238</v>
      </c>
      <c r="BM60" s="24" t="s">
        <v>227</v>
      </c>
      <c r="BN60" s="24">
        <v>43576.149535752316</v>
      </c>
      <c r="BO60" s="24"/>
      <c r="BP60" s="24" t="s">
        <v>1019</v>
      </c>
      <c r="BQ60" s="24" t="s">
        <v>236</v>
      </c>
      <c r="BR60" s="24" t="s">
        <v>278</v>
      </c>
      <c r="BS60" s="24">
        <v>4.0415201916463299E+18</v>
      </c>
      <c r="BT60" s="24" t="s">
        <v>229</v>
      </c>
      <c r="BU60" s="24" t="s">
        <v>756</v>
      </c>
      <c r="BV60" s="24">
        <v>2020</v>
      </c>
      <c r="BW60" s="24" t="s">
        <v>230</v>
      </c>
      <c r="BX60" s="24"/>
      <c r="BY60" s="24">
        <v>4.0420201916469299E+18</v>
      </c>
      <c r="BZ60" s="24" t="s">
        <v>1020</v>
      </c>
      <c r="CA60" s="24" t="s">
        <v>746</v>
      </c>
    </row>
    <row r="61" spans="1:79" x14ac:dyDescent="0.25">
      <c r="A61" s="24" t="s">
        <v>1016</v>
      </c>
      <c r="B61" s="24" t="s">
        <v>1017</v>
      </c>
      <c r="C61" s="24">
        <v>2019</v>
      </c>
      <c r="D61" s="24" t="s">
        <v>737</v>
      </c>
      <c r="E61" s="24">
        <v>2.0190415914633901E+17</v>
      </c>
      <c r="F61" s="24">
        <v>12</v>
      </c>
      <c r="G61" s="24" t="s">
        <v>1021</v>
      </c>
      <c r="H61" s="24">
        <v>1326213</v>
      </c>
      <c r="I61" s="24"/>
      <c r="J61" s="24" t="s">
        <v>214</v>
      </c>
      <c r="K61" s="24" t="s">
        <v>215</v>
      </c>
      <c r="L61" s="24"/>
      <c r="M61" s="24"/>
      <c r="N61" s="24" t="s">
        <v>739</v>
      </c>
      <c r="O61" s="24" t="s">
        <v>310</v>
      </c>
      <c r="P61" s="24"/>
      <c r="Q61" s="24" t="s">
        <v>26</v>
      </c>
      <c r="R61" s="24" t="s">
        <v>740</v>
      </c>
      <c r="S61" s="24"/>
      <c r="T61" s="24" t="s">
        <v>741</v>
      </c>
      <c r="U61" s="24"/>
      <c r="V61" s="24" t="s">
        <v>742</v>
      </c>
      <c r="W61" s="24"/>
      <c r="X61" s="24" t="s">
        <v>613</v>
      </c>
      <c r="Y61" s="24" t="s">
        <v>32</v>
      </c>
      <c r="Z61" s="24">
        <v>100213502</v>
      </c>
      <c r="AA61" s="24" t="s">
        <v>222</v>
      </c>
      <c r="AB61" s="24" t="s">
        <v>743</v>
      </c>
      <c r="AC61" s="24"/>
      <c r="AD61" s="24" t="s">
        <v>242</v>
      </c>
      <c r="AE61" s="24" t="s">
        <v>241</v>
      </c>
      <c r="AF61" s="24" t="s">
        <v>240</v>
      </c>
      <c r="AG61" s="24" t="s">
        <v>239</v>
      </c>
      <c r="AH61" s="24"/>
      <c r="AI61" s="24">
        <v>43555</v>
      </c>
      <c r="AJ61" s="24">
        <v>2800</v>
      </c>
      <c r="AK61" s="24">
        <v>5600</v>
      </c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 t="s">
        <v>297</v>
      </c>
      <c r="BH61" s="24"/>
      <c r="BI61" s="24" t="s">
        <v>296</v>
      </c>
      <c r="BJ61" s="24">
        <v>2020</v>
      </c>
      <c r="BK61" s="24" t="s">
        <v>31</v>
      </c>
      <c r="BL61" s="24" t="s">
        <v>238</v>
      </c>
      <c r="BM61" s="24" t="s">
        <v>227</v>
      </c>
      <c r="BN61" s="24">
        <v>43576.149535775461</v>
      </c>
      <c r="BO61" s="24"/>
      <c r="BP61" s="24" t="s">
        <v>1022</v>
      </c>
      <c r="BQ61" s="24" t="s">
        <v>236</v>
      </c>
      <c r="BR61" s="24" t="s">
        <v>278</v>
      </c>
      <c r="BS61" s="24">
        <v>4.0415201916463299E+18</v>
      </c>
      <c r="BT61" s="24" t="s">
        <v>229</v>
      </c>
      <c r="BU61" s="24" t="s">
        <v>756</v>
      </c>
      <c r="BV61" s="24">
        <v>2020</v>
      </c>
      <c r="BW61" s="24" t="s">
        <v>230</v>
      </c>
      <c r="BX61" s="24"/>
      <c r="BY61" s="24">
        <v>4.0420201916469299E+18</v>
      </c>
      <c r="BZ61" s="24" t="s">
        <v>1023</v>
      </c>
      <c r="CA61" s="24" t="s">
        <v>746</v>
      </c>
    </row>
    <row r="62" spans="1:79" x14ac:dyDescent="0.25">
      <c r="A62" s="24" t="s">
        <v>772</v>
      </c>
      <c r="B62" s="24" t="s">
        <v>773</v>
      </c>
      <c r="C62" s="24">
        <v>2019</v>
      </c>
      <c r="D62" s="24" t="s">
        <v>737</v>
      </c>
      <c r="E62" s="24">
        <v>2.01904159146156E+17</v>
      </c>
      <c r="F62" s="24">
        <v>12</v>
      </c>
      <c r="G62" s="24" t="s">
        <v>1024</v>
      </c>
      <c r="H62" s="24">
        <v>1325376</v>
      </c>
      <c r="I62" s="24"/>
      <c r="J62" s="24" t="s">
        <v>214</v>
      </c>
      <c r="K62" s="24" t="s">
        <v>215</v>
      </c>
      <c r="L62" s="24"/>
      <c r="M62" s="24"/>
      <c r="N62" s="24" t="s">
        <v>739</v>
      </c>
      <c r="O62" s="24" t="s">
        <v>310</v>
      </c>
      <c r="P62" s="24"/>
      <c r="Q62" s="24" t="s">
        <v>26</v>
      </c>
      <c r="R62" s="24" t="s">
        <v>740</v>
      </c>
      <c r="S62" s="24"/>
      <c r="T62" s="24" t="s">
        <v>741</v>
      </c>
      <c r="U62" s="24"/>
      <c r="V62" s="24" t="s">
        <v>742</v>
      </c>
      <c r="W62" s="24"/>
      <c r="X62" s="24" t="s">
        <v>613</v>
      </c>
      <c r="Y62" s="24" t="s">
        <v>32</v>
      </c>
      <c r="Z62" s="24">
        <v>10021</v>
      </c>
      <c r="AA62" s="24" t="s">
        <v>222</v>
      </c>
      <c r="AB62" s="24" t="s">
        <v>743</v>
      </c>
      <c r="AC62" s="24"/>
      <c r="AD62" s="24" t="s">
        <v>242</v>
      </c>
      <c r="AE62" s="24" t="s">
        <v>241</v>
      </c>
      <c r="AF62" s="24" t="s">
        <v>775</v>
      </c>
      <c r="AG62" s="24" t="s">
        <v>239</v>
      </c>
      <c r="AH62" s="24"/>
      <c r="AI62" s="24">
        <v>43539</v>
      </c>
      <c r="AJ62" s="24">
        <v>2800</v>
      </c>
      <c r="AK62" s="24">
        <v>2800</v>
      </c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 t="s">
        <v>279</v>
      </c>
      <c r="BH62" s="24"/>
      <c r="BI62" s="24" t="s">
        <v>225</v>
      </c>
      <c r="BJ62" s="24">
        <v>2020</v>
      </c>
      <c r="BK62" s="24" t="s">
        <v>31</v>
      </c>
      <c r="BL62" s="24" t="s">
        <v>238</v>
      </c>
      <c r="BM62" s="24" t="s">
        <v>227</v>
      </c>
      <c r="BN62" s="24">
        <v>43576.149372268519</v>
      </c>
      <c r="BO62" s="24"/>
      <c r="BP62" s="24"/>
      <c r="BQ62" s="24"/>
      <c r="BR62" s="24" t="s">
        <v>278</v>
      </c>
      <c r="BS62" s="24">
        <v>4.0415201916463299E+18</v>
      </c>
      <c r="BT62" s="24" t="s">
        <v>229</v>
      </c>
      <c r="BU62" s="24" t="s">
        <v>776</v>
      </c>
      <c r="BV62" s="24">
        <v>2020</v>
      </c>
      <c r="BW62" s="24" t="s">
        <v>230</v>
      </c>
      <c r="BX62" s="24"/>
      <c r="BY62" s="24">
        <v>4.0420201916469202E+18</v>
      </c>
      <c r="BZ62" s="24" t="s">
        <v>1025</v>
      </c>
      <c r="CA62" s="24" t="s">
        <v>746</v>
      </c>
    </row>
    <row r="63" spans="1:79" x14ac:dyDescent="0.25">
      <c r="A63" s="24" t="s">
        <v>1026</v>
      </c>
      <c r="B63" s="24" t="s">
        <v>1027</v>
      </c>
      <c r="C63" s="24">
        <v>2019</v>
      </c>
      <c r="D63" s="24" t="s">
        <v>737</v>
      </c>
      <c r="E63" s="24">
        <v>2.01904159146344E+17</v>
      </c>
      <c r="F63" s="24">
        <v>12</v>
      </c>
      <c r="G63" s="24" t="s">
        <v>1028</v>
      </c>
      <c r="H63" s="24">
        <v>1326235</v>
      </c>
      <c r="I63" s="24"/>
      <c r="J63" s="24" t="s">
        <v>214</v>
      </c>
      <c r="K63" s="24" t="s">
        <v>215</v>
      </c>
      <c r="L63" s="24"/>
      <c r="M63" s="24"/>
      <c r="N63" s="24" t="s">
        <v>739</v>
      </c>
      <c r="O63" s="24" t="s">
        <v>310</v>
      </c>
      <c r="P63" s="24"/>
      <c r="Q63" s="24" t="s">
        <v>26</v>
      </c>
      <c r="R63" s="24" t="s">
        <v>740</v>
      </c>
      <c r="S63" s="24"/>
      <c r="T63" s="24" t="s">
        <v>741</v>
      </c>
      <c r="U63" s="24"/>
      <c r="V63" s="24" t="s">
        <v>742</v>
      </c>
      <c r="W63" s="24"/>
      <c r="X63" s="24" t="s">
        <v>613</v>
      </c>
      <c r="Y63" s="24" t="s">
        <v>32</v>
      </c>
      <c r="Z63" s="24">
        <v>100213502</v>
      </c>
      <c r="AA63" s="24" t="s">
        <v>222</v>
      </c>
      <c r="AB63" s="24" t="s">
        <v>743</v>
      </c>
      <c r="AC63" s="24"/>
      <c r="AD63" s="24" t="s">
        <v>242</v>
      </c>
      <c r="AE63" s="24" t="s">
        <v>241</v>
      </c>
      <c r="AF63" s="24" t="s">
        <v>240</v>
      </c>
      <c r="AG63" s="24" t="s">
        <v>239</v>
      </c>
      <c r="AH63" s="24"/>
      <c r="AI63" s="24">
        <v>43555</v>
      </c>
      <c r="AJ63" s="24">
        <v>2651.22</v>
      </c>
      <c r="AK63" s="24">
        <v>2651.22</v>
      </c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 t="s">
        <v>279</v>
      </c>
      <c r="BH63" s="24"/>
      <c r="BI63" s="24" t="s">
        <v>225</v>
      </c>
      <c r="BJ63" s="24">
        <v>2020</v>
      </c>
      <c r="BK63" s="24" t="s">
        <v>31</v>
      </c>
      <c r="BL63" s="24" t="s">
        <v>238</v>
      </c>
      <c r="BM63" s="24" t="s">
        <v>227</v>
      </c>
      <c r="BN63" s="24">
        <v>43574.2055234375</v>
      </c>
      <c r="BO63" s="24"/>
      <c r="BP63" s="24" t="s">
        <v>1029</v>
      </c>
      <c r="BQ63" s="24" t="s">
        <v>236</v>
      </c>
      <c r="BR63" s="24" t="s">
        <v>278</v>
      </c>
      <c r="BS63" s="24">
        <v>4.0415201916463299E+18</v>
      </c>
      <c r="BT63" s="24" t="s">
        <v>229</v>
      </c>
      <c r="BU63" s="24" t="s">
        <v>756</v>
      </c>
      <c r="BV63" s="24">
        <v>2020</v>
      </c>
      <c r="BW63" s="24" t="s">
        <v>230</v>
      </c>
      <c r="BX63" s="24"/>
      <c r="BY63" s="24">
        <v>4.04182019164685E+18</v>
      </c>
      <c r="BZ63" s="24" t="s">
        <v>1030</v>
      </c>
      <c r="CA63" s="24" t="s">
        <v>746</v>
      </c>
    </row>
    <row r="64" spans="1:79" x14ac:dyDescent="0.25">
      <c r="A64" s="24" t="s">
        <v>1031</v>
      </c>
      <c r="B64" s="24" t="s">
        <v>1032</v>
      </c>
      <c r="C64" s="24">
        <v>2019</v>
      </c>
      <c r="D64" s="24" t="s">
        <v>737</v>
      </c>
      <c r="E64" s="24">
        <v>2.01904159146132E+17</v>
      </c>
      <c r="F64" s="24">
        <v>12</v>
      </c>
      <c r="G64" s="24" t="s">
        <v>1033</v>
      </c>
      <c r="H64" s="24">
        <v>1324925</v>
      </c>
      <c r="I64" s="24"/>
      <c r="J64" s="24" t="s">
        <v>214</v>
      </c>
      <c r="K64" s="24" t="s">
        <v>215</v>
      </c>
      <c r="L64" s="24"/>
      <c r="M64" s="24"/>
      <c r="N64" s="24" t="s">
        <v>739</v>
      </c>
      <c r="O64" s="24" t="s">
        <v>310</v>
      </c>
      <c r="P64" s="24"/>
      <c r="Q64" s="24" t="s">
        <v>26</v>
      </c>
      <c r="R64" s="24" t="s">
        <v>740</v>
      </c>
      <c r="S64" s="24"/>
      <c r="T64" s="24" t="s">
        <v>741</v>
      </c>
      <c r="U64" s="24"/>
      <c r="V64" s="24" t="s">
        <v>1034</v>
      </c>
      <c r="W64" s="24"/>
      <c r="X64" s="24" t="s">
        <v>613</v>
      </c>
      <c r="Y64" s="24" t="s">
        <v>32</v>
      </c>
      <c r="Z64" s="24">
        <v>10021</v>
      </c>
      <c r="AA64" s="24" t="s">
        <v>222</v>
      </c>
      <c r="AB64" s="24" t="s">
        <v>743</v>
      </c>
      <c r="AC64" s="24"/>
      <c r="AD64" s="24" t="s">
        <v>242</v>
      </c>
      <c r="AE64" s="24" t="s">
        <v>241</v>
      </c>
      <c r="AF64" s="24" t="s">
        <v>775</v>
      </c>
      <c r="AG64" s="24" t="s">
        <v>239</v>
      </c>
      <c r="AH64" s="24"/>
      <c r="AI64" s="24">
        <v>43539</v>
      </c>
      <c r="AJ64" s="24">
        <v>2651.22</v>
      </c>
      <c r="AK64" s="24">
        <v>2651.22</v>
      </c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 t="s">
        <v>279</v>
      </c>
      <c r="BH64" s="24"/>
      <c r="BI64" s="24" t="s">
        <v>225</v>
      </c>
      <c r="BJ64" s="24">
        <v>2020</v>
      </c>
      <c r="BK64" s="24" t="s">
        <v>31</v>
      </c>
      <c r="BL64" s="24" t="s">
        <v>238</v>
      </c>
      <c r="BM64" s="24" t="s">
        <v>227</v>
      </c>
      <c r="BN64" s="24">
        <v>43571.116625011571</v>
      </c>
      <c r="BO64" s="24"/>
      <c r="BP64" s="24"/>
      <c r="BQ64" s="24"/>
      <c r="BR64" s="24" t="s">
        <v>278</v>
      </c>
      <c r="BS64" s="24">
        <v>4.0415201916463299E+18</v>
      </c>
      <c r="BT64" s="24" t="s">
        <v>229</v>
      </c>
      <c r="BU64" s="24" t="s">
        <v>776</v>
      </c>
      <c r="BV64" s="24">
        <v>2020</v>
      </c>
      <c r="BW64" s="24" t="s">
        <v>230</v>
      </c>
      <c r="BX64" s="24"/>
      <c r="BY64" s="24">
        <v>4.0415201916463698E+18</v>
      </c>
      <c r="BZ64" s="24" t="s">
        <v>1035</v>
      </c>
      <c r="CA64" s="24" t="s">
        <v>746</v>
      </c>
    </row>
    <row r="65" spans="1:79" x14ac:dyDescent="0.25">
      <c r="A65" s="24" t="s">
        <v>1036</v>
      </c>
      <c r="B65" s="24" t="s">
        <v>1037</v>
      </c>
      <c r="C65" s="24">
        <v>2019</v>
      </c>
      <c r="D65" s="24" t="s">
        <v>563</v>
      </c>
      <c r="E65" s="24">
        <v>2.0190828916311101E+17</v>
      </c>
      <c r="F65" s="24">
        <v>12</v>
      </c>
      <c r="G65" s="24" t="s">
        <v>1038</v>
      </c>
      <c r="H65" s="24">
        <v>1350008</v>
      </c>
      <c r="I65" s="24"/>
      <c r="J65" s="24" t="s">
        <v>214</v>
      </c>
      <c r="K65" s="24" t="s">
        <v>215</v>
      </c>
      <c r="L65" s="24"/>
      <c r="M65" s="24" t="s">
        <v>288</v>
      </c>
      <c r="N65" s="24" t="s">
        <v>1039</v>
      </c>
      <c r="O65" s="24" t="s">
        <v>25</v>
      </c>
      <c r="P65" s="24"/>
      <c r="Q65" s="24" t="s">
        <v>249</v>
      </c>
      <c r="R65" s="24" t="s">
        <v>740</v>
      </c>
      <c r="S65" s="24" t="s">
        <v>119</v>
      </c>
      <c r="T65" s="24" t="s">
        <v>741</v>
      </c>
      <c r="U65" s="24"/>
      <c r="V65" s="24" t="s">
        <v>1040</v>
      </c>
      <c r="W65" s="24"/>
      <c r="X65" s="24" t="s">
        <v>613</v>
      </c>
      <c r="Y65" s="24" t="s">
        <v>32</v>
      </c>
      <c r="Z65" s="24">
        <v>100213502</v>
      </c>
      <c r="AA65" s="24" t="s">
        <v>1041</v>
      </c>
      <c r="AB65" s="24" t="s">
        <v>345</v>
      </c>
      <c r="AC65" s="24"/>
      <c r="AD65" s="24" t="s">
        <v>242</v>
      </c>
      <c r="AE65" s="24" t="s">
        <v>241</v>
      </c>
      <c r="AF65" s="24" t="s">
        <v>240</v>
      </c>
      <c r="AG65" s="24" t="s">
        <v>239</v>
      </c>
      <c r="AH65" s="24"/>
      <c r="AI65" s="24">
        <v>43539</v>
      </c>
      <c r="AJ65" s="24">
        <v>35500</v>
      </c>
      <c r="AK65" s="24">
        <v>35500</v>
      </c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 t="s">
        <v>26</v>
      </c>
      <c r="BH65" s="24"/>
      <c r="BI65" s="24" t="s">
        <v>225</v>
      </c>
      <c r="BJ65" s="24"/>
      <c r="BK65" s="24" t="s">
        <v>0</v>
      </c>
      <c r="BL65" s="24" t="s">
        <v>226</v>
      </c>
      <c r="BM65" s="24" t="s">
        <v>227</v>
      </c>
      <c r="BN65" s="24">
        <v>43707.225105972226</v>
      </c>
      <c r="BO65" s="24"/>
      <c r="BP65" s="24" t="s">
        <v>1042</v>
      </c>
      <c r="BQ65" s="24" t="s">
        <v>236</v>
      </c>
      <c r="BR65" s="24" t="s">
        <v>228</v>
      </c>
      <c r="BS65" s="24">
        <v>4.0828201916720901E+18</v>
      </c>
      <c r="BT65" s="24" t="s">
        <v>229</v>
      </c>
      <c r="BU65" s="24" t="s">
        <v>756</v>
      </c>
      <c r="BV65" s="24">
        <v>2020</v>
      </c>
      <c r="BW65" s="24" t="s">
        <v>230</v>
      </c>
      <c r="BX65" s="24"/>
      <c r="BY65" s="24">
        <v>4.0829201916721101E+18</v>
      </c>
      <c r="BZ65" s="24" t="s">
        <v>1043</v>
      </c>
      <c r="CA65" s="24" t="s">
        <v>233</v>
      </c>
    </row>
    <row r="66" spans="1:79" x14ac:dyDescent="0.25">
      <c r="A66" s="24" t="s">
        <v>1044</v>
      </c>
      <c r="B66" s="24" t="s">
        <v>1045</v>
      </c>
      <c r="C66" s="24">
        <v>2019</v>
      </c>
      <c r="D66" s="24" t="s">
        <v>737</v>
      </c>
      <c r="E66" s="24">
        <v>2.0190918916337299E+17</v>
      </c>
      <c r="F66" s="24">
        <v>12</v>
      </c>
      <c r="G66" s="24" t="s">
        <v>1046</v>
      </c>
      <c r="H66" s="24">
        <v>1352629</v>
      </c>
      <c r="I66" s="24"/>
      <c r="J66" s="24" t="s">
        <v>214</v>
      </c>
      <c r="K66" s="24" t="s">
        <v>215</v>
      </c>
      <c r="L66" s="24"/>
      <c r="M66" s="24"/>
      <c r="N66" s="24" t="s">
        <v>739</v>
      </c>
      <c r="O66" s="24" t="s">
        <v>310</v>
      </c>
      <c r="P66" s="24"/>
      <c r="Q66" s="24" t="s">
        <v>26</v>
      </c>
      <c r="R66" s="24" t="s">
        <v>740</v>
      </c>
      <c r="S66" s="24"/>
      <c r="T66" s="24" t="s">
        <v>741</v>
      </c>
      <c r="U66" s="24"/>
      <c r="V66" s="24" t="s">
        <v>1047</v>
      </c>
      <c r="W66" s="24"/>
      <c r="X66" s="24" t="s">
        <v>613</v>
      </c>
      <c r="Y66" s="24" t="s">
        <v>32</v>
      </c>
      <c r="Z66" s="24">
        <v>10021</v>
      </c>
      <c r="AA66" s="24" t="s">
        <v>222</v>
      </c>
      <c r="AB66" s="24" t="s">
        <v>743</v>
      </c>
      <c r="AC66" s="24"/>
      <c r="AD66" s="24" t="s">
        <v>242</v>
      </c>
      <c r="AE66" s="24" t="s">
        <v>241</v>
      </c>
      <c r="AF66" s="24"/>
      <c r="AG66" s="24" t="s">
        <v>239</v>
      </c>
      <c r="AH66" s="24"/>
      <c r="AI66" s="24">
        <v>43539</v>
      </c>
      <c r="AJ66" s="24">
        <v>2651.22</v>
      </c>
      <c r="AK66" s="24">
        <v>2651.22</v>
      </c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 t="s">
        <v>279</v>
      </c>
      <c r="BH66" s="24"/>
      <c r="BI66" s="24" t="s">
        <v>225</v>
      </c>
      <c r="BJ66" s="24">
        <v>2020</v>
      </c>
      <c r="BK66" s="24" t="s">
        <v>217</v>
      </c>
      <c r="BL66" s="24" t="s">
        <v>497</v>
      </c>
      <c r="BM66" s="24" t="s">
        <v>227</v>
      </c>
      <c r="BN66" s="24">
        <v>43728.110703310187</v>
      </c>
      <c r="BO66" s="24"/>
      <c r="BP66" s="24"/>
      <c r="BQ66" s="24"/>
      <c r="BR66" s="24" t="s">
        <v>278</v>
      </c>
      <c r="BS66" s="24">
        <v>4.0918201916730798E+18</v>
      </c>
      <c r="BT66" s="24" t="s">
        <v>229</v>
      </c>
      <c r="BU66" s="24"/>
      <c r="BV66" s="24">
        <v>2020</v>
      </c>
      <c r="BW66" s="24" t="s">
        <v>230</v>
      </c>
      <c r="BX66" s="24"/>
      <c r="BY66" s="24">
        <v>4.0919201916731699E+18</v>
      </c>
      <c r="BZ66" s="24" t="s">
        <v>1048</v>
      </c>
      <c r="CA66" s="24" t="s">
        <v>746</v>
      </c>
    </row>
    <row r="67" spans="1:79" x14ac:dyDescent="0.25">
      <c r="A67" s="24" t="s">
        <v>1049</v>
      </c>
      <c r="B67" s="24" t="s">
        <v>1050</v>
      </c>
      <c r="C67" s="24">
        <v>2019</v>
      </c>
      <c r="D67" s="24" t="s">
        <v>737</v>
      </c>
      <c r="E67" s="24">
        <v>2.0190919916340701E+17</v>
      </c>
      <c r="F67" s="24">
        <v>12</v>
      </c>
      <c r="G67" s="24" t="s">
        <v>1051</v>
      </c>
      <c r="H67" s="24">
        <v>1352790</v>
      </c>
      <c r="I67" s="24"/>
      <c r="J67" s="24" t="s">
        <v>214</v>
      </c>
      <c r="K67" s="24" t="s">
        <v>215</v>
      </c>
      <c r="L67" s="24"/>
      <c r="M67" s="24"/>
      <c r="N67" s="24" t="s">
        <v>739</v>
      </c>
      <c r="O67" s="24" t="s">
        <v>310</v>
      </c>
      <c r="P67" s="24"/>
      <c r="Q67" s="24" t="s">
        <v>26</v>
      </c>
      <c r="R67" s="24" t="s">
        <v>740</v>
      </c>
      <c r="S67" s="24"/>
      <c r="T67" s="24" t="s">
        <v>741</v>
      </c>
      <c r="U67" s="24"/>
      <c r="V67" s="24" t="s">
        <v>846</v>
      </c>
      <c r="W67" s="24"/>
      <c r="X67" s="24" t="s">
        <v>613</v>
      </c>
      <c r="Y67" s="24" t="s">
        <v>32</v>
      </c>
      <c r="Z67" s="24">
        <v>100213502</v>
      </c>
      <c r="AA67" s="24" t="s">
        <v>222</v>
      </c>
      <c r="AB67" s="24" t="s">
        <v>925</v>
      </c>
      <c r="AC67" s="24"/>
      <c r="AD67" s="24" t="s">
        <v>242</v>
      </c>
      <c r="AE67" s="24" t="s">
        <v>241</v>
      </c>
      <c r="AF67" s="24"/>
      <c r="AG67" s="24" t="s">
        <v>239</v>
      </c>
      <c r="AH67" s="24"/>
      <c r="AI67" s="24">
        <v>43539</v>
      </c>
      <c r="AJ67" s="24">
        <v>2800</v>
      </c>
      <c r="AK67" s="24">
        <v>2800</v>
      </c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 t="s">
        <v>297</v>
      </c>
      <c r="BH67" s="24"/>
      <c r="BI67" s="24" t="s">
        <v>296</v>
      </c>
      <c r="BJ67" s="24">
        <v>2020</v>
      </c>
      <c r="BK67" s="24" t="s">
        <v>0</v>
      </c>
      <c r="BL67" s="24" t="s">
        <v>226</v>
      </c>
      <c r="BM67" s="24" t="s">
        <v>227</v>
      </c>
      <c r="BN67" s="24">
        <v>43729.118299803238</v>
      </c>
      <c r="BO67" s="24"/>
      <c r="BP67" s="24" t="s">
        <v>1052</v>
      </c>
      <c r="BQ67" s="24" t="s">
        <v>236</v>
      </c>
      <c r="BR67" s="24" t="s">
        <v>278</v>
      </c>
      <c r="BS67" s="24">
        <v>4.0919201916731197E+18</v>
      </c>
      <c r="BT67" s="24" t="s">
        <v>229</v>
      </c>
      <c r="BU67" s="24"/>
      <c r="BV67" s="24">
        <v>2020</v>
      </c>
      <c r="BW67" s="24" t="s">
        <v>230</v>
      </c>
      <c r="BX67" s="24"/>
      <c r="BY67" s="24">
        <v>4.0920201916732298E+18</v>
      </c>
      <c r="BZ67" s="24" t="s">
        <v>1053</v>
      </c>
      <c r="CA67" s="24" t="s">
        <v>746</v>
      </c>
    </row>
    <row r="68" spans="1:79" x14ac:dyDescent="0.25">
      <c r="A68" s="24" t="s">
        <v>1049</v>
      </c>
      <c r="B68" s="24" t="s">
        <v>1050</v>
      </c>
      <c r="C68" s="24">
        <v>2019</v>
      </c>
      <c r="D68" s="24" t="s">
        <v>737</v>
      </c>
      <c r="E68" s="24">
        <v>2.0190919916340701E+17</v>
      </c>
      <c r="F68" s="24">
        <v>12</v>
      </c>
      <c r="G68" s="24" t="s">
        <v>1054</v>
      </c>
      <c r="H68" s="24">
        <v>1352790</v>
      </c>
      <c r="I68" s="24"/>
      <c r="J68" s="24" t="s">
        <v>214</v>
      </c>
      <c r="K68" s="24" t="s">
        <v>215</v>
      </c>
      <c r="L68" s="24"/>
      <c r="M68" s="24"/>
      <c r="N68" s="24" t="s">
        <v>739</v>
      </c>
      <c r="O68" s="24" t="s">
        <v>310</v>
      </c>
      <c r="P68" s="24"/>
      <c r="Q68" s="24" t="s">
        <v>26</v>
      </c>
      <c r="R68" s="24" t="s">
        <v>740</v>
      </c>
      <c r="S68" s="24"/>
      <c r="T68" s="24" t="s">
        <v>741</v>
      </c>
      <c r="U68" s="24"/>
      <c r="V68" s="24" t="s">
        <v>846</v>
      </c>
      <c r="W68" s="24"/>
      <c r="X68" s="24" t="s">
        <v>613</v>
      </c>
      <c r="Y68" s="24" t="s">
        <v>32</v>
      </c>
      <c r="Z68" s="24">
        <v>100213502</v>
      </c>
      <c r="AA68" s="24" t="s">
        <v>222</v>
      </c>
      <c r="AB68" s="24" t="s">
        <v>925</v>
      </c>
      <c r="AC68" s="24"/>
      <c r="AD68" s="24" t="s">
        <v>242</v>
      </c>
      <c r="AE68" s="24" t="s">
        <v>241</v>
      </c>
      <c r="AF68" s="24"/>
      <c r="AG68" s="24" t="s">
        <v>239</v>
      </c>
      <c r="AH68" s="24"/>
      <c r="AI68" s="24">
        <v>43558</v>
      </c>
      <c r="AJ68" s="24">
        <v>2800</v>
      </c>
      <c r="AK68" s="24">
        <v>5600</v>
      </c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 t="s">
        <v>279</v>
      </c>
      <c r="BH68" s="24"/>
      <c r="BI68" s="24" t="s">
        <v>225</v>
      </c>
      <c r="BJ68" s="24">
        <v>2020</v>
      </c>
      <c r="BK68" s="24" t="s">
        <v>0</v>
      </c>
      <c r="BL68" s="24" t="s">
        <v>226</v>
      </c>
      <c r="BM68" s="24" t="s">
        <v>227</v>
      </c>
      <c r="BN68" s="24">
        <v>43729.118299907408</v>
      </c>
      <c r="BO68" s="24"/>
      <c r="BP68" s="24" t="s">
        <v>1055</v>
      </c>
      <c r="BQ68" s="24" t="s">
        <v>236</v>
      </c>
      <c r="BR68" s="24" t="s">
        <v>278</v>
      </c>
      <c r="BS68" s="24">
        <v>4.0919201916731197E+18</v>
      </c>
      <c r="BT68" s="24" t="s">
        <v>229</v>
      </c>
      <c r="BU68" s="24"/>
      <c r="BV68" s="24">
        <v>2020</v>
      </c>
      <c r="BW68" s="24" t="s">
        <v>230</v>
      </c>
      <c r="BX68" s="24"/>
      <c r="BY68" s="24">
        <v>4.0920201916732298E+18</v>
      </c>
      <c r="BZ68" s="24" t="s">
        <v>1056</v>
      </c>
      <c r="CA68" s="24" t="s">
        <v>746</v>
      </c>
    </row>
    <row r="69" spans="1:79" x14ac:dyDescent="0.25">
      <c r="A69" s="24" t="s">
        <v>1057</v>
      </c>
      <c r="B69" s="24" t="s">
        <v>1058</v>
      </c>
      <c r="C69" s="24">
        <v>2019</v>
      </c>
      <c r="D69" s="24" t="s">
        <v>737</v>
      </c>
      <c r="E69" s="24">
        <v>2.01910159164216E+17</v>
      </c>
      <c r="F69" s="24">
        <v>12</v>
      </c>
      <c r="G69" s="24" t="s">
        <v>1059</v>
      </c>
      <c r="H69" s="24">
        <v>1358165</v>
      </c>
      <c r="I69" s="24"/>
      <c r="J69" s="24" t="s">
        <v>214</v>
      </c>
      <c r="K69" s="24" t="s">
        <v>215</v>
      </c>
      <c r="L69" s="24"/>
      <c r="M69" s="24"/>
      <c r="N69" s="24" t="s">
        <v>739</v>
      </c>
      <c r="O69" s="24" t="s">
        <v>310</v>
      </c>
      <c r="P69" s="24"/>
      <c r="Q69" s="24" t="s">
        <v>26</v>
      </c>
      <c r="R69" s="24" t="s">
        <v>740</v>
      </c>
      <c r="S69" s="24"/>
      <c r="T69" s="24" t="s">
        <v>741</v>
      </c>
      <c r="U69" s="24"/>
      <c r="V69" s="24" t="s">
        <v>1047</v>
      </c>
      <c r="W69" s="24"/>
      <c r="X69" s="24" t="s">
        <v>613</v>
      </c>
      <c r="Y69" s="24" t="s">
        <v>32</v>
      </c>
      <c r="Z69" s="24">
        <v>100213502</v>
      </c>
      <c r="AA69" s="24" t="s">
        <v>222</v>
      </c>
      <c r="AB69" s="24" t="s">
        <v>743</v>
      </c>
      <c r="AC69" s="24"/>
      <c r="AD69" s="24" t="s">
        <v>242</v>
      </c>
      <c r="AE69" s="24" t="s">
        <v>241</v>
      </c>
      <c r="AF69" s="24"/>
      <c r="AG69" s="24" t="s">
        <v>239</v>
      </c>
      <c r="AH69" s="24"/>
      <c r="AI69" s="24">
        <v>43539</v>
      </c>
      <c r="AJ69" s="24">
        <v>2800</v>
      </c>
      <c r="AK69" s="24">
        <v>5600</v>
      </c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 t="s">
        <v>297</v>
      </c>
      <c r="BH69" s="24"/>
      <c r="BI69" s="24" t="s">
        <v>296</v>
      </c>
      <c r="BJ69" s="24">
        <v>2020</v>
      </c>
      <c r="BK69" s="24" t="s">
        <v>0</v>
      </c>
      <c r="BL69" s="24" t="s">
        <v>226</v>
      </c>
      <c r="BM69" s="24" t="s">
        <v>227</v>
      </c>
      <c r="BN69" s="24">
        <v>43765.108763842596</v>
      </c>
      <c r="BO69" s="24"/>
      <c r="BP69" s="24" t="s">
        <v>1060</v>
      </c>
      <c r="BQ69" s="24" t="s">
        <v>236</v>
      </c>
      <c r="BR69" s="24" t="s">
        <v>278</v>
      </c>
      <c r="BS69" s="24">
        <v>4.1015201916742001E+18</v>
      </c>
      <c r="BT69" s="24" t="s">
        <v>229</v>
      </c>
      <c r="BU69" s="24"/>
      <c r="BV69" s="24">
        <v>2020</v>
      </c>
      <c r="BW69" s="24" t="s">
        <v>230</v>
      </c>
      <c r="BX69" s="24"/>
      <c r="BY69" s="24">
        <v>4.1026201916756598E+18</v>
      </c>
      <c r="BZ69" s="24" t="s">
        <v>1061</v>
      </c>
      <c r="CA69" s="24" t="s">
        <v>746</v>
      </c>
    </row>
    <row r="70" spans="1:79" x14ac:dyDescent="0.25">
      <c r="A70" s="24" t="s">
        <v>1057</v>
      </c>
      <c r="B70" s="24" t="s">
        <v>1058</v>
      </c>
      <c r="C70" s="24">
        <v>2019</v>
      </c>
      <c r="D70" s="24" t="s">
        <v>737</v>
      </c>
      <c r="E70" s="24">
        <v>2.01910159164216E+17</v>
      </c>
      <c r="F70" s="24">
        <v>12</v>
      </c>
      <c r="G70" s="24" t="s">
        <v>1062</v>
      </c>
      <c r="H70" s="24">
        <v>1358165</v>
      </c>
      <c r="I70" s="24"/>
      <c r="J70" s="24" t="s">
        <v>214</v>
      </c>
      <c r="K70" s="24" t="s">
        <v>215</v>
      </c>
      <c r="L70" s="24"/>
      <c r="M70" s="24"/>
      <c r="N70" s="24" t="s">
        <v>739</v>
      </c>
      <c r="O70" s="24" t="s">
        <v>310</v>
      </c>
      <c r="P70" s="24"/>
      <c r="Q70" s="24" t="s">
        <v>26</v>
      </c>
      <c r="R70" s="24" t="s">
        <v>740</v>
      </c>
      <c r="S70" s="24"/>
      <c r="T70" s="24" t="s">
        <v>741</v>
      </c>
      <c r="U70" s="24"/>
      <c r="V70" s="24" t="s">
        <v>1047</v>
      </c>
      <c r="W70" s="24"/>
      <c r="X70" s="24" t="s">
        <v>613</v>
      </c>
      <c r="Y70" s="24" t="s">
        <v>32</v>
      </c>
      <c r="Z70" s="24">
        <v>100213502</v>
      </c>
      <c r="AA70" s="24" t="s">
        <v>222</v>
      </c>
      <c r="AB70" s="24" t="s">
        <v>743</v>
      </c>
      <c r="AC70" s="24"/>
      <c r="AD70" s="24" t="s">
        <v>242</v>
      </c>
      <c r="AE70" s="24" t="s">
        <v>241</v>
      </c>
      <c r="AF70" s="24"/>
      <c r="AG70" s="24" t="s">
        <v>239</v>
      </c>
      <c r="AH70" s="24"/>
      <c r="AI70" s="24">
        <v>43539</v>
      </c>
      <c r="AJ70" s="24">
        <v>2800</v>
      </c>
      <c r="AK70" s="24">
        <v>5600</v>
      </c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 t="s">
        <v>279</v>
      </c>
      <c r="BH70" s="24"/>
      <c r="BI70" s="24" t="s">
        <v>225</v>
      </c>
      <c r="BJ70" s="24">
        <v>2020</v>
      </c>
      <c r="BK70" s="24" t="s">
        <v>0</v>
      </c>
      <c r="BL70" s="24" t="s">
        <v>226</v>
      </c>
      <c r="BM70" s="24" t="s">
        <v>227</v>
      </c>
      <c r="BN70" s="24">
        <v>43765.108763888886</v>
      </c>
      <c r="BO70" s="24"/>
      <c r="BP70" s="24" t="s">
        <v>1063</v>
      </c>
      <c r="BQ70" s="24" t="s">
        <v>236</v>
      </c>
      <c r="BR70" s="24" t="s">
        <v>278</v>
      </c>
      <c r="BS70" s="24">
        <v>4.1015201916742001E+18</v>
      </c>
      <c r="BT70" s="24" t="s">
        <v>229</v>
      </c>
      <c r="BU70" s="24"/>
      <c r="BV70" s="24">
        <v>2020</v>
      </c>
      <c r="BW70" s="24" t="s">
        <v>230</v>
      </c>
      <c r="BX70" s="24"/>
      <c r="BY70" s="24">
        <v>4.1026201916756598E+18</v>
      </c>
      <c r="BZ70" s="24" t="s">
        <v>1064</v>
      </c>
      <c r="CA70" s="24" t="s">
        <v>746</v>
      </c>
    </row>
    <row r="71" spans="1:79" x14ac:dyDescent="0.25">
      <c r="A71" s="24" t="s">
        <v>1065</v>
      </c>
      <c r="B71" s="24" t="s">
        <v>1066</v>
      </c>
      <c r="C71" s="24">
        <v>2019</v>
      </c>
      <c r="D71" s="24" t="s">
        <v>737</v>
      </c>
      <c r="E71" s="24">
        <v>2.0191015916457901E+17</v>
      </c>
      <c r="F71" s="24">
        <v>12</v>
      </c>
      <c r="G71" s="24" t="s">
        <v>1067</v>
      </c>
      <c r="H71" s="24">
        <v>1358581</v>
      </c>
      <c r="I71" s="24"/>
      <c r="J71" s="24" t="s">
        <v>214</v>
      </c>
      <c r="K71" s="24" t="s">
        <v>215</v>
      </c>
      <c r="L71" s="24"/>
      <c r="M71" s="24"/>
      <c r="N71" s="24" t="s">
        <v>739</v>
      </c>
      <c r="O71" s="24" t="s">
        <v>310</v>
      </c>
      <c r="P71" s="24"/>
      <c r="Q71" s="24" t="s">
        <v>26</v>
      </c>
      <c r="R71" s="24" t="s">
        <v>740</v>
      </c>
      <c r="S71" s="24"/>
      <c r="T71" s="24" t="s">
        <v>741</v>
      </c>
      <c r="U71" s="24"/>
      <c r="V71" s="24" t="s">
        <v>754</v>
      </c>
      <c r="W71" s="24"/>
      <c r="X71" s="24" t="s">
        <v>613</v>
      </c>
      <c r="Y71" s="24" t="s">
        <v>32</v>
      </c>
      <c r="Z71" s="24">
        <v>10021</v>
      </c>
      <c r="AA71" s="24" t="s">
        <v>743</v>
      </c>
      <c r="AB71" s="24" t="s">
        <v>222</v>
      </c>
      <c r="AC71" s="24"/>
      <c r="AD71" s="24" t="s">
        <v>242</v>
      </c>
      <c r="AE71" s="24" t="s">
        <v>241</v>
      </c>
      <c r="AF71" s="24"/>
      <c r="AG71" s="24" t="s">
        <v>239</v>
      </c>
      <c r="AH71" s="24"/>
      <c r="AI71" s="24">
        <v>43539</v>
      </c>
      <c r="AJ71" s="24">
        <v>2651.22</v>
      </c>
      <c r="AK71" s="24">
        <v>2651.22</v>
      </c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 t="s">
        <v>279</v>
      </c>
      <c r="BH71" s="24"/>
      <c r="BI71" s="24" t="s">
        <v>225</v>
      </c>
      <c r="BJ71" s="24">
        <v>2020</v>
      </c>
      <c r="BK71" s="24" t="s">
        <v>217</v>
      </c>
      <c r="BL71" s="24" t="s">
        <v>497</v>
      </c>
      <c r="BM71" s="24" t="s">
        <v>227</v>
      </c>
      <c r="BN71" s="24">
        <v>43768.111075312503</v>
      </c>
      <c r="BO71" s="24"/>
      <c r="BP71" s="24" t="s">
        <v>1068</v>
      </c>
      <c r="BQ71" s="24"/>
      <c r="BR71" s="24" t="s">
        <v>278</v>
      </c>
      <c r="BS71" s="24">
        <v>4.1016201916743598E+18</v>
      </c>
      <c r="BT71" s="24" t="s">
        <v>229</v>
      </c>
      <c r="BU71" s="24" t="s">
        <v>1069</v>
      </c>
      <c r="BV71" s="24">
        <v>2020</v>
      </c>
      <c r="BW71" s="24" t="s">
        <v>230</v>
      </c>
      <c r="BX71" s="24"/>
      <c r="BY71" s="24">
        <v>4.1029201916759398E+18</v>
      </c>
      <c r="BZ71" s="24" t="s">
        <v>1070</v>
      </c>
      <c r="CA71" s="24" t="s">
        <v>746</v>
      </c>
    </row>
    <row r="72" spans="1:79" x14ac:dyDescent="0.25">
      <c r="A72" s="24" t="s">
        <v>1036</v>
      </c>
      <c r="B72" s="24" t="s">
        <v>1037</v>
      </c>
      <c r="C72" s="24">
        <v>2019</v>
      </c>
      <c r="D72" s="24" t="s">
        <v>290</v>
      </c>
      <c r="E72" s="24">
        <v>2.0191020916519501E+17</v>
      </c>
      <c r="F72" s="24">
        <v>17</v>
      </c>
      <c r="G72" s="24" t="s">
        <v>1071</v>
      </c>
      <c r="H72" s="24">
        <v>1360334</v>
      </c>
      <c r="I72" s="24"/>
      <c r="J72" s="24" t="s">
        <v>214</v>
      </c>
      <c r="K72" s="24" t="s">
        <v>215</v>
      </c>
      <c r="L72" s="24"/>
      <c r="M72" s="24" t="s">
        <v>288</v>
      </c>
      <c r="N72" s="24" t="s">
        <v>1039</v>
      </c>
      <c r="O72" s="24" t="s">
        <v>25</v>
      </c>
      <c r="P72" s="24"/>
      <c r="Q72" s="24" t="s">
        <v>249</v>
      </c>
      <c r="R72" s="24" t="s">
        <v>740</v>
      </c>
      <c r="S72" s="24" t="s">
        <v>119</v>
      </c>
      <c r="T72" s="24" t="s">
        <v>741</v>
      </c>
      <c r="U72" s="24"/>
      <c r="V72" s="24" t="s">
        <v>1040</v>
      </c>
      <c r="W72" s="24"/>
      <c r="X72" s="24" t="s">
        <v>613</v>
      </c>
      <c r="Y72" s="24" t="s">
        <v>32</v>
      </c>
      <c r="Z72" s="24">
        <v>100213502</v>
      </c>
      <c r="AA72" s="24" t="s">
        <v>1041</v>
      </c>
      <c r="AB72" s="24" t="s">
        <v>345</v>
      </c>
      <c r="AC72" s="24"/>
      <c r="AD72" s="24" t="s">
        <v>1072</v>
      </c>
      <c r="AE72" s="24" t="s">
        <v>1073</v>
      </c>
      <c r="AF72" s="24" t="s">
        <v>240</v>
      </c>
      <c r="AG72" s="24" t="s">
        <v>239</v>
      </c>
      <c r="AH72" s="24"/>
      <c r="AI72" s="24">
        <v>43735</v>
      </c>
      <c r="AJ72" s="24">
        <v>43500</v>
      </c>
      <c r="AK72" s="24">
        <v>43500</v>
      </c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 t="s">
        <v>26</v>
      </c>
      <c r="BH72" s="24"/>
      <c r="BI72" s="24" t="s">
        <v>225</v>
      </c>
      <c r="BJ72" s="24"/>
      <c r="BK72" s="24" t="s">
        <v>31</v>
      </c>
      <c r="BL72" s="24" t="s">
        <v>238</v>
      </c>
      <c r="BM72" s="24" t="s">
        <v>227</v>
      </c>
      <c r="BN72" s="24">
        <v>43770.111773483797</v>
      </c>
      <c r="BO72" s="24"/>
      <c r="BP72" s="24" t="s">
        <v>1074</v>
      </c>
      <c r="BQ72" s="24" t="s">
        <v>1075</v>
      </c>
      <c r="BR72" s="24" t="s">
        <v>228</v>
      </c>
      <c r="BS72" s="24">
        <v>4.1020201916749302E+18</v>
      </c>
      <c r="BT72" s="24" t="s">
        <v>229</v>
      </c>
      <c r="BU72" s="24" t="s">
        <v>1076</v>
      </c>
      <c r="BV72" s="24">
        <v>2020</v>
      </c>
      <c r="BW72" s="24" t="s">
        <v>230</v>
      </c>
      <c r="BX72" s="24"/>
      <c r="BY72" s="24">
        <v>4.10312019167697E+18</v>
      </c>
      <c r="BZ72" s="24" t="s">
        <v>1077</v>
      </c>
      <c r="CA72" s="24" t="s">
        <v>1078</v>
      </c>
    </row>
    <row r="73" spans="1:79" x14ac:dyDescent="0.25">
      <c r="A73" s="24" t="s">
        <v>1036</v>
      </c>
      <c r="B73" s="24" t="s">
        <v>1037</v>
      </c>
      <c r="C73" s="24">
        <v>2019</v>
      </c>
      <c r="D73" s="24" t="s">
        <v>290</v>
      </c>
      <c r="E73" s="24">
        <v>2.0191020916519501E+17</v>
      </c>
      <c r="F73" s="24">
        <v>17</v>
      </c>
      <c r="G73" s="24" t="s">
        <v>1079</v>
      </c>
      <c r="H73" s="24">
        <v>1360334</v>
      </c>
      <c r="I73" s="24"/>
      <c r="J73" s="24" t="s">
        <v>214</v>
      </c>
      <c r="K73" s="24" t="s">
        <v>215</v>
      </c>
      <c r="L73" s="24"/>
      <c r="M73" s="24" t="s">
        <v>288</v>
      </c>
      <c r="N73" s="24" t="s">
        <v>1039</v>
      </c>
      <c r="O73" s="24" t="s">
        <v>25</v>
      </c>
      <c r="P73" s="24"/>
      <c r="Q73" s="24" t="s">
        <v>249</v>
      </c>
      <c r="R73" s="24" t="s">
        <v>740</v>
      </c>
      <c r="S73" s="24" t="s">
        <v>119</v>
      </c>
      <c r="T73" s="24" t="s">
        <v>741</v>
      </c>
      <c r="U73" s="24"/>
      <c r="V73" s="24" t="s">
        <v>1040</v>
      </c>
      <c r="W73" s="24"/>
      <c r="X73" s="24" t="s">
        <v>613</v>
      </c>
      <c r="Y73" s="24" t="s">
        <v>32</v>
      </c>
      <c r="Z73" s="24">
        <v>100213502</v>
      </c>
      <c r="AA73" s="24" t="s">
        <v>1041</v>
      </c>
      <c r="AB73" s="24" t="s">
        <v>345</v>
      </c>
      <c r="AC73" s="24"/>
      <c r="AD73" s="24" t="s">
        <v>1080</v>
      </c>
      <c r="AE73" s="24" t="s">
        <v>1081</v>
      </c>
      <c r="AF73" s="24" t="s">
        <v>240</v>
      </c>
      <c r="AG73" s="24" t="s">
        <v>239</v>
      </c>
      <c r="AH73" s="24"/>
      <c r="AI73" s="24">
        <v>43735</v>
      </c>
      <c r="AJ73" s="24">
        <v>106500</v>
      </c>
      <c r="AK73" s="24">
        <v>106500</v>
      </c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 t="s">
        <v>26</v>
      </c>
      <c r="BH73" s="24"/>
      <c r="BI73" s="24" t="s">
        <v>225</v>
      </c>
      <c r="BJ73" s="24"/>
      <c r="BK73" s="24" t="s">
        <v>31</v>
      </c>
      <c r="BL73" s="24" t="s">
        <v>238</v>
      </c>
      <c r="BM73" s="24" t="s">
        <v>227</v>
      </c>
      <c r="BN73" s="24">
        <v>43770.116291620368</v>
      </c>
      <c r="BO73" s="24"/>
      <c r="BP73" s="24" t="s">
        <v>1082</v>
      </c>
      <c r="BQ73" s="24" t="s">
        <v>1075</v>
      </c>
      <c r="BR73" s="24" t="s">
        <v>228</v>
      </c>
      <c r="BS73" s="24">
        <v>4.1020201916749302E+18</v>
      </c>
      <c r="BT73" s="24" t="s">
        <v>229</v>
      </c>
      <c r="BU73" s="24" t="s">
        <v>1083</v>
      </c>
      <c r="BV73" s="24">
        <v>2020</v>
      </c>
      <c r="BW73" s="24" t="s">
        <v>230</v>
      </c>
      <c r="BX73" s="24"/>
      <c r="BY73" s="24">
        <v>4.10312019167697E+18</v>
      </c>
      <c r="BZ73" s="24" t="s">
        <v>1084</v>
      </c>
      <c r="CA73" s="24" t="s">
        <v>1078</v>
      </c>
    </row>
    <row r="74" spans="1:79" x14ac:dyDescent="0.25">
      <c r="A74" s="24" t="s">
        <v>1085</v>
      </c>
      <c r="B74" s="24" t="s">
        <v>1086</v>
      </c>
      <c r="C74" s="24">
        <v>2019</v>
      </c>
      <c r="D74" s="24" t="s">
        <v>737</v>
      </c>
      <c r="E74" s="24">
        <v>2.0200818926136099E+17</v>
      </c>
      <c r="F74" s="24">
        <v>12</v>
      </c>
      <c r="G74" s="24" t="s">
        <v>1087</v>
      </c>
      <c r="H74" s="24">
        <v>1433156</v>
      </c>
      <c r="I74" s="24"/>
      <c r="J74" s="24" t="s">
        <v>214</v>
      </c>
      <c r="K74" s="24" t="s">
        <v>215</v>
      </c>
      <c r="L74" s="24"/>
      <c r="M74" s="24"/>
      <c r="N74" s="24" t="s">
        <v>739</v>
      </c>
      <c r="O74" s="24" t="s">
        <v>310</v>
      </c>
      <c r="P74" s="24"/>
      <c r="Q74" s="24" t="s">
        <v>26</v>
      </c>
      <c r="R74" s="24" t="s">
        <v>740</v>
      </c>
      <c r="S74" s="24"/>
      <c r="T74" s="24" t="s">
        <v>741</v>
      </c>
      <c r="U74" s="24"/>
      <c r="V74" s="24" t="s">
        <v>742</v>
      </c>
      <c r="W74" s="24"/>
      <c r="X74" s="24" t="s">
        <v>613</v>
      </c>
      <c r="Y74" s="24" t="s">
        <v>32</v>
      </c>
      <c r="Z74" s="24">
        <v>10021</v>
      </c>
      <c r="AA74" s="24" t="s">
        <v>222</v>
      </c>
      <c r="AB74" s="24" t="s">
        <v>743</v>
      </c>
      <c r="AC74" s="24"/>
      <c r="AD74" s="24" t="s">
        <v>242</v>
      </c>
      <c r="AE74" s="24" t="s">
        <v>241</v>
      </c>
      <c r="AF74" s="24"/>
      <c r="AG74" s="24" t="s">
        <v>239</v>
      </c>
      <c r="AH74" s="24"/>
      <c r="AI74" s="24">
        <v>43539</v>
      </c>
      <c r="AJ74" s="24">
        <v>2800</v>
      </c>
      <c r="AK74" s="24">
        <v>5600</v>
      </c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 t="s">
        <v>297</v>
      </c>
      <c r="BH74" s="24"/>
      <c r="BI74" s="24" t="s">
        <v>296</v>
      </c>
      <c r="BJ74" s="24">
        <v>2020</v>
      </c>
      <c r="BK74" s="24" t="s">
        <v>0</v>
      </c>
      <c r="BL74" s="24" t="s">
        <v>226</v>
      </c>
      <c r="BM74" s="24" t="s">
        <v>227</v>
      </c>
      <c r="BN74" s="24">
        <v>44064.152121423613</v>
      </c>
      <c r="BO74" s="24"/>
      <c r="BP74" s="24" t="s">
        <v>1088</v>
      </c>
      <c r="BQ74" s="24" t="s">
        <v>236</v>
      </c>
      <c r="BR74" s="24" t="s">
        <v>278</v>
      </c>
      <c r="BS74" s="24">
        <v>4.0819202018291302E+18</v>
      </c>
      <c r="BT74" s="24" t="s">
        <v>229</v>
      </c>
      <c r="BU74" s="24"/>
      <c r="BV74" s="24">
        <v>2020</v>
      </c>
      <c r="BW74" s="24" t="s">
        <v>230</v>
      </c>
      <c r="BX74" s="24"/>
      <c r="BY74" s="24">
        <v>4.0821202018294799E+18</v>
      </c>
      <c r="BZ74" s="24" t="s">
        <v>1089</v>
      </c>
      <c r="CA74" s="24" t="s">
        <v>746</v>
      </c>
    </row>
    <row r="75" spans="1:79" x14ac:dyDescent="0.25">
      <c r="A75" s="24" t="s">
        <v>1085</v>
      </c>
      <c r="B75" s="24" t="s">
        <v>1086</v>
      </c>
      <c r="C75" s="24">
        <v>2019</v>
      </c>
      <c r="D75" s="24" t="s">
        <v>737</v>
      </c>
      <c r="E75" s="24">
        <v>2.0200818926136099E+17</v>
      </c>
      <c r="F75" s="24">
        <v>12</v>
      </c>
      <c r="G75" s="24" t="s">
        <v>1090</v>
      </c>
      <c r="H75" s="24">
        <v>1433156</v>
      </c>
      <c r="I75" s="24"/>
      <c r="J75" s="24" t="s">
        <v>214</v>
      </c>
      <c r="K75" s="24" t="s">
        <v>215</v>
      </c>
      <c r="L75" s="24"/>
      <c r="M75" s="24"/>
      <c r="N75" s="24" t="s">
        <v>739</v>
      </c>
      <c r="O75" s="24" t="s">
        <v>310</v>
      </c>
      <c r="P75" s="24"/>
      <c r="Q75" s="24" t="s">
        <v>26</v>
      </c>
      <c r="R75" s="24" t="s">
        <v>740</v>
      </c>
      <c r="S75" s="24"/>
      <c r="T75" s="24" t="s">
        <v>741</v>
      </c>
      <c r="U75" s="24"/>
      <c r="V75" s="24" t="s">
        <v>742</v>
      </c>
      <c r="W75" s="24"/>
      <c r="X75" s="24" t="s">
        <v>613</v>
      </c>
      <c r="Y75" s="24" t="s">
        <v>32</v>
      </c>
      <c r="Z75" s="24">
        <v>10021</v>
      </c>
      <c r="AA75" s="24" t="s">
        <v>222</v>
      </c>
      <c r="AB75" s="24" t="s">
        <v>743</v>
      </c>
      <c r="AC75" s="24"/>
      <c r="AD75" s="24" t="s">
        <v>242</v>
      </c>
      <c r="AE75" s="24" t="s">
        <v>241</v>
      </c>
      <c r="AF75" s="24"/>
      <c r="AG75" s="24" t="s">
        <v>239</v>
      </c>
      <c r="AH75" s="24"/>
      <c r="AI75" s="24">
        <v>43539</v>
      </c>
      <c r="AJ75" s="24">
        <v>2800</v>
      </c>
      <c r="AK75" s="24">
        <v>5600</v>
      </c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 t="s">
        <v>279</v>
      </c>
      <c r="BH75" s="24"/>
      <c r="BI75" s="24" t="s">
        <v>225</v>
      </c>
      <c r="BJ75" s="24">
        <v>2020</v>
      </c>
      <c r="BK75" s="24" t="s">
        <v>0</v>
      </c>
      <c r="BL75" s="24" t="s">
        <v>226</v>
      </c>
      <c r="BM75" s="24" t="s">
        <v>227</v>
      </c>
      <c r="BN75" s="24">
        <v>44064.152121481478</v>
      </c>
      <c r="BO75" s="24"/>
      <c r="BP75" s="24" t="s">
        <v>1091</v>
      </c>
      <c r="BQ75" s="24" t="s">
        <v>236</v>
      </c>
      <c r="BR75" s="24" t="s">
        <v>278</v>
      </c>
      <c r="BS75" s="24">
        <v>4.0819202018291302E+18</v>
      </c>
      <c r="BT75" s="24" t="s">
        <v>229</v>
      </c>
      <c r="BU75" s="24"/>
      <c r="BV75" s="24">
        <v>2020</v>
      </c>
      <c r="BW75" s="24" t="s">
        <v>230</v>
      </c>
      <c r="BX75" s="24"/>
      <c r="BY75" s="24">
        <v>4.0821202018294799E+18</v>
      </c>
      <c r="BZ75" s="24" t="s">
        <v>1092</v>
      </c>
      <c r="CA75" s="24" t="s">
        <v>746</v>
      </c>
    </row>
    <row r="76" spans="1:79" x14ac:dyDescent="0.25">
      <c r="A76" s="24" t="s">
        <v>1093</v>
      </c>
      <c r="B76" s="24" t="s">
        <v>1094</v>
      </c>
      <c r="C76" s="24">
        <v>2019</v>
      </c>
      <c r="D76" s="24" t="s">
        <v>737</v>
      </c>
      <c r="E76" s="24">
        <v>2.0200415921672998E+17</v>
      </c>
      <c r="F76" s="24">
        <v>12</v>
      </c>
      <c r="G76" s="24" t="s">
        <v>1095</v>
      </c>
      <c r="H76" s="24">
        <v>1397621</v>
      </c>
      <c r="I76" s="24"/>
      <c r="J76" s="24" t="s">
        <v>214</v>
      </c>
      <c r="K76" s="24" t="s">
        <v>215</v>
      </c>
      <c r="L76" s="24"/>
      <c r="M76" s="24"/>
      <c r="N76" s="24" t="s">
        <v>739</v>
      </c>
      <c r="O76" s="24" t="s">
        <v>310</v>
      </c>
      <c r="P76" s="24"/>
      <c r="Q76" s="24" t="s">
        <v>26</v>
      </c>
      <c r="R76" s="24" t="s">
        <v>740</v>
      </c>
      <c r="S76" s="24"/>
      <c r="T76" s="24" t="s">
        <v>741</v>
      </c>
      <c r="U76" s="24"/>
      <c r="V76" s="24" t="s">
        <v>742</v>
      </c>
      <c r="W76" s="24"/>
      <c r="X76" s="24" t="s">
        <v>613</v>
      </c>
      <c r="Y76" s="24" t="s">
        <v>32</v>
      </c>
      <c r="Z76" s="24">
        <v>100213502</v>
      </c>
      <c r="AA76" s="24" t="s">
        <v>222</v>
      </c>
      <c r="AB76" s="24" t="s">
        <v>743</v>
      </c>
      <c r="AC76" s="24"/>
      <c r="AD76" s="24" t="s">
        <v>242</v>
      </c>
      <c r="AE76" s="24" t="s">
        <v>241</v>
      </c>
      <c r="AF76" s="24"/>
      <c r="AG76" s="24" t="s">
        <v>239</v>
      </c>
      <c r="AH76" s="24"/>
      <c r="AI76" s="24">
        <v>43539</v>
      </c>
      <c r="AJ76" s="24">
        <v>2651.22</v>
      </c>
      <c r="AK76" s="24">
        <v>2651.22</v>
      </c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 t="s">
        <v>279</v>
      </c>
      <c r="BH76" s="24" t="s">
        <v>1096</v>
      </c>
      <c r="BI76" s="24" t="s">
        <v>225</v>
      </c>
      <c r="BJ76" s="24">
        <v>2020</v>
      </c>
      <c r="BK76" s="24" t="s">
        <v>31</v>
      </c>
      <c r="BL76" s="24" t="s">
        <v>238</v>
      </c>
      <c r="BM76" s="24" t="s">
        <v>227</v>
      </c>
      <c r="BN76" s="24">
        <v>43954.083035972224</v>
      </c>
      <c r="BO76" s="24"/>
      <c r="BP76" s="24" t="s">
        <v>1097</v>
      </c>
      <c r="BQ76" s="24" t="s">
        <v>236</v>
      </c>
      <c r="BR76" s="24" t="s">
        <v>278</v>
      </c>
      <c r="BS76" s="24">
        <v>4.04152020173679E+18</v>
      </c>
      <c r="BT76" s="24" t="s">
        <v>229</v>
      </c>
      <c r="BU76" s="24"/>
      <c r="BV76" s="24">
        <v>2020</v>
      </c>
      <c r="BW76" s="24" t="s">
        <v>230</v>
      </c>
      <c r="BX76" s="24"/>
      <c r="BY76" s="24">
        <v>4.05022020174142E+18</v>
      </c>
      <c r="BZ76" s="24" t="s">
        <v>1098</v>
      </c>
      <c r="CA76" s="24" t="s">
        <v>746</v>
      </c>
    </row>
    <row r="77" spans="1:79" x14ac:dyDescent="0.25">
      <c r="A77" s="24" t="s">
        <v>1009</v>
      </c>
      <c r="B77" s="24" t="s">
        <v>776</v>
      </c>
      <c r="C77" s="24">
        <v>2019</v>
      </c>
      <c r="D77" s="24" t="s">
        <v>737</v>
      </c>
      <c r="E77" s="24">
        <v>2.01904159146152E+17</v>
      </c>
      <c r="F77" s="24" t="s">
        <v>212</v>
      </c>
      <c r="G77" s="24" t="s">
        <v>1099</v>
      </c>
      <c r="H77" s="24">
        <v>1325317</v>
      </c>
      <c r="I77" s="24"/>
      <c r="J77" s="24" t="s">
        <v>214</v>
      </c>
      <c r="K77" s="24" t="s">
        <v>215</v>
      </c>
      <c r="L77" s="24"/>
      <c r="M77" s="24"/>
      <c r="N77" s="24" t="s">
        <v>739</v>
      </c>
      <c r="O77" s="24" t="s">
        <v>36</v>
      </c>
      <c r="P77" s="24"/>
      <c r="Q77" s="24" t="s">
        <v>33</v>
      </c>
      <c r="R77" s="24" t="s">
        <v>740</v>
      </c>
      <c r="S77" s="24"/>
      <c r="T77" s="24" t="s">
        <v>741</v>
      </c>
      <c r="U77" s="24"/>
      <c r="V77" s="24" t="s">
        <v>742</v>
      </c>
      <c r="W77" s="24"/>
      <c r="X77" s="24" t="s">
        <v>613</v>
      </c>
      <c r="Y77" s="24" t="s">
        <v>32</v>
      </c>
      <c r="Z77" s="24">
        <v>100213502</v>
      </c>
      <c r="AA77" s="24" t="s">
        <v>222</v>
      </c>
      <c r="AB77" s="24" t="s">
        <v>743</v>
      </c>
      <c r="AC77" s="24"/>
      <c r="AD77" s="24">
        <v>15</v>
      </c>
      <c r="AE77" s="24" t="s">
        <v>224</v>
      </c>
      <c r="AF77" s="24"/>
      <c r="AG77" s="24"/>
      <c r="AH77" s="24"/>
      <c r="AI77" s="24">
        <v>43539</v>
      </c>
      <c r="AJ77" s="24">
        <v>250000</v>
      </c>
      <c r="AK77" s="24">
        <v>250000</v>
      </c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 t="s">
        <v>1100</v>
      </c>
      <c r="BH77" s="24" t="s">
        <v>1101</v>
      </c>
      <c r="BI77" s="24" t="s">
        <v>225</v>
      </c>
      <c r="BJ77" s="24">
        <v>2019</v>
      </c>
      <c r="BK77" s="24" t="s">
        <v>31</v>
      </c>
      <c r="BL77" s="24" t="s">
        <v>238</v>
      </c>
      <c r="BM77" s="24" t="s">
        <v>227</v>
      </c>
      <c r="BN77" s="24">
        <v>43571.117552997683</v>
      </c>
      <c r="BO77" s="24"/>
      <c r="BP77" s="24"/>
      <c r="BQ77" s="24"/>
      <c r="BR77" s="24" t="s">
        <v>278</v>
      </c>
      <c r="BS77" s="24">
        <v>4.0415201916463299E+18</v>
      </c>
      <c r="BT77" s="24" t="s">
        <v>229</v>
      </c>
      <c r="BU77" s="24"/>
      <c r="BV77" s="24">
        <v>2020</v>
      </c>
      <c r="BW77" s="24" t="s">
        <v>230</v>
      </c>
      <c r="BX77" s="24"/>
      <c r="BY77" s="24">
        <v>4.0415201916464102E+18</v>
      </c>
      <c r="BZ77" s="24" t="s">
        <v>1102</v>
      </c>
      <c r="CA77" s="24" t="s">
        <v>232</v>
      </c>
    </row>
    <row r="78" spans="1:79" x14ac:dyDescent="0.25">
      <c r="A78" s="24" t="s">
        <v>1103</v>
      </c>
      <c r="B78" s="24" t="s">
        <v>1104</v>
      </c>
      <c r="C78" s="24">
        <v>2019</v>
      </c>
      <c r="D78" s="24" t="s">
        <v>737</v>
      </c>
      <c r="E78" s="24">
        <v>2.0201015929583299E+17</v>
      </c>
      <c r="F78" s="24">
        <v>12</v>
      </c>
      <c r="G78" s="24" t="s">
        <v>1105</v>
      </c>
      <c r="H78" s="24">
        <v>1452827</v>
      </c>
      <c r="I78" s="24"/>
      <c r="J78" s="24" t="s">
        <v>214</v>
      </c>
      <c r="K78" s="24" t="s">
        <v>215</v>
      </c>
      <c r="L78" s="24"/>
      <c r="M78" s="24"/>
      <c r="N78" s="24" t="s">
        <v>739</v>
      </c>
      <c r="O78" s="24" t="s">
        <v>310</v>
      </c>
      <c r="P78" s="24"/>
      <c r="Q78" s="24" t="s">
        <v>26</v>
      </c>
      <c r="R78" s="24" t="s">
        <v>740</v>
      </c>
      <c r="S78" s="24"/>
      <c r="T78" s="24" t="s">
        <v>741</v>
      </c>
      <c r="U78" s="24"/>
      <c r="V78" s="24" t="s">
        <v>742</v>
      </c>
      <c r="W78" s="24"/>
      <c r="X78" s="24" t="s">
        <v>613</v>
      </c>
      <c r="Y78" s="24" t="s">
        <v>32</v>
      </c>
      <c r="Z78" s="24">
        <v>10021</v>
      </c>
      <c r="AA78" s="24" t="s">
        <v>222</v>
      </c>
      <c r="AB78" s="24" t="s">
        <v>743</v>
      </c>
      <c r="AC78" s="24"/>
      <c r="AD78" s="24" t="s">
        <v>242</v>
      </c>
      <c r="AE78" s="24" t="s">
        <v>241</v>
      </c>
      <c r="AF78" s="24" t="s">
        <v>1106</v>
      </c>
      <c r="AG78" s="24" t="s">
        <v>239</v>
      </c>
      <c r="AH78" s="24"/>
      <c r="AI78" s="24">
        <v>43539</v>
      </c>
      <c r="AJ78" s="24">
        <v>2800</v>
      </c>
      <c r="AK78" s="24">
        <v>2800</v>
      </c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 t="s">
        <v>279</v>
      </c>
      <c r="BH78" s="24"/>
      <c r="BI78" s="24" t="s">
        <v>225</v>
      </c>
      <c r="BJ78" s="24">
        <v>2020</v>
      </c>
      <c r="BK78" s="24" t="s">
        <v>0</v>
      </c>
      <c r="BL78" s="24" t="s">
        <v>226</v>
      </c>
      <c r="BM78" s="24" t="s">
        <v>227</v>
      </c>
      <c r="BN78" s="24">
        <v>44145.150392916665</v>
      </c>
      <c r="BO78" s="24"/>
      <c r="BP78" s="24" t="s">
        <v>1107</v>
      </c>
      <c r="BQ78" s="24" t="s">
        <v>236</v>
      </c>
      <c r="BR78" s="24" t="s">
        <v>278</v>
      </c>
      <c r="BS78" s="24">
        <v>4.1016202018585702E+18</v>
      </c>
      <c r="BT78" s="24" t="s">
        <v>229</v>
      </c>
      <c r="BU78" s="24"/>
      <c r="BV78" s="24">
        <v>2020</v>
      </c>
      <c r="BW78" s="24" t="s">
        <v>230</v>
      </c>
      <c r="BX78" s="24"/>
      <c r="BY78" s="24">
        <v>4.1110202018933299E+18</v>
      </c>
      <c r="BZ78" s="24" t="s">
        <v>1108</v>
      </c>
      <c r="CA78" s="24" t="s">
        <v>746</v>
      </c>
    </row>
    <row r="79" spans="1:79" x14ac:dyDescent="0.25">
      <c r="A79" s="24" t="s">
        <v>1103</v>
      </c>
      <c r="B79" s="24" t="s">
        <v>1104</v>
      </c>
      <c r="C79" s="24">
        <v>2019</v>
      </c>
      <c r="D79" s="24" t="s">
        <v>737</v>
      </c>
      <c r="E79" s="24">
        <v>2.0201015929583299E+17</v>
      </c>
      <c r="F79" s="24">
        <v>12</v>
      </c>
      <c r="G79" s="24" t="s">
        <v>1109</v>
      </c>
      <c r="H79" s="24">
        <v>1452827</v>
      </c>
      <c r="I79" s="24"/>
      <c r="J79" s="24" t="s">
        <v>214</v>
      </c>
      <c r="K79" s="24" t="s">
        <v>215</v>
      </c>
      <c r="L79" s="24"/>
      <c r="M79" s="24"/>
      <c r="N79" s="24" t="s">
        <v>739</v>
      </c>
      <c r="O79" s="24" t="s">
        <v>310</v>
      </c>
      <c r="P79" s="24"/>
      <c r="Q79" s="24" t="s">
        <v>26</v>
      </c>
      <c r="R79" s="24" t="s">
        <v>740</v>
      </c>
      <c r="S79" s="24"/>
      <c r="T79" s="24" t="s">
        <v>741</v>
      </c>
      <c r="U79" s="24"/>
      <c r="V79" s="24" t="s">
        <v>742</v>
      </c>
      <c r="W79" s="24"/>
      <c r="X79" s="24" t="s">
        <v>613</v>
      </c>
      <c r="Y79" s="24" t="s">
        <v>32</v>
      </c>
      <c r="Z79" s="24">
        <v>10021</v>
      </c>
      <c r="AA79" s="24" t="s">
        <v>222</v>
      </c>
      <c r="AB79" s="24" t="s">
        <v>743</v>
      </c>
      <c r="AC79" s="24"/>
      <c r="AD79" s="24" t="s">
        <v>242</v>
      </c>
      <c r="AE79" s="24" t="s">
        <v>241</v>
      </c>
      <c r="AF79" s="24" t="s">
        <v>1106</v>
      </c>
      <c r="AG79" s="24" t="s">
        <v>239</v>
      </c>
      <c r="AH79" s="24"/>
      <c r="AI79" s="24">
        <v>43539</v>
      </c>
      <c r="AJ79" s="24">
        <v>2800</v>
      </c>
      <c r="AK79" s="24">
        <v>5600</v>
      </c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 t="s">
        <v>297</v>
      </c>
      <c r="BH79" s="24"/>
      <c r="BI79" s="24" t="s">
        <v>296</v>
      </c>
      <c r="BJ79" s="24">
        <v>2020</v>
      </c>
      <c r="BK79" s="24" t="s">
        <v>0</v>
      </c>
      <c r="BL79" s="24" t="s">
        <v>226</v>
      </c>
      <c r="BM79" s="24" t="s">
        <v>227</v>
      </c>
      <c r="BN79" s="24">
        <v>44145.150393032411</v>
      </c>
      <c r="BO79" s="24"/>
      <c r="BP79" s="24" t="s">
        <v>1110</v>
      </c>
      <c r="BQ79" s="24" t="s">
        <v>236</v>
      </c>
      <c r="BR79" s="24" t="s">
        <v>278</v>
      </c>
      <c r="BS79" s="24">
        <v>4.1016202018585702E+18</v>
      </c>
      <c r="BT79" s="24" t="s">
        <v>229</v>
      </c>
      <c r="BU79" s="24"/>
      <c r="BV79" s="24">
        <v>2020</v>
      </c>
      <c r="BW79" s="24" t="s">
        <v>230</v>
      </c>
      <c r="BX79" s="24"/>
      <c r="BY79" s="24">
        <v>4.1110202018933299E+18</v>
      </c>
      <c r="BZ79" s="24" t="s">
        <v>1111</v>
      </c>
      <c r="CA79" s="24" t="s">
        <v>746</v>
      </c>
    </row>
    <row r="80" spans="1:79" x14ac:dyDescent="0.25">
      <c r="A80" s="24" t="s">
        <v>931</v>
      </c>
      <c r="B80" s="24" t="s">
        <v>932</v>
      </c>
      <c r="C80" s="24">
        <v>2020</v>
      </c>
      <c r="D80" s="24" t="s">
        <v>274</v>
      </c>
      <c r="E80" s="24">
        <v>2.02008209261592E+17</v>
      </c>
      <c r="F80" s="24">
        <v>12</v>
      </c>
      <c r="G80" s="24" t="s">
        <v>1112</v>
      </c>
      <c r="H80" s="24">
        <v>1434318</v>
      </c>
      <c r="I80" s="24"/>
      <c r="J80" s="24" t="s">
        <v>214</v>
      </c>
      <c r="K80" s="24" t="s">
        <v>215</v>
      </c>
      <c r="L80" s="24"/>
      <c r="M80" s="24"/>
      <c r="N80" s="24" t="s">
        <v>739</v>
      </c>
      <c r="O80" s="24" t="s">
        <v>36</v>
      </c>
      <c r="P80" s="24"/>
      <c r="Q80" s="24" t="s">
        <v>333</v>
      </c>
      <c r="R80" s="24" t="s">
        <v>740</v>
      </c>
      <c r="S80" s="24"/>
      <c r="T80" s="24" t="s">
        <v>741</v>
      </c>
      <c r="U80" s="24"/>
      <c r="V80" s="24" t="s">
        <v>742</v>
      </c>
      <c r="W80" s="24"/>
      <c r="X80" s="24" t="s">
        <v>613</v>
      </c>
      <c r="Y80" s="24" t="s">
        <v>32</v>
      </c>
      <c r="Z80" s="24">
        <v>100213502</v>
      </c>
      <c r="AA80" s="24" t="s">
        <v>934</v>
      </c>
      <c r="AB80" s="24" t="s">
        <v>935</v>
      </c>
      <c r="AC80" s="24"/>
      <c r="AD80" s="24" t="s">
        <v>242</v>
      </c>
      <c r="AE80" s="24" t="s">
        <v>241</v>
      </c>
      <c r="AF80" s="24"/>
      <c r="AG80" s="24" t="s">
        <v>239</v>
      </c>
      <c r="AH80" s="24"/>
      <c r="AI80" s="24">
        <v>44012</v>
      </c>
      <c r="AJ80" s="24">
        <v>5000</v>
      </c>
      <c r="AK80" s="24">
        <v>5000</v>
      </c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 t="s">
        <v>26</v>
      </c>
      <c r="BH80" s="24"/>
      <c r="BI80" s="24" t="s">
        <v>225</v>
      </c>
      <c r="BJ80" s="24"/>
      <c r="BK80" s="24" t="s">
        <v>31</v>
      </c>
      <c r="BL80" s="24" t="s">
        <v>238</v>
      </c>
      <c r="BM80" s="24" t="s">
        <v>227</v>
      </c>
      <c r="BN80" s="24">
        <v>44079.172734768516</v>
      </c>
      <c r="BO80" s="24"/>
      <c r="BP80" s="24" t="s">
        <v>1113</v>
      </c>
      <c r="BQ80" s="24" t="s">
        <v>236</v>
      </c>
      <c r="BR80" s="24" t="s">
        <v>228</v>
      </c>
      <c r="BS80" s="24">
        <v>4.0821202018294502E+18</v>
      </c>
      <c r="BT80" s="24" t="s">
        <v>229</v>
      </c>
      <c r="BU80" s="24"/>
      <c r="BV80" s="24">
        <v>2020</v>
      </c>
      <c r="BW80" s="24" t="s">
        <v>230</v>
      </c>
      <c r="BX80" s="24"/>
      <c r="BY80" s="24">
        <v>4.0905202018349302E+18</v>
      </c>
      <c r="BZ80" s="24" t="s">
        <v>1114</v>
      </c>
      <c r="CA80" s="24" t="s">
        <v>233</v>
      </c>
    </row>
    <row r="81" spans="1:79" x14ac:dyDescent="0.25">
      <c r="A81" s="24" t="s">
        <v>1009</v>
      </c>
      <c r="B81" s="24" t="s">
        <v>776</v>
      </c>
      <c r="C81" s="24">
        <v>2020</v>
      </c>
      <c r="D81" s="24" t="s">
        <v>261</v>
      </c>
      <c r="E81" s="24">
        <v>2.0200715924496602E+17</v>
      </c>
      <c r="F81" s="24" t="s">
        <v>212</v>
      </c>
      <c r="G81" s="24" t="s">
        <v>1115</v>
      </c>
      <c r="H81" s="24">
        <v>1423331</v>
      </c>
      <c r="I81" s="24"/>
      <c r="J81" s="24" t="s">
        <v>214</v>
      </c>
      <c r="K81" s="24" t="s">
        <v>215</v>
      </c>
      <c r="L81" s="24"/>
      <c r="M81" s="24"/>
      <c r="N81" s="24" t="s">
        <v>739</v>
      </c>
      <c r="O81" s="24" t="s">
        <v>36</v>
      </c>
      <c r="P81" s="24"/>
      <c r="Q81" s="24" t="s">
        <v>33</v>
      </c>
      <c r="R81" s="24" t="s">
        <v>740</v>
      </c>
      <c r="S81" s="24"/>
      <c r="T81" s="24" t="s">
        <v>741</v>
      </c>
      <c r="U81" s="24"/>
      <c r="V81" s="24" t="s">
        <v>754</v>
      </c>
      <c r="W81" s="24"/>
      <c r="X81" s="24" t="s">
        <v>613</v>
      </c>
      <c r="Y81" s="24" t="s">
        <v>32</v>
      </c>
      <c r="Z81" s="24">
        <v>100213502</v>
      </c>
      <c r="AA81" s="24" t="s">
        <v>222</v>
      </c>
      <c r="AB81" s="24" t="s">
        <v>743</v>
      </c>
      <c r="AC81" s="24"/>
      <c r="AD81" s="24">
        <v>15</v>
      </c>
      <c r="AE81" s="24" t="s">
        <v>224</v>
      </c>
      <c r="AF81" s="24"/>
      <c r="AG81" s="24"/>
      <c r="AH81" s="24"/>
      <c r="AI81" s="24">
        <v>44012</v>
      </c>
      <c r="AJ81" s="24">
        <v>250000</v>
      </c>
      <c r="AK81" s="24">
        <v>250000</v>
      </c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 t="s">
        <v>26</v>
      </c>
      <c r="BH81" s="24"/>
      <c r="BI81" s="24" t="s">
        <v>225</v>
      </c>
      <c r="BJ81" s="24"/>
      <c r="BK81" s="24" t="s">
        <v>31</v>
      </c>
      <c r="BL81" s="24" t="s">
        <v>238</v>
      </c>
      <c r="BM81" s="24" t="s">
        <v>227</v>
      </c>
      <c r="BN81" s="24">
        <v>44033.137516446761</v>
      </c>
      <c r="BO81" s="24"/>
      <c r="BP81" s="24"/>
      <c r="BQ81" s="24"/>
      <c r="BR81" s="24" t="s">
        <v>228</v>
      </c>
      <c r="BS81" s="24">
        <v>4.0715202017906099E+18</v>
      </c>
      <c r="BT81" s="24" t="s">
        <v>229</v>
      </c>
      <c r="BU81" s="24"/>
      <c r="BV81" s="24">
        <v>2020</v>
      </c>
      <c r="BW81" s="24" t="s">
        <v>230</v>
      </c>
      <c r="BX81" s="24"/>
      <c r="BY81" s="24">
        <v>4.07202020179217E+18</v>
      </c>
      <c r="BZ81" s="24" t="s">
        <v>1116</v>
      </c>
      <c r="CA81" s="24" t="s">
        <v>232</v>
      </c>
    </row>
    <row r="82" spans="1:79" x14ac:dyDescent="0.25">
      <c r="A82" s="24" t="s">
        <v>1117</v>
      </c>
      <c r="B82" s="24" t="s">
        <v>1118</v>
      </c>
      <c r="C82" s="24">
        <v>2019</v>
      </c>
      <c r="D82" s="24" t="s">
        <v>737</v>
      </c>
      <c r="E82" s="24">
        <v>2.0200715924489798E+17</v>
      </c>
      <c r="F82" s="24">
        <v>12</v>
      </c>
      <c r="G82" s="24" t="s">
        <v>1119</v>
      </c>
      <c r="H82" s="24">
        <v>1423050</v>
      </c>
      <c r="I82" s="24"/>
      <c r="J82" s="24" t="s">
        <v>214</v>
      </c>
      <c r="K82" s="24" t="s">
        <v>215</v>
      </c>
      <c r="L82" s="24"/>
      <c r="M82" s="24"/>
      <c r="N82" s="24" t="s">
        <v>739</v>
      </c>
      <c r="O82" s="24" t="s">
        <v>310</v>
      </c>
      <c r="P82" s="24"/>
      <c r="Q82" s="24" t="s">
        <v>26</v>
      </c>
      <c r="R82" s="24" t="s">
        <v>740</v>
      </c>
      <c r="S82" s="24"/>
      <c r="T82" s="24" t="s">
        <v>741</v>
      </c>
      <c r="U82" s="24"/>
      <c r="V82" s="24" t="s">
        <v>1047</v>
      </c>
      <c r="W82" s="24"/>
      <c r="X82" s="24" t="s">
        <v>613</v>
      </c>
      <c r="Y82" s="24" t="s">
        <v>32</v>
      </c>
      <c r="Z82" s="24">
        <v>10021</v>
      </c>
      <c r="AA82" s="24" t="s">
        <v>222</v>
      </c>
      <c r="AB82" s="24" t="s">
        <v>743</v>
      </c>
      <c r="AC82" s="24"/>
      <c r="AD82" s="24" t="s">
        <v>242</v>
      </c>
      <c r="AE82" s="24" t="s">
        <v>241</v>
      </c>
      <c r="AF82" s="24"/>
      <c r="AG82" s="24" t="s">
        <v>239</v>
      </c>
      <c r="AH82" s="24"/>
      <c r="AI82" s="24">
        <v>43539</v>
      </c>
      <c r="AJ82" s="24">
        <v>2651.22</v>
      </c>
      <c r="AK82" s="24">
        <v>2651.22</v>
      </c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 t="s">
        <v>279</v>
      </c>
      <c r="BH82" s="24"/>
      <c r="BI82" s="24" t="s">
        <v>225</v>
      </c>
      <c r="BJ82" s="24">
        <v>2020</v>
      </c>
      <c r="BK82" s="24" t="s">
        <v>217</v>
      </c>
      <c r="BL82" s="24" t="s">
        <v>497</v>
      </c>
      <c r="BM82" s="24" t="s">
        <v>227</v>
      </c>
      <c r="BN82" s="24">
        <v>44043.150341250002</v>
      </c>
      <c r="BO82" s="24"/>
      <c r="BP82" s="24"/>
      <c r="BQ82" s="24"/>
      <c r="BR82" s="24" t="s">
        <v>278</v>
      </c>
      <c r="BS82" s="24">
        <v>4.0715202017906002E+18</v>
      </c>
      <c r="BT82" s="24" t="s">
        <v>229</v>
      </c>
      <c r="BU82" s="24" t="s">
        <v>1120</v>
      </c>
      <c r="BV82" s="24">
        <v>2020</v>
      </c>
      <c r="BW82" s="24" t="s">
        <v>230</v>
      </c>
      <c r="BX82" s="24"/>
      <c r="BY82" s="24">
        <v>4.0731202018098499E+18</v>
      </c>
      <c r="BZ82" s="24" t="s">
        <v>1121</v>
      </c>
      <c r="CA82" s="24" t="s">
        <v>746</v>
      </c>
    </row>
    <row r="83" spans="1:79" x14ac:dyDescent="0.25">
      <c r="A83" s="24" t="s">
        <v>1036</v>
      </c>
      <c r="B83" s="24" t="s">
        <v>1037</v>
      </c>
      <c r="C83" s="24">
        <v>2020</v>
      </c>
      <c r="D83" s="24" t="s">
        <v>274</v>
      </c>
      <c r="E83" s="24">
        <v>2.02009219284468E+17</v>
      </c>
      <c r="F83" s="24">
        <v>12</v>
      </c>
      <c r="G83" s="24" t="s">
        <v>1122</v>
      </c>
      <c r="H83" s="24">
        <v>1440495</v>
      </c>
      <c r="I83" s="24"/>
      <c r="J83" s="24" t="s">
        <v>214</v>
      </c>
      <c r="K83" s="24" t="s">
        <v>215</v>
      </c>
      <c r="L83" s="24"/>
      <c r="M83" s="24"/>
      <c r="N83" s="24" t="s">
        <v>739</v>
      </c>
      <c r="O83" s="24" t="s">
        <v>25</v>
      </c>
      <c r="P83" s="24"/>
      <c r="Q83" s="24" t="s">
        <v>249</v>
      </c>
      <c r="R83" s="24" t="s">
        <v>740</v>
      </c>
      <c r="S83" s="24"/>
      <c r="T83" s="24" t="s">
        <v>741</v>
      </c>
      <c r="U83" s="24"/>
      <c r="V83" s="24" t="s">
        <v>1040</v>
      </c>
      <c r="W83" s="24"/>
      <c r="X83" s="24" t="s">
        <v>613</v>
      </c>
      <c r="Y83" s="24" t="s">
        <v>32</v>
      </c>
      <c r="Z83" s="24">
        <v>100213502</v>
      </c>
      <c r="AA83" s="24" t="s">
        <v>1041</v>
      </c>
      <c r="AB83" s="24" t="s">
        <v>345</v>
      </c>
      <c r="AC83" s="24"/>
      <c r="AD83" s="24" t="s">
        <v>242</v>
      </c>
      <c r="AE83" s="24" t="s">
        <v>241</v>
      </c>
      <c r="AF83" s="24" t="s">
        <v>240</v>
      </c>
      <c r="AG83" s="24" t="s">
        <v>239</v>
      </c>
      <c r="AH83" s="24"/>
      <c r="AI83" s="24">
        <v>44012</v>
      </c>
      <c r="AJ83" s="24">
        <v>35500</v>
      </c>
      <c r="AK83" s="24">
        <v>35500</v>
      </c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 t="s">
        <v>26</v>
      </c>
      <c r="BH83" s="24"/>
      <c r="BI83" s="24" t="s">
        <v>225</v>
      </c>
      <c r="BJ83" s="24"/>
      <c r="BK83" s="24" t="s">
        <v>31</v>
      </c>
      <c r="BL83" s="24" t="s">
        <v>238</v>
      </c>
      <c r="BM83" s="24" t="s">
        <v>227</v>
      </c>
      <c r="BN83" s="24">
        <v>44099.176419837961</v>
      </c>
      <c r="BO83" s="24"/>
      <c r="BP83" s="24" t="s">
        <v>1123</v>
      </c>
      <c r="BQ83" s="24" t="s">
        <v>236</v>
      </c>
      <c r="BR83" s="24" t="s">
        <v>228</v>
      </c>
      <c r="BS83" s="24">
        <v>4.0922202018492001E+18</v>
      </c>
      <c r="BT83" s="24" t="s">
        <v>229</v>
      </c>
      <c r="BU83" s="24" t="s">
        <v>1124</v>
      </c>
      <c r="BV83" s="24">
        <v>2020</v>
      </c>
      <c r="BW83" s="24" t="s">
        <v>230</v>
      </c>
      <c r="BX83" s="24"/>
      <c r="BY83" s="24">
        <v>4.0925202018509199E+18</v>
      </c>
      <c r="BZ83" s="24" t="s">
        <v>1125</v>
      </c>
      <c r="CA83" s="24" t="s">
        <v>233</v>
      </c>
    </row>
    <row r="84" spans="1:79" x14ac:dyDescent="0.25">
      <c r="A84" s="24" t="s">
        <v>1036</v>
      </c>
      <c r="B84" s="24" t="s">
        <v>1037</v>
      </c>
      <c r="C84" s="24">
        <v>2020</v>
      </c>
      <c r="D84" s="24" t="s">
        <v>274</v>
      </c>
      <c r="E84" s="24">
        <v>2.02009219284468E+17</v>
      </c>
      <c r="F84" s="24">
        <v>17</v>
      </c>
      <c r="G84" s="24" t="s">
        <v>1126</v>
      </c>
      <c r="H84" s="24">
        <v>1440495</v>
      </c>
      <c r="I84" s="24"/>
      <c r="J84" s="24" t="s">
        <v>214</v>
      </c>
      <c r="K84" s="24" t="s">
        <v>215</v>
      </c>
      <c r="L84" s="24"/>
      <c r="M84" s="24"/>
      <c r="N84" s="24" t="s">
        <v>739</v>
      </c>
      <c r="O84" s="24" t="s">
        <v>25</v>
      </c>
      <c r="P84" s="24"/>
      <c r="Q84" s="24" t="s">
        <v>249</v>
      </c>
      <c r="R84" s="24" t="s">
        <v>740</v>
      </c>
      <c r="S84" s="24"/>
      <c r="T84" s="24" t="s">
        <v>741</v>
      </c>
      <c r="U84" s="24"/>
      <c r="V84" s="24" t="s">
        <v>1040</v>
      </c>
      <c r="W84" s="24"/>
      <c r="X84" s="24" t="s">
        <v>613</v>
      </c>
      <c r="Y84" s="24" t="s">
        <v>32</v>
      </c>
      <c r="Z84" s="24">
        <v>100213502</v>
      </c>
      <c r="AA84" s="24" t="s">
        <v>1041</v>
      </c>
      <c r="AB84" s="24" t="s">
        <v>345</v>
      </c>
      <c r="AC84" s="24"/>
      <c r="AD84" s="24" t="s">
        <v>1072</v>
      </c>
      <c r="AE84" s="24" t="s">
        <v>1073</v>
      </c>
      <c r="AF84" s="24" t="s">
        <v>240</v>
      </c>
      <c r="AG84" s="24" t="s">
        <v>239</v>
      </c>
      <c r="AH84" s="24"/>
      <c r="AI84" s="24">
        <v>44012</v>
      </c>
      <c r="AJ84" s="24">
        <v>106500</v>
      </c>
      <c r="AK84" s="24">
        <v>106500</v>
      </c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 t="s">
        <v>26</v>
      </c>
      <c r="BH84" s="24"/>
      <c r="BI84" s="24" t="s">
        <v>225</v>
      </c>
      <c r="BJ84" s="24"/>
      <c r="BK84" s="24" t="s">
        <v>31</v>
      </c>
      <c r="BL84" s="24" t="s">
        <v>238</v>
      </c>
      <c r="BM84" s="24" t="s">
        <v>227</v>
      </c>
      <c r="BN84" s="24">
        <v>44099.190518923613</v>
      </c>
      <c r="BO84" s="24"/>
      <c r="BP84" s="24" t="s">
        <v>1127</v>
      </c>
      <c r="BQ84" s="24" t="s">
        <v>1075</v>
      </c>
      <c r="BR84" s="24" t="s">
        <v>228</v>
      </c>
      <c r="BS84" s="24">
        <v>4.0922202018492001E+18</v>
      </c>
      <c r="BT84" s="24" t="s">
        <v>229</v>
      </c>
      <c r="BU84" s="24" t="s">
        <v>1128</v>
      </c>
      <c r="BV84" s="24">
        <v>2020</v>
      </c>
      <c r="BW84" s="24" t="s">
        <v>230</v>
      </c>
      <c r="BX84" s="24"/>
      <c r="BY84" s="24">
        <v>4.0925202018509199E+18</v>
      </c>
      <c r="BZ84" s="24" t="s">
        <v>1129</v>
      </c>
      <c r="CA84" s="24" t="s">
        <v>1078</v>
      </c>
    </row>
    <row r="85" spans="1:79" x14ac:dyDescent="0.25">
      <c r="A85" s="24" t="s">
        <v>1036</v>
      </c>
      <c r="B85" s="24" t="s">
        <v>1037</v>
      </c>
      <c r="C85" s="24">
        <v>2020</v>
      </c>
      <c r="D85" s="24" t="s">
        <v>274</v>
      </c>
      <c r="E85" s="24">
        <v>2.02009219284468E+17</v>
      </c>
      <c r="F85" s="24">
        <v>17</v>
      </c>
      <c r="G85" s="24" t="s">
        <v>1130</v>
      </c>
      <c r="H85" s="24">
        <v>1440495</v>
      </c>
      <c r="I85" s="24"/>
      <c r="J85" s="24" t="s">
        <v>214</v>
      </c>
      <c r="K85" s="24" t="s">
        <v>215</v>
      </c>
      <c r="L85" s="24"/>
      <c r="M85" s="24"/>
      <c r="N85" s="24" t="s">
        <v>739</v>
      </c>
      <c r="O85" s="24" t="s">
        <v>25</v>
      </c>
      <c r="P85" s="24"/>
      <c r="Q85" s="24" t="s">
        <v>249</v>
      </c>
      <c r="R85" s="24" t="s">
        <v>740</v>
      </c>
      <c r="S85" s="24"/>
      <c r="T85" s="24" t="s">
        <v>741</v>
      </c>
      <c r="U85" s="24"/>
      <c r="V85" s="24" t="s">
        <v>1040</v>
      </c>
      <c r="W85" s="24"/>
      <c r="X85" s="24" t="s">
        <v>613</v>
      </c>
      <c r="Y85" s="24" t="s">
        <v>32</v>
      </c>
      <c r="Z85" s="24">
        <v>100213502</v>
      </c>
      <c r="AA85" s="24" t="s">
        <v>1041</v>
      </c>
      <c r="AB85" s="24" t="s">
        <v>345</v>
      </c>
      <c r="AC85" s="24"/>
      <c r="AD85" s="24" t="s">
        <v>1080</v>
      </c>
      <c r="AE85" s="24" t="s">
        <v>1081</v>
      </c>
      <c r="AF85" s="24" t="s">
        <v>240</v>
      </c>
      <c r="AG85" s="24" t="s">
        <v>239</v>
      </c>
      <c r="AH85" s="24"/>
      <c r="AI85" s="24">
        <v>44012</v>
      </c>
      <c r="AJ85" s="24">
        <v>103000</v>
      </c>
      <c r="AK85" s="24">
        <v>103000</v>
      </c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 t="s">
        <v>26</v>
      </c>
      <c r="BH85" s="24"/>
      <c r="BI85" s="24" t="s">
        <v>225</v>
      </c>
      <c r="BJ85" s="24"/>
      <c r="BK85" s="24" t="s">
        <v>31</v>
      </c>
      <c r="BL85" s="24" t="s">
        <v>238</v>
      </c>
      <c r="BM85" s="24" t="s">
        <v>227</v>
      </c>
      <c r="BN85" s="24">
        <v>44099.190518935182</v>
      </c>
      <c r="BO85" s="24"/>
      <c r="BP85" s="24" t="s">
        <v>1131</v>
      </c>
      <c r="BQ85" s="24" t="s">
        <v>1075</v>
      </c>
      <c r="BR85" s="24" t="s">
        <v>228</v>
      </c>
      <c r="BS85" s="24">
        <v>4.0922202018492001E+18</v>
      </c>
      <c r="BT85" s="24" t="s">
        <v>229</v>
      </c>
      <c r="BU85" s="24" t="s">
        <v>1132</v>
      </c>
      <c r="BV85" s="24">
        <v>2020</v>
      </c>
      <c r="BW85" s="24" t="s">
        <v>230</v>
      </c>
      <c r="BX85" s="24"/>
      <c r="BY85" s="24">
        <v>4.0925202018509199E+18</v>
      </c>
      <c r="BZ85" s="24" t="s">
        <v>1133</v>
      </c>
      <c r="CA85" s="24" t="s">
        <v>1078</v>
      </c>
    </row>
    <row r="86" spans="1:79" x14ac:dyDescent="0.25">
      <c r="A86" s="24" t="s">
        <v>1134</v>
      </c>
      <c r="B86" s="24" t="s">
        <v>1135</v>
      </c>
      <c r="C86" s="24">
        <v>2019</v>
      </c>
      <c r="D86" s="24" t="s">
        <v>737</v>
      </c>
      <c r="E86" s="24">
        <v>2.02104149443332E+17</v>
      </c>
      <c r="F86" s="24">
        <v>12</v>
      </c>
      <c r="G86" s="24" t="s">
        <v>1136</v>
      </c>
      <c r="H86" s="24">
        <v>1510400</v>
      </c>
      <c r="I86" s="24"/>
      <c r="J86" s="24" t="s">
        <v>214</v>
      </c>
      <c r="K86" s="24" t="s">
        <v>215</v>
      </c>
      <c r="L86" s="24"/>
      <c r="M86" s="24"/>
      <c r="N86" s="24" t="s">
        <v>739</v>
      </c>
      <c r="O86" s="24" t="s">
        <v>310</v>
      </c>
      <c r="P86" s="24"/>
      <c r="Q86" s="24" t="s">
        <v>26</v>
      </c>
      <c r="R86" s="24" t="s">
        <v>740</v>
      </c>
      <c r="S86" s="24"/>
      <c r="T86" s="24" t="s">
        <v>741</v>
      </c>
      <c r="U86" s="24"/>
      <c r="V86" s="24" t="s">
        <v>1047</v>
      </c>
      <c r="W86" s="24"/>
      <c r="X86" s="24" t="s">
        <v>613</v>
      </c>
      <c r="Y86" s="24" t="s">
        <v>32</v>
      </c>
      <c r="Z86" s="24">
        <v>10021</v>
      </c>
      <c r="AA86" s="24" t="s">
        <v>222</v>
      </c>
      <c r="AB86" s="24" t="s">
        <v>743</v>
      </c>
      <c r="AC86" s="24"/>
      <c r="AD86" s="24" t="s">
        <v>242</v>
      </c>
      <c r="AE86" s="24" t="s">
        <v>241</v>
      </c>
      <c r="AF86" s="24"/>
      <c r="AG86" s="24" t="s">
        <v>239</v>
      </c>
      <c r="AH86" s="24"/>
      <c r="AI86" s="24">
        <v>43539</v>
      </c>
      <c r="AJ86" s="24">
        <v>2651.22</v>
      </c>
      <c r="AK86" s="24">
        <v>2651.22</v>
      </c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 t="s">
        <v>279</v>
      </c>
      <c r="BH86" s="24"/>
      <c r="BI86" s="24" t="s">
        <v>225</v>
      </c>
      <c r="BJ86" s="24">
        <v>2020</v>
      </c>
      <c r="BK86" s="24" t="s">
        <v>0</v>
      </c>
      <c r="BL86" s="24" t="s">
        <v>226</v>
      </c>
      <c r="BM86" s="24" t="s">
        <v>227</v>
      </c>
      <c r="BN86" s="24">
        <v>44303.150050543984</v>
      </c>
      <c r="BO86" s="24"/>
      <c r="BP86" s="24" t="s">
        <v>1137</v>
      </c>
      <c r="BQ86" s="24" t="s">
        <v>236</v>
      </c>
      <c r="BR86" s="24" t="s">
        <v>278</v>
      </c>
      <c r="BS86" s="24">
        <v>4.0415202112771799E+18</v>
      </c>
      <c r="BT86" s="24" t="s">
        <v>229</v>
      </c>
      <c r="BU86" s="24"/>
      <c r="BV86" s="24">
        <v>2020</v>
      </c>
      <c r="BW86" s="24" t="s">
        <v>230</v>
      </c>
      <c r="BX86" s="24"/>
      <c r="BY86" s="24">
        <v>4.04172021127791E+18</v>
      </c>
      <c r="BZ86" s="24" t="s">
        <v>1138</v>
      </c>
      <c r="CA86" s="24" t="s">
        <v>746</v>
      </c>
    </row>
    <row r="87" spans="1:79" x14ac:dyDescent="0.25">
      <c r="A87" s="24" t="s">
        <v>735</v>
      </c>
      <c r="B87" s="24" t="s">
        <v>736</v>
      </c>
      <c r="C87" s="24">
        <v>2020</v>
      </c>
      <c r="D87" s="24" t="s">
        <v>383</v>
      </c>
      <c r="E87" s="24">
        <v>2.0210126941341402E+17</v>
      </c>
      <c r="F87" s="24" t="s">
        <v>212</v>
      </c>
      <c r="G87" s="24" t="s">
        <v>738</v>
      </c>
      <c r="H87" s="24">
        <v>1491339</v>
      </c>
      <c r="I87" s="24"/>
      <c r="J87" s="24" t="s">
        <v>214</v>
      </c>
      <c r="K87" s="24" t="s">
        <v>215</v>
      </c>
      <c r="L87" s="24"/>
      <c r="M87" s="24"/>
      <c r="N87" s="24" t="s">
        <v>739</v>
      </c>
      <c r="O87" s="24" t="s">
        <v>310</v>
      </c>
      <c r="P87" s="24"/>
      <c r="Q87" s="24" t="s">
        <v>26</v>
      </c>
      <c r="R87" s="24" t="s">
        <v>740</v>
      </c>
      <c r="S87" s="24"/>
      <c r="T87" s="24" t="s">
        <v>741</v>
      </c>
      <c r="U87" s="24"/>
      <c r="V87" s="24" t="s">
        <v>742</v>
      </c>
      <c r="W87" s="24"/>
      <c r="X87" s="24" t="s">
        <v>613</v>
      </c>
      <c r="Y87" s="24" t="s">
        <v>32</v>
      </c>
      <c r="Z87" s="24">
        <v>100213502</v>
      </c>
      <c r="AA87" s="24" t="s">
        <v>222</v>
      </c>
      <c r="AB87" s="24" t="s">
        <v>743</v>
      </c>
      <c r="AC87" s="24"/>
      <c r="AD87" s="24">
        <v>15</v>
      </c>
      <c r="AE87" s="24" t="s">
        <v>224</v>
      </c>
      <c r="AF87" s="24"/>
      <c r="AG87" s="24" t="s">
        <v>239</v>
      </c>
      <c r="AH87" s="24"/>
      <c r="AI87" s="24">
        <v>43552</v>
      </c>
      <c r="AJ87" s="24">
        <v>2800</v>
      </c>
      <c r="AK87" s="24">
        <v>5600</v>
      </c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 t="s">
        <v>297</v>
      </c>
      <c r="BH87" s="24"/>
      <c r="BI87" s="24" t="s">
        <v>296</v>
      </c>
      <c r="BJ87" s="24">
        <v>2020</v>
      </c>
      <c r="BK87" s="24" t="s">
        <v>0</v>
      </c>
      <c r="BL87" s="24" t="s">
        <v>226</v>
      </c>
      <c r="BM87" s="24" t="s">
        <v>227</v>
      </c>
      <c r="BN87" s="24">
        <v>44226.158201365739</v>
      </c>
      <c r="BO87" s="24"/>
      <c r="BP87" s="24"/>
      <c r="BQ87" s="24"/>
      <c r="BR87" s="24" t="s">
        <v>278</v>
      </c>
      <c r="BS87" s="24">
        <v>4.0128202121381299E+18</v>
      </c>
      <c r="BT87" s="24" t="s">
        <v>229</v>
      </c>
      <c r="BU87" s="24"/>
      <c r="BV87" s="24">
        <v>2020</v>
      </c>
      <c r="BW87" s="24" t="s">
        <v>230</v>
      </c>
      <c r="BX87" s="24"/>
      <c r="BY87" s="24">
        <v>4.0130202121391002E+18</v>
      </c>
      <c r="BZ87" s="24" t="s">
        <v>1139</v>
      </c>
      <c r="CA87" s="24" t="s">
        <v>232</v>
      </c>
    </row>
    <row r="89" spans="1:79" x14ac:dyDescent="0.25">
      <c r="V89" t="str">
        <f>+V87&amp;X87&amp;Y87&amp;Z87</f>
        <v>127 E 73RD STNEW YORKNY100213502</v>
      </c>
    </row>
    <row r="91" spans="1:79" x14ac:dyDescent="0.25">
      <c r="A91" s="20" t="s">
        <v>299</v>
      </c>
      <c r="B91" t="s">
        <v>301</v>
      </c>
    </row>
    <row r="92" spans="1:79" x14ac:dyDescent="0.25">
      <c r="A92" s="21" t="s">
        <v>855</v>
      </c>
      <c r="B92" s="2">
        <v>2651.21</v>
      </c>
      <c r="C92" t="s">
        <v>1</v>
      </c>
    </row>
    <row r="93" spans="1:79" x14ac:dyDescent="0.25">
      <c r="A93" s="21" t="s">
        <v>767</v>
      </c>
      <c r="B93" s="2">
        <v>2651.22</v>
      </c>
      <c r="C93" t="s">
        <v>1</v>
      </c>
    </row>
    <row r="94" spans="1:79" x14ac:dyDescent="0.25">
      <c r="A94" s="21" t="s">
        <v>1050</v>
      </c>
      <c r="B94" s="2">
        <v>5600</v>
      </c>
      <c r="C94" t="s">
        <v>1</v>
      </c>
    </row>
    <row r="95" spans="1:79" x14ac:dyDescent="0.25">
      <c r="A95" s="21" t="s">
        <v>1017</v>
      </c>
      <c r="B95" s="2">
        <v>5600</v>
      </c>
      <c r="C95" t="s">
        <v>1</v>
      </c>
    </row>
    <row r="96" spans="1:79" x14ac:dyDescent="0.25">
      <c r="A96" s="21" t="s">
        <v>762</v>
      </c>
      <c r="B96" s="2">
        <v>2651.22</v>
      </c>
      <c r="C96" t="s">
        <v>1</v>
      </c>
    </row>
    <row r="97" spans="1:3" x14ac:dyDescent="0.25">
      <c r="A97" s="21" t="s">
        <v>1066</v>
      </c>
      <c r="B97" s="2">
        <v>2651.22</v>
      </c>
      <c r="C97" t="s">
        <v>1</v>
      </c>
    </row>
    <row r="98" spans="1:3" x14ac:dyDescent="0.25">
      <c r="A98" s="21" t="s">
        <v>870</v>
      </c>
      <c r="B98" s="2">
        <v>2651.22</v>
      </c>
      <c r="C98" t="s">
        <v>1</v>
      </c>
    </row>
    <row r="99" spans="1:3" x14ac:dyDescent="0.25">
      <c r="A99" s="21" t="s">
        <v>797</v>
      </c>
      <c r="B99" s="2">
        <v>2651.22</v>
      </c>
      <c r="C99" t="s">
        <v>1</v>
      </c>
    </row>
    <row r="100" spans="1:3" x14ac:dyDescent="0.25">
      <c r="A100" s="21" t="s">
        <v>802</v>
      </c>
      <c r="B100" s="2">
        <v>2651.22</v>
      </c>
      <c r="C100" t="s">
        <v>1</v>
      </c>
    </row>
    <row r="101" spans="1:3" x14ac:dyDescent="0.25">
      <c r="A101" s="21" t="s">
        <v>834</v>
      </c>
      <c r="B101" s="2">
        <v>2651.22</v>
      </c>
      <c r="C101" t="s">
        <v>1</v>
      </c>
    </row>
    <row r="102" spans="1:3" x14ac:dyDescent="0.25">
      <c r="A102" s="21" t="s">
        <v>792</v>
      </c>
      <c r="B102" s="2">
        <v>2651.22</v>
      </c>
      <c r="C102" t="s">
        <v>1</v>
      </c>
    </row>
    <row r="103" spans="1:3" x14ac:dyDescent="0.25">
      <c r="A103" s="21" t="s">
        <v>1032</v>
      </c>
      <c r="B103" s="2">
        <v>2651.22</v>
      </c>
      <c r="C103" t="s">
        <v>1</v>
      </c>
    </row>
    <row r="104" spans="1:3" x14ac:dyDescent="0.25">
      <c r="A104" s="21" t="s">
        <v>844</v>
      </c>
      <c r="B104" s="2">
        <v>2651.22</v>
      </c>
      <c r="C104" t="s">
        <v>1</v>
      </c>
    </row>
    <row r="105" spans="1:3" x14ac:dyDescent="0.25">
      <c r="A105" s="21" t="s">
        <v>736</v>
      </c>
      <c r="B105" s="2">
        <v>8400</v>
      </c>
      <c r="C105" t="s">
        <v>1</v>
      </c>
    </row>
    <row r="106" spans="1:3" x14ac:dyDescent="0.25">
      <c r="A106" s="21" t="s">
        <v>815</v>
      </c>
      <c r="B106" s="2">
        <v>2651.22</v>
      </c>
      <c r="C106" t="s">
        <v>1</v>
      </c>
    </row>
    <row r="107" spans="1:3" x14ac:dyDescent="0.25">
      <c r="A107" s="21" t="s">
        <v>784</v>
      </c>
      <c r="B107" s="2">
        <v>2651.22</v>
      </c>
      <c r="C107" t="s">
        <v>1</v>
      </c>
    </row>
    <row r="108" spans="1:3" x14ac:dyDescent="0.25">
      <c r="A108" s="21" t="s">
        <v>865</v>
      </c>
      <c r="B108" s="2">
        <v>2651.22</v>
      </c>
      <c r="C108" t="s">
        <v>1</v>
      </c>
    </row>
    <row r="109" spans="1:3" x14ac:dyDescent="0.25">
      <c r="A109" s="21" t="s">
        <v>751</v>
      </c>
      <c r="B109" s="2">
        <v>5600</v>
      </c>
      <c r="C109" t="s">
        <v>1</v>
      </c>
    </row>
    <row r="110" spans="1:3" x14ac:dyDescent="0.25">
      <c r="A110" s="21" t="s">
        <v>850</v>
      </c>
      <c r="B110" s="2">
        <v>2651.21</v>
      </c>
      <c r="C110" t="s">
        <v>1</v>
      </c>
    </row>
    <row r="111" spans="1:3" x14ac:dyDescent="0.25">
      <c r="A111" s="21" t="s">
        <v>807</v>
      </c>
      <c r="B111" s="2">
        <v>5600</v>
      </c>
      <c r="C111" t="s">
        <v>1</v>
      </c>
    </row>
    <row r="112" spans="1:3" x14ac:dyDescent="0.25">
      <c r="A112" s="21" t="s">
        <v>839</v>
      </c>
      <c r="B112" s="2">
        <v>2651.22</v>
      </c>
      <c r="C112" t="s">
        <v>1</v>
      </c>
    </row>
    <row r="113" spans="1:3" x14ac:dyDescent="0.25">
      <c r="A113" s="21" t="s">
        <v>1094</v>
      </c>
      <c r="B113" s="2">
        <v>2651.22</v>
      </c>
      <c r="C113" t="s">
        <v>1</v>
      </c>
    </row>
    <row r="114" spans="1:3" x14ac:dyDescent="0.25">
      <c r="A114" s="21" t="s">
        <v>881</v>
      </c>
      <c r="B114" s="2">
        <v>2651.22</v>
      </c>
      <c r="C114" t="s">
        <v>1</v>
      </c>
    </row>
    <row r="115" spans="1:3" x14ac:dyDescent="0.25">
      <c r="A115" s="21" t="s">
        <v>773</v>
      </c>
      <c r="B115" s="2">
        <v>5600</v>
      </c>
      <c r="C115" t="s">
        <v>1</v>
      </c>
    </row>
    <row r="116" spans="1:3" x14ac:dyDescent="0.25">
      <c r="A116" s="21" t="s">
        <v>913</v>
      </c>
      <c r="B116" s="2">
        <v>2651.22</v>
      </c>
      <c r="C116" t="s">
        <v>1</v>
      </c>
    </row>
    <row r="117" spans="1:3" x14ac:dyDescent="0.25">
      <c r="A117" s="21" t="s">
        <v>967</v>
      </c>
      <c r="B117" s="2">
        <v>2651.22</v>
      </c>
      <c r="C117" t="s">
        <v>1</v>
      </c>
    </row>
    <row r="118" spans="1:3" x14ac:dyDescent="0.25">
      <c r="A118" s="21" t="s">
        <v>1086</v>
      </c>
      <c r="B118" s="2">
        <v>5600</v>
      </c>
      <c r="C118" t="s">
        <v>1</v>
      </c>
    </row>
    <row r="119" spans="1:3" x14ac:dyDescent="0.25">
      <c r="A119" s="21" t="s">
        <v>959</v>
      </c>
      <c r="B119" s="2">
        <v>5600</v>
      </c>
      <c r="C119" t="s">
        <v>1</v>
      </c>
    </row>
    <row r="120" spans="1:3" x14ac:dyDescent="0.25">
      <c r="A120" s="21" t="s">
        <v>821</v>
      </c>
      <c r="B120" s="2">
        <v>2651.22</v>
      </c>
      <c r="C120" t="s">
        <v>1</v>
      </c>
    </row>
    <row r="121" spans="1:3" x14ac:dyDescent="0.25">
      <c r="A121" s="21" t="s">
        <v>997</v>
      </c>
      <c r="B121" s="2">
        <v>2651.22</v>
      </c>
      <c r="C121" t="s">
        <v>1</v>
      </c>
    </row>
    <row r="122" spans="1:3" x14ac:dyDescent="0.25">
      <c r="A122" s="21" t="s">
        <v>1118</v>
      </c>
      <c r="B122" s="2">
        <v>2651.22</v>
      </c>
      <c r="C122" t="s">
        <v>1</v>
      </c>
    </row>
    <row r="123" spans="1:3" x14ac:dyDescent="0.25">
      <c r="A123" s="21" t="s">
        <v>895</v>
      </c>
      <c r="B123" s="2">
        <v>5600</v>
      </c>
      <c r="C123" t="s">
        <v>1</v>
      </c>
    </row>
    <row r="124" spans="1:3" x14ac:dyDescent="0.25">
      <c r="A124" s="21" t="s">
        <v>908</v>
      </c>
      <c r="B124" s="2">
        <v>2651.22</v>
      </c>
      <c r="C124" t="s">
        <v>1</v>
      </c>
    </row>
    <row r="125" spans="1:3" x14ac:dyDescent="0.25">
      <c r="A125" s="21" t="s">
        <v>923</v>
      </c>
      <c r="B125" s="2">
        <v>5600</v>
      </c>
      <c r="C125" t="s">
        <v>1</v>
      </c>
    </row>
    <row r="126" spans="1:3" x14ac:dyDescent="0.25">
      <c r="A126" s="21" t="s">
        <v>932</v>
      </c>
      <c r="B126" s="2">
        <v>10000</v>
      </c>
      <c r="C126" t="s">
        <v>1</v>
      </c>
    </row>
    <row r="127" spans="1:3" x14ac:dyDescent="0.25">
      <c r="A127" s="21" t="s">
        <v>972</v>
      </c>
      <c r="B127" s="2">
        <v>2651.22</v>
      </c>
      <c r="C127" t="s">
        <v>1</v>
      </c>
    </row>
    <row r="128" spans="1:3" x14ac:dyDescent="0.25">
      <c r="A128" s="21" t="s">
        <v>903</v>
      </c>
      <c r="B128" s="2">
        <v>2651.22</v>
      </c>
      <c r="C128" t="s">
        <v>1</v>
      </c>
    </row>
    <row r="129" spans="1:3" x14ac:dyDescent="0.25">
      <c r="A129" s="21" t="s">
        <v>954</v>
      </c>
      <c r="B129" s="2">
        <v>2651.22</v>
      </c>
      <c r="C129" t="s">
        <v>1</v>
      </c>
    </row>
    <row r="130" spans="1:3" x14ac:dyDescent="0.25">
      <c r="A130" s="21" t="s">
        <v>860</v>
      </c>
      <c r="B130" s="2">
        <v>2651.22</v>
      </c>
      <c r="C130" t="s">
        <v>1</v>
      </c>
    </row>
    <row r="131" spans="1:3" x14ac:dyDescent="0.25">
      <c r="A131" s="21" t="s">
        <v>1002</v>
      </c>
      <c r="B131" s="2">
        <v>5600</v>
      </c>
      <c r="C131" t="s">
        <v>1</v>
      </c>
    </row>
    <row r="132" spans="1:3" x14ac:dyDescent="0.25">
      <c r="A132" s="21" t="s">
        <v>1037</v>
      </c>
      <c r="B132" s="2">
        <v>430500</v>
      </c>
      <c r="C132" t="s">
        <v>1</v>
      </c>
    </row>
    <row r="133" spans="1:3" x14ac:dyDescent="0.25">
      <c r="A133" s="21" t="s">
        <v>945</v>
      </c>
      <c r="B133" s="2">
        <v>2651.22</v>
      </c>
    </row>
    <row r="134" spans="1:3" x14ac:dyDescent="0.25">
      <c r="A134" s="21" t="s">
        <v>993</v>
      </c>
      <c r="B134" s="2">
        <v>2651.22</v>
      </c>
    </row>
    <row r="135" spans="1:3" x14ac:dyDescent="0.25">
      <c r="A135" s="21" t="s">
        <v>1013</v>
      </c>
      <c r="B135" s="2">
        <v>2651.22</v>
      </c>
    </row>
    <row r="136" spans="1:3" x14ac:dyDescent="0.25">
      <c r="A136" s="21" t="s">
        <v>949</v>
      </c>
      <c r="B136" s="2">
        <v>2651.22</v>
      </c>
    </row>
    <row r="137" spans="1:3" x14ac:dyDescent="0.25">
      <c r="A137" s="21" t="s">
        <v>1104</v>
      </c>
      <c r="B137" s="2">
        <v>5600</v>
      </c>
    </row>
    <row r="138" spans="1:3" x14ac:dyDescent="0.25">
      <c r="A138" s="21" t="s">
        <v>1045</v>
      </c>
      <c r="B138" s="2">
        <v>2651.22</v>
      </c>
    </row>
    <row r="139" spans="1:3" x14ac:dyDescent="0.25">
      <c r="A139" s="21" t="s">
        <v>1135</v>
      </c>
      <c r="B139" s="2">
        <v>2651.22</v>
      </c>
    </row>
    <row r="140" spans="1:3" x14ac:dyDescent="0.25">
      <c r="A140" s="21" t="s">
        <v>826</v>
      </c>
      <c r="B140" s="2">
        <v>5600</v>
      </c>
    </row>
    <row r="141" spans="1:3" x14ac:dyDescent="0.25">
      <c r="A141" s="21" t="s">
        <v>1007</v>
      </c>
      <c r="B141" s="2">
        <v>2651.22</v>
      </c>
    </row>
    <row r="142" spans="1:3" x14ac:dyDescent="0.25">
      <c r="A142" s="21" t="s">
        <v>776</v>
      </c>
      <c r="B142" s="2">
        <v>500000</v>
      </c>
      <c r="C142" t="s">
        <v>1</v>
      </c>
    </row>
    <row r="143" spans="1:3" x14ac:dyDescent="0.25">
      <c r="A143" s="21" t="s">
        <v>939</v>
      </c>
      <c r="B143" s="2">
        <v>5600</v>
      </c>
      <c r="C143" t="s">
        <v>1</v>
      </c>
    </row>
    <row r="144" spans="1:3" x14ac:dyDescent="0.25">
      <c r="A144" s="21" t="s">
        <v>977</v>
      </c>
      <c r="B144" s="2">
        <v>5600</v>
      </c>
      <c r="C144" t="s">
        <v>1</v>
      </c>
    </row>
    <row r="145" spans="1:3" x14ac:dyDescent="0.25">
      <c r="A145" s="21" t="s">
        <v>779</v>
      </c>
      <c r="B145" s="2">
        <v>2651.22</v>
      </c>
    </row>
    <row r="146" spans="1:3" x14ac:dyDescent="0.25">
      <c r="A146" s="21" t="s">
        <v>1027</v>
      </c>
      <c r="B146" s="2">
        <v>2651.22</v>
      </c>
    </row>
    <row r="147" spans="1:3" x14ac:dyDescent="0.25">
      <c r="A147" s="21" t="s">
        <v>918</v>
      </c>
      <c r="B147" s="2">
        <v>2651.22</v>
      </c>
    </row>
    <row r="148" spans="1:3" x14ac:dyDescent="0.25">
      <c r="A148" s="21" t="s">
        <v>1058</v>
      </c>
      <c r="B148" s="2">
        <v>5600</v>
      </c>
    </row>
    <row r="149" spans="1:3" x14ac:dyDescent="0.25">
      <c r="A149" s="21" t="s">
        <v>875</v>
      </c>
      <c r="B149" s="2">
        <v>2651.22</v>
      </c>
      <c r="C149" t="s">
        <v>1</v>
      </c>
    </row>
    <row r="150" spans="1:3" x14ac:dyDescent="0.25">
      <c r="A150" s="21" t="s">
        <v>985</v>
      </c>
      <c r="B150" s="2">
        <v>5600</v>
      </c>
      <c r="C150" t="s">
        <v>1</v>
      </c>
    </row>
    <row r="151" spans="1:3" x14ac:dyDescent="0.25">
      <c r="A151" s="21" t="s">
        <v>886</v>
      </c>
      <c r="B151" s="2">
        <v>5600</v>
      </c>
      <c r="C151" t="s">
        <v>1</v>
      </c>
    </row>
    <row r="152" spans="1:3" x14ac:dyDescent="0.25">
      <c r="A152" s="21" t="s">
        <v>300</v>
      </c>
      <c r="B152" s="2">
        <v>1147497.5599999996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6"/>
  <sheetViews>
    <sheetView topLeftCell="T13" workbookViewId="0">
      <selection activeCell="A34" sqref="A34"/>
    </sheetView>
  </sheetViews>
  <sheetFormatPr defaultRowHeight="15" x14ac:dyDescent="0.25"/>
  <cols>
    <col min="1" max="1" width="44.140625" bestFit="1" customWidth="1"/>
    <col min="2" max="2" width="34.5703125" bestFit="1" customWidth="1"/>
  </cols>
  <sheetData>
    <row r="1" spans="1:79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132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</row>
    <row r="2" spans="1:79" x14ac:dyDescent="0.25">
      <c r="A2" t="s">
        <v>209</v>
      </c>
      <c r="B2" t="s">
        <v>210</v>
      </c>
      <c r="C2">
        <v>2019</v>
      </c>
      <c r="D2" t="s">
        <v>274</v>
      </c>
      <c r="E2">
        <v>2.01908169162884E+17</v>
      </c>
      <c r="F2" t="s">
        <v>212</v>
      </c>
      <c r="G2" t="s">
        <v>685</v>
      </c>
      <c r="H2">
        <v>1348081</v>
      </c>
      <c r="J2" t="s">
        <v>214</v>
      </c>
      <c r="K2" t="s">
        <v>215</v>
      </c>
      <c r="N2" t="s">
        <v>686</v>
      </c>
      <c r="O2" t="s">
        <v>36</v>
      </c>
      <c r="P2" t="s">
        <v>217</v>
      </c>
      <c r="Q2" t="s">
        <v>28</v>
      </c>
      <c r="R2" t="s">
        <v>687</v>
      </c>
      <c r="S2" t="s">
        <v>27</v>
      </c>
      <c r="T2" t="s">
        <v>688</v>
      </c>
      <c r="V2" t="s">
        <v>614</v>
      </c>
      <c r="X2" t="s">
        <v>613</v>
      </c>
      <c r="Y2" t="s">
        <v>32</v>
      </c>
      <c r="Z2">
        <v>10036</v>
      </c>
      <c r="AA2" t="s">
        <v>222</v>
      </c>
      <c r="AB2" t="s">
        <v>689</v>
      </c>
      <c r="AD2">
        <v>15</v>
      </c>
      <c r="AE2" t="s">
        <v>224</v>
      </c>
      <c r="AI2">
        <v>43661</v>
      </c>
      <c r="AJ2">
        <v>20</v>
      </c>
      <c r="AK2">
        <v>260</v>
      </c>
      <c r="BG2" t="s">
        <v>26</v>
      </c>
      <c r="BI2" t="s">
        <v>225</v>
      </c>
      <c r="BK2" t="s">
        <v>31</v>
      </c>
      <c r="BL2" t="s">
        <v>238</v>
      </c>
      <c r="BM2" t="s">
        <v>227</v>
      </c>
      <c r="BN2">
        <v>43694.110414421295</v>
      </c>
      <c r="BR2" t="s">
        <v>228</v>
      </c>
      <c r="BS2">
        <v>4.0816201916633702E+18</v>
      </c>
      <c r="BT2" t="s">
        <v>229</v>
      </c>
      <c r="BV2">
        <v>2020</v>
      </c>
      <c r="BW2" t="s">
        <v>230</v>
      </c>
      <c r="BY2">
        <v>4.0816201916633902E+18</v>
      </c>
      <c r="BZ2" t="s">
        <v>690</v>
      </c>
      <c r="CA2" t="s">
        <v>232</v>
      </c>
    </row>
    <row r="3" spans="1:79" x14ac:dyDescent="0.25">
      <c r="A3" t="s">
        <v>209</v>
      </c>
      <c r="B3" t="s">
        <v>210</v>
      </c>
      <c r="C3">
        <v>2019</v>
      </c>
      <c r="D3" t="s">
        <v>274</v>
      </c>
      <c r="E3">
        <v>2.01908169162884E+17</v>
      </c>
      <c r="F3" t="s">
        <v>212</v>
      </c>
      <c r="G3" t="s">
        <v>691</v>
      </c>
      <c r="H3">
        <v>1348081</v>
      </c>
      <c r="J3" t="s">
        <v>214</v>
      </c>
      <c r="K3" t="s">
        <v>215</v>
      </c>
      <c r="N3" t="s">
        <v>686</v>
      </c>
      <c r="O3" t="s">
        <v>36</v>
      </c>
      <c r="P3" t="s">
        <v>217</v>
      </c>
      <c r="Q3" t="s">
        <v>28</v>
      </c>
      <c r="R3" t="s">
        <v>687</v>
      </c>
      <c r="S3" t="s">
        <v>27</v>
      </c>
      <c r="T3" t="s">
        <v>688</v>
      </c>
      <c r="V3" t="s">
        <v>614</v>
      </c>
      <c r="X3" t="s">
        <v>613</v>
      </c>
      <c r="Y3" t="s">
        <v>32</v>
      </c>
      <c r="Z3">
        <v>10036</v>
      </c>
      <c r="AA3" t="s">
        <v>222</v>
      </c>
      <c r="AB3" t="s">
        <v>689</v>
      </c>
      <c r="AD3">
        <v>15</v>
      </c>
      <c r="AE3" t="s">
        <v>224</v>
      </c>
      <c r="AI3">
        <v>43677</v>
      </c>
      <c r="AJ3">
        <v>20</v>
      </c>
      <c r="AK3">
        <v>280</v>
      </c>
      <c r="BG3" t="s">
        <v>26</v>
      </c>
      <c r="BI3" t="s">
        <v>225</v>
      </c>
      <c r="BK3" t="s">
        <v>31</v>
      </c>
      <c r="BL3" t="s">
        <v>238</v>
      </c>
      <c r="BM3" t="s">
        <v>227</v>
      </c>
      <c r="BN3">
        <v>43694.110414421295</v>
      </c>
      <c r="BR3" t="s">
        <v>228</v>
      </c>
      <c r="BS3">
        <v>4.0816201916633702E+18</v>
      </c>
      <c r="BT3" t="s">
        <v>229</v>
      </c>
      <c r="BV3">
        <v>2020</v>
      </c>
      <c r="BW3" t="s">
        <v>230</v>
      </c>
      <c r="BY3">
        <v>4.0816201916633902E+18</v>
      </c>
      <c r="BZ3" t="s">
        <v>692</v>
      </c>
      <c r="CA3" t="s">
        <v>232</v>
      </c>
    </row>
    <row r="4" spans="1:79" x14ac:dyDescent="0.25">
      <c r="A4" t="s">
        <v>209</v>
      </c>
      <c r="B4" t="s">
        <v>210</v>
      </c>
      <c r="C4">
        <v>2019</v>
      </c>
      <c r="D4" t="s">
        <v>508</v>
      </c>
      <c r="E4">
        <v>2.0200120916727501E+17</v>
      </c>
      <c r="F4" t="s">
        <v>212</v>
      </c>
      <c r="G4" t="s">
        <v>693</v>
      </c>
      <c r="H4">
        <v>1371432</v>
      </c>
      <c r="J4" t="s">
        <v>214</v>
      </c>
      <c r="K4" t="s">
        <v>215</v>
      </c>
      <c r="N4" t="s">
        <v>686</v>
      </c>
      <c r="O4" t="s">
        <v>36</v>
      </c>
      <c r="P4" t="s">
        <v>217</v>
      </c>
      <c r="Q4" t="s">
        <v>28</v>
      </c>
      <c r="R4" t="s">
        <v>687</v>
      </c>
      <c r="S4" t="s">
        <v>27</v>
      </c>
      <c r="T4" t="s">
        <v>688</v>
      </c>
      <c r="V4" t="s">
        <v>614</v>
      </c>
      <c r="X4" t="s">
        <v>613</v>
      </c>
      <c r="Y4" t="s">
        <v>32</v>
      </c>
      <c r="Z4">
        <v>10036</v>
      </c>
      <c r="AA4" t="s">
        <v>222</v>
      </c>
      <c r="AB4" t="s">
        <v>689</v>
      </c>
      <c r="AD4">
        <v>15</v>
      </c>
      <c r="AE4" t="s">
        <v>224</v>
      </c>
      <c r="AI4">
        <v>43814</v>
      </c>
      <c r="AJ4">
        <v>20</v>
      </c>
      <c r="AK4">
        <v>460</v>
      </c>
      <c r="BG4" t="s">
        <v>26</v>
      </c>
      <c r="BI4" t="s">
        <v>225</v>
      </c>
      <c r="BK4" t="s">
        <v>31</v>
      </c>
      <c r="BL4" t="s">
        <v>238</v>
      </c>
      <c r="BM4" t="s">
        <v>227</v>
      </c>
      <c r="BN4">
        <v>43852.067933449071</v>
      </c>
      <c r="BR4" t="s">
        <v>228</v>
      </c>
      <c r="BS4">
        <v>4.0120202016853202E+18</v>
      </c>
      <c r="BT4" t="s">
        <v>229</v>
      </c>
      <c r="BV4">
        <v>2020</v>
      </c>
      <c r="BW4" t="s">
        <v>230</v>
      </c>
      <c r="BY4">
        <v>4.0121202016853601E+18</v>
      </c>
      <c r="BZ4" t="s">
        <v>694</v>
      </c>
      <c r="CA4" t="s">
        <v>232</v>
      </c>
    </row>
    <row r="5" spans="1:79" x14ac:dyDescent="0.25">
      <c r="A5" t="s">
        <v>209</v>
      </c>
      <c r="B5" t="s">
        <v>210</v>
      </c>
      <c r="C5">
        <v>2019</v>
      </c>
      <c r="D5" t="s">
        <v>508</v>
      </c>
      <c r="E5">
        <v>2.0200120916727501E+17</v>
      </c>
      <c r="F5" t="s">
        <v>212</v>
      </c>
      <c r="G5" t="s">
        <v>695</v>
      </c>
      <c r="H5">
        <v>1371432</v>
      </c>
      <c r="J5" t="s">
        <v>214</v>
      </c>
      <c r="K5" t="s">
        <v>215</v>
      </c>
      <c r="N5" t="s">
        <v>686</v>
      </c>
      <c r="O5" t="s">
        <v>36</v>
      </c>
      <c r="P5" t="s">
        <v>217</v>
      </c>
      <c r="Q5" t="s">
        <v>28</v>
      </c>
      <c r="R5" t="s">
        <v>687</v>
      </c>
      <c r="S5" t="s">
        <v>27</v>
      </c>
      <c r="T5" t="s">
        <v>688</v>
      </c>
      <c r="V5" t="s">
        <v>614</v>
      </c>
      <c r="X5" t="s">
        <v>613</v>
      </c>
      <c r="Y5" t="s">
        <v>32</v>
      </c>
      <c r="Z5">
        <v>10036</v>
      </c>
      <c r="AA5" t="s">
        <v>222</v>
      </c>
      <c r="AB5" t="s">
        <v>689</v>
      </c>
      <c r="AD5">
        <v>15</v>
      </c>
      <c r="AE5" t="s">
        <v>224</v>
      </c>
      <c r="AI5">
        <v>43830</v>
      </c>
      <c r="AJ5">
        <v>20</v>
      </c>
      <c r="AK5">
        <v>480</v>
      </c>
      <c r="BG5" t="s">
        <v>26</v>
      </c>
      <c r="BI5" t="s">
        <v>225</v>
      </c>
      <c r="BK5" t="s">
        <v>31</v>
      </c>
      <c r="BL5" t="s">
        <v>238</v>
      </c>
      <c r="BM5" t="s">
        <v>227</v>
      </c>
      <c r="BN5">
        <v>43852.067933449071</v>
      </c>
      <c r="BR5" t="s">
        <v>228</v>
      </c>
      <c r="BS5">
        <v>4.0120202016853202E+18</v>
      </c>
      <c r="BT5" t="s">
        <v>229</v>
      </c>
      <c r="BV5">
        <v>2020</v>
      </c>
      <c r="BW5" t="s">
        <v>230</v>
      </c>
      <c r="BY5">
        <v>4.0121202016853601E+18</v>
      </c>
      <c r="BZ5" t="s">
        <v>696</v>
      </c>
      <c r="CA5" t="s">
        <v>232</v>
      </c>
    </row>
    <row r="6" spans="1:79" x14ac:dyDescent="0.25">
      <c r="A6" t="s">
        <v>209</v>
      </c>
      <c r="B6" t="s">
        <v>210</v>
      </c>
      <c r="C6">
        <v>2019</v>
      </c>
      <c r="D6" t="s">
        <v>252</v>
      </c>
      <c r="E6">
        <v>2.0190802916135101E+17</v>
      </c>
      <c r="F6" t="s">
        <v>212</v>
      </c>
      <c r="G6" t="s">
        <v>697</v>
      </c>
      <c r="H6">
        <v>1346685</v>
      </c>
      <c r="J6" t="s">
        <v>214</v>
      </c>
      <c r="K6" t="s">
        <v>215</v>
      </c>
      <c r="N6" t="s">
        <v>686</v>
      </c>
      <c r="O6" t="s">
        <v>36</v>
      </c>
      <c r="P6" t="s">
        <v>217</v>
      </c>
      <c r="Q6" t="s">
        <v>28</v>
      </c>
      <c r="R6" t="s">
        <v>687</v>
      </c>
      <c r="S6" t="s">
        <v>27</v>
      </c>
      <c r="T6" t="s">
        <v>688</v>
      </c>
      <c r="V6" t="s">
        <v>614</v>
      </c>
      <c r="X6" t="s">
        <v>613</v>
      </c>
      <c r="Y6" t="s">
        <v>32</v>
      </c>
      <c r="Z6">
        <v>10036</v>
      </c>
      <c r="AA6" t="s">
        <v>222</v>
      </c>
      <c r="AB6" t="s">
        <v>689</v>
      </c>
      <c r="AD6">
        <v>15</v>
      </c>
      <c r="AE6" t="s">
        <v>224</v>
      </c>
      <c r="AI6">
        <v>43631</v>
      </c>
      <c r="AJ6">
        <v>20</v>
      </c>
      <c r="AK6">
        <v>220</v>
      </c>
      <c r="BG6" t="s">
        <v>26</v>
      </c>
      <c r="BI6" t="s">
        <v>225</v>
      </c>
      <c r="BK6" t="s">
        <v>0</v>
      </c>
      <c r="BL6" t="s">
        <v>226</v>
      </c>
      <c r="BM6" t="s">
        <v>227</v>
      </c>
      <c r="BN6">
        <v>43680.112697199074</v>
      </c>
      <c r="BR6" t="s">
        <v>228</v>
      </c>
      <c r="BS6">
        <v>4.0802201916626898E+18</v>
      </c>
      <c r="BT6" t="s">
        <v>229</v>
      </c>
      <c r="BV6">
        <v>2020</v>
      </c>
      <c r="BW6" t="s">
        <v>230</v>
      </c>
      <c r="BY6">
        <v>4.0802201916628797E+18</v>
      </c>
      <c r="BZ6" t="s">
        <v>698</v>
      </c>
      <c r="CA6" t="s">
        <v>232</v>
      </c>
    </row>
    <row r="7" spans="1:79" x14ac:dyDescent="0.25">
      <c r="A7" t="s">
        <v>209</v>
      </c>
      <c r="B7" t="s">
        <v>210</v>
      </c>
      <c r="C7">
        <v>2019</v>
      </c>
      <c r="D7" t="s">
        <v>252</v>
      </c>
      <c r="E7">
        <v>2.0190802916135101E+17</v>
      </c>
      <c r="F7" t="s">
        <v>212</v>
      </c>
      <c r="G7" t="s">
        <v>699</v>
      </c>
      <c r="H7">
        <v>1346685</v>
      </c>
      <c r="J7" t="s">
        <v>214</v>
      </c>
      <c r="K7" t="s">
        <v>215</v>
      </c>
      <c r="N7" t="s">
        <v>686</v>
      </c>
      <c r="O7" t="s">
        <v>36</v>
      </c>
      <c r="P7" t="s">
        <v>217</v>
      </c>
      <c r="Q7" t="s">
        <v>28</v>
      </c>
      <c r="R7" t="s">
        <v>687</v>
      </c>
      <c r="S7" t="s">
        <v>27</v>
      </c>
      <c r="T7" t="s">
        <v>688</v>
      </c>
      <c r="V7" t="s">
        <v>614</v>
      </c>
      <c r="X7" t="s">
        <v>613</v>
      </c>
      <c r="Y7" t="s">
        <v>32</v>
      </c>
      <c r="Z7">
        <v>10036</v>
      </c>
      <c r="AA7" t="s">
        <v>222</v>
      </c>
      <c r="AB7" t="s">
        <v>689</v>
      </c>
      <c r="AD7">
        <v>15</v>
      </c>
      <c r="AE7" t="s">
        <v>224</v>
      </c>
      <c r="AI7">
        <v>43646</v>
      </c>
      <c r="AJ7">
        <v>20</v>
      </c>
      <c r="AK7">
        <v>240</v>
      </c>
      <c r="BG7" t="s">
        <v>26</v>
      </c>
      <c r="BI7" t="s">
        <v>225</v>
      </c>
      <c r="BK7" t="s">
        <v>0</v>
      </c>
      <c r="BL7" t="s">
        <v>226</v>
      </c>
      <c r="BM7" t="s">
        <v>227</v>
      </c>
      <c r="BN7">
        <v>43680.112697199074</v>
      </c>
      <c r="BR7" t="s">
        <v>228</v>
      </c>
      <c r="BS7">
        <v>4.0802201916626898E+18</v>
      </c>
      <c r="BT7" t="s">
        <v>229</v>
      </c>
      <c r="BV7">
        <v>2020</v>
      </c>
      <c r="BW7" t="s">
        <v>230</v>
      </c>
      <c r="BY7">
        <v>4.0802201916628797E+18</v>
      </c>
      <c r="BZ7" t="s">
        <v>698</v>
      </c>
      <c r="CA7" t="s">
        <v>232</v>
      </c>
    </row>
    <row r="8" spans="1:79" x14ac:dyDescent="0.25">
      <c r="A8" t="s">
        <v>209</v>
      </c>
      <c r="B8" t="s">
        <v>210</v>
      </c>
      <c r="C8">
        <v>2019</v>
      </c>
      <c r="D8" t="s">
        <v>389</v>
      </c>
      <c r="E8">
        <v>2.01909139163316E+17</v>
      </c>
      <c r="F8" t="s">
        <v>212</v>
      </c>
      <c r="G8" t="s">
        <v>700</v>
      </c>
      <c r="H8">
        <v>1351825</v>
      </c>
      <c r="J8" t="s">
        <v>214</v>
      </c>
      <c r="K8" t="s">
        <v>215</v>
      </c>
      <c r="N8" t="s">
        <v>686</v>
      </c>
      <c r="O8" t="s">
        <v>36</v>
      </c>
      <c r="P8" t="s">
        <v>217</v>
      </c>
      <c r="Q8" t="s">
        <v>28</v>
      </c>
      <c r="R8" t="s">
        <v>687</v>
      </c>
      <c r="S8" t="s">
        <v>27</v>
      </c>
      <c r="T8" t="s">
        <v>688</v>
      </c>
      <c r="V8" t="s">
        <v>614</v>
      </c>
      <c r="X8" t="s">
        <v>613</v>
      </c>
      <c r="Y8" t="s">
        <v>32</v>
      </c>
      <c r="Z8">
        <v>10036</v>
      </c>
      <c r="AA8" t="s">
        <v>222</v>
      </c>
      <c r="AB8" t="s">
        <v>689</v>
      </c>
      <c r="AD8">
        <v>15</v>
      </c>
      <c r="AE8" t="s">
        <v>224</v>
      </c>
      <c r="AI8">
        <v>43692</v>
      </c>
      <c r="AJ8">
        <v>20</v>
      </c>
      <c r="AK8">
        <v>300</v>
      </c>
      <c r="BG8" t="s">
        <v>26</v>
      </c>
      <c r="BI8" t="s">
        <v>225</v>
      </c>
      <c r="BK8" t="s">
        <v>31</v>
      </c>
      <c r="BL8" t="s">
        <v>238</v>
      </c>
      <c r="BM8" t="s">
        <v>227</v>
      </c>
      <c r="BN8">
        <v>43722.125268171294</v>
      </c>
      <c r="BR8" t="s">
        <v>228</v>
      </c>
      <c r="BS8">
        <v>4.09132019167264E+18</v>
      </c>
      <c r="BT8" t="s">
        <v>229</v>
      </c>
      <c r="BV8">
        <v>2020</v>
      </c>
      <c r="BW8" t="s">
        <v>230</v>
      </c>
      <c r="BY8">
        <v>4.09132019167266E+18</v>
      </c>
      <c r="BZ8" t="s">
        <v>701</v>
      </c>
      <c r="CA8" t="s">
        <v>232</v>
      </c>
    </row>
    <row r="9" spans="1:79" x14ac:dyDescent="0.25">
      <c r="A9" t="s">
        <v>209</v>
      </c>
      <c r="B9" t="s">
        <v>210</v>
      </c>
      <c r="C9">
        <v>2019</v>
      </c>
      <c r="D9" t="s">
        <v>389</v>
      </c>
      <c r="E9">
        <v>2.01909139163316E+17</v>
      </c>
      <c r="F9" t="s">
        <v>212</v>
      </c>
      <c r="G9" t="s">
        <v>702</v>
      </c>
      <c r="H9">
        <v>1351825</v>
      </c>
      <c r="J9" t="s">
        <v>214</v>
      </c>
      <c r="K9" t="s">
        <v>215</v>
      </c>
      <c r="N9" t="s">
        <v>686</v>
      </c>
      <c r="O9" t="s">
        <v>36</v>
      </c>
      <c r="P9" t="s">
        <v>217</v>
      </c>
      <c r="Q9" t="s">
        <v>28</v>
      </c>
      <c r="R9" t="s">
        <v>687</v>
      </c>
      <c r="S9" t="s">
        <v>27</v>
      </c>
      <c r="T9" t="s">
        <v>688</v>
      </c>
      <c r="V9" t="s">
        <v>614</v>
      </c>
      <c r="X9" t="s">
        <v>613</v>
      </c>
      <c r="Y9" t="s">
        <v>32</v>
      </c>
      <c r="Z9">
        <v>10036</v>
      </c>
      <c r="AA9" t="s">
        <v>222</v>
      </c>
      <c r="AB9" t="s">
        <v>689</v>
      </c>
      <c r="AD9">
        <v>15</v>
      </c>
      <c r="AE9" t="s">
        <v>224</v>
      </c>
      <c r="AI9">
        <v>43708</v>
      </c>
      <c r="AJ9">
        <v>20</v>
      </c>
      <c r="AK9">
        <v>320</v>
      </c>
      <c r="BG9" t="s">
        <v>26</v>
      </c>
      <c r="BI9" t="s">
        <v>225</v>
      </c>
      <c r="BK9" t="s">
        <v>31</v>
      </c>
      <c r="BL9" t="s">
        <v>238</v>
      </c>
      <c r="BM9" t="s">
        <v>227</v>
      </c>
      <c r="BN9">
        <v>43722.125268171294</v>
      </c>
      <c r="BR9" t="s">
        <v>228</v>
      </c>
      <c r="BS9">
        <v>4.09132019167264E+18</v>
      </c>
      <c r="BT9" t="s">
        <v>229</v>
      </c>
      <c r="BV9">
        <v>2020</v>
      </c>
      <c r="BW9" t="s">
        <v>230</v>
      </c>
      <c r="BY9">
        <v>4.09132019167266E+18</v>
      </c>
      <c r="BZ9" t="s">
        <v>703</v>
      </c>
      <c r="CA9" t="s">
        <v>232</v>
      </c>
    </row>
    <row r="10" spans="1:79" x14ac:dyDescent="0.25">
      <c r="A10" t="s">
        <v>209</v>
      </c>
      <c r="B10" t="s">
        <v>210</v>
      </c>
      <c r="C10">
        <v>2019</v>
      </c>
      <c r="D10" t="s">
        <v>290</v>
      </c>
      <c r="E10">
        <v>2.0191016916498301E+17</v>
      </c>
      <c r="F10" t="s">
        <v>212</v>
      </c>
      <c r="G10" t="s">
        <v>704</v>
      </c>
      <c r="H10">
        <v>1359078</v>
      </c>
      <c r="J10" t="s">
        <v>214</v>
      </c>
      <c r="K10" t="s">
        <v>215</v>
      </c>
      <c r="N10" t="s">
        <v>686</v>
      </c>
      <c r="O10" t="s">
        <v>36</v>
      </c>
      <c r="P10" t="s">
        <v>217</v>
      </c>
      <c r="Q10" t="s">
        <v>28</v>
      </c>
      <c r="R10" t="s">
        <v>687</v>
      </c>
      <c r="S10" t="s">
        <v>27</v>
      </c>
      <c r="T10" t="s">
        <v>688</v>
      </c>
      <c r="V10" t="s">
        <v>614</v>
      </c>
      <c r="X10" t="s">
        <v>613</v>
      </c>
      <c r="Y10" t="s">
        <v>32</v>
      </c>
      <c r="Z10">
        <v>10036</v>
      </c>
      <c r="AA10" t="s">
        <v>222</v>
      </c>
      <c r="AB10" t="s">
        <v>689</v>
      </c>
      <c r="AD10">
        <v>15</v>
      </c>
      <c r="AE10" t="s">
        <v>224</v>
      </c>
      <c r="AI10">
        <v>43723</v>
      </c>
      <c r="AJ10">
        <v>20</v>
      </c>
      <c r="AK10">
        <v>340</v>
      </c>
      <c r="BG10" t="s">
        <v>26</v>
      </c>
      <c r="BI10" t="s">
        <v>225</v>
      </c>
      <c r="BK10" t="s">
        <v>31</v>
      </c>
      <c r="BL10" t="s">
        <v>238</v>
      </c>
      <c r="BM10" t="s">
        <v>227</v>
      </c>
      <c r="BN10">
        <v>43755.116320312503</v>
      </c>
      <c r="BR10" t="s">
        <v>228</v>
      </c>
      <c r="BS10">
        <v>4.1016201916743598E+18</v>
      </c>
      <c r="BT10" t="s">
        <v>229</v>
      </c>
      <c r="BV10">
        <v>2020</v>
      </c>
      <c r="BW10" t="s">
        <v>230</v>
      </c>
      <c r="BY10">
        <v>4.1016201916744899E+18</v>
      </c>
      <c r="BZ10" t="s">
        <v>705</v>
      </c>
      <c r="CA10" t="s">
        <v>232</v>
      </c>
    </row>
    <row r="11" spans="1:79" x14ac:dyDescent="0.25">
      <c r="A11" t="s">
        <v>209</v>
      </c>
      <c r="B11" t="s">
        <v>210</v>
      </c>
      <c r="C11">
        <v>2019</v>
      </c>
      <c r="D11" t="s">
        <v>290</v>
      </c>
      <c r="E11">
        <v>2.0191016916498301E+17</v>
      </c>
      <c r="F11" t="s">
        <v>212</v>
      </c>
      <c r="G11" t="s">
        <v>706</v>
      </c>
      <c r="H11">
        <v>1359078</v>
      </c>
      <c r="J11" t="s">
        <v>214</v>
      </c>
      <c r="K11" t="s">
        <v>215</v>
      </c>
      <c r="N11" t="s">
        <v>686</v>
      </c>
      <c r="O11" t="s">
        <v>36</v>
      </c>
      <c r="P11" t="s">
        <v>217</v>
      </c>
      <c r="Q11" t="s">
        <v>28</v>
      </c>
      <c r="R11" t="s">
        <v>687</v>
      </c>
      <c r="S11" t="s">
        <v>27</v>
      </c>
      <c r="T11" t="s">
        <v>688</v>
      </c>
      <c r="V11" t="s">
        <v>614</v>
      </c>
      <c r="X11" t="s">
        <v>613</v>
      </c>
      <c r="Y11" t="s">
        <v>32</v>
      </c>
      <c r="Z11">
        <v>10036</v>
      </c>
      <c r="AA11" t="s">
        <v>222</v>
      </c>
      <c r="AB11" t="s">
        <v>689</v>
      </c>
      <c r="AD11">
        <v>15</v>
      </c>
      <c r="AE11" t="s">
        <v>224</v>
      </c>
      <c r="AI11">
        <v>43738</v>
      </c>
      <c r="AJ11">
        <v>20</v>
      </c>
      <c r="AK11">
        <v>360</v>
      </c>
      <c r="BG11" t="s">
        <v>26</v>
      </c>
      <c r="BI11" t="s">
        <v>225</v>
      </c>
      <c r="BK11" t="s">
        <v>31</v>
      </c>
      <c r="BL11" t="s">
        <v>238</v>
      </c>
      <c r="BM11" t="s">
        <v>227</v>
      </c>
      <c r="BN11">
        <v>43755.116320312503</v>
      </c>
      <c r="BR11" t="s">
        <v>228</v>
      </c>
      <c r="BS11">
        <v>4.1016201916743598E+18</v>
      </c>
      <c r="BT11" t="s">
        <v>229</v>
      </c>
      <c r="BV11">
        <v>2020</v>
      </c>
      <c r="BW11" t="s">
        <v>230</v>
      </c>
      <c r="BY11">
        <v>4.1016201916744899E+18</v>
      </c>
      <c r="BZ11" t="s">
        <v>705</v>
      </c>
      <c r="CA11" t="s">
        <v>232</v>
      </c>
    </row>
    <row r="12" spans="1:79" x14ac:dyDescent="0.25">
      <c r="A12" t="s">
        <v>209</v>
      </c>
      <c r="B12" t="s">
        <v>210</v>
      </c>
      <c r="C12">
        <v>2019</v>
      </c>
      <c r="D12" t="s">
        <v>574</v>
      </c>
      <c r="E12">
        <v>2.01912169166292E+17</v>
      </c>
      <c r="F12" t="s">
        <v>212</v>
      </c>
      <c r="G12" t="s">
        <v>707</v>
      </c>
      <c r="H12">
        <v>1366330</v>
      </c>
      <c r="J12" t="s">
        <v>214</v>
      </c>
      <c r="K12" t="s">
        <v>215</v>
      </c>
      <c r="N12" t="s">
        <v>686</v>
      </c>
      <c r="O12" t="s">
        <v>36</v>
      </c>
      <c r="P12" t="s">
        <v>217</v>
      </c>
      <c r="Q12" t="s">
        <v>28</v>
      </c>
      <c r="R12" t="s">
        <v>687</v>
      </c>
      <c r="S12" t="s">
        <v>27</v>
      </c>
      <c r="T12" t="s">
        <v>688</v>
      </c>
      <c r="V12" t="s">
        <v>614</v>
      </c>
      <c r="X12" t="s">
        <v>613</v>
      </c>
      <c r="Y12" t="s">
        <v>32</v>
      </c>
      <c r="Z12">
        <v>10036</v>
      </c>
      <c r="AA12" t="s">
        <v>222</v>
      </c>
      <c r="AB12" t="s">
        <v>689</v>
      </c>
      <c r="AD12">
        <v>15</v>
      </c>
      <c r="AE12" t="s">
        <v>224</v>
      </c>
      <c r="AI12">
        <v>43784</v>
      </c>
      <c r="AJ12">
        <v>20</v>
      </c>
      <c r="AK12">
        <v>420</v>
      </c>
      <c r="BG12" t="s">
        <v>26</v>
      </c>
      <c r="BI12" t="s">
        <v>225</v>
      </c>
      <c r="BK12" t="s">
        <v>31</v>
      </c>
      <c r="BL12" t="s">
        <v>238</v>
      </c>
      <c r="BM12" t="s">
        <v>227</v>
      </c>
      <c r="BN12">
        <v>43816.067688645831</v>
      </c>
      <c r="BR12" t="s">
        <v>228</v>
      </c>
      <c r="BS12">
        <v>4.1216201916815201E+18</v>
      </c>
      <c r="BT12" t="s">
        <v>229</v>
      </c>
      <c r="BV12">
        <v>2020</v>
      </c>
      <c r="BW12" t="s">
        <v>230</v>
      </c>
      <c r="BY12">
        <v>4.1216201916815401E+18</v>
      </c>
      <c r="BZ12" t="s">
        <v>708</v>
      </c>
      <c r="CA12" t="s">
        <v>232</v>
      </c>
    </row>
    <row r="13" spans="1:79" x14ac:dyDescent="0.25">
      <c r="A13" t="s">
        <v>209</v>
      </c>
      <c r="B13" t="s">
        <v>210</v>
      </c>
      <c r="C13">
        <v>2019</v>
      </c>
      <c r="D13" t="s">
        <v>574</v>
      </c>
      <c r="E13">
        <v>2.01912169166292E+17</v>
      </c>
      <c r="F13" t="s">
        <v>212</v>
      </c>
      <c r="G13" t="s">
        <v>709</v>
      </c>
      <c r="H13">
        <v>1366330</v>
      </c>
      <c r="J13" t="s">
        <v>214</v>
      </c>
      <c r="K13" t="s">
        <v>215</v>
      </c>
      <c r="N13" t="s">
        <v>686</v>
      </c>
      <c r="O13" t="s">
        <v>36</v>
      </c>
      <c r="P13" t="s">
        <v>217</v>
      </c>
      <c r="Q13" t="s">
        <v>28</v>
      </c>
      <c r="R13" t="s">
        <v>687</v>
      </c>
      <c r="S13" t="s">
        <v>27</v>
      </c>
      <c r="T13" t="s">
        <v>688</v>
      </c>
      <c r="V13" t="s">
        <v>614</v>
      </c>
      <c r="X13" t="s">
        <v>613</v>
      </c>
      <c r="Y13" t="s">
        <v>32</v>
      </c>
      <c r="Z13">
        <v>10036</v>
      </c>
      <c r="AA13" t="s">
        <v>222</v>
      </c>
      <c r="AB13" t="s">
        <v>689</v>
      </c>
      <c r="AD13">
        <v>15</v>
      </c>
      <c r="AE13" t="s">
        <v>224</v>
      </c>
      <c r="AI13">
        <v>43799</v>
      </c>
      <c r="AJ13">
        <v>20</v>
      </c>
      <c r="AK13">
        <v>440</v>
      </c>
      <c r="BG13" t="s">
        <v>26</v>
      </c>
      <c r="BI13" t="s">
        <v>225</v>
      </c>
      <c r="BK13" t="s">
        <v>31</v>
      </c>
      <c r="BL13" t="s">
        <v>238</v>
      </c>
      <c r="BM13" t="s">
        <v>227</v>
      </c>
      <c r="BN13">
        <v>43816.067688645831</v>
      </c>
      <c r="BR13" t="s">
        <v>228</v>
      </c>
      <c r="BS13">
        <v>4.1216201916815201E+18</v>
      </c>
      <c r="BT13" t="s">
        <v>229</v>
      </c>
      <c r="BV13">
        <v>2020</v>
      </c>
      <c r="BW13" t="s">
        <v>230</v>
      </c>
      <c r="BY13">
        <v>4.1216201916815401E+18</v>
      </c>
      <c r="BZ13" t="s">
        <v>708</v>
      </c>
      <c r="CA13" t="s">
        <v>232</v>
      </c>
    </row>
    <row r="14" spans="1:79" x14ac:dyDescent="0.25">
      <c r="A14" t="s">
        <v>209</v>
      </c>
      <c r="B14" t="s">
        <v>210</v>
      </c>
      <c r="C14">
        <v>2019</v>
      </c>
      <c r="D14" t="s">
        <v>578</v>
      </c>
      <c r="E14">
        <v>2.0191114916550099E+17</v>
      </c>
      <c r="F14" t="s">
        <v>212</v>
      </c>
      <c r="G14" t="s">
        <v>710</v>
      </c>
      <c r="H14">
        <v>1362663</v>
      </c>
      <c r="J14" t="s">
        <v>214</v>
      </c>
      <c r="K14" t="s">
        <v>215</v>
      </c>
      <c r="N14" t="s">
        <v>686</v>
      </c>
      <c r="O14" t="s">
        <v>36</v>
      </c>
      <c r="P14" t="s">
        <v>217</v>
      </c>
      <c r="Q14" t="s">
        <v>28</v>
      </c>
      <c r="R14" t="s">
        <v>687</v>
      </c>
      <c r="S14" t="s">
        <v>27</v>
      </c>
      <c r="T14" t="s">
        <v>688</v>
      </c>
      <c r="V14" t="s">
        <v>614</v>
      </c>
      <c r="X14" t="s">
        <v>613</v>
      </c>
      <c r="Y14" t="s">
        <v>32</v>
      </c>
      <c r="Z14">
        <v>10036</v>
      </c>
      <c r="AA14" t="s">
        <v>222</v>
      </c>
      <c r="AB14" t="s">
        <v>689</v>
      </c>
      <c r="AD14">
        <v>15</v>
      </c>
      <c r="AE14" t="s">
        <v>224</v>
      </c>
      <c r="AI14">
        <v>43753</v>
      </c>
      <c r="AJ14">
        <v>20</v>
      </c>
      <c r="AK14">
        <v>380</v>
      </c>
      <c r="BG14" t="s">
        <v>26</v>
      </c>
      <c r="BI14" t="s">
        <v>225</v>
      </c>
      <c r="BK14" t="s">
        <v>31</v>
      </c>
      <c r="BL14" t="s">
        <v>238</v>
      </c>
      <c r="BM14" t="s">
        <v>227</v>
      </c>
      <c r="BN14">
        <v>43784.092124675924</v>
      </c>
      <c r="BR14" t="s">
        <v>228</v>
      </c>
      <c r="BS14">
        <v>4.1114201916786601E+18</v>
      </c>
      <c r="BT14" t="s">
        <v>229</v>
      </c>
      <c r="BV14">
        <v>2020</v>
      </c>
      <c r="BW14" t="s">
        <v>230</v>
      </c>
      <c r="BY14">
        <v>4.1114201916786801E+18</v>
      </c>
      <c r="BZ14" t="s">
        <v>711</v>
      </c>
      <c r="CA14" t="s">
        <v>232</v>
      </c>
    </row>
    <row r="15" spans="1:79" x14ac:dyDescent="0.25">
      <c r="A15" t="s">
        <v>209</v>
      </c>
      <c r="B15" t="s">
        <v>210</v>
      </c>
      <c r="C15">
        <v>2019</v>
      </c>
      <c r="D15" t="s">
        <v>578</v>
      </c>
      <c r="E15">
        <v>2.0191114916550099E+17</v>
      </c>
      <c r="F15" t="s">
        <v>212</v>
      </c>
      <c r="G15" t="s">
        <v>712</v>
      </c>
      <c r="H15">
        <v>1362663</v>
      </c>
      <c r="J15" t="s">
        <v>214</v>
      </c>
      <c r="K15" t="s">
        <v>215</v>
      </c>
      <c r="N15" t="s">
        <v>686</v>
      </c>
      <c r="O15" t="s">
        <v>36</v>
      </c>
      <c r="P15" t="s">
        <v>217</v>
      </c>
      <c r="Q15" t="s">
        <v>28</v>
      </c>
      <c r="R15" t="s">
        <v>687</v>
      </c>
      <c r="S15" t="s">
        <v>27</v>
      </c>
      <c r="T15" t="s">
        <v>688</v>
      </c>
      <c r="V15" t="s">
        <v>614</v>
      </c>
      <c r="X15" t="s">
        <v>613</v>
      </c>
      <c r="Y15" t="s">
        <v>32</v>
      </c>
      <c r="Z15">
        <v>10036</v>
      </c>
      <c r="AA15" t="s">
        <v>222</v>
      </c>
      <c r="AB15" t="s">
        <v>689</v>
      </c>
      <c r="AD15">
        <v>15</v>
      </c>
      <c r="AE15" t="s">
        <v>224</v>
      </c>
      <c r="AI15">
        <v>43769</v>
      </c>
      <c r="AJ15">
        <v>20</v>
      </c>
      <c r="AK15">
        <v>400</v>
      </c>
      <c r="BG15" t="s">
        <v>26</v>
      </c>
      <c r="BI15" t="s">
        <v>225</v>
      </c>
      <c r="BK15" t="s">
        <v>31</v>
      </c>
      <c r="BL15" t="s">
        <v>238</v>
      </c>
      <c r="BM15" t="s">
        <v>227</v>
      </c>
      <c r="BN15">
        <v>43784.092124675924</v>
      </c>
      <c r="BR15" t="s">
        <v>228</v>
      </c>
      <c r="BS15">
        <v>4.1114201916786601E+18</v>
      </c>
      <c r="BT15" t="s">
        <v>229</v>
      </c>
      <c r="BV15">
        <v>2020</v>
      </c>
      <c r="BW15" t="s">
        <v>230</v>
      </c>
      <c r="BY15">
        <v>4.1114201916786801E+18</v>
      </c>
      <c r="BZ15" t="s">
        <v>711</v>
      </c>
      <c r="CA15" t="s">
        <v>232</v>
      </c>
    </row>
    <row r="16" spans="1:79" x14ac:dyDescent="0.25">
      <c r="A16" t="s">
        <v>209</v>
      </c>
      <c r="B16" t="s">
        <v>210</v>
      </c>
      <c r="C16">
        <v>2020</v>
      </c>
      <c r="D16" t="s">
        <v>274</v>
      </c>
      <c r="E16">
        <v>2.0200814926130499E+17</v>
      </c>
      <c r="F16" t="s">
        <v>212</v>
      </c>
      <c r="G16" t="s">
        <v>713</v>
      </c>
      <c r="H16">
        <v>1432221</v>
      </c>
      <c r="J16" t="s">
        <v>214</v>
      </c>
      <c r="K16" t="s">
        <v>215</v>
      </c>
      <c r="N16" t="s">
        <v>686</v>
      </c>
      <c r="O16" t="s">
        <v>36</v>
      </c>
      <c r="P16" t="s">
        <v>217</v>
      </c>
      <c r="Q16" t="s">
        <v>28</v>
      </c>
      <c r="R16" t="s">
        <v>687</v>
      </c>
      <c r="S16" t="s">
        <v>27</v>
      </c>
      <c r="T16" t="s">
        <v>688</v>
      </c>
      <c r="V16" t="s">
        <v>614</v>
      </c>
      <c r="X16" t="s">
        <v>613</v>
      </c>
      <c r="Y16" t="s">
        <v>32</v>
      </c>
      <c r="Z16">
        <v>10036</v>
      </c>
      <c r="AA16" t="s">
        <v>222</v>
      </c>
      <c r="AB16" t="s">
        <v>689</v>
      </c>
      <c r="AD16">
        <v>15</v>
      </c>
      <c r="AE16" t="s">
        <v>224</v>
      </c>
      <c r="AI16">
        <v>44043</v>
      </c>
      <c r="AJ16">
        <v>20</v>
      </c>
      <c r="AK16">
        <v>280</v>
      </c>
      <c r="BG16" t="s">
        <v>26</v>
      </c>
      <c r="BI16" t="s">
        <v>225</v>
      </c>
      <c r="BK16" t="s">
        <v>31</v>
      </c>
      <c r="BL16" t="s">
        <v>238</v>
      </c>
      <c r="BM16" t="s">
        <v>227</v>
      </c>
      <c r="BN16">
        <v>44069.158910034719</v>
      </c>
      <c r="BR16" t="s">
        <v>228</v>
      </c>
      <c r="BS16">
        <v>4.08152020182882E+18</v>
      </c>
      <c r="BT16" t="s">
        <v>229</v>
      </c>
      <c r="BV16">
        <v>2020</v>
      </c>
      <c r="BW16" t="s">
        <v>230</v>
      </c>
      <c r="BY16">
        <v>4.0826202018309699E+18</v>
      </c>
      <c r="BZ16" t="s">
        <v>714</v>
      </c>
      <c r="CA16" t="s">
        <v>232</v>
      </c>
    </row>
    <row r="17" spans="1:79" x14ac:dyDescent="0.25">
      <c r="A17" t="s">
        <v>209</v>
      </c>
      <c r="B17" t="s">
        <v>210</v>
      </c>
      <c r="C17">
        <v>2020</v>
      </c>
      <c r="D17" t="s">
        <v>274</v>
      </c>
      <c r="E17">
        <v>2.0200814926130499E+17</v>
      </c>
      <c r="F17" t="s">
        <v>212</v>
      </c>
      <c r="G17" t="s">
        <v>715</v>
      </c>
      <c r="H17">
        <v>1432221</v>
      </c>
      <c r="J17" t="s">
        <v>214</v>
      </c>
      <c r="K17" t="s">
        <v>215</v>
      </c>
      <c r="N17" t="s">
        <v>686</v>
      </c>
      <c r="O17" t="s">
        <v>36</v>
      </c>
      <c r="P17" t="s">
        <v>217</v>
      </c>
      <c r="Q17" t="s">
        <v>28</v>
      </c>
      <c r="R17" t="s">
        <v>687</v>
      </c>
      <c r="S17" t="s">
        <v>27</v>
      </c>
      <c r="T17" t="s">
        <v>688</v>
      </c>
      <c r="V17" t="s">
        <v>614</v>
      </c>
      <c r="X17" t="s">
        <v>613</v>
      </c>
      <c r="Y17" t="s">
        <v>32</v>
      </c>
      <c r="Z17">
        <v>10036</v>
      </c>
      <c r="AA17" t="s">
        <v>222</v>
      </c>
      <c r="AB17" t="s">
        <v>689</v>
      </c>
      <c r="AD17">
        <v>15</v>
      </c>
      <c r="AE17" t="s">
        <v>224</v>
      </c>
      <c r="AI17">
        <v>44027</v>
      </c>
      <c r="AJ17">
        <v>20</v>
      </c>
      <c r="AK17">
        <v>260</v>
      </c>
      <c r="BG17" t="s">
        <v>26</v>
      </c>
      <c r="BI17" t="s">
        <v>225</v>
      </c>
      <c r="BK17" t="s">
        <v>31</v>
      </c>
      <c r="BL17" t="s">
        <v>238</v>
      </c>
      <c r="BM17" t="s">
        <v>227</v>
      </c>
      <c r="BN17">
        <v>44069.176571203701</v>
      </c>
      <c r="BR17" t="s">
        <v>228</v>
      </c>
      <c r="BS17">
        <v>4.08152020182882E+18</v>
      </c>
      <c r="BT17" t="s">
        <v>229</v>
      </c>
      <c r="BV17">
        <v>2020</v>
      </c>
      <c r="BW17" t="s">
        <v>230</v>
      </c>
      <c r="BY17">
        <v>4.0826202018309699E+18</v>
      </c>
      <c r="BZ17" t="s">
        <v>714</v>
      </c>
      <c r="CA17" t="s">
        <v>232</v>
      </c>
    </row>
    <row r="18" spans="1:79" x14ac:dyDescent="0.25">
      <c r="A18" t="s">
        <v>209</v>
      </c>
      <c r="B18" t="s">
        <v>210</v>
      </c>
      <c r="C18">
        <v>2020</v>
      </c>
      <c r="D18" t="s">
        <v>371</v>
      </c>
      <c r="E18">
        <v>2.0201202933741501E+17</v>
      </c>
      <c r="F18" t="s">
        <v>212</v>
      </c>
      <c r="G18" t="s">
        <v>716</v>
      </c>
      <c r="H18">
        <v>1476126</v>
      </c>
      <c r="J18" t="s">
        <v>214</v>
      </c>
      <c r="K18" t="s">
        <v>215</v>
      </c>
      <c r="N18" t="s">
        <v>686</v>
      </c>
      <c r="O18" t="s">
        <v>36</v>
      </c>
      <c r="P18" t="s">
        <v>217</v>
      </c>
      <c r="Q18" t="s">
        <v>28</v>
      </c>
      <c r="R18" t="s">
        <v>687</v>
      </c>
      <c r="S18" t="s">
        <v>27</v>
      </c>
      <c r="T18" t="s">
        <v>688</v>
      </c>
      <c r="V18" t="s">
        <v>614</v>
      </c>
      <c r="X18" t="s">
        <v>613</v>
      </c>
      <c r="Y18" t="s">
        <v>32</v>
      </c>
      <c r="Z18">
        <v>10036</v>
      </c>
      <c r="AA18" t="s">
        <v>222</v>
      </c>
      <c r="AB18" t="s">
        <v>689</v>
      </c>
      <c r="AD18">
        <v>15</v>
      </c>
      <c r="AE18" t="s">
        <v>224</v>
      </c>
      <c r="AI18">
        <v>44119</v>
      </c>
      <c r="AJ18">
        <v>20</v>
      </c>
      <c r="AK18">
        <v>380</v>
      </c>
      <c r="BG18" t="s">
        <v>26</v>
      </c>
      <c r="BI18" t="s">
        <v>225</v>
      </c>
      <c r="BK18" t="s">
        <v>31</v>
      </c>
      <c r="BL18" t="s">
        <v>238</v>
      </c>
      <c r="BM18" t="s">
        <v>227</v>
      </c>
      <c r="BN18">
        <v>44183.153197916668</v>
      </c>
      <c r="BR18" t="s">
        <v>228</v>
      </c>
      <c r="BS18">
        <v>4.1203202019631401E+18</v>
      </c>
      <c r="BT18" t="s">
        <v>229</v>
      </c>
      <c r="BV18">
        <v>2020</v>
      </c>
      <c r="BW18" t="s">
        <v>230</v>
      </c>
      <c r="BY18">
        <v>4.1218202019773599E+18</v>
      </c>
      <c r="BZ18" t="s">
        <v>717</v>
      </c>
      <c r="CA18" t="s">
        <v>232</v>
      </c>
    </row>
    <row r="19" spans="1:79" x14ac:dyDescent="0.25">
      <c r="A19" t="s">
        <v>209</v>
      </c>
      <c r="B19" t="s">
        <v>210</v>
      </c>
      <c r="C19">
        <v>2020</v>
      </c>
      <c r="D19" t="s">
        <v>371</v>
      </c>
      <c r="E19">
        <v>2.0201202933741501E+17</v>
      </c>
      <c r="F19" t="s">
        <v>212</v>
      </c>
      <c r="G19" t="s">
        <v>718</v>
      </c>
      <c r="H19">
        <v>1476126</v>
      </c>
      <c r="J19" t="s">
        <v>214</v>
      </c>
      <c r="K19" t="s">
        <v>215</v>
      </c>
      <c r="N19" t="s">
        <v>686</v>
      </c>
      <c r="O19" t="s">
        <v>36</v>
      </c>
      <c r="P19" t="s">
        <v>217</v>
      </c>
      <c r="Q19" t="s">
        <v>28</v>
      </c>
      <c r="R19" t="s">
        <v>687</v>
      </c>
      <c r="S19" t="s">
        <v>27</v>
      </c>
      <c r="T19" t="s">
        <v>688</v>
      </c>
      <c r="V19" t="s">
        <v>614</v>
      </c>
      <c r="X19" t="s">
        <v>613</v>
      </c>
      <c r="Y19" t="s">
        <v>32</v>
      </c>
      <c r="Z19">
        <v>10036</v>
      </c>
      <c r="AA19" t="s">
        <v>222</v>
      </c>
      <c r="AB19" t="s">
        <v>689</v>
      </c>
      <c r="AD19">
        <v>15</v>
      </c>
      <c r="AE19" t="s">
        <v>224</v>
      </c>
      <c r="AI19">
        <v>44135</v>
      </c>
      <c r="AJ19">
        <v>20</v>
      </c>
      <c r="AK19">
        <v>400</v>
      </c>
      <c r="BG19" t="s">
        <v>26</v>
      </c>
      <c r="BI19" t="s">
        <v>225</v>
      </c>
      <c r="BK19" t="s">
        <v>31</v>
      </c>
      <c r="BL19" t="s">
        <v>238</v>
      </c>
      <c r="BM19" t="s">
        <v>227</v>
      </c>
      <c r="BN19">
        <v>44183.153197916668</v>
      </c>
      <c r="BR19" t="s">
        <v>228</v>
      </c>
      <c r="BS19">
        <v>4.1203202019631401E+18</v>
      </c>
      <c r="BT19" t="s">
        <v>229</v>
      </c>
      <c r="BV19">
        <v>2020</v>
      </c>
      <c r="BW19" t="s">
        <v>230</v>
      </c>
      <c r="BY19">
        <v>4.1218202019773599E+18</v>
      </c>
      <c r="BZ19" t="s">
        <v>717</v>
      </c>
      <c r="CA19" t="s">
        <v>232</v>
      </c>
    </row>
    <row r="20" spans="1:79" x14ac:dyDescent="0.25">
      <c r="A20" t="s">
        <v>209</v>
      </c>
      <c r="B20" t="s">
        <v>210</v>
      </c>
      <c r="C20">
        <v>2020</v>
      </c>
      <c r="D20" t="s">
        <v>371</v>
      </c>
      <c r="E20">
        <v>2.0201202933741501E+17</v>
      </c>
      <c r="F20" t="s">
        <v>212</v>
      </c>
      <c r="G20" t="s">
        <v>719</v>
      </c>
      <c r="H20">
        <v>1476126</v>
      </c>
      <c r="J20" t="s">
        <v>214</v>
      </c>
      <c r="K20" t="s">
        <v>215</v>
      </c>
      <c r="N20" t="s">
        <v>686</v>
      </c>
      <c r="O20" t="s">
        <v>36</v>
      </c>
      <c r="P20" t="s">
        <v>217</v>
      </c>
      <c r="Q20" t="s">
        <v>28</v>
      </c>
      <c r="R20" t="s">
        <v>687</v>
      </c>
      <c r="S20" t="s">
        <v>27</v>
      </c>
      <c r="T20" t="s">
        <v>688</v>
      </c>
      <c r="V20" t="s">
        <v>614</v>
      </c>
      <c r="X20" t="s">
        <v>613</v>
      </c>
      <c r="Y20" t="s">
        <v>32</v>
      </c>
      <c r="Z20">
        <v>10036</v>
      </c>
      <c r="AA20" t="s">
        <v>222</v>
      </c>
      <c r="AB20" t="s">
        <v>689</v>
      </c>
      <c r="AD20">
        <v>15</v>
      </c>
      <c r="AE20" t="s">
        <v>224</v>
      </c>
      <c r="AI20">
        <v>44150</v>
      </c>
      <c r="AJ20">
        <v>20</v>
      </c>
      <c r="AK20">
        <v>420</v>
      </c>
      <c r="BG20" t="s">
        <v>26</v>
      </c>
      <c r="BI20" t="s">
        <v>225</v>
      </c>
      <c r="BK20" t="s">
        <v>31</v>
      </c>
      <c r="BL20" t="s">
        <v>238</v>
      </c>
      <c r="BM20" t="s">
        <v>227</v>
      </c>
      <c r="BN20">
        <v>44183.153197916668</v>
      </c>
      <c r="BR20" t="s">
        <v>228</v>
      </c>
      <c r="BS20">
        <v>4.1203202019631401E+18</v>
      </c>
      <c r="BT20" t="s">
        <v>229</v>
      </c>
      <c r="BV20">
        <v>2020</v>
      </c>
      <c r="BW20" t="s">
        <v>230</v>
      </c>
      <c r="BY20">
        <v>4.1218202019773599E+18</v>
      </c>
      <c r="BZ20" t="s">
        <v>720</v>
      </c>
      <c r="CA20" t="s">
        <v>232</v>
      </c>
    </row>
    <row r="21" spans="1:79" x14ac:dyDescent="0.25">
      <c r="A21" t="s">
        <v>209</v>
      </c>
      <c r="B21" t="s">
        <v>210</v>
      </c>
      <c r="C21">
        <v>2020</v>
      </c>
      <c r="D21" t="s">
        <v>252</v>
      </c>
      <c r="E21">
        <v>2.0200720926010598E+17</v>
      </c>
      <c r="F21" t="s">
        <v>212</v>
      </c>
      <c r="G21" t="s">
        <v>721</v>
      </c>
      <c r="H21">
        <v>1427301</v>
      </c>
      <c r="J21" t="s">
        <v>214</v>
      </c>
      <c r="K21" t="s">
        <v>215</v>
      </c>
      <c r="N21" t="s">
        <v>686</v>
      </c>
      <c r="O21" t="s">
        <v>36</v>
      </c>
      <c r="P21" t="s">
        <v>217</v>
      </c>
      <c r="Q21" t="s">
        <v>28</v>
      </c>
      <c r="R21" t="s">
        <v>687</v>
      </c>
      <c r="S21" t="s">
        <v>27</v>
      </c>
      <c r="T21" t="s">
        <v>688</v>
      </c>
      <c r="V21" t="s">
        <v>614</v>
      </c>
      <c r="X21" t="s">
        <v>613</v>
      </c>
      <c r="Y21" t="s">
        <v>32</v>
      </c>
      <c r="Z21">
        <v>10036</v>
      </c>
      <c r="AA21" t="s">
        <v>222</v>
      </c>
      <c r="AB21" t="s">
        <v>689</v>
      </c>
      <c r="AD21">
        <v>15</v>
      </c>
      <c r="AE21" t="s">
        <v>224</v>
      </c>
      <c r="AI21">
        <v>43997</v>
      </c>
      <c r="AJ21">
        <v>20</v>
      </c>
      <c r="AK21">
        <v>220</v>
      </c>
      <c r="BG21" t="s">
        <v>26</v>
      </c>
      <c r="BI21" t="s">
        <v>225</v>
      </c>
      <c r="BK21" t="s">
        <v>31</v>
      </c>
      <c r="BL21" t="s">
        <v>238</v>
      </c>
      <c r="BM21" t="s">
        <v>227</v>
      </c>
      <c r="BN21">
        <v>44043.159349768517</v>
      </c>
      <c r="BR21" t="s">
        <v>228</v>
      </c>
      <c r="BS21">
        <v>4.0720202017911798E+18</v>
      </c>
      <c r="BT21" t="s">
        <v>229</v>
      </c>
      <c r="BV21">
        <v>2020</v>
      </c>
      <c r="BW21" t="s">
        <v>230</v>
      </c>
      <c r="BY21">
        <v>4.0731202018101898E+18</v>
      </c>
      <c r="BZ21" t="s">
        <v>722</v>
      </c>
      <c r="CA21" t="s">
        <v>232</v>
      </c>
    </row>
    <row r="22" spans="1:79" x14ac:dyDescent="0.25">
      <c r="A22" t="s">
        <v>209</v>
      </c>
      <c r="B22" t="s">
        <v>210</v>
      </c>
      <c r="C22">
        <v>2020</v>
      </c>
      <c r="D22" t="s">
        <v>252</v>
      </c>
      <c r="E22">
        <v>2.0200720926010598E+17</v>
      </c>
      <c r="F22" t="s">
        <v>212</v>
      </c>
      <c r="G22" t="s">
        <v>723</v>
      </c>
      <c r="H22">
        <v>1427301</v>
      </c>
      <c r="J22" t="s">
        <v>214</v>
      </c>
      <c r="K22" t="s">
        <v>215</v>
      </c>
      <c r="N22" t="s">
        <v>686</v>
      </c>
      <c r="O22" t="s">
        <v>36</v>
      </c>
      <c r="P22" t="s">
        <v>217</v>
      </c>
      <c r="Q22" t="s">
        <v>28</v>
      </c>
      <c r="R22" t="s">
        <v>687</v>
      </c>
      <c r="S22" t="s">
        <v>27</v>
      </c>
      <c r="T22" t="s">
        <v>688</v>
      </c>
      <c r="V22" t="s">
        <v>614</v>
      </c>
      <c r="X22" t="s">
        <v>613</v>
      </c>
      <c r="Y22" t="s">
        <v>32</v>
      </c>
      <c r="Z22">
        <v>10036</v>
      </c>
      <c r="AA22" t="s">
        <v>222</v>
      </c>
      <c r="AB22" t="s">
        <v>689</v>
      </c>
      <c r="AD22">
        <v>15</v>
      </c>
      <c r="AE22" t="s">
        <v>224</v>
      </c>
      <c r="AI22">
        <v>44012</v>
      </c>
      <c r="AJ22">
        <v>20</v>
      </c>
      <c r="AK22">
        <v>240</v>
      </c>
      <c r="BG22" t="s">
        <v>26</v>
      </c>
      <c r="BI22" t="s">
        <v>225</v>
      </c>
      <c r="BK22" t="s">
        <v>31</v>
      </c>
      <c r="BL22" t="s">
        <v>238</v>
      </c>
      <c r="BM22" t="s">
        <v>227</v>
      </c>
      <c r="BN22">
        <v>44043.159349768517</v>
      </c>
      <c r="BR22" t="s">
        <v>228</v>
      </c>
      <c r="BS22">
        <v>4.0720202017911798E+18</v>
      </c>
      <c r="BT22" t="s">
        <v>229</v>
      </c>
      <c r="BV22">
        <v>2020</v>
      </c>
      <c r="BW22" t="s">
        <v>230</v>
      </c>
      <c r="BY22">
        <v>4.0731202018101898E+18</v>
      </c>
      <c r="BZ22" t="s">
        <v>722</v>
      </c>
      <c r="CA22" t="s">
        <v>232</v>
      </c>
    </row>
    <row r="23" spans="1:79" x14ac:dyDescent="0.25">
      <c r="A23" t="s">
        <v>209</v>
      </c>
      <c r="B23" t="s">
        <v>210</v>
      </c>
      <c r="C23">
        <v>2020</v>
      </c>
      <c r="D23" t="s">
        <v>389</v>
      </c>
      <c r="E23">
        <v>2.02009179267228E+17</v>
      </c>
      <c r="F23" t="s">
        <v>212</v>
      </c>
      <c r="G23" t="s">
        <v>724</v>
      </c>
      <c r="H23">
        <v>1438708</v>
      </c>
      <c r="J23" t="s">
        <v>214</v>
      </c>
      <c r="K23" t="s">
        <v>215</v>
      </c>
      <c r="N23" t="s">
        <v>686</v>
      </c>
      <c r="O23" t="s">
        <v>36</v>
      </c>
      <c r="P23" t="s">
        <v>217</v>
      </c>
      <c r="Q23" t="s">
        <v>28</v>
      </c>
      <c r="R23" t="s">
        <v>687</v>
      </c>
      <c r="S23" t="s">
        <v>27</v>
      </c>
      <c r="T23" t="s">
        <v>688</v>
      </c>
      <c r="V23" t="s">
        <v>614</v>
      </c>
      <c r="X23" t="s">
        <v>613</v>
      </c>
      <c r="Y23" t="s">
        <v>32</v>
      </c>
      <c r="Z23">
        <v>10036</v>
      </c>
      <c r="AA23" t="s">
        <v>222</v>
      </c>
      <c r="AB23" t="s">
        <v>689</v>
      </c>
      <c r="AD23">
        <v>15</v>
      </c>
      <c r="AE23" t="s">
        <v>224</v>
      </c>
      <c r="AI23">
        <v>44058</v>
      </c>
      <c r="AJ23">
        <v>20</v>
      </c>
      <c r="AK23">
        <v>300</v>
      </c>
      <c r="BG23" t="s">
        <v>26</v>
      </c>
      <c r="BI23" t="s">
        <v>225</v>
      </c>
      <c r="BK23" t="s">
        <v>31</v>
      </c>
      <c r="BL23" t="s">
        <v>238</v>
      </c>
      <c r="BM23" t="s">
        <v>227</v>
      </c>
      <c r="BN23">
        <v>44093.150736620373</v>
      </c>
      <c r="BR23" t="s">
        <v>228</v>
      </c>
      <c r="BS23">
        <v>4.0918202018489201E+18</v>
      </c>
      <c r="BT23" t="s">
        <v>229</v>
      </c>
      <c r="BV23">
        <v>2020</v>
      </c>
      <c r="BW23" t="s">
        <v>230</v>
      </c>
      <c r="BY23">
        <v>4.0919202018490701E+18</v>
      </c>
      <c r="BZ23" t="s">
        <v>725</v>
      </c>
      <c r="CA23" t="s">
        <v>232</v>
      </c>
    </row>
    <row r="24" spans="1:79" x14ac:dyDescent="0.25">
      <c r="A24" t="s">
        <v>209</v>
      </c>
      <c r="B24" t="s">
        <v>210</v>
      </c>
      <c r="C24">
        <v>2020</v>
      </c>
      <c r="D24" t="s">
        <v>389</v>
      </c>
      <c r="E24">
        <v>2.02009179267228E+17</v>
      </c>
      <c r="F24" t="s">
        <v>212</v>
      </c>
      <c r="G24" t="s">
        <v>726</v>
      </c>
      <c r="H24">
        <v>1438708</v>
      </c>
      <c r="J24" t="s">
        <v>214</v>
      </c>
      <c r="K24" t="s">
        <v>215</v>
      </c>
      <c r="N24" t="s">
        <v>686</v>
      </c>
      <c r="O24" t="s">
        <v>36</v>
      </c>
      <c r="P24" t="s">
        <v>217</v>
      </c>
      <c r="Q24" t="s">
        <v>28</v>
      </c>
      <c r="R24" t="s">
        <v>687</v>
      </c>
      <c r="S24" t="s">
        <v>27</v>
      </c>
      <c r="T24" t="s">
        <v>688</v>
      </c>
      <c r="V24" t="s">
        <v>614</v>
      </c>
      <c r="X24" t="s">
        <v>613</v>
      </c>
      <c r="Y24" t="s">
        <v>32</v>
      </c>
      <c r="Z24">
        <v>10036</v>
      </c>
      <c r="AA24" t="s">
        <v>222</v>
      </c>
      <c r="AB24" t="s">
        <v>689</v>
      </c>
      <c r="AD24">
        <v>15</v>
      </c>
      <c r="AE24" t="s">
        <v>224</v>
      </c>
      <c r="AI24">
        <v>44074</v>
      </c>
      <c r="AJ24">
        <v>20</v>
      </c>
      <c r="AK24">
        <v>320</v>
      </c>
      <c r="BG24" t="s">
        <v>26</v>
      </c>
      <c r="BI24" t="s">
        <v>225</v>
      </c>
      <c r="BK24" t="s">
        <v>31</v>
      </c>
      <c r="BL24" t="s">
        <v>238</v>
      </c>
      <c r="BM24" t="s">
        <v>227</v>
      </c>
      <c r="BN24">
        <v>44093.150736620373</v>
      </c>
      <c r="BR24" t="s">
        <v>228</v>
      </c>
      <c r="BS24">
        <v>4.0918202018489201E+18</v>
      </c>
      <c r="BT24" t="s">
        <v>229</v>
      </c>
      <c r="BV24">
        <v>2020</v>
      </c>
      <c r="BW24" t="s">
        <v>230</v>
      </c>
      <c r="BY24">
        <v>4.0919202018490701E+18</v>
      </c>
      <c r="BZ24" t="s">
        <v>725</v>
      </c>
      <c r="CA24" t="s">
        <v>232</v>
      </c>
    </row>
    <row r="25" spans="1:79" x14ac:dyDescent="0.25">
      <c r="A25" t="s">
        <v>209</v>
      </c>
      <c r="B25" t="s">
        <v>210</v>
      </c>
      <c r="C25">
        <v>2020</v>
      </c>
      <c r="D25" t="s">
        <v>290</v>
      </c>
      <c r="E25">
        <v>2.0201016929694598E+17</v>
      </c>
      <c r="F25" t="s">
        <v>212</v>
      </c>
      <c r="G25" t="s">
        <v>727</v>
      </c>
      <c r="H25">
        <v>1453323</v>
      </c>
      <c r="J25" t="s">
        <v>214</v>
      </c>
      <c r="K25" t="s">
        <v>215</v>
      </c>
      <c r="N25" t="s">
        <v>686</v>
      </c>
      <c r="O25" t="s">
        <v>36</v>
      </c>
      <c r="P25" t="s">
        <v>217</v>
      </c>
      <c r="Q25" t="s">
        <v>28</v>
      </c>
      <c r="R25" t="s">
        <v>687</v>
      </c>
      <c r="S25" t="s">
        <v>27</v>
      </c>
      <c r="T25" t="s">
        <v>688</v>
      </c>
      <c r="V25" t="s">
        <v>614</v>
      </c>
      <c r="X25" t="s">
        <v>613</v>
      </c>
      <c r="Y25" t="s">
        <v>32</v>
      </c>
      <c r="Z25">
        <v>10036</v>
      </c>
      <c r="AA25" t="s">
        <v>222</v>
      </c>
      <c r="AB25" t="s">
        <v>689</v>
      </c>
      <c r="AD25">
        <v>15</v>
      </c>
      <c r="AE25" t="s">
        <v>224</v>
      </c>
      <c r="AI25">
        <v>44089</v>
      </c>
      <c r="AJ25">
        <v>20</v>
      </c>
      <c r="AK25">
        <v>340</v>
      </c>
      <c r="BG25" t="s">
        <v>26</v>
      </c>
      <c r="BI25" t="s">
        <v>225</v>
      </c>
      <c r="BK25" t="s">
        <v>31</v>
      </c>
      <c r="BL25" t="s">
        <v>238</v>
      </c>
      <c r="BM25" t="s">
        <v>227</v>
      </c>
      <c r="BN25">
        <v>44156.161213680556</v>
      </c>
      <c r="BR25" t="s">
        <v>228</v>
      </c>
      <c r="BS25">
        <v>4.10162020185858E+18</v>
      </c>
      <c r="BT25" t="s">
        <v>229</v>
      </c>
      <c r="BV25">
        <v>2020</v>
      </c>
      <c r="BW25" t="s">
        <v>230</v>
      </c>
      <c r="BY25">
        <v>4.1121202019599201E+18</v>
      </c>
      <c r="BZ25" t="s">
        <v>728</v>
      </c>
      <c r="CA25" t="s">
        <v>232</v>
      </c>
    </row>
    <row r="26" spans="1:79" x14ac:dyDescent="0.25">
      <c r="A26" t="s">
        <v>209</v>
      </c>
      <c r="B26" t="s">
        <v>210</v>
      </c>
      <c r="C26">
        <v>2020</v>
      </c>
      <c r="D26" t="s">
        <v>290</v>
      </c>
      <c r="E26">
        <v>2.0201016929694598E+17</v>
      </c>
      <c r="F26" t="s">
        <v>212</v>
      </c>
      <c r="G26" t="s">
        <v>729</v>
      </c>
      <c r="H26">
        <v>1453323</v>
      </c>
      <c r="J26" t="s">
        <v>214</v>
      </c>
      <c r="K26" t="s">
        <v>215</v>
      </c>
      <c r="N26" t="s">
        <v>686</v>
      </c>
      <c r="O26" t="s">
        <v>36</v>
      </c>
      <c r="P26" t="s">
        <v>217</v>
      </c>
      <c r="Q26" t="s">
        <v>28</v>
      </c>
      <c r="R26" t="s">
        <v>687</v>
      </c>
      <c r="S26" t="s">
        <v>27</v>
      </c>
      <c r="T26" t="s">
        <v>688</v>
      </c>
      <c r="V26" t="s">
        <v>614</v>
      </c>
      <c r="X26" t="s">
        <v>613</v>
      </c>
      <c r="Y26" t="s">
        <v>32</v>
      </c>
      <c r="Z26">
        <v>10036</v>
      </c>
      <c r="AA26" t="s">
        <v>222</v>
      </c>
      <c r="AB26" t="s">
        <v>689</v>
      </c>
      <c r="AD26">
        <v>15</v>
      </c>
      <c r="AE26" t="s">
        <v>224</v>
      </c>
      <c r="AI26">
        <v>44104</v>
      </c>
      <c r="AJ26">
        <v>20</v>
      </c>
      <c r="AK26">
        <v>360</v>
      </c>
      <c r="BG26" t="s">
        <v>26</v>
      </c>
      <c r="BI26" t="s">
        <v>225</v>
      </c>
      <c r="BK26" t="s">
        <v>31</v>
      </c>
      <c r="BL26" t="s">
        <v>238</v>
      </c>
      <c r="BM26" t="s">
        <v>227</v>
      </c>
      <c r="BN26">
        <v>44156.161213680556</v>
      </c>
      <c r="BR26" t="s">
        <v>228</v>
      </c>
      <c r="BS26">
        <v>4.10162020185858E+18</v>
      </c>
      <c r="BT26" t="s">
        <v>229</v>
      </c>
      <c r="BV26">
        <v>2020</v>
      </c>
      <c r="BW26" t="s">
        <v>230</v>
      </c>
      <c r="BY26">
        <v>4.1121202019599201E+18</v>
      </c>
      <c r="BZ26" t="s">
        <v>728</v>
      </c>
      <c r="CA26" t="s">
        <v>232</v>
      </c>
    </row>
    <row r="27" spans="1:79" x14ac:dyDescent="0.25">
      <c r="A27" t="s">
        <v>209</v>
      </c>
      <c r="B27" t="s">
        <v>210</v>
      </c>
      <c r="C27">
        <v>2020</v>
      </c>
      <c r="D27" t="s">
        <v>508</v>
      </c>
      <c r="E27">
        <v>2.0210125940539398E+17</v>
      </c>
      <c r="F27" t="s">
        <v>212</v>
      </c>
      <c r="G27" t="s">
        <v>730</v>
      </c>
      <c r="H27">
        <v>1490358</v>
      </c>
      <c r="J27" t="s">
        <v>214</v>
      </c>
      <c r="K27" t="s">
        <v>215</v>
      </c>
      <c r="N27" t="s">
        <v>686</v>
      </c>
      <c r="O27" t="s">
        <v>36</v>
      </c>
      <c r="P27" t="s">
        <v>217</v>
      </c>
      <c r="Q27" t="s">
        <v>28</v>
      </c>
      <c r="R27" t="s">
        <v>687</v>
      </c>
      <c r="S27" t="s">
        <v>27</v>
      </c>
      <c r="T27" t="s">
        <v>688</v>
      </c>
      <c r="V27" t="s">
        <v>614</v>
      </c>
      <c r="X27" t="s">
        <v>613</v>
      </c>
      <c r="Y27" t="s">
        <v>32</v>
      </c>
      <c r="Z27">
        <v>10036</v>
      </c>
      <c r="AA27" t="s">
        <v>222</v>
      </c>
      <c r="AB27" t="s">
        <v>689</v>
      </c>
      <c r="AD27">
        <v>15</v>
      </c>
      <c r="AE27" t="s">
        <v>224</v>
      </c>
      <c r="AI27">
        <v>44165</v>
      </c>
      <c r="AJ27">
        <v>20</v>
      </c>
      <c r="AK27">
        <v>440</v>
      </c>
      <c r="BG27" t="s">
        <v>26</v>
      </c>
      <c r="BI27" t="s">
        <v>225</v>
      </c>
      <c r="BK27" t="s">
        <v>31</v>
      </c>
      <c r="BL27" t="s">
        <v>238</v>
      </c>
      <c r="BM27" t="s">
        <v>227</v>
      </c>
      <c r="BN27">
        <v>44223.150519849536</v>
      </c>
      <c r="BR27" t="s">
        <v>228</v>
      </c>
      <c r="BS27">
        <v>4.0125202121377597E+18</v>
      </c>
      <c r="BT27" t="s">
        <v>229</v>
      </c>
      <c r="BV27">
        <v>2020</v>
      </c>
      <c r="BW27" t="s">
        <v>230</v>
      </c>
      <c r="BY27">
        <v>4.01272021213811E+18</v>
      </c>
      <c r="BZ27" t="s">
        <v>731</v>
      </c>
      <c r="CA27" t="s">
        <v>232</v>
      </c>
    </row>
    <row r="28" spans="1:79" x14ac:dyDescent="0.25">
      <c r="A28" t="s">
        <v>209</v>
      </c>
      <c r="B28" t="s">
        <v>210</v>
      </c>
      <c r="C28">
        <v>2020</v>
      </c>
      <c r="D28" t="s">
        <v>508</v>
      </c>
      <c r="E28">
        <v>2.0210125940539398E+17</v>
      </c>
      <c r="F28" t="s">
        <v>212</v>
      </c>
      <c r="G28" t="s">
        <v>732</v>
      </c>
      <c r="H28">
        <v>1490358</v>
      </c>
      <c r="J28" t="s">
        <v>214</v>
      </c>
      <c r="K28" t="s">
        <v>215</v>
      </c>
      <c r="N28" t="s">
        <v>686</v>
      </c>
      <c r="O28" t="s">
        <v>36</v>
      </c>
      <c r="P28" t="s">
        <v>217</v>
      </c>
      <c r="Q28" t="s">
        <v>28</v>
      </c>
      <c r="R28" t="s">
        <v>687</v>
      </c>
      <c r="S28" t="s">
        <v>27</v>
      </c>
      <c r="T28" t="s">
        <v>688</v>
      </c>
      <c r="V28" t="s">
        <v>614</v>
      </c>
      <c r="X28" t="s">
        <v>613</v>
      </c>
      <c r="Y28" t="s">
        <v>32</v>
      </c>
      <c r="Z28">
        <v>10036</v>
      </c>
      <c r="AA28" t="s">
        <v>222</v>
      </c>
      <c r="AB28" t="s">
        <v>689</v>
      </c>
      <c r="AD28">
        <v>15</v>
      </c>
      <c r="AE28" t="s">
        <v>224</v>
      </c>
      <c r="AI28">
        <v>44180</v>
      </c>
      <c r="AJ28">
        <v>20</v>
      </c>
      <c r="AK28">
        <v>460</v>
      </c>
      <c r="BG28" t="s">
        <v>26</v>
      </c>
      <c r="BI28" t="s">
        <v>225</v>
      </c>
      <c r="BK28" t="s">
        <v>31</v>
      </c>
      <c r="BL28" t="s">
        <v>238</v>
      </c>
      <c r="BM28" t="s">
        <v>227</v>
      </c>
      <c r="BN28">
        <v>44223.150519849536</v>
      </c>
      <c r="BR28" t="s">
        <v>228</v>
      </c>
      <c r="BS28">
        <v>4.0125202121377597E+18</v>
      </c>
      <c r="BT28" t="s">
        <v>229</v>
      </c>
      <c r="BV28">
        <v>2020</v>
      </c>
      <c r="BW28" t="s">
        <v>230</v>
      </c>
      <c r="BY28">
        <v>4.01272021213811E+18</v>
      </c>
      <c r="BZ28" t="s">
        <v>731</v>
      </c>
      <c r="CA28" t="s">
        <v>232</v>
      </c>
    </row>
    <row r="29" spans="1:79" x14ac:dyDescent="0.25">
      <c r="A29" t="s">
        <v>209</v>
      </c>
      <c r="B29" t="s">
        <v>210</v>
      </c>
      <c r="C29">
        <v>2020</v>
      </c>
      <c r="D29" t="s">
        <v>508</v>
      </c>
      <c r="E29">
        <v>2.0210125940539398E+17</v>
      </c>
      <c r="F29" t="s">
        <v>212</v>
      </c>
      <c r="G29" t="s">
        <v>733</v>
      </c>
      <c r="H29">
        <v>1490358</v>
      </c>
      <c r="J29" t="s">
        <v>214</v>
      </c>
      <c r="K29" t="s">
        <v>215</v>
      </c>
      <c r="N29" t="s">
        <v>686</v>
      </c>
      <c r="O29" t="s">
        <v>36</v>
      </c>
      <c r="P29" t="s">
        <v>217</v>
      </c>
      <c r="Q29" t="s">
        <v>28</v>
      </c>
      <c r="R29" t="s">
        <v>687</v>
      </c>
      <c r="S29" t="s">
        <v>27</v>
      </c>
      <c r="T29" t="s">
        <v>688</v>
      </c>
      <c r="V29" t="s">
        <v>614</v>
      </c>
      <c r="X29" t="s">
        <v>613</v>
      </c>
      <c r="Y29" t="s">
        <v>32</v>
      </c>
      <c r="Z29">
        <v>10036</v>
      </c>
      <c r="AA29" t="s">
        <v>222</v>
      </c>
      <c r="AB29" t="s">
        <v>689</v>
      </c>
      <c r="AD29">
        <v>15</v>
      </c>
      <c r="AE29" t="s">
        <v>224</v>
      </c>
      <c r="AI29">
        <v>44196</v>
      </c>
      <c r="AJ29">
        <v>20</v>
      </c>
      <c r="AK29">
        <v>480</v>
      </c>
      <c r="BG29" t="s">
        <v>26</v>
      </c>
      <c r="BI29" t="s">
        <v>225</v>
      </c>
      <c r="BK29" t="s">
        <v>31</v>
      </c>
      <c r="BL29" t="s">
        <v>238</v>
      </c>
      <c r="BM29" t="s">
        <v>227</v>
      </c>
      <c r="BN29">
        <v>44223.150519849536</v>
      </c>
      <c r="BR29" t="s">
        <v>228</v>
      </c>
      <c r="BS29">
        <v>4.0125202121377597E+18</v>
      </c>
      <c r="BT29" t="s">
        <v>229</v>
      </c>
      <c r="BV29">
        <v>2020</v>
      </c>
      <c r="BW29" t="s">
        <v>230</v>
      </c>
      <c r="BY29">
        <v>4.01272021213811E+18</v>
      </c>
      <c r="BZ29" t="s">
        <v>731</v>
      </c>
      <c r="CA29" t="s">
        <v>232</v>
      </c>
    </row>
    <row r="34" spans="1:2" x14ac:dyDescent="0.25">
      <c r="A34" s="20" t="s">
        <v>299</v>
      </c>
      <c r="B34" t="s">
        <v>301</v>
      </c>
    </row>
    <row r="35" spans="1:2" x14ac:dyDescent="0.25">
      <c r="A35" s="21" t="s">
        <v>210</v>
      </c>
      <c r="B35" s="2">
        <v>560</v>
      </c>
    </row>
    <row r="36" spans="1:2" x14ac:dyDescent="0.25">
      <c r="A36" s="21" t="s">
        <v>300</v>
      </c>
      <c r="B36" s="2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3"/>
  <sheetViews>
    <sheetView topLeftCell="O28" workbookViewId="0">
      <selection activeCell="V43" sqref="V43"/>
    </sheetView>
  </sheetViews>
  <sheetFormatPr defaultRowHeight="12.75" x14ac:dyDescent="0.2"/>
  <cols>
    <col min="1" max="1" width="44.140625" style="26" bestFit="1" customWidth="1"/>
    <col min="2" max="2" width="34.5703125" style="26" bestFit="1" customWidth="1"/>
    <col min="3" max="16384" width="9.140625" style="26"/>
  </cols>
  <sheetData>
    <row r="1" spans="1:79" x14ac:dyDescent="0.2">
      <c r="A1" s="26" t="s">
        <v>131</v>
      </c>
      <c r="B1" s="26" t="s">
        <v>132</v>
      </c>
      <c r="C1" s="26" t="s">
        <v>133</v>
      </c>
      <c r="D1" s="26" t="s">
        <v>134</v>
      </c>
      <c r="E1" s="26" t="s">
        <v>135</v>
      </c>
      <c r="F1" s="26" t="s">
        <v>136</v>
      </c>
      <c r="G1" s="26" t="s">
        <v>137</v>
      </c>
      <c r="H1" s="26" t="s">
        <v>138</v>
      </c>
      <c r="I1" s="26" t="s">
        <v>132</v>
      </c>
      <c r="J1" s="26" t="s">
        <v>139</v>
      </c>
      <c r="K1" s="26" t="s">
        <v>140</v>
      </c>
      <c r="L1" s="26" t="s">
        <v>141</v>
      </c>
      <c r="M1" s="26" t="s">
        <v>142</v>
      </c>
      <c r="N1" s="26" t="s">
        <v>143</v>
      </c>
      <c r="O1" s="26" t="s">
        <v>144</v>
      </c>
      <c r="P1" s="26" t="s">
        <v>145</v>
      </c>
      <c r="Q1" s="26" t="s">
        <v>146</v>
      </c>
      <c r="R1" s="26" t="s">
        <v>147</v>
      </c>
      <c r="S1" s="26" t="s">
        <v>148</v>
      </c>
      <c r="T1" s="26" t="s">
        <v>149</v>
      </c>
      <c r="U1" s="26" t="s">
        <v>150</v>
      </c>
      <c r="V1" s="26" t="s">
        <v>151</v>
      </c>
      <c r="W1" s="26" t="s">
        <v>152</v>
      </c>
      <c r="X1" s="26" t="s">
        <v>153</v>
      </c>
      <c r="Y1" s="26" t="s">
        <v>154</v>
      </c>
      <c r="Z1" s="26" t="s">
        <v>155</v>
      </c>
      <c r="AA1" s="26" t="s">
        <v>156</v>
      </c>
      <c r="AB1" s="26" t="s">
        <v>157</v>
      </c>
      <c r="AC1" s="26" t="s">
        <v>158</v>
      </c>
      <c r="AD1" s="26" t="s">
        <v>159</v>
      </c>
      <c r="AE1" s="26" t="s">
        <v>160</v>
      </c>
      <c r="AF1" s="26" t="s">
        <v>161</v>
      </c>
      <c r="AG1" s="26" t="s">
        <v>162</v>
      </c>
      <c r="AH1" s="26" t="s">
        <v>163</v>
      </c>
      <c r="AI1" s="26" t="s">
        <v>164</v>
      </c>
      <c r="AJ1" s="26" t="s">
        <v>165</v>
      </c>
      <c r="AK1" s="26" t="s">
        <v>166</v>
      </c>
      <c r="AL1" s="26" t="s">
        <v>167</v>
      </c>
      <c r="AM1" s="26" t="s">
        <v>168</v>
      </c>
      <c r="AN1" s="26" t="s">
        <v>169</v>
      </c>
      <c r="AO1" s="26" t="s">
        <v>170</v>
      </c>
      <c r="AP1" s="26" t="s">
        <v>171</v>
      </c>
      <c r="AQ1" s="26" t="s">
        <v>172</v>
      </c>
      <c r="AR1" s="26" t="s">
        <v>173</v>
      </c>
      <c r="AS1" s="26" t="s">
        <v>174</v>
      </c>
      <c r="AT1" s="26" t="s">
        <v>175</v>
      </c>
      <c r="AU1" s="26" t="s">
        <v>176</v>
      </c>
      <c r="AV1" s="26" t="s">
        <v>177</v>
      </c>
      <c r="AW1" s="26" t="s">
        <v>178</v>
      </c>
      <c r="AX1" s="26" t="s">
        <v>179</v>
      </c>
      <c r="AY1" s="26" t="s">
        <v>180</v>
      </c>
      <c r="AZ1" s="26" t="s">
        <v>181</v>
      </c>
      <c r="BA1" s="26" t="s">
        <v>182</v>
      </c>
      <c r="BB1" s="26" t="s">
        <v>183</v>
      </c>
      <c r="BC1" s="26" t="s">
        <v>184</v>
      </c>
      <c r="BD1" s="26" t="s">
        <v>185</v>
      </c>
      <c r="BE1" s="26" t="s">
        <v>186</v>
      </c>
      <c r="BF1" s="26" t="s">
        <v>187</v>
      </c>
      <c r="BG1" s="26" t="s">
        <v>188</v>
      </c>
      <c r="BH1" s="26" t="s">
        <v>189</v>
      </c>
      <c r="BI1" s="26" t="s">
        <v>190</v>
      </c>
      <c r="BJ1" s="26" t="s">
        <v>191</v>
      </c>
      <c r="BK1" s="26" t="s">
        <v>192</v>
      </c>
      <c r="BL1" s="26" t="s">
        <v>193</v>
      </c>
      <c r="BM1" s="26" t="s">
        <v>194</v>
      </c>
      <c r="BN1" s="26" t="s">
        <v>195</v>
      </c>
      <c r="BO1" s="26" t="s">
        <v>196</v>
      </c>
      <c r="BP1" s="26" t="s">
        <v>197</v>
      </c>
      <c r="BQ1" s="26" t="s">
        <v>198</v>
      </c>
      <c r="BR1" s="26" t="s">
        <v>199</v>
      </c>
      <c r="BS1" s="26" t="s">
        <v>200</v>
      </c>
      <c r="BT1" s="26" t="s">
        <v>201</v>
      </c>
      <c r="BU1" s="26" t="s">
        <v>202</v>
      </c>
      <c r="BV1" s="26" t="s">
        <v>203</v>
      </c>
      <c r="BW1" s="26" t="s">
        <v>204</v>
      </c>
      <c r="BX1" s="26" t="s">
        <v>205</v>
      </c>
      <c r="BY1" s="26" t="s">
        <v>206</v>
      </c>
      <c r="BZ1" s="26" t="s">
        <v>207</v>
      </c>
      <c r="CA1" s="26" t="s">
        <v>208</v>
      </c>
    </row>
    <row r="2" spans="1:79" x14ac:dyDescent="0.2">
      <c r="A2" s="26" t="s">
        <v>209</v>
      </c>
      <c r="B2" s="26" t="s">
        <v>210</v>
      </c>
      <c r="C2" s="26">
        <v>2019</v>
      </c>
      <c r="D2" s="26" t="s">
        <v>563</v>
      </c>
      <c r="E2" s="26">
        <v>2.0190412914610301E+17</v>
      </c>
      <c r="F2" s="26" t="s">
        <v>212</v>
      </c>
      <c r="G2" s="26" t="s">
        <v>683</v>
      </c>
      <c r="H2" s="26">
        <v>1324297</v>
      </c>
      <c r="J2" s="26" t="s">
        <v>214</v>
      </c>
      <c r="K2" s="26" t="s">
        <v>215</v>
      </c>
      <c r="N2" s="26" t="s">
        <v>617</v>
      </c>
      <c r="O2" s="26" t="s">
        <v>36</v>
      </c>
      <c r="P2" s="26" t="s">
        <v>217</v>
      </c>
      <c r="Q2" s="26" t="s">
        <v>28</v>
      </c>
      <c r="R2" s="26" t="s">
        <v>616</v>
      </c>
      <c r="T2" s="26" t="s">
        <v>615</v>
      </c>
      <c r="V2" s="26" t="s">
        <v>614</v>
      </c>
      <c r="X2" s="26" t="s">
        <v>613</v>
      </c>
      <c r="Y2" s="26" t="s">
        <v>32</v>
      </c>
      <c r="Z2" s="26">
        <v>10036</v>
      </c>
      <c r="AA2" s="26" t="s">
        <v>222</v>
      </c>
      <c r="AB2" s="26" t="s">
        <v>658</v>
      </c>
      <c r="AD2" s="26">
        <v>15</v>
      </c>
      <c r="AE2" s="26" t="s">
        <v>224</v>
      </c>
      <c r="AI2" s="31">
        <v>43539</v>
      </c>
      <c r="AJ2" s="26">
        <v>50</v>
      </c>
      <c r="AK2" s="26">
        <v>250</v>
      </c>
      <c r="BG2" s="26" t="s">
        <v>26</v>
      </c>
      <c r="BI2" s="26" t="s">
        <v>225</v>
      </c>
      <c r="BK2" s="26" t="s">
        <v>31</v>
      </c>
      <c r="BL2" s="26" t="s">
        <v>238</v>
      </c>
      <c r="BM2" s="26" t="s">
        <v>227</v>
      </c>
      <c r="BN2" s="30">
        <v>43568.111248946756</v>
      </c>
      <c r="BR2" s="26" t="s">
        <v>228</v>
      </c>
      <c r="BS2" s="26">
        <v>4.0412201916462198E+18</v>
      </c>
      <c r="BT2" s="26" t="s">
        <v>229</v>
      </c>
      <c r="BV2" s="26">
        <v>2020</v>
      </c>
      <c r="BW2" s="26" t="s">
        <v>230</v>
      </c>
      <c r="BY2" s="26">
        <v>4.0412201916462602E+18</v>
      </c>
      <c r="BZ2" s="26" t="s">
        <v>682</v>
      </c>
      <c r="CA2" s="26" t="s">
        <v>232</v>
      </c>
    </row>
    <row r="3" spans="1:79" x14ac:dyDescent="0.2">
      <c r="A3" s="26" t="s">
        <v>209</v>
      </c>
      <c r="B3" s="26" t="s">
        <v>210</v>
      </c>
      <c r="C3" s="26">
        <v>2019</v>
      </c>
      <c r="D3" s="26" t="s">
        <v>563</v>
      </c>
      <c r="E3" s="26">
        <v>2.0190412914610301E+17</v>
      </c>
      <c r="F3" s="26" t="s">
        <v>212</v>
      </c>
      <c r="G3" s="26" t="s">
        <v>681</v>
      </c>
      <c r="H3" s="26">
        <v>1324297</v>
      </c>
      <c r="J3" s="26" t="s">
        <v>214</v>
      </c>
      <c r="K3" s="26" t="s">
        <v>215</v>
      </c>
      <c r="N3" s="26" t="s">
        <v>617</v>
      </c>
      <c r="O3" s="26" t="s">
        <v>36</v>
      </c>
      <c r="P3" s="26" t="s">
        <v>217</v>
      </c>
      <c r="Q3" s="26" t="s">
        <v>28</v>
      </c>
      <c r="R3" s="26" t="s">
        <v>616</v>
      </c>
      <c r="T3" s="26" t="s">
        <v>615</v>
      </c>
      <c r="V3" s="26" t="s">
        <v>614</v>
      </c>
      <c r="X3" s="26" t="s">
        <v>613</v>
      </c>
      <c r="Y3" s="26" t="s">
        <v>32</v>
      </c>
      <c r="Z3" s="26">
        <v>10036</v>
      </c>
      <c r="AA3" s="26" t="s">
        <v>222</v>
      </c>
      <c r="AB3" s="26" t="s">
        <v>658</v>
      </c>
      <c r="AD3" s="26">
        <v>15</v>
      </c>
      <c r="AE3" s="26" t="s">
        <v>224</v>
      </c>
      <c r="AI3" s="31">
        <v>43555</v>
      </c>
      <c r="AJ3" s="26">
        <v>50</v>
      </c>
      <c r="AK3" s="26">
        <v>300</v>
      </c>
      <c r="BG3" s="26" t="s">
        <v>26</v>
      </c>
      <c r="BI3" s="26" t="s">
        <v>225</v>
      </c>
      <c r="BK3" s="26" t="s">
        <v>31</v>
      </c>
      <c r="BL3" s="26" t="s">
        <v>238</v>
      </c>
      <c r="BM3" s="26" t="s">
        <v>227</v>
      </c>
      <c r="BN3" s="30">
        <v>43568.111248946756</v>
      </c>
      <c r="BR3" s="26" t="s">
        <v>228</v>
      </c>
      <c r="BS3" s="26">
        <v>4.0412201916462198E+18</v>
      </c>
      <c r="BT3" s="26" t="s">
        <v>229</v>
      </c>
      <c r="BV3" s="26">
        <v>2020</v>
      </c>
      <c r="BW3" s="26" t="s">
        <v>230</v>
      </c>
      <c r="BY3" s="26">
        <v>4.0412201916462602E+18</v>
      </c>
      <c r="BZ3" s="26" t="s">
        <v>680</v>
      </c>
      <c r="CA3" s="26" t="s">
        <v>232</v>
      </c>
    </row>
    <row r="4" spans="1:79" x14ac:dyDescent="0.2">
      <c r="A4" s="26" t="s">
        <v>209</v>
      </c>
      <c r="B4" s="26" t="s">
        <v>210</v>
      </c>
      <c r="C4" s="26">
        <v>2019</v>
      </c>
      <c r="D4" s="26" t="s">
        <v>557</v>
      </c>
      <c r="E4" s="26">
        <v>2.0190514914969501E+17</v>
      </c>
      <c r="F4" s="26" t="s">
        <v>212</v>
      </c>
      <c r="G4" s="26" t="s">
        <v>679</v>
      </c>
      <c r="H4" s="26">
        <v>1330608</v>
      </c>
      <c r="J4" s="26" t="s">
        <v>214</v>
      </c>
      <c r="K4" s="26" t="s">
        <v>215</v>
      </c>
      <c r="N4" s="26" t="s">
        <v>617</v>
      </c>
      <c r="O4" s="26" t="s">
        <v>36</v>
      </c>
      <c r="P4" s="26" t="s">
        <v>217</v>
      </c>
      <c r="Q4" s="26" t="s">
        <v>28</v>
      </c>
      <c r="R4" s="26" t="s">
        <v>616</v>
      </c>
      <c r="T4" s="26" t="s">
        <v>615</v>
      </c>
      <c r="V4" s="26" t="s">
        <v>614</v>
      </c>
      <c r="X4" s="26" t="s">
        <v>613</v>
      </c>
      <c r="Y4" s="26" t="s">
        <v>32</v>
      </c>
      <c r="Z4" s="26">
        <v>10036</v>
      </c>
      <c r="AA4" s="26" t="s">
        <v>222</v>
      </c>
      <c r="AB4" s="26" t="s">
        <v>658</v>
      </c>
      <c r="AD4" s="26">
        <v>15</v>
      </c>
      <c r="AE4" s="26" t="s">
        <v>224</v>
      </c>
      <c r="AI4" s="31">
        <v>43570</v>
      </c>
      <c r="AJ4" s="26">
        <v>50</v>
      </c>
      <c r="AK4" s="26">
        <v>350</v>
      </c>
      <c r="BG4" s="26" t="s">
        <v>26</v>
      </c>
      <c r="BI4" s="26" t="s">
        <v>225</v>
      </c>
      <c r="BK4" s="26" t="s">
        <v>31</v>
      </c>
      <c r="BL4" s="26" t="s">
        <v>238</v>
      </c>
      <c r="BM4" s="26" t="s">
        <v>227</v>
      </c>
      <c r="BN4" s="30">
        <v>43600.358289016207</v>
      </c>
      <c r="BR4" s="26" t="s">
        <v>228</v>
      </c>
      <c r="BS4" s="26">
        <v>4.0514201916518502E+18</v>
      </c>
      <c r="BT4" s="26" t="s">
        <v>229</v>
      </c>
      <c r="BV4" s="26">
        <v>2020</v>
      </c>
      <c r="BW4" s="26" t="s">
        <v>230</v>
      </c>
      <c r="BY4" s="26">
        <v>4.0514201916567798E+18</v>
      </c>
      <c r="BZ4" s="26" t="s">
        <v>677</v>
      </c>
      <c r="CA4" s="26" t="s">
        <v>232</v>
      </c>
    </row>
    <row r="5" spans="1:79" x14ac:dyDescent="0.2">
      <c r="A5" s="26" t="s">
        <v>209</v>
      </c>
      <c r="B5" s="26" t="s">
        <v>210</v>
      </c>
      <c r="C5" s="26">
        <v>2019</v>
      </c>
      <c r="D5" s="26" t="s">
        <v>557</v>
      </c>
      <c r="E5" s="26">
        <v>2.0190514914969501E+17</v>
      </c>
      <c r="F5" s="26" t="s">
        <v>212</v>
      </c>
      <c r="G5" s="26" t="s">
        <v>678</v>
      </c>
      <c r="H5" s="26">
        <v>1330608</v>
      </c>
      <c r="J5" s="26" t="s">
        <v>214</v>
      </c>
      <c r="K5" s="26" t="s">
        <v>215</v>
      </c>
      <c r="N5" s="26" t="s">
        <v>617</v>
      </c>
      <c r="O5" s="26" t="s">
        <v>36</v>
      </c>
      <c r="P5" s="26" t="s">
        <v>217</v>
      </c>
      <c r="Q5" s="26" t="s">
        <v>28</v>
      </c>
      <c r="R5" s="26" t="s">
        <v>616</v>
      </c>
      <c r="T5" s="26" t="s">
        <v>615</v>
      </c>
      <c r="V5" s="26" t="s">
        <v>614</v>
      </c>
      <c r="X5" s="26" t="s">
        <v>613</v>
      </c>
      <c r="Y5" s="26" t="s">
        <v>32</v>
      </c>
      <c r="Z5" s="26">
        <v>10036</v>
      </c>
      <c r="AA5" s="26" t="s">
        <v>222</v>
      </c>
      <c r="AB5" s="26" t="s">
        <v>658</v>
      </c>
      <c r="AD5" s="26">
        <v>15</v>
      </c>
      <c r="AE5" s="26" t="s">
        <v>224</v>
      </c>
      <c r="AI5" s="31">
        <v>43585</v>
      </c>
      <c r="AJ5" s="26">
        <v>50</v>
      </c>
      <c r="AK5" s="26">
        <v>400</v>
      </c>
      <c r="BG5" s="26" t="s">
        <v>26</v>
      </c>
      <c r="BI5" s="26" t="s">
        <v>225</v>
      </c>
      <c r="BK5" s="26" t="s">
        <v>31</v>
      </c>
      <c r="BL5" s="26" t="s">
        <v>238</v>
      </c>
      <c r="BM5" s="26" t="s">
        <v>227</v>
      </c>
      <c r="BN5" s="30">
        <v>43600.358289016207</v>
      </c>
      <c r="BR5" s="26" t="s">
        <v>228</v>
      </c>
      <c r="BS5" s="26">
        <v>4.0514201916518502E+18</v>
      </c>
      <c r="BT5" s="26" t="s">
        <v>229</v>
      </c>
      <c r="BV5" s="26">
        <v>2020</v>
      </c>
      <c r="BW5" s="26" t="s">
        <v>230</v>
      </c>
      <c r="BY5" s="26">
        <v>4.0514201916567798E+18</v>
      </c>
      <c r="BZ5" s="26" t="s">
        <v>677</v>
      </c>
      <c r="CA5" s="26" t="s">
        <v>232</v>
      </c>
    </row>
    <row r="6" spans="1:79" x14ac:dyDescent="0.2">
      <c r="A6" s="26" t="s">
        <v>209</v>
      </c>
      <c r="B6" s="26" t="s">
        <v>210</v>
      </c>
      <c r="C6" s="26">
        <v>2019</v>
      </c>
      <c r="D6" s="26" t="s">
        <v>274</v>
      </c>
      <c r="E6" s="26">
        <v>2.01908169162884E+17</v>
      </c>
      <c r="F6" s="26" t="s">
        <v>212</v>
      </c>
      <c r="G6" s="26" t="s">
        <v>676</v>
      </c>
      <c r="H6" s="26">
        <v>1348081</v>
      </c>
      <c r="J6" s="26" t="s">
        <v>214</v>
      </c>
      <c r="K6" s="26" t="s">
        <v>215</v>
      </c>
      <c r="N6" s="26" t="s">
        <v>617</v>
      </c>
      <c r="O6" s="26" t="s">
        <v>36</v>
      </c>
      <c r="P6" s="26" t="s">
        <v>217</v>
      </c>
      <c r="Q6" s="26" t="s">
        <v>28</v>
      </c>
      <c r="R6" s="26" t="s">
        <v>616</v>
      </c>
      <c r="T6" s="26" t="s">
        <v>615</v>
      </c>
      <c r="V6" s="26" t="s">
        <v>614</v>
      </c>
      <c r="X6" s="26" t="s">
        <v>613</v>
      </c>
      <c r="Y6" s="26" t="s">
        <v>32</v>
      </c>
      <c r="Z6" s="26">
        <v>10036</v>
      </c>
      <c r="AA6" s="26" t="s">
        <v>222</v>
      </c>
      <c r="AB6" s="26" t="s">
        <v>658</v>
      </c>
      <c r="AD6" s="26">
        <v>15</v>
      </c>
      <c r="AE6" s="26" t="s">
        <v>224</v>
      </c>
      <c r="AI6" s="31">
        <v>43661</v>
      </c>
      <c r="AJ6" s="26">
        <v>50</v>
      </c>
      <c r="AK6" s="26">
        <v>650</v>
      </c>
      <c r="BG6" s="26" t="s">
        <v>26</v>
      </c>
      <c r="BI6" s="26" t="s">
        <v>225</v>
      </c>
      <c r="BK6" s="26" t="s">
        <v>31</v>
      </c>
      <c r="BL6" s="26" t="s">
        <v>238</v>
      </c>
      <c r="BM6" s="26" t="s">
        <v>227</v>
      </c>
      <c r="BN6" s="30">
        <v>43694.110414166666</v>
      </c>
      <c r="BR6" s="26" t="s">
        <v>228</v>
      </c>
      <c r="BS6" s="26">
        <v>4.0816201916633702E+18</v>
      </c>
      <c r="BT6" s="26" t="s">
        <v>229</v>
      </c>
      <c r="BV6" s="26">
        <v>2020</v>
      </c>
      <c r="BW6" s="26" t="s">
        <v>230</v>
      </c>
      <c r="BY6" s="26">
        <v>4.0816201916633902E+18</v>
      </c>
      <c r="BZ6" s="26" t="s">
        <v>675</v>
      </c>
      <c r="CA6" s="26" t="s">
        <v>232</v>
      </c>
    </row>
    <row r="7" spans="1:79" x14ac:dyDescent="0.2">
      <c r="A7" s="26" t="s">
        <v>209</v>
      </c>
      <c r="B7" s="26" t="s">
        <v>210</v>
      </c>
      <c r="C7" s="26">
        <v>2019</v>
      </c>
      <c r="D7" s="26" t="s">
        <v>274</v>
      </c>
      <c r="E7" s="26">
        <v>2.01908169162884E+17</v>
      </c>
      <c r="F7" s="26" t="s">
        <v>212</v>
      </c>
      <c r="G7" s="26" t="s">
        <v>674</v>
      </c>
      <c r="H7" s="26">
        <v>1348081</v>
      </c>
      <c r="J7" s="26" t="s">
        <v>214</v>
      </c>
      <c r="K7" s="26" t="s">
        <v>215</v>
      </c>
      <c r="N7" s="26" t="s">
        <v>617</v>
      </c>
      <c r="O7" s="26" t="s">
        <v>36</v>
      </c>
      <c r="P7" s="26" t="s">
        <v>217</v>
      </c>
      <c r="Q7" s="26" t="s">
        <v>28</v>
      </c>
      <c r="R7" s="26" t="s">
        <v>616</v>
      </c>
      <c r="T7" s="26" t="s">
        <v>615</v>
      </c>
      <c r="V7" s="26" t="s">
        <v>614</v>
      </c>
      <c r="X7" s="26" t="s">
        <v>613</v>
      </c>
      <c r="Y7" s="26" t="s">
        <v>32</v>
      </c>
      <c r="Z7" s="26">
        <v>10036</v>
      </c>
      <c r="AA7" s="26" t="s">
        <v>222</v>
      </c>
      <c r="AB7" s="26" t="s">
        <v>658</v>
      </c>
      <c r="AD7" s="26">
        <v>15</v>
      </c>
      <c r="AE7" s="26" t="s">
        <v>224</v>
      </c>
      <c r="AI7" s="31">
        <v>43677</v>
      </c>
      <c r="AJ7" s="26">
        <v>50</v>
      </c>
      <c r="AK7" s="26">
        <v>700</v>
      </c>
      <c r="BG7" s="26" t="s">
        <v>26</v>
      </c>
      <c r="BI7" s="26" t="s">
        <v>225</v>
      </c>
      <c r="BK7" s="26" t="s">
        <v>31</v>
      </c>
      <c r="BL7" s="26" t="s">
        <v>238</v>
      </c>
      <c r="BM7" s="26" t="s">
        <v>227</v>
      </c>
      <c r="BN7" s="30">
        <v>43694.110414178242</v>
      </c>
      <c r="BR7" s="26" t="s">
        <v>228</v>
      </c>
      <c r="BS7" s="26">
        <v>4.0816201916633702E+18</v>
      </c>
      <c r="BT7" s="26" t="s">
        <v>229</v>
      </c>
      <c r="BV7" s="26">
        <v>2020</v>
      </c>
      <c r="BW7" s="26" t="s">
        <v>230</v>
      </c>
      <c r="BY7" s="26">
        <v>4.0816201916633902E+18</v>
      </c>
      <c r="BZ7" s="26" t="s">
        <v>673</v>
      </c>
      <c r="CA7" s="26" t="s">
        <v>232</v>
      </c>
    </row>
    <row r="8" spans="1:79" x14ac:dyDescent="0.2">
      <c r="A8" s="26" t="s">
        <v>209</v>
      </c>
      <c r="B8" s="26" t="s">
        <v>210</v>
      </c>
      <c r="C8" s="26">
        <v>2019</v>
      </c>
      <c r="D8" s="26" t="s">
        <v>508</v>
      </c>
      <c r="E8" s="26">
        <v>2.0200120916727501E+17</v>
      </c>
      <c r="F8" s="26" t="s">
        <v>212</v>
      </c>
      <c r="G8" s="26" t="s">
        <v>672</v>
      </c>
      <c r="H8" s="26">
        <v>1371432</v>
      </c>
      <c r="J8" s="26" t="s">
        <v>214</v>
      </c>
      <c r="K8" s="26" t="s">
        <v>215</v>
      </c>
      <c r="N8" s="26" t="s">
        <v>617</v>
      </c>
      <c r="O8" s="26" t="s">
        <v>36</v>
      </c>
      <c r="P8" s="26" t="s">
        <v>217</v>
      </c>
      <c r="Q8" s="26" t="s">
        <v>28</v>
      </c>
      <c r="R8" s="26" t="s">
        <v>616</v>
      </c>
      <c r="T8" s="26" t="s">
        <v>615</v>
      </c>
      <c r="V8" s="26" t="s">
        <v>614</v>
      </c>
      <c r="X8" s="26" t="s">
        <v>613</v>
      </c>
      <c r="Y8" s="26" t="s">
        <v>32</v>
      </c>
      <c r="Z8" s="26">
        <v>10036</v>
      </c>
      <c r="AA8" s="26" t="s">
        <v>222</v>
      </c>
      <c r="AB8" s="26" t="s">
        <v>612</v>
      </c>
      <c r="AD8" s="26">
        <v>15</v>
      </c>
      <c r="AE8" s="26" t="s">
        <v>224</v>
      </c>
      <c r="AI8" s="31">
        <v>43814</v>
      </c>
      <c r="AJ8" s="26">
        <v>50</v>
      </c>
      <c r="AK8" s="26">
        <v>1150</v>
      </c>
      <c r="BG8" s="26" t="s">
        <v>26</v>
      </c>
      <c r="BI8" s="26" t="s">
        <v>225</v>
      </c>
      <c r="BK8" s="26" t="s">
        <v>31</v>
      </c>
      <c r="BL8" s="26" t="s">
        <v>238</v>
      </c>
      <c r="BM8" s="26" t="s">
        <v>227</v>
      </c>
      <c r="BN8" s="30">
        <v>43852.067932673614</v>
      </c>
      <c r="BR8" s="26" t="s">
        <v>228</v>
      </c>
      <c r="BS8" s="26">
        <v>4.0120202016853202E+18</v>
      </c>
      <c r="BT8" s="26" t="s">
        <v>229</v>
      </c>
      <c r="BV8" s="26">
        <v>2020</v>
      </c>
      <c r="BW8" s="26" t="s">
        <v>230</v>
      </c>
      <c r="BY8" s="26">
        <v>4.0121202016853601E+18</v>
      </c>
      <c r="BZ8" s="26" t="s">
        <v>670</v>
      </c>
      <c r="CA8" s="26" t="s">
        <v>232</v>
      </c>
    </row>
    <row r="9" spans="1:79" x14ac:dyDescent="0.2">
      <c r="A9" s="26" t="s">
        <v>209</v>
      </c>
      <c r="B9" s="26" t="s">
        <v>210</v>
      </c>
      <c r="C9" s="26">
        <v>2019</v>
      </c>
      <c r="D9" s="26" t="s">
        <v>508</v>
      </c>
      <c r="E9" s="26">
        <v>2.0200120916727501E+17</v>
      </c>
      <c r="F9" s="26" t="s">
        <v>212</v>
      </c>
      <c r="G9" s="26" t="s">
        <v>671</v>
      </c>
      <c r="H9" s="26">
        <v>1371432</v>
      </c>
      <c r="J9" s="26" t="s">
        <v>214</v>
      </c>
      <c r="K9" s="26" t="s">
        <v>215</v>
      </c>
      <c r="N9" s="26" t="s">
        <v>617</v>
      </c>
      <c r="O9" s="26" t="s">
        <v>36</v>
      </c>
      <c r="P9" s="26" t="s">
        <v>217</v>
      </c>
      <c r="Q9" s="26" t="s">
        <v>28</v>
      </c>
      <c r="R9" s="26" t="s">
        <v>616</v>
      </c>
      <c r="T9" s="26" t="s">
        <v>615</v>
      </c>
      <c r="V9" s="26" t="s">
        <v>614</v>
      </c>
      <c r="X9" s="26" t="s">
        <v>613</v>
      </c>
      <c r="Y9" s="26" t="s">
        <v>32</v>
      </c>
      <c r="Z9" s="26">
        <v>10036</v>
      </c>
      <c r="AA9" s="26" t="s">
        <v>222</v>
      </c>
      <c r="AB9" s="26" t="s">
        <v>612</v>
      </c>
      <c r="AD9" s="26">
        <v>15</v>
      </c>
      <c r="AE9" s="26" t="s">
        <v>224</v>
      </c>
      <c r="AI9" s="31">
        <v>43830</v>
      </c>
      <c r="AJ9" s="26">
        <v>50</v>
      </c>
      <c r="AK9" s="26">
        <v>1200</v>
      </c>
      <c r="BG9" s="26" t="s">
        <v>26</v>
      </c>
      <c r="BI9" s="26" t="s">
        <v>225</v>
      </c>
      <c r="BK9" s="26" t="s">
        <v>31</v>
      </c>
      <c r="BL9" s="26" t="s">
        <v>238</v>
      </c>
      <c r="BM9" s="26" t="s">
        <v>227</v>
      </c>
      <c r="BN9" s="30">
        <v>43852.067932673614</v>
      </c>
      <c r="BR9" s="26" t="s">
        <v>228</v>
      </c>
      <c r="BS9" s="26">
        <v>4.0120202016853202E+18</v>
      </c>
      <c r="BT9" s="26" t="s">
        <v>229</v>
      </c>
      <c r="BV9" s="26">
        <v>2020</v>
      </c>
      <c r="BW9" s="26" t="s">
        <v>230</v>
      </c>
      <c r="BY9" s="26">
        <v>4.0121202016853601E+18</v>
      </c>
      <c r="BZ9" s="26" t="s">
        <v>670</v>
      </c>
      <c r="CA9" s="26" t="s">
        <v>232</v>
      </c>
    </row>
    <row r="10" spans="1:79" x14ac:dyDescent="0.2">
      <c r="A10" s="26" t="s">
        <v>209</v>
      </c>
      <c r="B10" s="26" t="s">
        <v>210</v>
      </c>
      <c r="C10" s="26">
        <v>2019</v>
      </c>
      <c r="D10" s="26" t="s">
        <v>211</v>
      </c>
      <c r="E10" s="26">
        <v>2.0190802916135002E+17</v>
      </c>
      <c r="F10" s="26" t="s">
        <v>212</v>
      </c>
      <c r="G10" s="26" t="s">
        <v>669</v>
      </c>
      <c r="H10" s="26">
        <v>1346683</v>
      </c>
      <c r="J10" s="26" t="s">
        <v>214</v>
      </c>
      <c r="K10" s="26" t="s">
        <v>215</v>
      </c>
      <c r="N10" s="26" t="s">
        <v>617</v>
      </c>
      <c r="O10" s="26" t="s">
        <v>36</v>
      </c>
      <c r="P10" s="26" t="s">
        <v>217</v>
      </c>
      <c r="Q10" s="26" t="s">
        <v>28</v>
      </c>
      <c r="R10" s="26" t="s">
        <v>616</v>
      </c>
      <c r="T10" s="26" t="s">
        <v>615</v>
      </c>
      <c r="V10" s="26" t="s">
        <v>614</v>
      </c>
      <c r="X10" s="26" t="s">
        <v>613</v>
      </c>
      <c r="Y10" s="26" t="s">
        <v>32</v>
      </c>
      <c r="Z10" s="26">
        <v>10036</v>
      </c>
      <c r="AA10" s="26" t="s">
        <v>222</v>
      </c>
      <c r="AB10" s="26" t="s">
        <v>658</v>
      </c>
      <c r="AD10" s="26">
        <v>15</v>
      </c>
      <c r="AE10" s="26" t="s">
        <v>224</v>
      </c>
      <c r="AI10" s="31">
        <v>43600</v>
      </c>
      <c r="AJ10" s="26">
        <v>50</v>
      </c>
      <c r="AK10" s="26">
        <v>450</v>
      </c>
      <c r="BG10" s="26" t="s">
        <v>26</v>
      </c>
      <c r="BI10" s="26" t="s">
        <v>225</v>
      </c>
      <c r="BK10" s="26" t="s">
        <v>0</v>
      </c>
      <c r="BL10" s="26" t="s">
        <v>226</v>
      </c>
      <c r="BM10" s="26" t="s">
        <v>227</v>
      </c>
      <c r="BN10" s="30">
        <v>43680.112617673614</v>
      </c>
      <c r="BR10" s="26" t="s">
        <v>228</v>
      </c>
      <c r="BS10" s="26">
        <v>4.0802201916626898E+18</v>
      </c>
      <c r="BT10" s="26" t="s">
        <v>229</v>
      </c>
      <c r="BV10" s="26">
        <v>2020</v>
      </c>
      <c r="BW10" s="26" t="s">
        <v>230</v>
      </c>
      <c r="BY10" s="26">
        <v>4.0802201916628797E+18</v>
      </c>
      <c r="BZ10" s="26" t="s">
        <v>667</v>
      </c>
      <c r="CA10" s="26" t="s">
        <v>232</v>
      </c>
    </row>
    <row r="11" spans="1:79" x14ac:dyDescent="0.2">
      <c r="A11" s="26" t="s">
        <v>209</v>
      </c>
      <c r="B11" s="26" t="s">
        <v>210</v>
      </c>
      <c r="C11" s="26">
        <v>2019</v>
      </c>
      <c r="D11" s="26" t="s">
        <v>211</v>
      </c>
      <c r="E11" s="26">
        <v>2.0190802916135002E+17</v>
      </c>
      <c r="F11" s="26" t="s">
        <v>212</v>
      </c>
      <c r="G11" s="26" t="s">
        <v>668</v>
      </c>
      <c r="H11" s="26">
        <v>1346683</v>
      </c>
      <c r="J11" s="26" t="s">
        <v>214</v>
      </c>
      <c r="K11" s="26" t="s">
        <v>215</v>
      </c>
      <c r="N11" s="26" t="s">
        <v>617</v>
      </c>
      <c r="O11" s="26" t="s">
        <v>36</v>
      </c>
      <c r="P11" s="26" t="s">
        <v>217</v>
      </c>
      <c r="Q11" s="26" t="s">
        <v>28</v>
      </c>
      <c r="R11" s="26" t="s">
        <v>616</v>
      </c>
      <c r="T11" s="26" t="s">
        <v>615</v>
      </c>
      <c r="V11" s="26" t="s">
        <v>614</v>
      </c>
      <c r="X11" s="26" t="s">
        <v>613</v>
      </c>
      <c r="Y11" s="26" t="s">
        <v>32</v>
      </c>
      <c r="Z11" s="26">
        <v>10036</v>
      </c>
      <c r="AA11" s="26" t="s">
        <v>222</v>
      </c>
      <c r="AB11" s="26" t="s">
        <v>658</v>
      </c>
      <c r="AD11" s="26">
        <v>15</v>
      </c>
      <c r="AE11" s="26" t="s">
        <v>224</v>
      </c>
      <c r="AI11" s="31">
        <v>43616</v>
      </c>
      <c r="AJ11" s="26">
        <v>50</v>
      </c>
      <c r="AK11" s="26">
        <v>500</v>
      </c>
      <c r="BG11" s="26" t="s">
        <v>26</v>
      </c>
      <c r="BI11" s="26" t="s">
        <v>225</v>
      </c>
      <c r="BK11" s="26" t="s">
        <v>0</v>
      </c>
      <c r="BL11" s="26" t="s">
        <v>226</v>
      </c>
      <c r="BM11" s="26" t="s">
        <v>227</v>
      </c>
      <c r="BN11" s="30">
        <v>43680.112617673614</v>
      </c>
      <c r="BR11" s="26" t="s">
        <v>228</v>
      </c>
      <c r="BS11" s="26">
        <v>4.0802201916626898E+18</v>
      </c>
      <c r="BT11" s="26" t="s">
        <v>229</v>
      </c>
      <c r="BV11" s="26">
        <v>2020</v>
      </c>
      <c r="BW11" s="26" t="s">
        <v>230</v>
      </c>
      <c r="BY11" s="26">
        <v>4.0802201916628797E+18</v>
      </c>
      <c r="BZ11" s="26" t="s">
        <v>667</v>
      </c>
      <c r="CA11" s="26" t="s">
        <v>232</v>
      </c>
    </row>
    <row r="12" spans="1:79" x14ac:dyDescent="0.2">
      <c r="A12" s="26" t="s">
        <v>209</v>
      </c>
      <c r="B12" s="26" t="s">
        <v>210</v>
      </c>
      <c r="C12" s="26">
        <v>2019</v>
      </c>
      <c r="D12" s="26" t="s">
        <v>252</v>
      </c>
      <c r="E12" s="26">
        <v>2.0190802916135101E+17</v>
      </c>
      <c r="F12" s="26" t="s">
        <v>212</v>
      </c>
      <c r="G12" s="26" t="s">
        <v>666</v>
      </c>
      <c r="H12" s="26">
        <v>1346685</v>
      </c>
      <c r="J12" s="26" t="s">
        <v>214</v>
      </c>
      <c r="K12" s="26" t="s">
        <v>215</v>
      </c>
      <c r="N12" s="26" t="s">
        <v>617</v>
      </c>
      <c r="O12" s="26" t="s">
        <v>36</v>
      </c>
      <c r="P12" s="26" t="s">
        <v>217</v>
      </c>
      <c r="Q12" s="26" t="s">
        <v>28</v>
      </c>
      <c r="R12" s="26" t="s">
        <v>616</v>
      </c>
      <c r="T12" s="26" t="s">
        <v>615</v>
      </c>
      <c r="V12" s="26" t="s">
        <v>614</v>
      </c>
      <c r="X12" s="26" t="s">
        <v>613</v>
      </c>
      <c r="Y12" s="26" t="s">
        <v>32</v>
      </c>
      <c r="Z12" s="26">
        <v>10036</v>
      </c>
      <c r="AA12" s="26" t="s">
        <v>222</v>
      </c>
      <c r="AB12" s="26" t="s">
        <v>658</v>
      </c>
      <c r="AD12" s="26">
        <v>15</v>
      </c>
      <c r="AE12" s="26" t="s">
        <v>224</v>
      </c>
      <c r="AI12" s="31">
        <v>43631</v>
      </c>
      <c r="AJ12" s="26">
        <v>50</v>
      </c>
      <c r="AK12" s="26">
        <v>550</v>
      </c>
      <c r="BG12" s="26" t="s">
        <v>26</v>
      </c>
      <c r="BI12" s="26" t="s">
        <v>225</v>
      </c>
      <c r="BK12" s="26" t="s">
        <v>0</v>
      </c>
      <c r="BL12" s="26" t="s">
        <v>226</v>
      </c>
      <c r="BM12" s="26" t="s">
        <v>227</v>
      </c>
      <c r="BN12" s="30">
        <v>43680.112696944445</v>
      </c>
      <c r="BR12" s="26" t="s">
        <v>228</v>
      </c>
      <c r="BS12" s="26">
        <v>4.0802201916626898E+18</v>
      </c>
      <c r="BT12" s="26" t="s">
        <v>229</v>
      </c>
      <c r="BV12" s="26">
        <v>2020</v>
      </c>
      <c r="BW12" s="26" t="s">
        <v>230</v>
      </c>
      <c r="BY12" s="26">
        <v>4.0802201916628797E+18</v>
      </c>
      <c r="BZ12" s="26" t="s">
        <v>664</v>
      </c>
      <c r="CA12" s="26" t="s">
        <v>232</v>
      </c>
    </row>
    <row r="13" spans="1:79" x14ac:dyDescent="0.2">
      <c r="A13" s="26" t="s">
        <v>209</v>
      </c>
      <c r="B13" s="26" t="s">
        <v>210</v>
      </c>
      <c r="C13" s="26">
        <v>2019</v>
      </c>
      <c r="D13" s="26" t="s">
        <v>252</v>
      </c>
      <c r="E13" s="26">
        <v>2.0190802916135101E+17</v>
      </c>
      <c r="F13" s="26" t="s">
        <v>212</v>
      </c>
      <c r="G13" s="26" t="s">
        <v>665</v>
      </c>
      <c r="H13" s="26">
        <v>1346685</v>
      </c>
      <c r="J13" s="26" t="s">
        <v>214</v>
      </c>
      <c r="K13" s="26" t="s">
        <v>215</v>
      </c>
      <c r="N13" s="26" t="s">
        <v>617</v>
      </c>
      <c r="O13" s="26" t="s">
        <v>36</v>
      </c>
      <c r="P13" s="26" t="s">
        <v>217</v>
      </c>
      <c r="Q13" s="26" t="s">
        <v>28</v>
      </c>
      <c r="R13" s="26" t="s">
        <v>616</v>
      </c>
      <c r="T13" s="26" t="s">
        <v>615</v>
      </c>
      <c r="V13" s="26" t="s">
        <v>614</v>
      </c>
      <c r="X13" s="26" t="s">
        <v>613</v>
      </c>
      <c r="Y13" s="26" t="s">
        <v>32</v>
      </c>
      <c r="Z13" s="26">
        <v>10036</v>
      </c>
      <c r="AA13" s="26" t="s">
        <v>222</v>
      </c>
      <c r="AB13" s="26" t="s">
        <v>658</v>
      </c>
      <c r="AD13" s="26">
        <v>15</v>
      </c>
      <c r="AE13" s="26" t="s">
        <v>224</v>
      </c>
      <c r="AI13" s="31">
        <v>43646</v>
      </c>
      <c r="AJ13" s="26">
        <v>50</v>
      </c>
      <c r="AK13" s="26">
        <v>600</v>
      </c>
      <c r="BG13" s="26" t="s">
        <v>26</v>
      </c>
      <c r="BI13" s="26" t="s">
        <v>225</v>
      </c>
      <c r="BK13" s="26" t="s">
        <v>0</v>
      </c>
      <c r="BL13" s="26" t="s">
        <v>226</v>
      </c>
      <c r="BM13" s="26" t="s">
        <v>227</v>
      </c>
      <c r="BN13" s="30">
        <v>43680.112696956021</v>
      </c>
      <c r="BR13" s="26" t="s">
        <v>228</v>
      </c>
      <c r="BS13" s="26">
        <v>4.0802201916626898E+18</v>
      </c>
      <c r="BT13" s="26" t="s">
        <v>229</v>
      </c>
      <c r="BV13" s="26">
        <v>2020</v>
      </c>
      <c r="BW13" s="26" t="s">
        <v>230</v>
      </c>
      <c r="BY13" s="26">
        <v>4.0802201916628797E+18</v>
      </c>
      <c r="BZ13" s="26" t="s">
        <v>664</v>
      </c>
      <c r="CA13" s="26" t="s">
        <v>232</v>
      </c>
    </row>
    <row r="14" spans="1:79" x14ac:dyDescent="0.2">
      <c r="A14" s="26" t="s">
        <v>209</v>
      </c>
      <c r="B14" s="26" t="s">
        <v>210</v>
      </c>
      <c r="C14" s="26">
        <v>2019</v>
      </c>
      <c r="D14" s="26" t="s">
        <v>389</v>
      </c>
      <c r="E14" s="26">
        <v>2.01909139163316E+17</v>
      </c>
      <c r="F14" s="26" t="s">
        <v>212</v>
      </c>
      <c r="G14" s="26" t="s">
        <v>663</v>
      </c>
      <c r="H14" s="26">
        <v>1351825</v>
      </c>
      <c r="J14" s="26" t="s">
        <v>214</v>
      </c>
      <c r="K14" s="26" t="s">
        <v>215</v>
      </c>
      <c r="N14" s="26" t="s">
        <v>617</v>
      </c>
      <c r="O14" s="26" t="s">
        <v>36</v>
      </c>
      <c r="P14" s="26" t="s">
        <v>217</v>
      </c>
      <c r="Q14" s="26" t="s">
        <v>28</v>
      </c>
      <c r="R14" s="26" t="s">
        <v>616</v>
      </c>
      <c r="T14" s="26" t="s">
        <v>615</v>
      </c>
      <c r="V14" s="26" t="s">
        <v>614</v>
      </c>
      <c r="X14" s="26" t="s">
        <v>613</v>
      </c>
      <c r="Y14" s="26" t="s">
        <v>32</v>
      </c>
      <c r="Z14" s="26">
        <v>10036</v>
      </c>
      <c r="AA14" s="26" t="s">
        <v>222</v>
      </c>
      <c r="AB14" s="26" t="s">
        <v>658</v>
      </c>
      <c r="AD14" s="26">
        <v>15</v>
      </c>
      <c r="AE14" s="26" t="s">
        <v>224</v>
      </c>
      <c r="AI14" s="31">
        <v>43692</v>
      </c>
      <c r="AJ14" s="26">
        <v>50</v>
      </c>
      <c r="AK14" s="26">
        <v>750</v>
      </c>
      <c r="BG14" s="26" t="s">
        <v>26</v>
      </c>
      <c r="BI14" s="26" t="s">
        <v>225</v>
      </c>
      <c r="BK14" s="26" t="s">
        <v>31</v>
      </c>
      <c r="BL14" s="26" t="s">
        <v>238</v>
      </c>
      <c r="BM14" s="26" t="s">
        <v>227</v>
      </c>
      <c r="BN14" s="30">
        <v>43722.125267881944</v>
      </c>
      <c r="BR14" s="26" t="s">
        <v>228</v>
      </c>
      <c r="BS14" s="26">
        <v>4.09132019167264E+18</v>
      </c>
      <c r="BT14" s="26" t="s">
        <v>229</v>
      </c>
      <c r="BV14" s="26">
        <v>2020</v>
      </c>
      <c r="BW14" s="26" t="s">
        <v>230</v>
      </c>
      <c r="BY14" s="26">
        <v>4.09132019167266E+18</v>
      </c>
      <c r="BZ14" s="26" t="s">
        <v>661</v>
      </c>
      <c r="CA14" s="26" t="s">
        <v>232</v>
      </c>
    </row>
    <row r="15" spans="1:79" x14ac:dyDescent="0.2">
      <c r="A15" s="26" t="s">
        <v>209</v>
      </c>
      <c r="B15" s="26" t="s">
        <v>210</v>
      </c>
      <c r="C15" s="26">
        <v>2019</v>
      </c>
      <c r="D15" s="26" t="s">
        <v>389</v>
      </c>
      <c r="E15" s="26">
        <v>2.01909139163316E+17</v>
      </c>
      <c r="F15" s="26" t="s">
        <v>212</v>
      </c>
      <c r="G15" s="26" t="s">
        <v>662</v>
      </c>
      <c r="H15" s="26">
        <v>1351825</v>
      </c>
      <c r="J15" s="26" t="s">
        <v>214</v>
      </c>
      <c r="K15" s="26" t="s">
        <v>215</v>
      </c>
      <c r="N15" s="26" t="s">
        <v>617</v>
      </c>
      <c r="O15" s="26" t="s">
        <v>36</v>
      </c>
      <c r="P15" s="26" t="s">
        <v>217</v>
      </c>
      <c r="Q15" s="26" t="s">
        <v>28</v>
      </c>
      <c r="R15" s="26" t="s">
        <v>616</v>
      </c>
      <c r="T15" s="26" t="s">
        <v>615</v>
      </c>
      <c r="V15" s="26" t="s">
        <v>614</v>
      </c>
      <c r="X15" s="26" t="s">
        <v>613</v>
      </c>
      <c r="Y15" s="26" t="s">
        <v>32</v>
      </c>
      <c r="Z15" s="26">
        <v>10036</v>
      </c>
      <c r="AA15" s="26" t="s">
        <v>222</v>
      </c>
      <c r="AB15" s="26" t="s">
        <v>658</v>
      </c>
      <c r="AD15" s="26">
        <v>15</v>
      </c>
      <c r="AE15" s="26" t="s">
        <v>224</v>
      </c>
      <c r="AI15" s="31">
        <v>43708</v>
      </c>
      <c r="AJ15" s="26">
        <v>50</v>
      </c>
      <c r="AK15" s="26">
        <v>800</v>
      </c>
      <c r="BG15" s="26" t="s">
        <v>26</v>
      </c>
      <c r="BI15" s="26" t="s">
        <v>225</v>
      </c>
      <c r="BK15" s="26" t="s">
        <v>31</v>
      </c>
      <c r="BL15" s="26" t="s">
        <v>238</v>
      </c>
      <c r="BM15" s="26" t="s">
        <v>227</v>
      </c>
      <c r="BN15" s="30">
        <v>43722.12526789352</v>
      </c>
      <c r="BR15" s="26" t="s">
        <v>228</v>
      </c>
      <c r="BS15" s="26">
        <v>4.09132019167264E+18</v>
      </c>
      <c r="BT15" s="26" t="s">
        <v>229</v>
      </c>
      <c r="BV15" s="26">
        <v>2020</v>
      </c>
      <c r="BW15" s="26" t="s">
        <v>230</v>
      </c>
      <c r="BY15" s="26">
        <v>4.09132019167266E+18</v>
      </c>
      <c r="BZ15" s="26" t="s">
        <v>661</v>
      </c>
      <c r="CA15" s="26" t="s">
        <v>232</v>
      </c>
    </row>
    <row r="16" spans="1:79" x14ac:dyDescent="0.2">
      <c r="A16" s="26" t="s">
        <v>209</v>
      </c>
      <c r="B16" s="26" t="s">
        <v>210</v>
      </c>
      <c r="C16" s="26">
        <v>2019</v>
      </c>
      <c r="D16" s="26" t="s">
        <v>290</v>
      </c>
      <c r="E16" s="26">
        <v>2.0191016916498301E+17</v>
      </c>
      <c r="F16" s="26" t="s">
        <v>212</v>
      </c>
      <c r="G16" s="26" t="s">
        <v>660</v>
      </c>
      <c r="H16" s="26">
        <v>1359078</v>
      </c>
      <c r="J16" s="26" t="s">
        <v>214</v>
      </c>
      <c r="K16" s="26" t="s">
        <v>215</v>
      </c>
      <c r="N16" s="26" t="s">
        <v>617</v>
      </c>
      <c r="O16" s="26" t="s">
        <v>36</v>
      </c>
      <c r="P16" s="26" t="s">
        <v>217</v>
      </c>
      <c r="Q16" s="26" t="s">
        <v>28</v>
      </c>
      <c r="R16" s="26" t="s">
        <v>616</v>
      </c>
      <c r="T16" s="26" t="s">
        <v>615</v>
      </c>
      <c r="V16" s="26" t="s">
        <v>614</v>
      </c>
      <c r="X16" s="26" t="s">
        <v>613</v>
      </c>
      <c r="Y16" s="26" t="s">
        <v>32</v>
      </c>
      <c r="Z16" s="26">
        <v>10036</v>
      </c>
      <c r="AA16" s="26" t="s">
        <v>222</v>
      </c>
      <c r="AB16" s="26" t="s">
        <v>658</v>
      </c>
      <c r="AD16" s="26">
        <v>15</v>
      </c>
      <c r="AE16" s="26" t="s">
        <v>224</v>
      </c>
      <c r="AI16" s="31">
        <v>43723</v>
      </c>
      <c r="AJ16" s="26">
        <v>50</v>
      </c>
      <c r="AK16" s="26">
        <v>850</v>
      </c>
      <c r="BG16" s="26" t="s">
        <v>26</v>
      </c>
      <c r="BI16" s="26" t="s">
        <v>225</v>
      </c>
      <c r="BK16" s="26" t="s">
        <v>31</v>
      </c>
      <c r="BL16" s="26" t="s">
        <v>238</v>
      </c>
      <c r="BM16" s="26" t="s">
        <v>227</v>
      </c>
      <c r="BN16" s="30">
        <v>43755.116320011577</v>
      </c>
      <c r="BR16" s="26" t="s">
        <v>228</v>
      </c>
      <c r="BS16" s="26">
        <v>4.1016201916743598E+18</v>
      </c>
      <c r="BT16" s="26" t="s">
        <v>229</v>
      </c>
      <c r="BV16" s="26">
        <v>2020</v>
      </c>
      <c r="BW16" s="26" t="s">
        <v>230</v>
      </c>
      <c r="BY16" s="26">
        <v>4.1016201916744899E+18</v>
      </c>
      <c r="BZ16" s="26" t="s">
        <v>657</v>
      </c>
      <c r="CA16" s="26" t="s">
        <v>232</v>
      </c>
    </row>
    <row r="17" spans="1:79" x14ac:dyDescent="0.2">
      <c r="A17" s="26" t="s">
        <v>209</v>
      </c>
      <c r="B17" s="26" t="s">
        <v>210</v>
      </c>
      <c r="C17" s="26">
        <v>2019</v>
      </c>
      <c r="D17" s="26" t="s">
        <v>290</v>
      </c>
      <c r="E17" s="26">
        <v>2.0191016916498301E+17</v>
      </c>
      <c r="F17" s="26" t="s">
        <v>212</v>
      </c>
      <c r="G17" s="26" t="s">
        <v>659</v>
      </c>
      <c r="H17" s="26">
        <v>1359078</v>
      </c>
      <c r="J17" s="26" t="s">
        <v>214</v>
      </c>
      <c r="K17" s="26" t="s">
        <v>215</v>
      </c>
      <c r="N17" s="26" t="s">
        <v>617</v>
      </c>
      <c r="O17" s="26" t="s">
        <v>36</v>
      </c>
      <c r="P17" s="26" t="s">
        <v>217</v>
      </c>
      <c r="Q17" s="26" t="s">
        <v>28</v>
      </c>
      <c r="R17" s="26" t="s">
        <v>616</v>
      </c>
      <c r="T17" s="26" t="s">
        <v>615</v>
      </c>
      <c r="V17" s="26" t="s">
        <v>614</v>
      </c>
      <c r="X17" s="26" t="s">
        <v>613</v>
      </c>
      <c r="Y17" s="26" t="s">
        <v>32</v>
      </c>
      <c r="Z17" s="26">
        <v>10036</v>
      </c>
      <c r="AA17" s="26" t="s">
        <v>222</v>
      </c>
      <c r="AB17" s="26" t="s">
        <v>658</v>
      </c>
      <c r="AD17" s="26">
        <v>15</v>
      </c>
      <c r="AE17" s="26" t="s">
        <v>224</v>
      </c>
      <c r="AI17" s="31">
        <v>43738</v>
      </c>
      <c r="AJ17" s="26">
        <v>50</v>
      </c>
      <c r="AK17" s="26">
        <v>900</v>
      </c>
      <c r="BG17" s="26" t="s">
        <v>26</v>
      </c>
      <c r="BI17" s="26" t="s">
        <v>225</v>
      </c>
      <c r="BK17" s="26" t="s">
        <v>31</v>
      </c>
      <c r="BL17" s="26" t="s">
        <v>238</v>
      </c>
      <c r="BM17" s="26" t="s">
        <v>227</v>
      </c>
      <c r="BN17" s="30">
        <v>43755.116320023146</v>
      </c>
      <c r="BR17" s="26" t="s">
        <v>228</v>
      </c>
      <c r="BS17" s="26">
        <v>4.1016201916743598E+18</v>
      </c>
      <c r="BT17" s="26" t="s">
        <v>229</v>
      </c>
      <c r="BV17" s="26">
        <v>2020</v>
      </c>
      <c r="BW17" s="26" t="s">
        <v>230</v>
      </c>
      <c r="BY17" s="26">
        <v>4.1016201916744899E+18</v>
      </c>
      <c r="BZ17" s="26" t="s">
        <v>657</v>
      </c>
      <c r="CA17" s="26" t="s">
        <v>232</v>
      </c>
    </row>
    <row r="18" spans="1:79" x14ac:dyDescent="0.2">
      <c r="A18" s="26" t="s">
        <v>209</v>
      </c>
      <c r="B18" s="26" t="s">
        <v>210</v>
      </c>
      <c r="C18" s="26">
        <v>2019</v>
      </c>
      <c r="D18" s="26" t="s">
        <v>574</v>
      </c>
      <c r="E18" s="26">
        <v>2.01912169166292E+17</v>
      </c>
      <c r="F18" s="26" t="s">
        <v>212</v>
      </c>
      <c r="G18" s="26" t="s">
        <v>656</v>
      </c>
      <c r="H18" s="26">
        <v>1366330</v>
      </c>
      <c r="J18" s="26" t="s">
        <v>214</v>
      </c>
      <c r="K18" s="26" t="s">
        <v>215</v>
      </c>
      <c r="N18" s="26" t="s">
        <v>617</v>
      </c>
      <c r="O18" s="26" t="s">
        <v>36</v>
      </c>
      <c r="P18" s="26" t="s">
        <v>217</v>
      </c>
      <c r="Q18" s="26" t="s">
        <v>28</v>
      </c>
      <c r="R18" s="26" t="s">
        <v>616</v>
      </c>
      <c r="T18" s="26" t="s">
        <v>615</v>
      </c>
      <c r="V18" s="26" t="s">
        <v>614</v>
      </c>
      <c r="X18" s="26" t="s">
        <v>613</v>
      </c>
      <c r="Y18" s="26" t="s">
        <v>32</v>
      </c>
      <c r="Z18" s="26">
        <v>10036</v>
      </c>
      <c r="AA18" s="26" t="s">
        <v>222</v>
      </c>
      <c r="AB18" s="26" t="s">
        <v>612</v>
      </c>
      <c r="AD18" s="26">
        <v>15</v>
      </c>
      <c r="AE18" s="26" t="s">
        <v>224</v>
      </c>
      <c r="AI18" s="31">
        <v>43799</v>
      </c>
      <c r="AJ18" s="26">
        <v>50</v>
      </c>
      <c r="AK18" s="26">
        <v>1100</v>
      </c>
      <c r="BG18" s="26" t="s">
        <v>26</v>
      </c>
      <c r="BI18" s="26" t="s">
        <v>225</v>
      </c>
      <c r="BK18" s="26" t="s">
        <v>31</v>
      </c>
      <c r="BL18" s="26" t="s">
        <v>238</v>
      </c>
      <c r="BM18" s="26" t="s">
        <v>227</v>
      </c>
      <c r="BN18" s="30">
        <v>43816.067688252311</v>
      </c>
      <c r="BR18" s="26" t="s">
        <v>228</v>
      </c>
      <c r="BS18" s="26">
        <v>4.1216201916815201E+18</v>
      </c>
      <c r="BT18" s="26" t="s">
        <v>229</v>
      </c>
      <c r="BV18" s="26">
        <v>2020</v>
      </c>
      <c r="BW18" s="26" t="s">
        <v>230</v>
      </c>
      <c r="BY18" s="26">
        <v>4.1216201916815401E+18</v>
      </c>
      <c r="BZ18" s="26" t="s">
        <v>650</v>
      </c>
      <c r="CA18" s="26" t="s">
        <v>232</v>
      </c>
    </row>
    <row r="19" spans="1:79" x14ac:dyDescent="0.2">
      <c r="A19" s="26" t="s">
        <v>209</v>
      </c>
      <c r="B19" s="26" t="s">
        <v>210</v>
      </c>
      <c r="C19" s="26">
        <v>2019</v>
      </c>
      <c r="D19" s="26" t="s">
        <v>578</v>
      </c>
      <c r="E19" s="26">
        <v>2.0191114916550099E+17</v>
      </c>
      <c r="F19" s="26" t="s">
        <v>212</v>
      </c>
      <c r="G19" s="26" t="s">
        <v>655</v>
      </c>
      <c r="H19" s="26">
        <v>1362663</v>
      </c>
      <c r="J19" s="26" t="s">
        <v>214</v>
      </c>
      <c r="K19" s="26" t="s">
        <v>215</v>
      </c>
      <c r="N19" s="26" t="s">
        <v>617</v>
      </c>
      <c r="O19" s="26" t="s">
        <v>36</v>
      </c>
      <c r="P19" s="26" t="s">
        <v>217</v>
      </c>
      <c r="Q19" s="26" t="s">
        <v>28</v>
      </c>
      <c r="R19" s="26" t="s">
        <v>616</v>
      </c>
      <c r="T19" s="26" t="s">
        <v>615</v>
      </c>
      <c r="V19" s="26" t="s">
        <v>614</v>
      </c>
      <c r="X19" s="26" t="s">
        <v>613</v>
      </c>
      <c r="Y19" s="26" t="s">
        <v>32</v>
      </c>
      <c r="Z19" s="26">
        <v>10036</v>
      </c>
      <c r="AA19" s="26" t="s">
        <v>222</v>
      </c>
      <c r="AB19" s="26" t="s">
        <v>612</v>
      </c>
      <c r="AD19" s="26">
        <v>15</v>
      </c>
      <c r="AE19" s="26" t="s">
        <v>224</v>
      </c>
      <c r="AI19" s="31">
        <v>43753</v>
      </c>
      <c r="AJ19" s="26">
        <v>50</v>
      </c>
      <c r="AK19" s="26">
        <v>950</v>
      </c>
      <c r="BG19" s="26" t="s">
        <v>26</v>
      </c>
      <c r="BI19" s="26" t="s">
        <v>225</v>
      </c>
      <c r="BK19" s="26" t="s">
        <v>31</v>
      </c>
      <c r="BL19" s="26" t="s">
        <v>238</v>
      </c>
      <c r="BM19" s="26" t="s">
        <v>227</v>
      </c>
      <c r="BN19" s="30">
        <v>43784.092124374998</v>
      </c>
      <c r="BR19" s="26" t="s">
        <v>228</v>
      </c>
      <c r="BS19" s="26">
        <v>4.1114201916786601E+18</v>
      </c>
      <c r="BT19" s="26" t="s">
        <v>229</v>
      </c>
      <c r="BV19" s="26">
        <v>2020</v>
      </c>
      <c r="BW19" s="26" t="s">
        <v>230</v>
      </c>
      <c r="BY19" s="26">
        <v>4.1114201916786801E+18</v>
      </c>
      <c r="BZ19" s="26" t="s">
        <v>654</v>
      </c>
      <c r="CA19" s="26" t="s">
        <v>232</v>
      </c>
    </row>
    <row r="20" spans="1:79" x14ac:dyDescent="0.2">
      <c r="A20" s="26" t="s">
        <v>209</v>
      </c>
      <c r="B20" s="26" t="s">
        <v>210</v>
      </c>
      <c r="C20" s="26">
        <v>2019</v>
      </c>
      <c r="D20" s="26" t="s">
        <v>578</v>
      </c>
      <c r="E20" s="26">
        <v>2.0191114916550099E+17</v>
      </c>
      <c r="F20" s="26" t="s">
        <v>212</v>
      </c>
      <c r="G20" s="26" t="s">
        <v>653</v>
      </c>
      <c r="H20" s="26">
        <v>1362663</v>
      </c>
      <c r="J20" s="26" t="s">
        <v>214</v>
      </c>
      <c r="K20" s="26" t="s">
        <v>215</v>
      </c>
      <c r="N20" s="26" t="s">
        <v>617</v>
      </c>
      <c r="O20" s="26" t="s">
        <v>36</v>
      </c>
      <c r="P20" s="26" t="s">
        <v>217</v>
      </c>
      <c r="Q20" s="26" t="s">
        <v>28</v>
      </c>
      <c r="R20" s="26" t="s">
        <v>616</v>
      </c>
      <c r="T20" s="26" t="s">
        <v>615</v>
      </c>
      <c r="V20" s="26" t="s">
        <v>614</v>
      </c>
      <c r="X20" s="26" t="s">
        <v>613</v>
      </c>
      <c r="Y20" s="26" t="s">
        <v>32</v>
      </c>
      <c r="Z20" s="26">
        <v>10036</v>
      </c>
      <c r="AA20" s="26" t="s">
        <v>222</v>
      </c>
      <c r="AB20" s="26" t="s">
        <v>612</v>
      </c>
      <c r="AD20" s="26">
        <v>15</v>
      </c>
      <c r="AE20" s="26" t="s">
        <v>224</v>
      </c>
      <c r="AI20" s="31">
        <v>43769</v>
      </c>
      <c r="AJ20" s="26">
        <v>50</v>
      </c>
      <c r="AK20" s="26">
        <v>1000</v>
      </c>
      <c r="BG20" s="26" t="s">
        <v>26</v>
      </c>
      <c r="BI20" s="26" t="s">
        <v>225</v>
      </c>
      <c r="BK20" s="26" t="s">
        <v>31</v>
      </c>
      <c r="BL20" s="26" t="s">
        <v>238</v>
      </c>
      <c r="BM20" s="26" t="s">
        <v>227</v>
      </c>
      <c r="BN20" s="30">
        <v>43784.092124374998</v>
      </c>
      <c r="BR20" s="26" t="s">
        <v>228</v>
      </c>
      <c r="BS20" s="26">
        <v>4.1114201916786601E+18</v>
      </c>
      <c r="BT20" s="26" t="s">
        <v>229</v>
      </c>
      <c r="BV20" s="26">
        <v>2020</v>
      </c>
      <c r="BW20" s="26" t="s">
        <v>230</v>
      </c>
      <c r="BY20" s="26">
        <v>4.1114201916786801E+18</v>
      </c>
      <c r="BZ20" s="26" t="s">
        <v>652</v>
      </c>
      <c r="CA20" s="26" t="s">
        <v>232</v>
      </c>
    </row>
    <row r="21" spans="1:79" x14ac:dyDescent="0.2">
      <c r="A21" s="26" t="s">
        <v>209</v>
      </c>
      <c r="B21" s="26" t="s">
        <v>210</v>
      </c>
      <c r="C21" s="26">
        <v>2019</v>
      </c>
      <c r="D21" s="26" t="s">
        <v>574</v>
      </c>
      <c r="E21" s="26">
        <v>2.01912169166292E+17</v>
      </c>
      <c r="F21" s="26" t="s">
        <v>212</v>
      </c>
      <c r="G21" s="26" t="s">
        <v>651</v>
      </c>
      <c r="H21" s="26">
        <v>1366330</v>
      </c>
      <c r="J21" s="26" t="s">
        <v>214</v>
      </c>
      <c r="K21" s="26" t="s">
        <v>215</v>
      </c>
      <c r="N21" s="26" t="s">
        <v>617</v>
      </c>
      <c r="O21" s="26" t="s">
        <v>36</v>
      </c>
      <c r="P21" s="26" t="s">
        <v>217</v>
      </c>
      <c r="Q21" s="26" t="s">
        <v>28</v>
      </c>
      <c r="R21" s="26" t="s">
        <v>616</v>
      </c>
      <c r="T21" s="26" t="s">
        <v>615</v>
      </c>
      <c r="V21" s="26" t="s">
        <v>614</v>
      </c>
      <c r="X21" s="26" t="s">
        <v>613</v>
      </c>
      <c r="Y21" s="26" t="s">
        <v>32</v>
      </c>
      <c r="Z21" s="26">
        <v>10036</v>
      </c>
      <c r="AA21" s="26" t="s">
        <v>222</v>
      </c>
      <c r="AB21" s="26" t="s">
        <v>612</v>
      </c>
      <c r="AD21" s="26">
        <v>15</v>
      </c>
      <c r="AE21" s="26" t="s">
        <v>224</v>
      </c>
      <c r="AI21" s="31">
        <v>43784</v>
      </c>
      <c r="AJ21" s="26">
        <v>50</v>
      </c>
      <c r="AK21" s="26">
        <v>1050</v>
      </c>
      <c r="BG21" s="26" t="s">
        <v>26</v>
      </c>
      <c r="BI21" s="26" t="s">
        <v>225</v>
      </c>
      <c r="BK21" s="26" t="s">
        <v>31</v>
      </c>
      <c r="BL21" s="26" t="s">
        <v>238</v>
      </c>
      <c r="BM21" s="26" t="s">
        <v>227</v>
      </c>
      <c r="BN21" s="30">
        <v>43816.067688252311</v>
      </c>
      <c r="BR21" s="26" t="s">
        <v>228</v>
      </c>
      <c r="BS21" s="26">
        <v>4.1216201916815201E+18</v>
      </c>
      <c r="BT21" s="26" t="s">
        <v>229</v>
      </c>
      <c r="BV21" s="26">
        <v>2020</v>
      </c>
      <c r="BW21" s="26" t="s">
        <v>230</v>
      </c>
      <c r="BY21" s="26">
        <v>4.1216201916815401E+18</v>
      </c>
      <c r="BZ21" s="26" t="s">
        <v>650</v>
      </c>
      <c r="CA21" s="26" t="s">
        <v>232</v>
      </c>
    </row>
    <row r="22" spans="1:79" x14ac:dyDescent="0.2">
      <c r="A22" s="26" t="s">
        <v>209</v>
      </c>
      <c r="B22" s="26" t="s">
        <v>210</v>
      </c>
      <c r="C22" s="26">
        <v>2020</v>
      </c>
      <c r="D22" s="26" t="s">
        <v>563</v>
      </c>
      <c r="E22" s="26">
        <v>2.0200416921966202E+17</v>
      </c>
      <c r="F22" s="26" t="s">
        <v>212</v>
      </c>
      <c r="G22" s="26" t="s">
        <v>649</v>
      </c>
      <c r="H22" s="26">
        <v>1401113</v>
      </c>
      <c r="J22" s="26" t="s">
        <v>214</v>
      </c>
      <c r="K22" s="26" t="s">
        <v>215</v>
      </c>
      <c r="N22" s="26" t="s">
        <v>617</v>
      </c>
      <c r="O22" s="26" t="s">
        <v>36</v>
      </c>
      <c r="P22" s="26" t="s">
        <v>217</v>
      </c>
      <c r="Q22" s="26" t="s">
        <v>28</v>
      </c>
      <c r="R22" s="26" t="s">
        <v>616</v>
      </c>
      <c r="T22" s="26" t="s">
        <v>615</v>
      </c>
      <c r="V22" s="26" t="s">
        <v>614</v>
      </c>
      <c r="X22" s="26" t="s">
        <v>613</v>
      </c>
      <c r="Y22" s="26" t="s">
        <v>32</v>
      </c>
      <c r="Z22" s="26">
        <v>10036</v>
      </c>
      <c r="AA22" s="26" t="s">
        <v>222</v>
      </c>
      <c r="AB22" s="26" t="s">
        <v>612</v>
      </c>
      <c r="AD22" s="26">
        <v>15</v>
      </c>
      <c r="AE22" s="26" t="s">
        <v>224</v>
      </c>
      <c r="AI22" s="31">
        <v>43905</v>
      </c>
      <c r="AJ22" s="26">
        <v>50</v>
      </c>
      <c r="AK22" s="26">
        <v>250</v>
      </c>
      <c r="BG22" s="26" t="s">
        <v>26</v>
      </c>
      <c r="BI22" s="26" t="s">
        <v>225</v>
      </c>
      <c r="BK22" s="26" t="s">
        <v>31</v>
      </c>
      <c r="BL22" s="26" t="s">
        <v>238</v>
      </c>
      <c r="BM22" s="26" t="s">
        <v>227</v>
      </c>
      <c r="BN22" s="30">
        <v>43939.068963495367</v>
      </c>
      <c r="BR22" s="26" t="s">
        <v>228</v>
      </c>
      <c r="BS22" s="26">
        <v>4.0416202017369098E+18</v>
      </c>
      <c r="BT22" s="26" t="s">
        <v>229</v>
      </c>
      <c r="BV22" s="26">
        <v>2020</v>
      </c>
      <c r="BW22" s="26" t="s">
        <v>230</v>
      </c>
      <c r="BY22" s="26">
        <v>4.0417202017372498E+18</v>
      </c>
      <c r="BZ22" s="26" t="s">
        <v>647</v>
      </c>
      <c r="CA22" s="26" t="s">
        <v>232</v>
      </c>
    </row>
    <row r="23" spans="1:79" x14ac:dyDescent="0.2">
      <c r="A23" s="26" t="s">
        <v>209</v>
      </c>
      <c r="B23" s="26" t="s">
        <v>210</v>
      </c>
      <c r="C23" s="26">
        <v>2020</v>
      </c>
      <c r="D23" s="26" t="s">
        <v>563</v>
      </c>
      <c r="E23" s="26">
        <v>2.0200416921966202E+17</v>
      </c>
      <c r="F23" s="26" t="s">
        <v>212</v>
      </c>
      <c r="G23" s="26" t="s">
        <v>648</v>
      </c>
      <c r="H23" s="26">
        <v>1401113</v>
      </c>
      <c r="J23" s="26" t="s">
        <v>214</v>
      </c>
      <c r="K23" s="26" t="s">
        <v>215</v>
      </c>
      <c r="N23" s="26" t="s">
        <v>617</v>
      </c>
      <c r="O23" s="26" t="s">
        <v>36</v>
      </c>
      <c r="P23" s="26" t="s">
        <v>217</v>
      </c>
      <c r="Q23" s="26" t="s">
        <v>28</v>
      </c>
      <c r="R23" s="26" t="s">
        <v>616</v>
      </c>
      <c r="T23" s="26" t="s">
        <v>615</v>
      </c>
      <c r="V23" s="26" t="s">
        <v>614</v>
      </c>
      <c r="X23" s="26" t="s">
        <v>613</v>
      </c>
      <c r="Y23" s="26" t="s">
        <v>32</v>
      </c>
      <c r="Z23" s="26">
        <v>10036</v>
      </c>
      <c r="AA23" s="26" t="s">
        <v>222</v>
      </c>
      <c r="AB23" s="26" t="s">
        <v>612</v>
      </c>
      <c r="AD23" s="26">
        <v>15</v>
      </c>
      <c r="AE23" s="26" t="s">
        <v>224</v>
      </c>
      <c r="AI23" s="31">
        <v>43921</v>
      </c>
      <c r="AJ23" s="26">
        <v>50</v>
      </c>
      <c r="AK23" s="26">
        <v>300</v>
      </c>
      <c r="BG23" s="26" t="s">
        <v>26</v>
      </c>
      <c r="BI23" s="26" t="s">
        <v>225</v>
      </c>
      <c r="BK23" s="26" t="s">
        <v>31</v>
      </c>
      <c r="BL23" s="26" t="s">
        <v>238</v>
      </c>
      <c r="BM23" s="26" t="s">
        <v>227</v>
      </c>
      <c r="BN23" s="30">
        <v>43939.068963495367</v>
      </c>
      <c r="BR23" s="26" t="s">
        <v>228</v>
      </c>
      <c r="BS23" s="26">
        <v>4.0416202017369098E+18</v>
      </c>
      <c r="BT23" s="26" t="s">
        <v>229</v>
      </c>
      <c r="BV23" s="26">
        <v>2020</v>
      </c>
      <c r="BW23" s="26" t="s">
        <v>230</v>
      </c>
      <c r="BY23" s="26">
        <v>4.0417202017372498E+18</v>
      </c>
      <c r="BZ23" s="26" t="s">
        <v>647</v>
      </c>
      <c r="CA23" s="26" t="s">
        <v>232</v>
      </c>
    </row>
    <row r="24" spans="1:79" x14ac:dyDescent="0.2">
      <c r="A24" s="26" t="s">
        <v>209</v>
      </c>
      <c r="B24" s="26" t="s">
        <v>210</v>
      </c>
      <c r="C24" s="26">
        <v>2020</v>
      </c>
      <c r="D24" s="26" t="s">
        <v>274</v>
      </c>
      <c r="E24" s="26">
        <v>2.0200814926130499E+17</v>
      </c>
      <c r="F24" s="26" t="s">
        <v>212</v>
      </c>
      <c r="G24" s="26" t="s">
        <v>646</v>
      </c>
      <c r="H24" s="26">
        <v>1432221</v>
      </c>
      <c r="J24" s="26" t="s">
        <v>214</v>
      </c>
      <c r="K24" s="26" t="s">
        <v>215</v>
      </c>
      <c r="N24" s="26" t="s">
        <v>617</v>
      </c>
      <c r="O24" s="26" t="s">
        <v>36</v>
      </c>
      <c r="P24" s="26" t="s">
        <v>217</v>
      </c>
      <c r="Q24" s="26" t="s">
        <v>28</v>
      </c>
      <c r="R24" s="26" t="s">
        <v>616</v>
      </c>
      <c r="T24" s="26" t="s">
        <v>615</v>
      </c>
      <c r="V24" s="26" t="s">
        <v>614</v>
      </c>
      <c r="X24" s="26" t="s">
        <v>613</v>
      </c>
      <c r="Y24" s="26" t="s">
        <v>32</v>
      </c>
      <c r="Z24" s="26">
        <v>10036</v>
      </c>
      <c r="AA24" s="26" t="s">
        <v>222</v>
      </c>
      <c r="AB24" s="26" t="s">
        <v>612</v>
      </c>
      <c r="AD24" s="26">
        <v>15</v>
      </c>
      <c r="AE24" s="26" t="s">
        <v>224</v>
      </c>
      <c r="AI24" s="31">
        <v>44043</v>
      </c>
      <c r="AJ24" s="26">
        <v>50</v>
      </c>
      <c r="AK24" s="26">
        <v>700</v>
      </c>
      <c r="BG24" s="26" t="s">
        <v>26</v>
      </c>
      <c r="BI24" s="26" t="s">
        <v>225</v>
      </c>
      <c r="BK24" s="26" t="s">
        <v>31</v>
      </c>
      <c r="BL24" s="26" t="s">
        <v>238</v>
      </c>
      <c r="BM24" s="26" t="s">
        <v>227</v>
      </c>
      <c r="BN24" s="30">
        <v>44069.173081631947</v>
      </c>
      <c r="BR24" s="26" t="s">
        <v>228</v>
      </c>
      <c r="BS24" s="26">
        <v>4.08152020182882E+18</v>
      </c>
      <c r="BT24" s="26" t="s">
        <v>229</v>
      </c>
      <c r="BV24" s="26">
        <v>2020</v>
      </c>
      <c r="BW24" s="26" t="s">
        <v>230</v>
      </c>
      <c r="BY24" s="26">
        <v>4.0826202018309699E+18</v>
      </c>
      <c r="BZ24" s="26" t="s">
        <v>645</v>
      </c>
      <c r="CA24" s="26" t="s">
        <v>232</v>
      </c>
    </row>
    <row r="25" spans="1:79" x14ac:dyDescent="0.2">
      <c r="A25" s="26" t="s">
        <v>209</v>
      </c>
      <c r="B25" s="26" t="s">
        <v>210</v>
      </c>
      <c r="C25" s="26">
        <v>2020</v>
      </c>
      <c r="D25" s="26" t="s">
        <v>274</v>
      </c>
      <c r="E25" s="26">
        <v>2.0200814926130499E+17</v>
      </c>
      <c r="F25" s="26" t="s">
        <v>212</v>
      </c>
      <c r="G25" s="26" t="s">
        <v>644</v>
      </c>
      <c r="H25" s="26">
        <v>1432221</v>
      </c>
      <c r="J25" s="26" t="s">
        <v>214</v>
      </c>
      <c r="K25" s="26" t="s">
        <v>215</v>
      </c>
      <c r="N25" s="26" t="s">
        <v>617</v>
      </c>
      <c r="O25" s="26" t="s">
        <v>36</v>
      </c>
      <c r="P25" s="26" t="s">
        <v>217</v>
      </c>
      <c r="Q25" s="26" t="s">
        <v>28</v>
      </c>
      <c r="R25" s="26" t="s">
        <v>616</v>
      </c>
      <c r="T25" s="26" t="s">
        <v>615</v>
      </c>
      <c r="V25" s="26" t="s">
        <v>614</v>
      </c>
      <c r="X25" s="26" t="s">
        <v>613</v>
      </c>
      <c r="Y25" s="26" t="s">
        <v>32</v>
      </c>
      <c r="Z25" s="26">
        <v>10036</v>
      </c>
      <c r="AA25" s="26" t="s">
        <v>222</v>
      </c>
      <c r="AB25" s="26" t="s">
        <v>612</v>
      </c>
      <c r="AD25" s="26">
        <v>15</v>
      </c>
      <c r="AE25" s="26" t="s">
        <v>224</v>
      </c>
      <c r="AI25" s="31">
        <v>44027</v>
      </c>
      <c r="AJ25" s="26">
        <v>50</v>
      </c>
      <c r="AK25" s="26">
        <v>650</v>
      </c>
      <c r="BG25" s="26" t="s">
        <v>26</v>
      </c>
      <c r="BI25" s="26" t="s">
        <v>225</v>
      </c>
      <c r="BK25" s="26" t="s">
        <v>31</v>
      </c>
      <c r="BL25" s="26" t="s">
        <v>238</v>
      </c>
      <c r="BM25" s="26" t="s">
        <v>227</v>
      </c>
      <c r="BN25" s="30">
        <v>44069.176577546299</v>
      </c>
      <c r="BR25" s="26" t="s">
        <v>228</v>
      </c>
      <c r="BS25" s="26">
        <v>4.08152020182882E+18</v>
      </c>
      <c r="BT25" s="26" t="s">
        <v>229</v>
      </c>
      <c r="BV25" s="26">
        <v>2020</v>
      </c>
      <c r="BW25" s="26" t="s">
        <v>230</v>
      </c>
      <c r="BY25" s="26">
        <v>4.0826202018309699E+18</v>
      </c>
      <c r="BZ25" s="26" t="s">
        <v>643</v>
      </c>
      <c r="CA25" s="26" t="s">
        <v>232</v>
      </c>
    </row>
    <row r="26" spans="1:79" x14ac:dyDescent="0.2">
      <c r="A26" s="26" t="s">
        <v>209</v>
      </c>
      <c r="B26" s="26" t="s">
        <v>210</v>
      </c>
      <c r="C26" s="26">
        <v>2020</v>
      </c>
      <c r="D26" s="26" t="s">
        <v>557</v>
      </c>
      <c r="E26" s="26">
        <v>2.0200515923275002E+17</v>
      </c>
      <c r="F26" s="26" t="s">
        <v>212</v>
      </c>
      <c r="G26" s="26" t="s">
        <v>642</v>
      </c>
      <c r="H26" s="26">
        <v>1405926</v>
      </c>
      <c r="J26" s="26" t="s">
        <v>214</v>
      </c>
      <c r="K26" s="26" t="s">
        <v>215</v>
      </c>
      <c r="N26" s="26" t="s">
        <v>617</v>
      </c>
      <c r="O26" s="26" t="s">
        <v>36</v>
      </c>
      <c r="P26" s="26" t="s">
        <v>217</v>
      </c>
      <c r="Q26" s="26" t="s">
        <v>28</v>
      </c>
      <c r="R26" s="26" t="s">
        <v>616</v>
      </c>
      <c r="T26" s="26" t="s">
        <v>615</v>
      </c>
      <c r="V26" s="26" t="s">
        <v>614</v>
      </c>
      <c r="X26" s="26" t="s">
        <v>613</v>
      </c>
      <c r="Y26" s="26" t="s">
        <v>32</v>
      </c>
      <c r="Z26" s="26">
        <v>10036</v>
      </c>
      <c r="AA26" s="26" t="s">
        <v>222</v>
      </c>
      <c r="AB26" s="26" t="s">
        <v>612</v>
      </c>
      <c r="AD26" s="26">
        <v>15</v>
      </c>
      <c r="AE26" s="26" t="s">
        <v>224</v>
      </c>
      <c r="AI26" s="31">
        <v>43936</v>
      </c>
      <c r="AJ26" s="26">
        <v>50</v>
      </c>
      <c r="AK26" s="26">
        <v>350</v>
      </c>
      <c r="BG26" s="26" t="s">
        <v>26</v>
      </c>
      <c r="BI26" s="26" t="s">
        <v>225</v>
      </c>
      <c r="BK26" s="26" t="s">
        <v>31</v>
      </c>
      <c r="BL26" s="26" t="s">
        <v>238</v>
      </c>
      <c r="BM26" s="26" t="s">
        <v>227</v>
      </c>
      <c r="BN26" s="30">
        <v>43970.057450960645</v>
      </c>
      <c r="BR26" s="26" t="s">
        <v>228</v>
      </c>
      <c r="BS26" s="26">
        <v>4.0516202017614397E+18</v>
      </c>
      <c r="BT26" s="26" t="s">
        <v>229</v>
      </c>
      <c r="BV26" s="26">
        <v>2020</v>
      </c>
      <c r="BW26" s="26" t="s">
        <v>230</v>
      </c>
      <c r="BY26" s="26">
        <v>4.0518202017615099E+18</v>
      </c>
      <c r="BZ26" s="26" t="s">
        <v>640</v>
      </c>
      <c r="CA26" s="26" t="s">
        <v>232</v>
      </c>
    </row>
    <row r="27" spans="1:79" x14ac:dyDescent="0.2">
      <c r="A27" s="26" t="s">
        <v>209</v>
      </c>
      <c r="B27" s="26" t="s">
        <v>210</v>
      </c>
      <c r="C27" s="26">
        <v>2020</v>
      </c>
      <c r="D27" s="26" t="s">
        <v>557</v>
      </c>
      <c r="E27" s="26">
        <v>2.0200515923275002E+17</v>
      </c>
      <c r="F27" s="26" t="s">
        <v>212</v>
      </c>
      <c r="G27" s="26" t="s">
        <v>641</v>
      </c>
      <c r="H27" s="26">
        <v>1405926</v>
      </c>
      <c r="J27" s="26" t="s">
        <v>214</v>
      </c>
      <c r="K27" s="26" t="s">
        <v>215</v>
      </c>
      <c r="N27" s="26" t="s">
        <v>617</v>
      </c>
      <c r="O27" s="26" t="s">
        <v>36</v>
      </c>
      <c r="P27" s="26" t="s">
        <v>217</v>
      </c>
      <c r="Q27" s="26" t="s">
        <v>28</v>
      </c>
      <c r="R27" s="26" t="s">
        <v>616</v>
      </c>
      <c r="T27" s="26" t="s">
        <v>615</v>
      </c>
      <c r="V27" s="26" t="s">
        <v>614</v>
      </c>
      <c r="X27" s="26" t="s">
        <v>613</v>
      </c>
      <c r="Y27" s="26" t="s">
        <v>32</v>
      </c>
      <c r="Z27" s="26">
        <v>10036</v>
      </c>
      <c r="AA27" s="26" t="s">
        <v>222</v>
      </c>
      <c r="AB27" s="26" t="s">
        <v>612</v>
      </c>
      <c r="AD27" s="26">
        <v>15</v>
      </c>
      <c r="AE27" s="26" t="s">
        <v>224</v>
      </c>
      <c r="AI27" s="31">
        <v>43951</v>
      </c>
      <c r="AJ27" s="26">
        <v>50</v>
      </c>
      <c r="AK27" s="26">
        <v>400</v>
      </c>
      <c r="BG27" s="26" t="s">
        <v>26</v>
      </c>
      <c r="BI27" s="26" t="s">
        <v>225</v>
      </c>
      <c r="BK27" s="26" t="s">
        <v>31</v>
      </c>
      <c r="BL27" s="26" t="s">
        <v>238</v>
      </c>
      <c r="BM27" s="26" t="s">
        <v>227</v>
      </c>
      <c r="BN27" s="30">
        <v>43970.057450960645</v>
      </c>
      <c r="BR27" s="26" t="s">
        <v>228</v>
      </c>
      <c r="BS27" s="26">
        <v>4.0516202017614397E+18</v>
      </c>
      <c r="BT27" s="26" t="s">
        <v>229</v>
      </c>
      <c r="BV27" s="26">
        <v>2020</v>
      </c>
      <c r="BW27" s="26" t="s">
        <v>230</v>
      </c>
      <c r="BY27" s="26">
        <v>4.0518202017615099E+18</v>
      </c>
      <c r="BZ27" s="26" t="s">
        <v>640</v>
      </c>
      <c r="CA27" s="26" t="s">
        <v>232</v>
      </c>
    </row>
    <row r="28" spans="1:79" x14ac:dyDescent="0.2">
      <c r="A28" s="26" t="s">
        <v>209</v>
      </c>
      <c r="B28" s="26" t="s">
        <v>210</v>
      </c>
      <c r="C28" s="26">
        <v>2020</v>
      </c>
      <c r="D28" s="26" t="s">
        <v>211</v>
      </c>
      <c r="E28" s="26">
        <v>2.0200615923978202E+17</v>
      </c>
      <c r="F28" s="26" t="s">
        <v>212</v>
      </c>
      <c r="G28" s="26" t="s">
        <v>639</v>
      </c>
      <c r="H28" s="26">
        <v>1411779</v>
      </c>
      <c r="J28" s="26" t="s">
        <v>214</v>
      </c>
      <c r="K28" s="26" t="s">
        <v>215</v>
      </c>
      <c r="N28" s="26" t="s">
        <v>617</v>
      </c>
      <c r="O28" s="26" t="s">
        <v>36</v>
      </c>
      <c r="P28" s="26" t="s">
        <v>217</v>
      </c>
      <c r="Q28" s="26" t="s">
        <v>28</v>
      </c>
      <c r="R28" s="26" t="s">
        <v>616</v>
      </c>
      <c r="T28" s="26" t="s">
        <v>615</v>
      </c>
      <c r="V28" s="26" t="s">
        <v>614</v>
      </c>
      <c r="X28" s="26" t="s">
        <v>613</v>
      </c>
      <c r="Y28" s="26" t="s">
        <v>32</v>
      </c>
      <c r="Z28" s="26">
        <v>10036</v>
      </c>
      <c r="AA28" s="26" t="s">
        <v>222</v>
      </c>
      <c r="AB28" s="26" t="s">
        <v>612</v>
      </c>
      <c r="AD28" s="26">
        <v>15</v>
      </c>
      <c r="AE28" s="26" t="s">
        <v>224</v>
      </c>
      <c r="AI28" s="31">
        <v>43966</v>
      </c>
      <c r="AJ28" s="26">
        <v>50</v>
      </c>
      <c r="AK28" s="26">
        <v>450</v>
      </c>
      <c r="BG28" s="26" t="s">
        <v>26</v>
      </c>
      <c r="BI28" s="26" t="s">
        <v>225</v>
      </c>
      <c r="BK28" s="26" t="s">
        <v>31</v>
      </c>
      <c r="BL28" s="26" t="s">
        <v>238</v>
      </c>
      <c r="BM28" s="26" t="s">
        <v>227</v>
      </c>
      <c r="BN28" s="30">
        <v>43998.068666168983</v>
      </c>
      <c r="BR28" s="26" t="s">
        <v>228</v>
      </c>
      <c r="BS28" s="26">
        <v>4.0615202017748398E+18</v>
      </c>
      <c r="BT28" s="26" t="s">
        <v>229</v>
      </c>
      <c r="BV28" s="26">
        <v>2020</v>
      </c>
      <c r="BW28" s="26" t="s">
        <v>230</v>
      </c>
      <c r="BY28" s="26">
        <v>4.0615202017749299E+18</v>
      </c>
      <c r="BZ28" s="26" t="s">
        <v>637</v>
      </c>
      <c r="CA28" s="26" t="s">
        <v>232</v>
      </c>
    </row>
    <row r="29" spans="1:79" x14ac:dyDescent="0.2">
      <c r="A29" s="26" t="s">
        <v>209</v>
      </c>
      <c r="B29" s="26" t="s">
        <v>210</v>
      </c>
      <c r="C29" s="26">
        <v>2020</v>
      </c>
      <c r="D29" s="26" t="s">
        <v>211</v>
      </c>
      <c r="E29" s="26">
        <v>2.0200615923978202E+17</v>
      </c>
      <c r="F29" s="26" t="s">
        <v>212</v>
      </c>
      <c r="G29" s="26" t="s">
        <v>638</v>
      </c>
      <c r="H29" s="26">
        <v>1411779</v>
      </c>
      <c r="J29" s="26" t="s">
        <v>214</v>
      </c>
      <c r="K29" s="26" t="s">
        <v>215</v>
      </c>
      <c r="N29" s="26" t="s">
        <v>617</v>
      </c>
      <c r="O29" s="26" t="s">
        <v>36</v>
      </c>
      <c r="P29" s="26" t="s">
        <v>217</v>
      </c>
      <c r="Q29" s="26" t="s">
        <v>28</v>
      </c>
      <c r="R29" s="26" t="s">
        <v>616</v>
      </c>
      <c r="T29" s="26" t="s">
        <v>615</v>
      </c>
      <c r="V29" s="26" t="s">
        <v>614</v>
      </c>
      <c r="X29" s="26" t="s">
        <v>613</v>
      </c>
      <c r="Y29" s="26" t="s">
        <v>32</v>
      </c>
      <c r="Z29" s="26">
        <v>10036</v>
      </c>
      <c r="AA29" s="26" t="s">
        <v>222</v>
      </c>
      <c r="AB29" s="26" t="s">
        <v>612</v>
      </c>
      <c r="AD29" s="26">
        <v>15</v>
      </c>
      <c r="AE29" s="26" t="s">
        <v>224</v>
      </c>
      <c r="AI29" s="31">
        <v>43982</v>
      </c>
      <c r="AJ29" s="26">
        <v>50</v>
      </c>
      <c r="AK29" s="26">
        <v>500</v>
      </c>
      <c r="BG29" s="26" t="s">
        <v>26</v>
      </c>
      <c r="BI29" s="26" t="s">
        <v>225</v>
      </c>
      <c r="BK29" s="26" t="s">
        <v>31</v>
      </c>
      <c r="BL29" s="26" t="s">
        <v>238</v>
      </c>
      <c r="BM29" s="26" t="s">
        <v>227</v>
      </c>
      <c r="BN29" s="30">
        <v>43998.068666168983</v>
      </c>
      <c r="BR29" s="26" t="s">
        <v>228</v>
      </c>
      <c r="BS29" s="26">
        <v>4.0615202017748398E+18</v>
      </c>
      <c r="BT29" s="26" t="s">
        <v>229</v>
      </c>
      <c r="BV29" s="26">
        <v>2020</v>
      </c>
      <c r="BW29" s="26" t="s">
        <v>230</v>
      </c>
      <c r="BY29" s="26">
        <v>4.0615202017749299E+18</v>
      </c>
      <c r="BZ29" s="26" t="s">
        <v>637</v>
      </c>
      <c r="CA29" s="26" t="s">
        <v>232</v>
      </c>
    </row>
    <row r="30" spans="1:79" x14ac:dyDescent="0.2">
      <c r="A30" s="26" t="s">
        <v>209</v>
      </c>
      <c r="B30" s="26" t="s">
        <v>210</v>
      </c>
      <c r="C30" s="26">
        <v>2020</v>
      </c>
      <c r="D30" s="26" t="s">
        <v>371</v>
      </c>
      <c r="E30" s="26">
        <v>2.0201202933741501E+17</v>
      </c>
      <c r="F30" s="26" t="s">
        <v>212</v>
      </c>
      <c r="G30" s="26" t="s">
        <v>636</v>
      </c>
      <c r="H30" s="26">
        <v>1476126</v>
      </c>
      <c r="J30" s="26" t="s">
        <v>214</v>
      </c>
      <c r="K30" s="26" t="s">
        <v>215</v>
      </c>
      <c r="N30" s="26" t="s">
        <v>617</v>
      </c>
      <c r="O30" s="26" t="s">
        <v>36</v>
      </c>
      <c r="P30" s="26" t="s">
        <v>217</v>
      </c>
      <c r="Q30" s="26" t="s">
        <v>28</v>
      </c>
      <c r="R30" s="26" t="s">
        <v>616</v>
      </c>
      <c r="T30" s="26" t="s">
        <v>615</v>
      </c>
      <c r="V30" s="26" t="s">
        <v>614</v>
      </c>
      <c r="X30" s="26" t="s">
        <v>613</v>
      </c>
      <c r="Y30" s="26" t="s">
        <v>32</v>
      </c>
      <c r="Z30" s="26">
        <v>10036</v>
      </c>
      <c r="AA30" s="26" t="s">
        <v>222</v>
      </c>
      <c r="AB30" s="26" t="s">
        <v>612</v>
      </c>
      <c r="AD30" s="26">
        <v>15</v>
      </c>
      <c r="AE30" s="26" t="s">
        <v>224</v>
      </c>
      <c r="AI30" s="31">
        <v>44119</v>
      </c>
      <c r="AJ30" s="26">
        <v>50</v>
      </c>
      <c r="AK30" s="26">
        <v>950</v>
      </c>
      <c r="BG30" s="26" t="s">
        <v>26</v>
      </c>
      <c r="BI30" s="26" t="s">
        <v>225</v>
      </c>
      <c r="BK30" s="26" t="s">
        <v>31</v>
      </c>
      <c r="BL30" s="26" t="s">
        <v>238</v>
      </c>
      <c r="BM30" s="26" t="s">
        <v>227</v>
      </c>
      <c r="BN30" s="30">
        <v>44183.157443969911</v>
      </c>
      <c r="BR30" s="26" t="s">
        <v>228</v>
      </c>
      <c r="BS30" s="26">
        <v>4.1203202019631401E+18</v>
      </c>
      <c r="BT30" s="26" t="s">
        <v>229</v>
      </c>
      <c r="BV30" s="26">
        <v>2020</v>
      </c>
      <c r="BW30" s="26" t="s">
        <v>230</v>
      </c>
      <c r="BY30" s="26">
        <v>4.1218202019773599E+18</v>
      </c>
      <c r="BZ30" s="26" t="s">
        <v>635</v>
      </c>
      <c r="CA30" s="26" t="s">
        <v>232</v>
      </c>
    </row>
    <row r="31" spans="1:79" x14ac:dyDescent="0.2">
      <c r="A31" s="26" t="s">
        <v>209</v>
      </c>
      <c r="B31" s="26" t="s">
        <v>210</v>
      </c>
      <c r="C31" s="26">
        <v>2020</v>
      </c>
      <c r="D31" s="26" t="s">
        <v>371</v>
      </c>
      <c r="E31" s="26">
        <v>2.0201202933741501E+17</v>
      </c>
      <c r="F31" s="26" t="s">
        <v>212</v>
      </c>
      <c r="G31" s="26" t="s">
        <v>634</v>
      </c>
      <c r="H31" s="26">
        <v>1476126</v>
      </c>
      <c r="J31" s="26" t="s">
        <v>214</v>
      </c>
      <c r="K31" s="26" t="s">
        <v>215</v>
      </c>
      <c r="N31" s="26" t="s">
        <v>617</v>
      </c>
      <c r="O31" s="26" t="s">
        <v>36</v>
      </c>
      <c r="P31" s="26" t="s">
        <v>217</v>
      </c>
      <c r="Q31" s="26" t="s">
        <v>28</v>
      </c>
      <c r="R31" s="26" t="s">
        <v>616</v>
      </c>
      <c r="T31" s="26" t="s">
        <v>615</v>
      </c>
      <c r="V31" s="26" t="s">
        <v>614</v>
      </c>
      <c r="X31" s="26" t="s">
        <v>613</v>
      </c>
      <c r="Y31" s="26" t="s">
        <v>32</v>
      </c>
      <c r="Z31" s="26">
        <v>10036</v>
      </c>
      <c r="AA31" s="26" t="s">
        <v>222</v>
      </c>
      <c r="AB31" s="26" t="s">
        <v>612</v>
      </c>
      <c r="AD31" s="26">
        <v>15</v>
      </c>
      <c r="AE31" s="26" t="s">
        <v>224</v>
      </c>
      <c r="AI31" s="31">
        <v>44135</v>
      </c>
      <c r="AJ31" s="26">
        <v>50</v>
      </c>
      <c r="AK31" s="26">
        <v>1000</v>
      </c>
      <c r="BG31" s="26" t="s">
        <v>26</v>
      </c>
      <c r="BI31" s="26" t="s">
        <v>225</v>
      </c>
      <c r="BK31" s="26" t="s">
        <v>31</v>
      </c>
      <c r="BL31" s="26" t="s">
        <v>238</v>
      </c>
      <c r="BM31" s="26" t="s">
        <v>227</v>
      </c>
      <c r="BN31" s="30">
        <v>44183.157443969911</v>
      </c>
      <c r="BR31" s="26" t="s">
        <v>228</v>
      </c>
      <c r="BS31" s="26">
        <v>4.1203202019631401E+18</v>
      </c>
      <c r="BT31" s="26" t="s">
        <v>229</v>
      </c>
      <c r="BV31" s="26">
        <v>2020</v>
      </c>
      <c r="BW31" s="26" t="s">
        <v>230</v>
      </c>
      <c r="BY31" s="26">
        <v>4.1218202019773599E+18</v>
      </c>
      <c r="BZ31" s="26" t="s">
        <v>632</v>
      </c>
      <c r="CA31" s="26" t="s">
        <v>232</v>
      </c>
    </row>
    <row r="32" spans="1:79" x14ac:dyDescent="0.2">
      <c r="A32" s="26" t="s">
        <v>209</v>
      </c>
      <c r="B32" s="26" t="s">
        <v>210</v>
      </c>
      <c r="C32" s="26">
        <v>2020</v>
      </c>
      <c r="D32" s="26" t="s">
        <v>371</v>
      </c>
      <c r="E32" s="26">
        <v>2.0201202933741501E+17</v>
      </c>
      <c r="F32" s="26" t="s">
        <v>212</v>
      </c>
      <c r="G32" s="26" t="s">
        <v>633</v>
      </c>
      <c r="H32" s="26">
        <v>1476126</v>
      </c>
      <c r="J32" s="26" t="s">
        <v>214</v>
      </c>
      <c r="K32" s="26" t="s">
        <v>215</v>
      </c>
      <c r="N32" s="26" t="s">
        <v>617</v>
      </c>
      <c r="O32" s="26" t="s">
        <v>36</v>
      </c>
      <c r="P32" s="26" t="s">
        <v>217</v>
      </c>
      <c r="Q32" s="26" t="s">
        <v>28</v>
      </c>
      <c r="R32" s="26" t="s">
        <v>616</v>
      </c>
      <c r="T32" s="26" t="s">
        <v>615</v>
      </c>
      <c r="V32" s="26" t="s">
        <v>614</v>
      </c>
      <c r="X32" s="26" t="s">
        <v>613</v>
      </c>
      <c r="Y32" s="26" t="s">
        <v>32</v>
      </c>
      <c r="Z32" s="26">
        <v>10036</v>
      </c>
      <c r="AA32" s="26" t="s">
        <v>222</v>
      </c>
      <c r="AB32" s="26" t="s">
        <v>612</v>
      </c>
      <c r="AD32" s="26">
        <v>15</v>
      </c>
      <c r="AE32" s="26" t="s">
        <v>224</v>
      </c>
      <c r="AI32" s="31">
        <v>44150</v>
      </c>
      <c r="AJ32" s="26">
        <v>50</v>
      </c>
      <c r="AK32" s="26">
        <v>1050</v>
      </c>
      <c r="BG32" s="26" t="s">
        <v>26</v>
      </c>
      <c r="BI32" s="26" t="s">
        <v>225</v>
      </c>
      <c r="BK32" s="26" t="s">
        <v>31</v>
      </c>
      <c r="BL32" s="26" t="s">
        <v>238</v>
      </c>
      <c r="BM32" s="26" t="s">
        <v>227</v>
      </c>
      <c r="BN32" s="30">
        <v>44183.157443969911</v>
      </c>
      <c r="BR32" s="26" t="s">
        <v>228</v>
      </c>
      <c r="BS32" s="26">
        <v>4.1203202019631401E+18</v>
      </c>
      <c r="BT32" s="26" t="s">
        <v>229</v>
      </c>
      <c r="BV32" s="26">
        <v>2020</v>
      </c>
      <c r="BW32" s="26" t="s">
        <v>230</v>
      </c>
      <c r="BY32" s="26">
        <v>4.1218202019773599E+18</v>
      </c>
      <c r="BZ32" s="26" t="s">
        <v>632</v>
      </c>
      <c r="CA32" s="26" t="s">
        <v>232</v>
      </c>
    </row>
    <row r="33" spans="1:79" x14ac:dyDescent="0.2">
      <c r="A33" s="26" t="s">
        <v>209</v>
      </c>
      <c r="B33" s="26" t="s">
        <v>210</v>
      </c>
      <c r="C33" s="26">
        <v>2020</v>
      </c>
      <c r="D33" s="26" t="s">
        <v>252</v>
      </c>
      <c r="E33" s="26">
        <v>2.0200720926010598E+17</v>
      </c>
      <c r="F33" s="26" t="s">
        <v>212</v>
      </c>
      <c r="G33" s="26" t="s">
        <v>631</v>
      </c>
      <c r="H33" s="26">
        <v>1427301</v>
      </c>
      <c r="J33" s="26" t="s">
        <v>214</v>
      </c>
      <c r="K33" s="26" t="s">
        <v>215</v>
      </c>
      <c r="N33" s="26" t="s">
        <v>617</v>
      </c>
      <c r="O33" s="26" t="s">
        <v>36</v>
      </c>
      <c r="P33" s="26" t="s">
        <v>217</v>
      </c>
      <c r="Q33" s="26" t="s">
        <v>28</v>
      </c>
      <c r="R33" s="26" t="s">
        <v>616</v>
      </c>
      <c r="T33" s="26" t="s">
        <v>615</v>
      </c>
      <c r="V33" s="26" t="s">
        <v>614</v>
      </c>
      <c r="X33" s="26" t="s">
        <v>613</v>
      </c>
      <c r="Y33" s="26" t="s">
        <v>32</v>
      </c>
      <c r="Z33" s="26">
        <v>10036</v>
      </c>
      <c r="AA33" s="26" t="s">
        <v>222</v>
      </c>
      <c r="AB33" s="26" t="s">
        <v>612</v>
      </c>
      <c r="AD33" s="26">
        <v>15</v>
      </c>
      <c r="AE33" s="26" t="s">
        <v>224</v>
      </c>
      <c r="AI33" s="31">
        <v>43997</v>
      </c>
      <c r="AJ33" s="26">
        <v>50</v>
      </c>
      <c r="AK33" s="26">
        <v>550</v>
      </c>
      <c r="BG33" s="26" t="s">
        <v>26</v>
      </c>
      <c r="BI33" s="26" t="s">
        <v>225</v>
      </c>
      <c r="BK33" s="26" t="s">
        <v>31</v>
      </c>
      <c r="BL33" s="26" t="s">
        <v>238</v>
      </c>
      <c r="BM33" s="26" t="s">
        <v>227</v>
      </c>
      <c r="BN33" s="30">
        <v>44043.159349664355</v>
      </c>
      <c r="BR33" s="26" t="s">
        <v>228</v>
      </c>
      <c r="BS33" s="26">
        <v>4.0720202017911798E+18</v>
      </c>
      <c r="BT33" s="26" t="s">
        <v>229</v>
      </c>
      <c r="BV33" s="26">
        <v>2020</v>
      </c>
      <c r="BW33" s="26" t="s">
        <v>230</v>
      </c>
      <c r="BY33" s="26">
        <v>4.0731202018101898E+18</v>
      </c>
      <c r="BZ33" s="26" t="s">
        <v>629</v>
      </c>
      <c r="CA33" s="26" t="s">
        <v>232</v>
      </c>
    </row>
    <row r="34" spans="1:79" x14ac:dyDescent="0.2">
      <c r="A34" s="26" t="s">
        <v>209</v>
      </c>
      <c r="B34" s="26" t="s">
        <v>210</v>
      </c>
      <c r="C34" s="26">
        <v>2020</v>
      </c>
      <c r="D34" s="26" t="s">
        <v>252</v>
      </c>
      <c r="E34" s="26">
        <v>2.0200720926010598E+17</v>
      </c>
      <c r="F34" s="26" t="s">
        <v>212</v>
      </c>
      <c r="G34" s="26" t="s">
        <v>630</v>
      </c>
      <c r="H34" s="26">
        <v>1427301</v>
      </c>
      <c r="J34" s="26" t="s">
        <v>214</v>
      </c>
      <c r="K34" s="26" t="s">
        <v>215</v>
      </c>
      <c r="N34" s="26" t="s">
        <v>617</v>
      </c>
      <c r="O34" s="26" t="s">
        <v>36</v>
      </c>
      <c r="P34" s="26" t="s">
        <v>217</v>
      </c>
      <c r="Q34" s="26" t="s">
        <v>28</v>
      </c>
      <c r="R34" s="26" t="s">
        <v>616</v>
      </c>
      <c r="T34" s="26" t="s">
        <v>615</v>
      </c>
      <c r="V34" s="26" t="s">
        <v>614</v>
      </c>
      <c r="X34" s="26" t="s">
        <v>613</v>
      </c>
      <c r="Y34" s="26" t="s">
        <v>32</v>
      </c>
      <c r="Z34" s="26">
        <v>10036</v>
      </c>
      <c r="AA34" s="26" t="s">
        <v>222</v>
      </c>
      <c r="AB34" s="26" t="s">
        <v>612</v>
      </c>
      <c r="AD34" s="26">
        <v>15</v>
      </c>
      <c r="AE34" s="26" t="s">
        <v>224</v>
      </c>
      <c r="AI34" s="31">
        <v>44012</v>
      </c>
      <c r="AJ34" s="26">
        <v>50</v>
      </c>
      <c r="AK34" s="26">
        <v>600</v>
      </c>
      <c r="BG34" s="26" t="s">
        <v>26</v>
      </c>
      <c r="BI34" s="26" t="s">
        <v>225</v>
      </c>
      <c r="BK34" s="26" t="s">
        <v>31</v>
      </c>
      <c r="BL34" s="26" t="s">
        <v>238</v>
      </c>
      <c r="BM34" s="26" t="s">
        <v>227</v>
      </c>
      <c r="BN34" s="30">
        <v>44043.159349664355</v>
      </c>
      <c r="BR34" s="26" t="s">
        <v>228</v>
      </c>
      <c r="BS34" s="26">
        <v>4.0720202017911798E+18</v>
      </c>
      <c r="BT34" s="26" t="s">
        <v>229</v>
      </c>
      <c r="BV34" s="26">
        <v>2020</v>
      </c>
      <c r="BW34" s="26" t="s">
        <v>230</v>
      </c>
      <c r="BY34" s="26">
        <v>4.0731202018101898E+18</v>
      </c>
      <c r="BZ34" s="26" t="s">
        <v>629</v>
      </c>
      <c r="CA34" s="26" t="s">
        <v>232</v>
      </c>
    </row>
    <row r="35" spans="1:79" x14ac:dyDescent="0.2">
      <c r="A35" s="26" t="s">
        <v>209</v>
      </c>
      <c r="B35" s="26" t="s">
        <v>210</v>
      </c>
      <c r="C35" s="26">
        <v>2020</v>
      </c>
      <c r="D35" s="26" t="s">
        <v>389</v>
      </c>
      <c r="E35" s="26">
        <v>2.02009179267228E+17</v>
      </c>
      <c r="F35" s="26" t="s">
        <v>212</v>
      </c>
      <c r="G35" s="26" t="s">
        <v>628</v>
      </c>
      <c r="H35" s="26">
        <v>1438708</v>
      </c>
      <c r="J35" s="26" t="s">
        <v>214</v>
      </c>
      <c r="K35" s="26" t="s">
        <v>215</v>
      </c>
      <c r="N35" s="26" t="s">
        <v>617</v>
      </c>
      <c r="O35" s="26" t="s">
        <v>36</v>
      </c>
      <c r="P35" s="26" t="s">
        <v>217</v>
      </c>
      <c r="Q35" s="26" t="s">
        <v>28</v>
      </c>
      <c r="R35" s="26" t="s">
        <v>616</v>
      </c>
      <c r="T35" s="26" t="s">
        <v>615</v>
      </c>
      <c r="V35" s="26" t="s">
        <v>614</v>
      </c>
      <c r="X35" s="26" t="s">
        <v>613</v>
      </c>
      <c r="Y35" s="26" t="s">
        <v>32</v>
      </c>
      <c r="Z35" s="26">
        <v>10036</v>
      </c>
      <c r="AA35" s="26" t="s">
        <v>222</v>
      </c>
      <c r="AB35" s="26" t="s">
        <v>612</v>
      </c>
      <c r="AD35" s="26">
        <v>15</v>
      </c>
      <c r="AE35" s="26" t="s">
        <v>224</v>
      </c>
      <c r="AI35" s="31">
        <v>44058</v>
      </c>
      <c r="AJ35" s="26">
        <v>50</v>
      </c>
      <c r="AK35" s="26">
        <v>750</v>
      </c>
      <c r="BG35" s="26" t="s">
        <v>26</v>
      </c>
      <c r="BI35" s="26" t="s">
        <v>225</v>
      </c>
      <c r="BK35" s="26" t="s">
        <v>31</v>
      </c>
      <c r="BL35" s="26" t="s">
        <v>238</v>
      </c>
      <c r="BM35" s="26" t="s">
        <v>227</v>
      </c>
      <c r="BN35" s="30">
        <v>44093.150736469906</v>
      </c>
      <c r="BR35" s="26" t="s">
        <v>228</v>
      </c>
      <c r="BS35" s="26">
        <v>4.0918202018489201E+18</v>
      </c>
      <c r="BT35" s="26" t="s">
        <v>229</v>
      </c>
      <c r="BV35" s="26">
        <v>2020</v>
      </c>
      <c r="BW35" s="26" t="s">
        <v>230</v>
      </c>
      <c r="BY35" s="26">
        <v>4.0919202018490701E+18</v>
      </c>
      <c r="BZ35" s="26" t="s">
        <v>627</v>
      </c>
      <c r="CA35" s="26" t="s">
        <v>232</v>
      </c>
    </row>
    <row r="36" spans="1:79" x14ac:dyDescent="0.2">
      <c r="A36" s="26" t="s">
        <v>209</v>
      </c>
      <c r="B36" s="26" t="s">
        <v>210</v>
      </c>
      <c r="C36" s="26">
        <v>2020</v>
      </c>
      <c r="D36" s="26" t="s">
        <v>389</v>
      </c>
      <c r="E36" s="26">
        <v>2.02009179267228E+17</v>
      </c>
      <c r="F36" s="26" t="s">
        <v>212</v>
      </c>
      <c r="G36" s="26" t="s">
        <v>626</v>
      </c>
      <c r="H36" s="26">
        <v>1438708</v>
      </c>
      <c r="J36" s="26" t="s">
        <v>214</v>
      </c>
      <c r="K36" s="26" t="s">
        <v>215</v>
      </c>
      <c r="N36" s="26" t="s">
        <v>617</v>
      </c>
      <c r="O36" s="26" t="s">
        <v>36</v>
      </c>
      <c r="P36" s="26" t="s">
        <v>217</v>
      </c>
      <c r="Q36" s="26" t="s">
        <v>28</v>
      </c>
      <c r="R36" s="26" t="s">
        <v>616</v>
      </c>
      <c r="T36" s="26" t="s">
        <v>615</v>
      </c>
      <c r="V36" s="26" t="s">
        <v>614</v>
      </c>
      <c r="X36" s="26" t="s">
        <v>613</v>
      </c>
      <c r="Y36" s="26" t="s">
        <v>32</v>
      </c>
      <c r="Z36" s="26">
        <v>10036</v>
      </c>
      <c r="AA36" s="26" t="s">
        <v>222</v>
      </c>
      <c r="AB36" s="26" t="s">
        <v>612</v>
      </c>
      <c r="AD36" s="26">
        <v>15</v>
      </c>
      <c r="AE36" s="26" t="s">
        <v>224</v>
      </c>
      <c r="AI36" s="31">
        <v>44074</v>
      </c>
      <c r="AJ36" s="26">
        <v>50</v>
      </c>
      <c r="AK36" s="26">
        <v>800</v>
      </c>
      <c r="BG36" s="26" t="s">
        <v>26</v>
      </c>
      <c r="BI36" s="26" t="s">
        <v>225</v>
      </c>
      <c r="BK36" s="26" t="s">
        <v>31</v>
      </c>
      <c r="BL36" s="26" t="s">
        <v>238</v>
      </c>
      <c r="BM36" s="26" t="s">
        <v>227</v>
      </c>
      <c r="BN36" s="30">
        <v>44093.150736469906</v>
      </c>
      <c r="BR36" s="26" t="s">
        <v>228</v>
      </c>
      <c r="BS36" s="26">
        <v>4.0918202018489201E+18</v>
      </c>
      <c r="BT36" s="26" t="s">
        <v>229</v>
      </c>
      <c r="BV36" s="26">
        <v>2020</v>
      </c>
      <c r="BW36" s="26" t="s">
        <v>230</v>
      </c>
      <c r="BY36" s="26">
        <v>4.0919202018490701E+18</v>
      </c>
      <c r="BZ36" s="26" t="s">
        <v>625</v>
      </c>
      <c r="CA36" s="26" t="s">
        <v>232</v>
      </c>
    </row>
    <row r="37" spans="1:79" x14ac:dyDescent="0.2">
      <c r="A37" s="26" t="s">
        <v>209</v>
      </c>
      <c r="B37" s="26" t="s">
        <v>210</v>
      </c>
      <c r="C37" s="26">
        <v>2020</v>
      </c>
      <c r="D37" s="26" t="s">
        <v>290</v>
      </c>
      <c r="E37" s="26">
        <v>2.0201016929694598E+17</v>
      </c>
      <c r="F37" s="26" t="s">
        <v>212</v>
      </c>
      <c r="G37" s="26" t="s">
        <v>624</v>
      </c>
      <c r="H37" s="26">
        <v>1453323</v>
      </c>
      <c r="J37" s="26" t="s">
        <v>214</v>
      </c>
      <c r="K37" s="26" t="s">
        <v>215</v>
      </c>
      <c r="N37" s="26" t="s">
        <v>617</v>
      </c>
      <c r="O37" s="26" t="s">
        <v>36</v>
      </c>
      <c r="P37" s="26" t="s">
        <v>217</v>
      </c>
      <c r="Q37" s="26" t="s">
        <v>28</v>
      </c>
      <c r="R37" s="26" t="s">
        <v>616</v>
      </c>
      <c r="T37" s="26" t="s">
        <v>615</v>
      </c>
      <c r="V37" s="26" t="s">
        <v>614</v>
      </c>
      <c r="X37" s="26" t="s">
        <v>613</v>
      </c>
      <c r="Y37" s="26" t="s">
        <v>32</v>
      </c>
      <c r="Z37" s="26">
        <v>10036</v>
      </c>
      <c r="AA37" s="26" t="s">
        <v>222</v>
      </c>
      <c r="AB37" s="26" t="s">
        <v>612</v>
      </c>
      <c r="AD37" s="26">
        <v>15</v>
      </c>
      <c r="AE37" s="26" t="s">
        <v>224</v>
      </c>
      <c r="AI37" s="31">
        <v>44089</v>
      </c>
      <c r="AJ37" s="26">
        <v>50</v>
      </c>
      <c r="AK37" s="26">
        <v>850</v>
      </c>
      <c r="BG37" s="26" t="s">
        <v>26</v>
      </c>
      <c r="BI37" s="26" t="s">
        <v>225</v>
      </c>
      <c r="BK37" s="26" t="s">
        <v>31</v>
      </c>
      <c r="BL37" s="26" t="s">
        <v>238</v>
      </c>
      <c r="BM37" s="26" t="s">
        <v>227</v>
      </c>
      <c r="BN37" s="30">
        <v>44156.161213402775</v>
      </c>
      <c r="BR37" s="26" t="s">
        <v>228</v>
      </c>
      <c r="BS37" s="26">
        <v>4.10162020185858E+18</v>
      </c>
      <c r="BT37" s="26" t="s">
        <v>229</v>
      </c>
      <c r="BV37" s="26">
        <v>2020</v>
      </c>
      <c r="BW37" s="26" t="s">
        <v>230</v>
      </c>
      <c r="BY37" s="26">
        <v>4.1121202019599201E+18</v>
      </c>
      <c r="BZ37" s="26" t="s">
        <v>622</v>
      </c>
      <c r="CA37" s="26" t="s">
        <v>232</v>
      </c>
    </row>
    <row r="38" spans="1:79" x14ac:dyDescent="0.2">
      <c r="A38" s="26" t="s">
        <v>209</v>
      </c>
      <c r="B38" s="26" t="s">
        <v>210</v>
      </c>
      <c r="C38" s="26">
        <v>2020</v>
      </c>
      <c r="D38" s="26" t="s">
        <v>290</v>
      </c>
      <c r="E38" s="26">
        <v>2.0201016929694598E+17</v>
      </c>
      <c r="F38" s="26" t="s">
        <v>212</v>
      </c>
      <c r="G38" s="26" t="s">
        <v>623</v>
      </c>
      <c r="H38" s="26">
        <v>1453323</v>
      </c>
      <c r="J38" s="26" t="s">
        <v>214</v>
      </c>
      <c r="K38" s="26" t="s">
        <v>215</v>
      </c>
      <c r="N38" s="26" t="s">
        <v>617</v>
      </c>
      <c r="O38" s="26" t="s">
        <v>36</v>
      </c>
      <c r="P38" s="26" t="s">
        <v>217</v>
      </c>
      <c r="Q38" s="26" t="s">
        <v>28</v>
      </c>
      <c r="R38" s="26" t="s">
        <v>616</v>
      </c>
      <c r="T38" s="26" t="s">
        <v>615</v>
      </c>
      <c r="V38" s="26" t="s">
        <v>614</v>
      </c>
      <c r="X38" s="26" t="s">
        <v>613</v>
      </c>
      <c r="Y38" s="26" t="s">
        <v>32</v>
      </c>
      <c r="Z38" s="26">
        <v>10036</v>
      </c>
      <c r="AA38" s="26" t="s">
        <v>222</v>
      </c>
      <c r="AB38" s="26" t="s">
        <v>612</v>
      </c>
      <c r="AD38" s="26">
        <v>15</v>
      </c>
      <c r="AE38" s="26" t="s">
        <v>224</v>
      </c>
      <c r="AI38" s="31">
        <v>44104</v>
      </c>
      <c r="AJ38" s="26">
        <v>50</v>
      </c>
      <c r="AK38" s="26">
        <v>900</v>
      </c>
      <c r="BG38" s="26" t="s">
        <v>26</v>
      </c>
      <c r="BI38" s="26" t="s">
        <v>225</v>
      </c>
      <c r="BK38" s="26" t="s">
        <v>31</v>
      </c>
      <c r="BL38" s="26" t="s">
        <v>238</v>
      </c>
      <c r="BM38" s="26" t="s">
        <v>227</v>
      </c>
      <c r="BN38" s="30">
        <v>44156.161213402775</v>
      </c>
      <c r="BR38" s="26" t="s">
        <v>228</v>
      </c>
      <c r="BS38" s="26">
        <v>4.10162020185858E+18</v>
      </c>
      <c r="BT38" s="26" t="s">
        <v>229</v>
      </c>
      <c r="BV38" s="26">
        <v>2020</v>
      </c>
      <c r="BW38" s="26" t="s">
        <v>230</v>
      </c>
      <c r="BY38" s="26">
        <v>4.1121202019599201E+18</v>
      </c>
      <c r="BZ38" s="26" t="s">
        <v>622</v>
      </c>
      <c r="CA38" s="26" t="s">
        <v>232</v>
      </c>
    </row>
    <row r="39" spans="1:79" x14ac:dyDescent="0.2">
      <c r="A39" s="26" t="s">
        <v>209</v>
      </c>
      <c r="B39" s="26" t="s">
        <v>210</v>
      </c>
      <c r="C39" s="26">
        <v>2020</v>
      </c>
      <c r="D39" s="26" t="s">
        <v>508</v>
      </c>
      <c r="E39" s="26">
        <v>2.0210125940539398E+17</v>
      </c>
      <c r="F39" s="26" t="s">
        <v>212</v>
      </c>
      <c r="G39" s="26" t="s">
        <v>621</v>
      </c>
      <c r="H39" s="26">
        <v>1490358</v>
      </c>
      <c r="J39" s="26" t="s">
        <v>214</v>
      </c>
      <c r="K39" s="26" t="s">
        <v>215</v>
      </c>
      <c r="N39" s="26" t="s">
        <v>617</v>
      </c>
      <c r="O39" s="26" t="s">
        <v>36</v>
      </c>
      <c r="P39" s="26" t="s">
        <v>217</v>
      </c>
      <c r="Q39" s="26" t="s">
        <v>28</v>
      </c>
      <c r="R39" s="26" t="s">
        <v>616</v>
      </c>
      <c r="T39" s="26" t="s">
        <v>615</v>
      </c>
      <c r="V39" s="26" t="s">
        <v>614</v>
      </c>
      <c r="X39" s="26" t="s">
        <v>613</v>
      </c>
      <c r="Y39" s="26" t="s">
        <v>32</v>
      </c>
      <c r="Z39" s="26">
        <v>10036</v>
      </c>
      <c r="AA39" s="26" t="s">
        <v>222</v>
      </c>
      <c r="AB39" s="26" t="s">
        <v>612</v>
      </c>
      <c r="AD39" s="26">
        <v>15</v>
      </c>
      <c r="AE39" s="26" t="s">
        <v>224</v>
      </c>
      <c r="AI39" s="31">
        <v>44165</v>
      </c>
      <c r="AJ39" s="26">
        <v>50</v>
      </c>
      <c r="AK39" s="26">
        <v>1100</v>
      </c>
      <c r="BG39" s="26" t="s">
        <v>26</v>
      </c>
      <c r="BI39" s="26" t="s">
        <v>225</v>
      </c>
      <c r="BK39" s="26" t="s">
        <v>31</v>
      </c>
      <c r="BL39" s="26" t="s">
        <v>238</v>
      </c>
      <c r="BM39" s="26" t="s">
        <v>227</v>
      </c>
      <c r="BN39" s="30">
        <v>44223.150519224539</v>
      </c>
      <c r="BR39" s="26" t="s">
        <v>228</v>
      </c>
      <c r="BS39" s="26">
        <v>4.0125202121377597E+18</v>
      </c>
      <c r="BT39" s="26" t="s">
        <v>229</v>
      </c>
      <c r="BV39" s="26">
        <v>2020</v>
      </c>
      <c r="BW39" s="26" t="s">
        <v>230</v>
      </c>
      <c r="BY39" s="26">
        <v>4.01272021213811E+18</v>
      </c>
      <c r="BZ39" s="26" t="s">
        <v>619</v>
      </c>
      <c r="CA39" s="26" t="s">
        <v>232</v>
      </c>
    </row>
    <row r="40" spans="1:79" x14ac:dyDescent="0.2">
      <c r="A40" s="26" t="s">
        <v>209</v>
      </c>
      <c r="B40" s="26" t="s">
        <v>210</v>
      </c>
      <c r="C40" s="26">
        <v>2020</v>
      </c>
      <c r="D40" s="26" t="s">
        <v>508</v>
      </c>
      <c r="E40" s="26">
        <v>2.0210125940539398E+17</v>
      </c>
      <c r="F40" s="26" t="s">
        <v>212</v>
      </c>
      <c r="G40" s="26" t="s">
        <v>620</v>
      </c>
      <c r="H40" s="26">
        <v>1490358</v>
      </c>
      <c r="J40" s="26" t="s">
        <v>214</v>
      </c>
      <c r="K40" s="26" t="s">
        <v>215</v>
      </c>
      <c r="N40" s="26" t="s">
        <v>617</v>
      </c>
      <c r="O40" s="26" t="s">
        <v>36</v>
      </c>
      <c r="P40" s="26" t="s">
        <v>217</v>
      </c>
      <c r="Q40" s="26" t="s">
        <v>28</v>
      </c>
      <c r="R40" s="26" t="s">
        <v>616</v>
      </c>
      <c r="T40" s="26" t="s">
        <v>615</v>
      </c>
      <c r="V40" s="26" t="s">
        <v>614</v>
      </c>
      <c r="X40" s="26" t="s">
        <v>613</v>
      </c>
      <c r="Y40" s="26" t="s">
        <v>32</v>
      </c>
      <c r="Z40" s="26">
        <v>10036</v>
      </c>
      <c r="AA40" s="26" t="s">
        <v>222</v>
      </c>
      <c r="AB40" s="26" t="s">
        <v>612</v>
      </c>
      <c r="AD40" s="26">
        <v>15</v>
      </c>
      <c r="AE40" s="26" t="s">
        <v>224</v>
      </c>
      <c r="AI40" s="31">
        <v>44180</v>
      </c>
      <c r="AJ40" s="26">
        <v>50</v>
      </c>
      <c r="AK40" s="26">
        <v>1150</v>
      </c>
      <c r="BG40" s="26" t="s">
        <v>26</v>
      </c>
      <c r="BI40" s="26" t="s">
        <v>225</v>
      </c>
      <c r="BK40" s="26" t="s">
        <v>31</v>
      </c>
      <c r="BL40" s="26" t="s">
        <v>238</v>
      </c>
      <c r="BM40" s="26" t="s">
        <v>227</v>
      </c>
      <c r="BN40" s="30">
        <v>44223.150519224539</v>
      </c>
      <c r="BR40" s="26" t="s">
        <v>228</v>
      </c>
      <c r="BS40" s="26">
        <v>4.0125202121377597E+18</v>
      </c>
      <c r="BT40" s="26" t="s">
        <v>229</v>
      </c>
      <c r="BV40" s="26">
        <v>2020</v>
      </c>
      <c r="BW40" s="26" t="s">
        <v>230</v>
      </c>
      <c r="BY40" s="26">
        <v>4.01272021213811E+18</v>
      </c>
      <c r="BZ40" s="26" t="s">
        <v>619</v>
      </c>
      <c r="CA40" s="26" t="s">
        <v>232</v>
      </c>
    </row>
    <row r="41" spans="1:79" x14ac:dyDescent="0.2">
      <c r="A41" s="26" t="s">
        <v>209</v>
      </c>
      <c r="B41" s="26" t="s">
        <v>210</v>
      </c>
      <c r="C41" s="26">
        <v>2020</v>
      </c>
      <c r="D41" s="26" t="s">
        <v>508</v>
      </c>
      <c r="E41" s="26">
        <v>2.0210125940539398E+17</v>
      </c>
      <c r="F41" s="26" t="s">
        <v>212</v>
      </c>
      <c r="G41" s="26" t="s">
        <v>618</v>
      </c>
      <c r="H41" s="26">
        <v>1490358</v>
      </c>
      <c r="J41" s="26" t="s">
        <v>214</v>
      </c>
      <c r="K41" s="26" t="s">
        <v>215</v>
      </c>
      <c r="N41" s="26" t="s">
        <v>617</v>
      </c>
      <c r="O41" s="26" t="s">
        <v>36</v>
      </c>
      <c r="P41" s="26" t="s">
        <v>217</v>
      </c>
      <c r="Q41" s="26" t="s">
        <v>28</v>
      </c>
      <c r="R41" s="26" t="s">
        <v>616</v>
      </c>
      <c r="T41" s="26" t="s">
        <v>615</v>
      </c>
      <c r="V41" s="26" t="s">
        <v>614</v>
      </c>
      <c r="X41" s="26" t="s">
        <v>613</v>
      </c>
      <c r="Y41" s="26" t="s">
        <v>32</v>
      </c>
      <c r="Z41" s="26">
        <v>10036</v>
      </c>
      <c r="AA41" s="26" t="s">
        <v>222</v>
      </c>
      <c r="AB41" s="26" t="s">
        <v>612</v>
      </c>
      <c r="AD41" s="26">
        <v>15</v>
      </c>
      <c r="AE41" s="26" t="s">
        <v>224</v>
      </c>
      <c r="AI41" s="31">
        <v>44196</v>
      </c>
      <c r="AJ41" s="26">
        <v>50</v>
      </c>
      <c r="AK41" s="26">
        <v>1200</v>
      </c>
      <c r="BG41" s="26" t="s">
        <v>26</v>
      </c>
      <c r="BI41" s="26" t="s">
        <v>225</v>
      </c>
      <c r="BK41" s="26" t="s">
        <v>31</v>
      </c>
      <c r="BL41" s="26" t="s">
        <v>238</v>
      </c>
      <c r="BM41" s="26" t="s">
        <v>227</v>
      </c>
      <c r="BN41" s="30">
        <v>44223.150519224539</v>
      </c>
      <c r="BR41" s="26" t="s">
        <v>228</v>
      </c>
      <c r="BS41" s="26">
        <v>4.0125202121377597E+18</v>
      </c>
      <c r="BT41" s="26" t="s">
        <v>229</v>
      </c>
      <c r="BV41" s="26">
        <v>2020</v>
      </c>
      <c r="BW41" s="26" t="s">
        <v>230</v>
      </c>
      <c r="BY41" s="26">
        <v>4.01272021213811E+18</v>
      </c>
      <c r="BZ41" s="26" t="s">
        <v>611</v>
      </c>
      <c r="CA41" s="26" t="s">
        <v>232</v>
      </c>
    </row>
    <row r="43" spans="1:79" x14ac:dyDescent="0.2">
      <c r="V43" s="26" t="str">
        <f>+V41&amp;X41&amp;Y41&amp;Z41</f>
        <v>ONE BRYANT PARKNEW YORKNY10036</v>
      </c>
    </row>
    <row r="46" spans="1:79" ht="15" x14ac:dyDescent="0.25">
      <c r="A46" s="20" t="s">
        <v>299</v>
      </c>
      <c r="B46" t="s">
        <v>301</v>
      </c>
      <c r="C46"/>
    </row>
    <row r="47" spans="1:79" ht="15" x14ac:dyDescent="0.25">
      <c r="A47" s="21" t="s">
        <v>210</v>
      </c>
      <c r="B47" s="2">
        <v>2000</v>
      </c>
      <c r="C47"/>
    </row>
    <row r="48" spans="1:79" ht="15" x14ac:dyDescent="0.25">
      <c r="A48" s="21" t="s">
        <v>300</v>
      </c>
      <c r="B48" s="2">
        <v>2000</v>
      </c>
      <c r="C48"/>
    </row>
    <row r="49" spans="1:3" ht="15" x14ac:dyDescent="0.25">
      <c r="A49"/>
      <c r="B49"/>
      <c r="C49"/>
    </row>
    <row r="50" spans="1:3" ht="15" x14ac:dyDescent="0.25">
      <c r="A50"/>
      <c r="B50"/>
      <c r="C50"/>
    </row>
    <row r="51" spans="1:3" ht="15" x14ac:dyDescent="0.25">
      <c r="A51"/>
      <c r="B51"/>
      <c r="C51"/>
    </row>
    <row r="52" spans="1:3" ht="15" x14ac:dyDescent="0.25">
      <c r="A52"/>
      <c r="B52"/>
      <c r="C52"/>
    </row>
    <row r="53" spans="1:3" ht="15" x14ac:dyDescent="0.25">
      <c r="A53"/>
      <c r="B53"/>
      <c r="C53"/>
    </row>
    <row r="54" spans="1:3" ht="15" x14ac:dyDescent="0.25">
      <c r="A54"/>
      <c r="B54"/>
      <c r="C54"/>
    </row>
    <row r="55" spans="1:3" ht="15" x14ac:dyDescent="0.25">
      <c r="A55"/>
      <c r="B55"/>
      <c r="C55"/>
    </row>
    <row r="56" spans="1:3" ht="15" x14ac:dyDescent="0.25">
      <c r="A56"/>
      <c r="B56"/>
      <c r="C56"/>
    </row>
    <row r="57" spans="1:3" ht="15" x14ac:dyDescent="0.25">
      <c r="A57"/>
      <c r="B57"/>
      <c r="C57"/>
    </row>
    <row r="58" spans="1:3" ht="15" x14ac:dyDescent="0.25">
      <c r="A58"/>
      <c r="B58"/>
      <c r="C58"/>
    </row>
    <row r="59" spans="1:3" ht="15" x14ac:dyDescent="0.25">
      <c r="A59"/>
      <c r="B59"/>
      <c r="C59"/>
    </row>
    <row r="60" spans="1:3" ht="15" x14ac:dyDescent="0.25">
      <c r="A60"/>
      <c r="B60"/>
      <c r="C60"/>
    </row>
    <row r="61" spans="1:3" ht="15" x14ac:dyDescent="0.25">
      <c r="A61"/>
      <c r="B61"/>
      <c r="C61"/>
    </row>
    <row r="62" spans="1:3" ht="15" x14ac:dyDescent="0.25">
      <c r="A62"/>
      <c r="B62"/>
      <c r="C62"/>
    </row>
    <row r="63" spans="1:3" ht="15" x14ac:dyDescent="0.25">
      <c r="A63"/>
      <c r="B63"/>
      <c r="C6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4"/>
  <sheetViews>
    <sheetView topLeftCell="R31" workbookViewId="0">
      <selection activeCell="V49" sqref="V49"/>
    </sheetView>
  </sheetViews>
  <sheetFormatPr defaultRowHeight="12.75" x14ac:dyDescent="0.2"/>
  <cols>
    <col min="1" max="1" width="44.5703125" style="26" bestFit="1" customWidth="1"/>
    <col min="2" max="2" width="30.42578125" style="26" bestFit="1" customWidth="1"/>
    <col min="3" max="23" width="9.140625" style="26"/>
    <col min="24" max="24" width="15.85546875" style="26" bestFit="1" customWidth="1"/>
    <col min="25" max="25" width="16.7109375" style="26" bestFit="1" customWidth="1"/>
    <col min="26" max="26" width="9.140625" style="26"/>
    <col min="27" max="27" width="20.140625" style="26" bestFit="1" customWidth="1"/>
    <col min="28" max="16384" width="9.140625" style="26"/>
  </cols>
  <sheetData>
    <row r="1" spans="1:79" x14ac:dyDescent="0.2">
      <c r="A1" s="26" t="s">
        <v>131</v>
      </c>
      <c r="B1" s="26" t="s">
        <v>132</v>
      </c>
      <c r="C1" s="26" t="s">
        <v>133</v>
      </c>
      <c r="D1" s="26" t="s">
        <v>134</v>
      </c>
      <c r="E1" s="26" t="s">
        <v>135</v>
      </c>
      <c r="F1" s="26" t="s">
        <v>136</v>
      </c>
      <c r="G1" s="26" t="s">
        <v>137</v>
      </c>
      <c r="H1" s="26" t="s">
        <v>138</v>
      </c>
      <c r="I1" s="26" t="s">
        <v>132</v>
      </c>
      <c r="J1" s="26" t="s">
        <v>139</v>
      </c>
      <c r="K1" s="26" t="s">
        <v>140</v>
      </c>
      <c r="L1" s="26" t="s">
        <v>141</v>
      </c>
      <c r="M1" s="26" t="s">
        <v>142</v>
      </c>
      <c r="N1" s="26" t="s">
        <v>143</v>
      </c>
      <c r="O1" s="26" t="s">
        <v>144</v>
      </c>
      <c r="P1" s="26" t="s">
        <v>145</v>
      </c>
      <c r="Q1" s="26" t="s">
        <v>146</v>
      </c>
      <c r="R1" s="26" t="s">
        <v>147</v>
      </c>
      <c r="S1" s="26" t="s">
        <v>148</v>
      </c>
      <c r="T1" s="26" t="s">
        <v>149</v>
      </c>
      <c r="U1" s="26" t="s">
        <v>150</v>
      </c>
      <c r="V1" s="26" t="s">
        <v>151</v>
      </c>
      <c r="W1" s="26" t="s">
        <v>152</v>
      </c>
      <c r="X1" s="26" t="s">
        <v>153</v>
      </c>
      <c r="Y1" s="26" t="s">
        <v>154</v>
      </c>
      <c r="Z1" s="26" t="s">
        <v>155</v>
      </c>
      <c r="AA1" s="26" t="s">
        <v>156</v>
      </c>
      <c r="AB1" s="26" t="s">
        <v>157</v>
      </c>
      <c r="AC1" s="26" t="s">
        <v>158</v>
      </c>
      <c r="AD1" s="26" t="s">
        <v>159</v>
      </c>
      <c r="AE1" s="26" t="s">
        <v>160</v>
      </c>
      <c r="AF1" s="26" t="s">
        <v>161</v>
      </c>
      <c r="AG1" s="26" t="s">
        <v>162</v>
      </c>
      <c r="AH1" s="26" t="s">
        <v>163</v>
      </c>
      <c r="AI1" s="26" t="s">
        <v>164</v>
      </c>
      <c r="AJ1" s="26" t="s">
        <v>165</v>
      </c>
      <c r="AK1" s="26" t="s">
        <v>166</v>
      </c>
      <c r="AL1" s="26" t="s">
        <v>167</v>
      </c>
      <c r="AM1" s="26" t="s">
        <v>168</v>
      </c>
      <c r="AN1" s="26" t="s">
        <v>169</v>
      </c>
      <c r="AO1" s="26" t="s">
        <v>170</v>
      </c>
      <c r="AP1" s="26" t="s">
        <v>171</v>
      </c>
      <c r="AQ1" s="26" t="s">
        <v>172</v>
      </c>
      <c r="AR1" s="26" t="s">
        <v>173</v>
      </c>
      <c r="AS1" s="26" t="s">
        <v>174</v>
      </c>
      <c r="AT1" s="26" t="s">
        <v>175</v>
      </c>
      <c r="AU1" s="26" t="s">
        <v>176</v>
      </c>
      <c r="AV1" s="26" t="s">
        <v>177</v>
      </c>
      <c r="AW1" s="26" t="s">
        <v>178</v>
      </c>
      <c r="AX1" s="26" t="s">
        <v>179</v>
      </c>
      <c r="AY1" s="26" t="s">
        <v>180</v>
      </c>
      <c r="AZ1" s="26" t="s">
        <v>181</v>
      </c>
      <c r="BA1" s="26" t="s">
        <v>182</v>
      </c>
      <c r="BB1" s="26" t="s">
        <v>183</v>
      </c>
      <c r="BC1" s="26" t="s">
        <v>184</v>
      </c>
      <c r="BD1" s="26" t="s">
        <v>185</v>
      </c>
      <c r="BE1" s="26" t="s">
        <v>186</v>
      </c>
      <c r="BF1" s="26" t="s">
        <v>187</v>
      </c>
      <c r="BG1" s="26" t="s">
        <v>188</v>
      </c>
      <c r="BH1" s="26" t="s">
        <v>189</v>
      </c>
      <c r="BI1" s="26" t="s">
        <v>190</v>
      </c>
      <c r="BJ1" s="26" t="s">
        <v>191</v>
      </c>
      <c r="BK1" s="26" t="s">
        <v>192</v>
      </c>
      <c r="BL1" s="26" t="s">
        <v>193</v>
      </c>
      <c r="BM1" s="26" t="s">
        <v>194</v>
      </c>
      <c r="BN1" s="26" t="s">
        <v>195</v>
      </c>
      <c r="BO1" s="26" t="s">
        <v>196</v>
      </c>
      <c r="BP1" s="26" t="s">
        <v>197</v>
      </c>
      <c r="BQ1" s="26" t="s">
        <v>198</v>
      </c>
      <c r="BR1" s="26" t="s">
        <v>199</v>
      </c>
      <c r="BS1" s="26" t="s">
        <v>200</v>
      </c>
      <c r="BT1" s="26" t="s">
        <v>201</v>
      </c>
      <c r="BU1" s="26" t="s">
        <v>202</v>
      </c>
      <c r="BV1" s="26" t="s">
        <v>203</v>
      </c>
      <c r="BW1" s="26" t="s">
        <v>204</v>
      </c>
      <c r="BX1" s="26" t="s">
        <v>205</v>
      </c>
      <c r="BY1" s="26" t="s">
        <v>206</v>
      </c>
      <c r="BZ1" s="26" t="s">
        <v>207</v>
      </c>
      <c r="CA1" s="26" t="s">
        <v>208</v>
      </c>
    </row>
    <row r="2" spans="1:79" x14ac:dyDescent="0.2">
      <c r="A2" s="26" t="s">
        <v>209</v>
      </c>
      <c r="B2" s="26" t="s">
        <v>210</v>
      </c>
      <c r="C2" s="26">
        <v>2019</v>
      </c>
      <c r="D2" s="26" t="s">
        <v>459</v>
      </c>
      <c r="E2" s="26">
        <v>2.0190215914551901E+17</v>
      </c>
      <c r="F2" s="26" t="s">
        <v>212</v>
      </c>
      <c r="G2" s="26" t="s">
        <v>609</v>
      </c>
      <c r="H2" s="26">
        <v>1316134</v>
      </c>
      <c r="J2" s="26" t="s">
        <v>214</v>
      </c>
      <c r="K2" s="26" t="s">
        <v>215</v>
      </c>
      <c r="N2" s="26" t="s">
        <v>530</v>
      </c>
      <c r="O2" s="26" t="s">
        <v>36</v>
      </c>
      <c r="P2" s="26" t="s">
        <v>217</v>
      </c>
      <c r="Q2" s="26" t="s">
        <v>28</v>
      </c>
      <c r="R2" s="26" t="s">
        <v>529</v>
      </c>
      <c r="S2" s="26" t="s">
        <v>26</v>
      </c>
      <c r="T2" s="26" t="s">
        <v>528</v>
      </c>
      <c r="V2" s="26" t="s">
        <v>220</v>
      </c>
      <c r="X2" s="26" t="s">
        <v>221</v>
      </c>
      <c r="Y2" s="26" t="s">
        <v>130</v>
      </c>
      <c r="Z2" s="26">
        <v>28255</v>
      </c>
      <c r="AA2" s="26" t="s">
        <v>222</v>
      </c>
      <c r="AB2" s="26" t="s">
        <v>527</v>
      </c>
      <c r="AD2" s="26">
        <v>15</v>
      </c>
      <c r="AE2" s="26" t="s">
        <v>224</v>
      </c>
      <c r="AI2" s="31">
        <v>43496</v>
      </c>
      <c r="AJ2" s="26">
        <v>110</v>
      </c>
      <c r="AK2" s="26">
        <v>220</v>
      </c>
      <c r="BG2" s="26" t="s">
        <v>26</v>
      </c>
      <c r="BI2" s="26" t="s">
        <v>225</v>
      </c>
      <c r="BK2" s="26" t="s">
        <v>31</v>
      </c>
      <c r="BL2" s="26" t="s">
        <v>238</v>
      </c>
      <c r="BM2" s="26" t="s">
        <v>227</v>
      </c>
      <c r="BN2" s="30">
        <v>43525.143971701385</v>
      </c>
      <c r="BR2" s="26" t="s">
        <v>228</v>
      </c>
      <c r="BS2" s="26">
        <v>4.02152019163953E+18</v>
      </c>
      <c r="BT2" s="26" t="s">
        <v>229</v>
      </c>
      <c r="BV2" s="26">
        <v>2020</v>
      </c>
      <c r="BW2" s="26" t="s">
        <v>230</v>
      </c>
      <c r="BY2" s="26">
        <v>4.0228201916446602E+18</v>
      </c>
      <c r="BZ2" s="26" t="s">
        <v>608</v>
      </c>
      <c r="CA2" s="26" t="s">
        <v>232</v>
      </c>
    </row>
    <row r="3" spans="1:79" x14ac:dyDescent="0.2">
      <c r="A3" s="26" t="s">
        <v>209</v>
      </c>
      <c r="B3" s="26" t="s">
        <v>210</v>
      </c>
      <c r="C3" s="26">
        <v>2019</v>
      </c>
      <c r="D3" s="26" t="s">
        <v>393</v>
      </c>
      <c r="E3" s="26">
        <v>2.01903159145712E+17</v>
      </c>
      <c r="F3" s="26" t="s">
        <v>212</v>
      </c>
      <c r="G3" s="26" t="s">
        <v>607</v>
      </c>
      <c r="H3" s="26">
        <v>1319532</v>
      </c>
      <c r="J3" s="26" t="s">
        <v>214</v>
      </c>
      <c r="K3" s="26" t="s">
        <v>215</v>
      </c>
      <c r="N3" s="26" t="s">
        <v>530</v>
      </c>
      <c r="O3" s="26" t="s">
        <v>36</v>
      </c>
      <c r="P3" s="26" t="s">
        <v>217</v>
      </c>
      <c r="Q3" s="26" t="s">
        <v>28</v>
      </c>
      <c r="R3" s="26" t="s">
        <v>529</v>
      </c>
      <c r="S3" s="26" t="s">
        <v>26</v>
      </c>
      <c r="T3" s="26" t="s">
        <v>528</v>
      </c>
      <c r="V3" s="26" t="s">
        <v>220</v>
      </c>
      <c r="X3" s="26" t="s">
        <v>221</v>
      </c>
      <c r="Y3" s="26" t="s">
        <v>130</v>
      </c>
      <c r="Z3" s="26">
        <v>28255</v>
      </c>
      <c r="AA3" s="26" t="s">
        <v>222</v>
      </c>
      <c r="AB3" s="26" t="s">
        <v>527</v>
      </c>
      <c r="AD3" s="26">
        <v>15</v>
      </c>
      <c r="AE3" s="26" t="s">
        <v>224</v>
      </c>
      <c r="AI3" s="31">
        <v>43511</v>
      </c>
      <c r="AJ3" s="26">
        <v>110</v>
      </c>
      <c r="AK3" s="26">
        <v>330</v>
      </c>
      <c r="BG3" s="26" t="s">
        <v>26</v>
      </c>
      <c r="BI3" s="26" t="s">
        <v>225</v>
      </c>
      <c r="BK3" s="26" t="s">
        <v>31</v>
      </c>
      <c r="BL3" s="26" t="s">
        <v>238</v>
      </c>
      <c r="BM3" s="26" t="s">
        <v>227</v>
      </c>
      <c r="BN3" s="30">
        <v>43543.128327997685</v>
      </c>
      <c r="BR3" s="26" t="s">
        <v>228</v>
      </c>
      <c r="BS3" s="26">
        <v>4.0315201916450601E+18</v>
      </c>
      <c r="BT3" s="26" t="s">
        <v>229</v>
      </c>
      <c r="BV3" s="26">
        <v>2020</v>
      </c>
      <c r="BW3" s="26" t="s">
        <v>230</v>
      </c>
      <c r="BY3" s="26">
        <v>4.03182019164514E+18</v>
      </c>
      <c r="BZ3" s="26" t="s">
        <v>605</v>
      </c>
      <c r="CA3" s="26" t="s">
        <v>232</v>
      </c>
    </row>
    <row r="4" spans="1:79" x14ac:dyDescent="0.2">
      <c r="A4" s="26" t="s">
        <v>209</v>
      </c>
      <c r="B4" s="26" t="s">
        <v>210</v>
      </c>
      <c r="C4" s="26">
        <v>2019</v>
      </c>
      <c r="D4" s="26" t="s">
        <v>393</v>
      </c>
      <c r="E4" s="26">
        <v>2.01903159145712E+17</v>
      </c>
      <c r="F4" s="26" t="s">
        <v>212</v>
      </c>
      <c r="G4" s="26" t="s">
        <v>606</v>
      </c>
      <c r="H4" s="26">
        <v>1319532</v>
      </c>
      <c r="J4" s="26" t="s">
        <v>214</v>
      </c>
      <c r="K4" s="26" t="s">
        <v>215</v>
      </c>
      <c r="N4" s="26" t="s">
        <v>530</v>
      </c>
      <c r="O4" s="26" t="s">
        <v>36</v>
      </c>
      <c r="P4" s="26" t="s">
        <v>217</v>
      </c>
      <c r="Q4" s="26" t="s">
        <v>28</v>
      </c>
      <c r="R4" s="26" t="s">
        <v>529</v>
      </c>
      <c r="S4" s="26" t="s">
        <v>26</v>
      </c>
      <c r="T4" s="26" t="s">
        <v>528</v>
      </c>
      <c r="V4" s="26" t="s">
        <v>220</v>
      </c>
      <c r="X4" s="26" t="s">
        <v>221</v>
      </c>
      <c r="Y4" s="26" t="s">
        <v>130</v>
      </c>
      <c r="Z4" s="26">
        <v>28255</v>
      </c>
      <c r="AA4" s="26" t="s">
        <v>222</v>
      </c>
      <c r="AB4" s="26" t="s">
        <v>527</v>
      </c>
      <c r="AD4" s="26">
        <v>15</v>
      </c>
      <c r="AE4" s="26" t="s">
        <v>224</v>
      </c>
      <c r="AI4" s="31">
        <v>43524</v>
      </c>
      <c r="AJ4" s="26">
        <v>110</v>
      </c>
      <c r="AK4" s="26">
        <v>440</v>
      </c>
      <c r="BG4" s="26" t="s">
        <v>26</v>
      </c>
      <c r="BI4" s="26" t="s">
        <v>225</v>
      </c>
      <c r="BK4" s="26" t="s">
        <v>31</v>
      </c>
      <c r="BL4" s="26" t="s">
        <v>238</v>
      </c>
      <c r="BM4" s="26" t="s">
        <v>227</v>
      </c>
      <c r="BN4" s="30">
        <v>43543.128327997685</v>
      </c>
      <c r="BR4" s="26" t="s">
        <v>228</v>
      </c>
      <c r="BS4" s="26">
        <v>4.0315201916450601E+18</v>
      </c>
      <c r="BT4" s="26" t="s">
        <v>229</v>
      </c>
      <c r="BV4" s="26">
        <v>2020</v>
      </c>
      <c r="BW4" s="26" t="s">
        <v>230</v>
      </c>
      <c r="BY4" s="26">
        <v>4.03182019164514E+18</v>
      </c>
      <c r="BZ4" s="26" t="s">
        <v>605</v>
      </c>
      <c r="CA4" s="26" t="s">
        <v>232</v>
      </c>
    </row>
    <row r="5" spans="1:79" x14ac:dyDescent="0.2">
      <c r="A5" s="26" t="s">
        <v>209</v>
      </c>
      <c r="B5" s="26" t="s">
        <v>210</v>
      </c>
      <c r="C5" s="26">
        <v>2019</v>
      </c>
      <c r="D5" s="26" t="s">
        <v>563</v>
      </c>
      <c r="E5" s="26">
        <v>2.0190412914610301E+17</v>
      </c>
      <c r="F5" s="26" t="s">
        <v>212</v>
      </c>
      <c r="G5" s="26" t="s">
        <v>604</v>
      </c>
      <c r="H5" s="26">
        <v>1324297</v>
      </c>
      <c r="J5" s="26" t="s">
        <v>214</v>
      </c>
      <c r="K5" s="26" t="s">
        <v>215</v>
      </c>
      <c r="N5" s="26" t="s">
        <v>530</v>
      </c>
      <c r="O5" s="26" t="s">
        <v>36</v>
      </c>
      <c r="P5" s="26" t="s">
        <v>217</v>
      </c>
      <c r="Q5" s="26" t="s">
        <v>28</v>
      </c>
      <c r="R5" s="26" t="s">
        <v>529</v>
      </c>
      <c r="S5" s="26" t="s">
        <v>26</v>
      </c>
      <c r="T5" s="26" t="s">
        <v>528</v>
      </c>
      <c r="V5" s="26" t="s">
        <v>220</v>
      </c>
      <c r="X5" s="26" t="s">
        <v>221</v>
      </c>
      <c r="Y5" s="26" t="s">
        <v>130</v>
      </c>
      <c r="Z5" s="26">
        <v>28255</v>
      </c>
      <c r="AA5" s="26" t="s">
        <v>222</v>
      </c>
      <c r="AB5" s="26" t="s">
        <v>527</v>
      </c>
      <c r="AD5" s="26">
        <v>15</v>
      </c>
      <c r="AE5" s="26" t="s">
        <v>224</v>
      </c>
      <c r="AI5" s="31">
        <v>43539</v>
      </c>
      <c r="AJ5" s="26">
        <v>110</v>
      </c>
      <c r="AK5" s="26">
        <v>550</v>
      </c>
      <c r="BG5" s="26" t="s">
        <v>26</v>
      </c>
      <c r="BI5" s="26" t="s">
        <v>225</v>
      </c>
      <c r="BK5" s="26" t="s">
        <v>31</v>
      </c>
      <c r="BL5" s="26" t="s">
        <v>238</v>
      </c>
      <c r="BM5" s="26" t="s">
        <v>227</v>
      </c>
      <c r="BN5" s="30">
        <v>43568.111248946756</v>
      </c>
      <c r="BR5" s="26" t="s">
        <v>228</v>
      </c>
      <c r="BS5" s="26">
        <v>4.0412201916462198E+18</v>
      </c>
      <c r="BT5" s="26" t="s">
        <v>229</v>
      </c>
      <c r="BV5" s="26">
        <v>2020</v>
      </c>
      <c r="BW5" s="26" t="s">
        <v>230</v>
      </c>
      <c r="BY5" s="26">
        <v>4.0412201916462602E+18</v>
      </c>
      <c r="BZ5" s="26" t="s">
        <v>602</v>
      </c>
      <c r="CA5" s="26" t="s">
        <v>232</v>
      </c>
    </row>
    <row r="6" spans="1:79" x14ac:dyDescent="0.2">
      <c r="A6" s="26" t="s">
        <v>209</v>
      </c>
      <c r="B6" s="26" t="s">
        <v>210</v>
      </c>
      <c r="C6" s="26">
        <v>2019</v>
      </c>
      <c r="D6" s="26" t="s">
        <v>563</v>
      </c>
      <c r="E6" s="26">
        <v>2.0190412914610301E+17</v>
      </c>
      <c r="F6" s="26" t="s">
        <v>212</v>
      </c>
      <c r="G6" s="26" t="s">
        <v>603</v>
      </c>
      <c r="H6" s="26">
        <v>1324297</v>
      </c>
      <c r="J6" s="26" t="s">
        <v>214</v>
      </c>
      <c r="K6" s="26" t="s">
        <v>215</v>
      </c>
      <c r="N6" s="26" t="s">
        <v>530</v>
      </c>
      <c r="O6" s="26" t="s">
        <v>36</v>
      </c>
      <c r="P6" s="26" t="s">
        <v>217</v>
      </c>
      <c r="Q6" s="26" t="s">
        <v>28</v>
      </c>
      <c r="R6" s="26" t="s">
        <v>529</v>
      </c>
      <c r="S6" s="26" t="s">
        <v>26</v>
      </c>
      <c r="T6" s="26" t="s">
        <v>528</v>
      </c>
      <c r="V6" s="26" t="s">
        <v>220</v>
      </c>
      <c r="X6" s="26" t="s">
        <v>221</v>
      </c>
      <c r="Y6" s="26" t="s">
        <v>130</v>
      </c>
      <c r="Z6" s="26">
        <v>28255</v>
      </c>
      <c r="AA6" s="26" t="s">
        <v>222</v>
      </c>
      <c r="AB6" s="26" t="s">
        <v>527</v>
      </c>
      <c r="AD6" s="26">
        <v>15</v>
      </c>
      <c r="AE6" s="26" t="s">
        <v>224</v>
      </c>
      <c r="AI6" s="31">
        <v>43555</v>
      </c>
      <c r="AJ6" s="26">
        <v>110</v>
      </c>
      <c r="AK6" s="26">
        <v>660</v>
      </c>
      <c r="BG6" s="26" t="s">
        <v>26</v>
      </c>
      <c r="BI6" s="26" t="s">
        <v>225</v>
      </c>
      <c r="BK6" s="26" t="s">
        <v>31</v>
      </c>
      <c r="BL6" s="26" t="s">
        <v>238</v>
      </c>
      <c r="BM6" s="26" t="s">
        <v>227</v>
      </c>
      <c r="BN6" s="30">
        <v>43568.111248946756</v>
      </c>
      <c r="BR6" s="26" t="s">
        <v>228</v>
      </c>
      <c r="BS6" s="26">
        <v>4.0412201916462198E+18</v>
      </c>
      <c r="BT6" s="26" t="s">
        <v>229</v>
      </c>
      <c r="BV6" s="26">
        <v>2020</v>
      </c>
      <c r="BW6" s="26" t="s">
        <v>230</v>
      </c>
      <c r="BY6" s="26">
        <v>4.0412201916462602E+18</v>
      </c>
      <c r="BZ6" s="26" t="s">
        <v>602</v>
      </c>
      <c r="CA6" s="26" t="s">
        <v>232</v>
      </c>
    </row>
    <row r="7" spans="1:79" x14ac:dyDescent="0.2">
      <c r="A7" s="26" t="s">
        <v>209</v>
      </c>
      <c r="B7" s="26" t="s">
        <v>210</v>
      </c>
      <c r="C7" s="26">
        <v>2019</v>
      </c>
      <c r="D7" s="26" t="s">
        <v>557</v>
      </c>
      <c r="E7" s="26">
        <v>2.0190514914969501E+17</v>
      </c>
      <c r="F7" s="26" t="s">
        <v>212</v>
      </c>
      <c r="G7" s="26" t="s">
        <v>601</v>
      </c>
      <c r="H7" s="26">
        <v>1330608</v>
      </c>
      <c r="J7" s="26" t="s">
        <v>214</v>
      </c>
      <c r="K7" s="26" t="s">
        <v>215</v>
      </c>
      <c r="N7" s="26" t="s">
        <v>530</v>
      </c>
      <c r="O7" s="26" t="s">
        <v>36</v>
      </c>
      <c r="P7" s="26" t="s">
        <v>217</v>
      </c>
      <c r="Q7" s="26" t="s">
        <v>28</v>
      </c>
      <c r="R7" s="26" t="s">
        <v>529</v>
      </c>
      <c r="S7" s="26" t="s">
        <v>26</v>
      </c>
      <c r="T7" s="26" t="s">
        <v>528</v>
      </c>
      <c r="V7" s="26" t="s">
        <v>220</v>
      </c>
      <c r="X7" s="26" t="s">
        <v>221</v>
      </c>
      <c r="Y7" s="26" t="s">
        <v>130</v>
      </c>
      <c r="Z7" s="26">
        <v>28255</v>
      </c>
      <c r="AA7" s="26" t="s">
        <v>222</v>
      </c>
      <c r="AB7" s="26" t="s">
        <v>527</v>
      </c>
      <c r="AD7" s="26">
        <v>15</v>
      </c>
      <c r="AE7" s="26" t="s">
        <v>224</v>
      </c>
      <c r="AI7" s="31">
        <v>43570</v>
      </c>
      <c r="AJ7" s="26">
        <v>110</v>
      </c>
      <c r="AK7" s="26">
        <v>770</v>
      </c>
      <c r="BG7" s="26" t="s">
        <v>26</v>
      </c>
      <c r="BI7" s="26" t="s">
        <v>225</v>
      </c>
      <c r="BK7" s="26" t="s">
        <v>31</v>
      </c>
      <c r="BL7" s="26" t="s">
        <v>238</v>
      </c>
      <c r="BM7" s="26" t="s">
        <v>227</v>
      </c>
      <c r="BN7" s="30">
        <v>43600.358288993055</v>
      </c>
      <c r="BR7" s="26" t="s">
        <v>228</v>
      </c>
      <c r="BS7" s="26">
        <v>4.0514201916518502E+18</v>
      </c>
      <c r="BT7" s="26" t="s">
        <v>229</v>
      </c>
      <c r="BV7" s="26">
        <v>2020</v>
      </c>
      <c r="BW7" s="26" t="s">
        <v>230</v>
      </c>
      <c r="BY7" s="26">
        <v>4.0514201916567798E+18</v>
      </c>
      <c r="BZ7" s="26" t="s">
        <v>599</v>
      </c>
      <c r="CA7" s="26" t="s">
        <v>232</v>
      </c>
    </row>
    <row r="8" spans="1:79" x14ac:dyDescent="0.2">
      <c r="A8" s="26" t="s">
        <v>209</v>
      </c>
      <c r="B8" s="26" t="s">
        <v>210</v>
      </c>
      <c r="C8" s="26">
        <v>2019</v>
      </c>
      <c r="D8" s="26" t="s">
        <v>557</v>
      </c>
      <c r="E8" s="26">
        <v>2.0190514914969501E+17</v>
      </c>
      <c r="F8" s="26" t="s">
        <v>212</v>
      </c>
      <c r="G8" s="26" t="s">
        <v>600</v>
      </c>
      <c r="H8" s="26">
        <v>1330608</v>
      </c>
      <c r="J8" s="26" t="s">
        <v>214</v>
      </c>
      <c r="K8" s="26" t="s">
        <v>215</v>
      </c>
      <c r="N8" s="26" t="s">
        <v>530</v>
      </c>
      <c r="O8" s="26" t="s">
        <v>36</v>
      </c>
      <c r="P8" s="26" t="s">
        <v>217</v>
      </c>
      <c r="Q8" s="26" t="s">
        <v>28</v>
      </c>
      <c r="R8" s="26" t="s">
        <v>529</v>
      </c>
      <c r="S8" s="26" t="s">
        <v>26</v>
      </c>
      <c r="T8" s="26" t="s">
        <v>528</v>
      </c>
      <c r="V8" s="26" t="s">
        <v>220</v>
      </c>
      <c r="X8" s="26" t="s">
        <v>221</v>
      </c>
      <c r="Y8" s="26" t="s">
        <v>130</v>
      </c>
      <c r="Z8" s="26">
        <v>28255</v>
      </c>
      <c r="AA8" s="26" t="s">
        <v>222</v>
      </c>
      <c r="AB8" s="26" t="s">
        <v>527</v>
      </c>
      <c r="AD8" s="26">
        <v>15</v>
      </c>
      <c r="AE8" s="26" t="s">
        <v>224</v>
      </c>
      <c r="AI8" s="31">
        <v>43585</v>
      </c>
      <c r="AJ8" s="26">
        <v>110</v>
      </c>
      <c r="AK8" s="26">
        <v>880</v>
      </c>
      <c r="BG8" s="26" t="s">
        <v>26</v>
      </c>
      <c r="BI8" s="26" t="s">
        <v>225</v>
      </c>
      <c r="BK8" s="26" t="s">
        <v>31</v>
      </c>
      <c r="BL8" s="26" t="s">
        <v>238</v>
      </c>
      <c r="BM8" s="26" t="s">
        <v>227</v>
      </c>
      <c r="BN8" s="30">
        <v>43600.358288993055</v>
      </c>
      <c r="BR8" s="26" t="s">
        <v>228</v>
      </c>
      <c r="BS8" s="26">
        <v>4.0514201916518502E+18</v>
      </c>
      <c r="BT8" s="26" t="s">
        <v>229</v>
      </c>
      <c r="BV8" s="26">
        <v>2020</v>
      </c>
      <c r="BW8" s="26" t="s">
        <v>230</v>
      </c>
      <c r="BY8" s="26">
        <v>4.0514201916567798E+18</v>
      </c>
      <c r="BZ8" s="26" t="s">
        <v>599</v>
      </c>
      <c r="CA8" s="26" t="s">
        <v>232</v>
      </c>
    </row>
    <row r="9" spans="1:79" x14ac:dyDescent="0.2">
      <c r="A9" s="26" t="s">
        <v>209</v>
      </c>
      <c r="B9" s="26" t="s">
        <v>210</v>
      </c>
      <c r="C9" s="26">
        <v>2019</v>
      </c>
      <c r="D9" s="26" t="s">
        <v>274</v>
      </c>
      <c r="E9" s="26">
        <v>2.01908169162884E+17</v>
      </c>
      <c r="F9" s="26" t="s">
        <v>212</v>
      </c>
      <c r="G9" s="26" t="s">
        <v>598</v>
      </c>
      <c r="H9" s="26">
        <v>1348081</v>
      </c>
      <c r="J9" s="26" t="s">
        <v>214</v>
      </c>
      <c r="K9" s="26" t="s">
        <v>215</v>
      </c>
      <c r="N9" s="26" t="s">
        <v>530</v>
      </c>
      <c r="O9" s="26" t="s">
        <v>36</v>
      </c>
      <c r="P9" s="26" t="s">
        <v>217</v>
      </c>
      <c r="Q9" s="26" t="s">
        <v>28</v>
      </c>
      <c r="R9" s="26" t="s">
        <v>529</v>
      </c>
      <c r="S9" s="26" t="s">
        <v>26</v>
      </c>
      <c r="T9" s="26" t="s">
        <v>528</v>
      </c>
      <c r="V9" s="26" t="s">
        <v>220</v>
      </c>
      <c r="X9" s="26" t="s">
        <v>221</v>
      </c>
      <c r="Y9" s="26" t="s">
        <v>130</v>
      </c>
      <c r="Z9" s="26">
        <v>28255</v>
      </c>
      <c r="AA9" s="26" t="s">
        <v>222</v>
      </c>
      <c r="AB9" s="26" t="s">
        <v>527</v>
      </c>
      <c r="AD9" s="26">
        <v>15</v>
      </c>
      <c r="AE9" s="26" t="s">
        <v>224</v>
      </c>
      <c r="AI9" s="31">
        <v>43661</v>
      </c>
      <c r="AJ9" s="26">
        <v>110</v>
      </c>
      <c r="AK9" s="26">
        <v>1430</v>
      </c>
      <c r="BG9" s="26" t="s">
        <v>26</v>
      </c>
      <c r="BI9" s="26" t="s">
        <v>225</v>
      </c>
      <c r="BK9" s="26" t="s">
        <v>31</v>
      </c>
      <c r="BL9" s="26" t="s">
        <v>238</v>
      </c>
      <c r="BM9" s="26" t="s">
        <v>227</v>
      </c>
      <c r="BN9" s="30">
        <v>43694.110414120369</v>
      </c>
      <c r="BR9" s="26" t="s">
        <v>228</v>
      </c>
      <c r="BS9" s="26">
        <v>4.0816201916633702E+18</v>
      </c>
      <c r="BT9" s="26" t="s">
        <v>229</v>
      </c>
      <c r="BV9" s="26">
        <v>2020</v>
      </c>
      <c r="BW9" s="26" t="s">
        <v>230</v>
      </c>
      <c r="BY9" s="26">
        <v>4.0816201916633902E+18</v>
      </c>
      <c r="BZ9" s="26" t="s">
        <v>596</v>
      </c>
      <c r="CA9" s="26" t="s">
        <v>232</v>
      </c>
    </row>
    <row r="10" spans="1:79" x14ac:dyDescent="0.2">
      <c r="A10" s="26" t="s">
        <v>209</v>
      </c>
      <c r="B10" s="26" t="s">
        <v>210</v>
      </c>
      <c r="C10" s="26">
        <v>2019</v>
      </c>
      <c r="D10" s="26" t="s">
        <v>274</v>
      </c>
      <c r="E10" s="26">
        <v>2.01908169162884E+17</v>
      </c>
      <c r="F10" s="26" t="s">
        <v>212</v>
      </c>
      <c r="G10" s="26" t="s">
        <v>597</v>
      </c>
      <c r="H10" s="26">
        <v>1348081</v>
      </c>
      <c r="J10" s="26" t="s">
        <v>214</v>
      </c>
      <c r="K10" s="26" t="s">
        <v>215</v>
      </c>
      <c r="N10" s="26" t="s">
        <v>530</v>
      </c>
      <c r="O10" s="26" t="s">
        <v>36</v>
      </c>
      <c r="P10" s="26" t="s">
        <v>217</v>
      </c>
      <c r="Q10" s="26" t="s">
        <v>28</v>
      </c>
      <c r="R10" s="26" t="s">
        <v>529</v>
      </c>
      <c r="S10" s="26" t="s">
        <v>26</v>
      </c>
      <c r="T10" s="26" t="s">
        <v>528</v>
      </c>
      <c r="V10" s="26" t="s">
        <v>220</v>
      </c>
      <c r="X10" s="26" t="s">
        <v>221</v>
      </c>
      <c r="Y10" s="26" t="s">
        <v>130</v>
      </c>
      <c r="Z10" s="26">
        <v>28255</v>
      </c>
      <c r="AA10" s="26" t="s">
        <v>222</v>
      </c>
      <c r="AB10" s="26" t="s">
        <v>527</v>
      </c>
      <c r="AD10" s="26">
        <v>15</v>
      </c>
      <c r="AE10" s="26" t="s">
        <v>224</v>
      </c>
      <c r="AI10" s="31">
        <v>43677</v>
      </c>
      <c r="AJ10" s="26">
        <v>110</v>
      </c>
      <c r="AK10" s="26">
        <v>1540</v>
      </c>
      <c r="BG10" s="26" t="s">
        <v>26</v>
      </c>
      <c r="BI10" s="26" t="s">
        <v>225</v>
      </c>
      <c r="BK10" s="26" t="s">
        <v>31</v>
      </c>
      <c r="BL10" s="26" t="s">
        <v>238</v>
      </c>
      <c r="BM10" s="26" t="s">
        <v>227</v>
      </c>
      <c r="BN10" s="30">
        <v>43694.110414120369</v>
      </c>
      <c r="BR10" s="26" t="s">
        <v>228</v>
      </c>
      <c r="BS10" s="26">
        <v>4.0816201916633702E+18</v>
      </c>
      <c r="BT10" s="26" t="s">
        <v>229</v>
      </c>
      <c r="BV10" s="26">
        <v>2020</v>
      </c>
      <c r="BW10" s="26" t="s">
        <v>230</v>
      </c>
      <c r="BY10" s="26">
        <v>4.0816201916633902E+18</v>
      </c>
      <c r="BZ10" s="26" t="s">
        <v>596</v>
      </c>
      <c r="CA10" s="26" t="s">
        <v>232</v>
      </c>
    </row>
    <row r="11" spans="1:79" x14ac:dyDescent="0.2">
      <c r="A11" s="26" t="s">
        <v>209</v>
      </c>
      <c r="B11" s="26" t="s">
        <v>210</v>
      </c>
      <c r="C11" s="26">
        <v>2019</v>
      </c>
      <c r="D11" s="26" t="s">
        <v>508</v>
      </c>
      <c r="E11" s="26">
        <v>2.0200120916727501E+17</v>
      </c>
      <c r="F11" s="26" t="s">
        <v>212</v>
      </c>
      <c r="G11" s="26" t="s">
        <v>595</v>
      </c>
      <c r="H11" s="26">
        <v>1371432</v>
      </c>
      <c r="J11" s="26" t="s">
        <v>214</v>
      </c>
      <c r="K11" s="26" t="s">
        <v>215</v>
      </c>
      <c r="N11" s="26" t="s">
        <v>530</v>
      </c>
      <c r="O11" s="26" t="s">
        <v>36</v>
      </c>
      <c r="P11" s="26" t="s">
        <v>217</v>
      </c>
      <c r="Q11" s="26" t="s">
        <v>28</v>
      </c>
      <c r="R11" s="26" t="s">
        <v>529</v>
      </c>
      <c r="S11" s="26" t="s">
        <v>26</v>
      </c>
      <c r="T11" s="26" t="s">
        <v>528</v>
      </c>
      <c r="V11" s="26" t="s">
        <v>220</v>
      </c>
      <c r="X11" s="26" t="s">
        <v>221</v>
      </c>
      <c r="Y11" s="26" t="s">
        <v>130</v>
      </c>
      <c r="Z11" s="26">
        <v>28255</v>
      </c>
      <c r="AA11" s="26" t="s">
        <v>222</v>
      </c>
      <c r="AB11" s="26" t="s">
        <v>527</v>
      </c>
      <c r="AD11" s="26">
        <v>15</v>
      </c>
      <c r="AE11" s="26" t="s">
        <v>224</v>
      </c>
      <c r="AI11" s="31">
        <v>43814</v>
      </c>
      <c r="AJ11" s="26">
        <v>110</v>
      </c>
      <c r="AK11" s="26">
        <v>2530</v>
      </c>
      <c r="BG11" s="26" t="s">
        <v>26</v>
      </c>
      <c r="BI11" s="26" t="s">
        <v>225</v>
      </c>
      <c r="BK11" s="26" t="s">
        <v>31</v>
      </c>
      <c r="BL11" s="26" t="s">
        <v>238</v>
      </c>
      <c r="BM11" s="26" t="s">
        <v>227</v>
      </c>
      <c r="BN11" s="30">
        <v>43852.06793247685</v>
      </c>
      <c r="BR11" s="26" t="s">
        <v>228</v>
      </c>
      <c r="BS11" s="26">
        <v>4.0120202016853202E+18</v>
      </c>
      <c r="BT11" s="26" t="s">
        <v>229</v>
      </c>
      <c r="BV11" s="26">
        <v>2020</v>
      </c>
      <c r="BW11" s="26" t="s">
        <v>230</v>
      </c>
      <c r="BY11" s="26">
        <v>4.0121202016853601E+18</v>
      </c>
      <c r="BZ11" s="26" t="s">
        <v>593</v>
      </c>
      <c r="CA11" s="26" t="s">
        <v>232</v>
      </c>
    </row>
    <row r="12" spans="1:79" x14ac:dyDescent="0.2">
      <c r="A12" s="26" t="s">
        <v>209</v>
      </c>
      <c r="B12" s="26" t="s">
        <v>210</v>
      </c>
      <c r="C12" s="26">
        <v>2019</v>
      </c>
      <c r="D12" s="26" t="s">
        <v>508</v>
      </c>
      <c r="E12" s="26">
        <v>2.0200120916727501E+17</v>
      </c>
      <c r="F12" s="26" t="s">
        <v>212</v>
      </c>
      <c r="G12" s="26" t="s">
        <v>594</v>
      </c>
      <c r="H12" s="26">
        <v>1371432</v>
      </c>
      <c r="J12" s="26" t="s">
        <v>214</v>
      </c>
      <c r="K12" s="26" t="s">
        <v>215</v>
      </c>
      <c r="N12" s="26" t="s">
        <v>530</v>
      </c>
      <c r="O12" s="26" t="s">
        <v>36</v>
      </c>
      <c r="P12" s="26" t="s">
        <v>217</v>
      </c>
      <c r="Q12" s="26" t="s">
        <v>28</v>
      </c>
      <c r="R12" s="26" t="s">
        <v>529</v>
      </c>
      <c r="S12" s="26" t="s">
        <v>26</v>
      </c>
      <c r="T12" s="26" t="s">
        <v>528</v>
      </c>
      <c r="V12" s="26" t="s">
        <v>220</v>
      </c>
      <c r="X12" s="26" t="s">
        <v>221</v>
      </c>
      <c r="Y12" s="26" t="s">
        <v>130</v>
      </c>
      <c r="Z12" s="26">
        <v>28255</v>
      </c>
      <c r="AA12" s="26" t="s">
        <v>222</v>
      </c>
      <c r="AB12" s="26" t="s">
        <v>527</v>
      </c>
      <c r="AD12" s="26">
        <v>15</v>
      </c>
      <c r="AE12" s="26" t="s">
        <v>224</v>
      </c>
      <c r="AI12" s="31">
        <v>43830</v>
      </c>
      <c r="AJ12" s="26">
        <v>110</v>
      </c>
      <c r="AK12" s="26">
        <v>2640</v>
      </c>
      <c r="BG12" s="26" t="s">
        <v>26</v>
      </c>
      <c r="BI12" s="26" t="s">
        <v>225</v>
      </c>
      <c r="BK12" s="26" t="s">
        <v>31</v>
      </c>
      <c r="BL12" s="26" t="s">
        <v>238</v>
      </c>
      <c r="BM12" s="26" t="s">
        <v>227</v>
      </c>
      <c r="BN12" s="30">
        <v>43852.067932488426</v>
      </c>
      <c r="BR12" s="26" t="s">
        <v>228</v>
      </c>
      <c r="BS12" s="26">
        <v>4.0120202016853202E+18</v>
      </c>
      <c r="BT12" s="26" t="s">
        <v>229</v>
      </c>
      <c r="BV12" s="26">
        <v>2020</v>
      </c>
      <c r="BW12" s="26" t="s">
        <v>230</v>
      </c>
      <c r="BY12" s="26">
        <v>4.0121202016853601E+18</v>
      </c>
      <c r="BZ12" s="26" t="s">
        <v>593</v>
      </c>
      <c r="CA12" s="26" t="s">
        <v>232</v>
      </c>
    </row>
    <row r="13" spans="1:79" x14ac:dyDescent="0.2">
      <c r="A13" s="26" t="s">
        <v>209</v>
      </c>
      <c r="B13" s="26" t="s">
        <v>210</v>
      </c>
      <c r="C13" s="26">
        <v>2019</v>
      </c>
      <c r="D13" s="26" t="s">
        <v>211</v>
      </c>
      <c r="E13" s="26">
        <v>2.0190802916135002E+17</v>
      </c>
      <c r="F13" s="26" t="s">
        <v>212</v>
      </c>
      <c r="G13" s="26" t="s">
        <v>592</v>
      </c>
      <c r="H13" s="26">
        <v>1346683</v>
      </c>
      <c r="J13" s="26" t="s">
        <v>214</v>
      </c>
      <c r="K13" s="26" t="s">
        <v>215</v>
      </c>
      <c r="N13" s="26" t="s">
        <v>530</v>
      </c>
      <c r="O13" s="26" t="s">
        <v>36</v>
      </c>
      <c r="P13" s="26" t="s">
        <v>217</v>
      </c>
      <c r="Q13" s="26" t="s">
        <v>28</v>
      </c>
      <c r="R13" s="26" t="s">
        <v>529</v>
      </c>
      <c r="S13" s="26" t="s">
        <v>26</v>
      </c>
      <c r="T13" s="26" t="s">
        <v>528</v>
      </c>
      <c r="V13" s="26" t="s">
        <v>220</v>
      </c>
      <c r="X13" s="26" t="s">
        <v>221</v>
      </c>
      <c r="Y13" s="26" t="s">
        <v>130</v>
      </c>
      <c r="Z13" s="26">
        <v>28255</v>
      </c>
      <c r="AA13" s="26" t="s">
        <v>222</v>
      </c>
      <c r="AB13" s="26" t="s">
        <v>527</v>
      </c>
      <c r="AD13" s="26">
        <v>15</v>
      </c>
      <c r="AE13" s="26" t="s">
        <v>224</v>
      </c>
      <c r="AI13" s="31">
        <v>43600</v>
      </c>
      <c r="AJ13" s="26">
        <v>110</v>
      </c>
      <c r="AK13" s="26">
        <v>990</v>
      </c>
      <c r="BG13" s="26" t="s">
        <v>26</v>
      </c>
      <c r="BI13" s="26" t="s">
        <v>225</v>
      </c>
      <c r="BK13" s="26" t="s">
        <v>0</v>
      </c>
      <c r="BL13" s="26" t="s">
        <v>226</v>
      </c>
      <c r="BM13" s="26" t="s">
        <v>227</v>
      </c>
      <c r="BN13" s="30">
        <v>43680.112617638886</v>
      </c>
      <c r="BR13" s="26" t="s">
        <v>228</v>
      </c>
      <c r="BS13" s="26">
        <v>4.0802201916626898E+18</v>
      </c>
      <c r="BT13" s="26" t="s">
        <v>229</v>
      </c>
      <c r="BV13" s="26">
        <v>2020</v>
      </c>
      <c r="BW13" s="26" t="s">
        <v>230</v>
      </c>
      <c r="BY13" s="26">
        <v>4.0802201916628797E+18</v>
      </c>
      <c r="BZ13" s="26" t="s">
        <v>590</v>
      </c>
      <c r="CA13" s="26" t="s">
        <v>232</v>
      </c>
    </row>
    <row r="14" spans="1:79" x14ac:dyDescent="0.2">
      <c r="A14" s="26" t="s">
        <v>209</v>
      </c>
      <c r="B14" s="26" t="s">
        <v>210</v>
      </c>
      <c r="C14" s="26">
        <v>2019</v>
      </c>
      <c r="D14" s="26" t="s">
        <v>211</v>
      </c>
      <c r="E14" s="26">
        <v>2.0190802916135002E+17</v>
      </c>
      <c r="F14" s="26" t="s">
        <v>212</v>
      </c>
      <c r="G14" s="26" t="s">
        <v>591</v>
      </c>
      <c r="H14" s="26">
        <v>1346683</v>
      </c>
      <c r="J14" s="26" t="s">
        <v>214</v>
      </c>
      <c r="K14" s="26" t="s">
        <v>215</v>
      </c>
      <c r="N14" s="26" t="s">
        <v>530</v>
      </c>
      <c r="O14" s="26" t="s">
        <v>36</v>
      </c>
      <c r="P14" s="26" t="s">
        <v>217</v>
      </c>
      <c r="Q14" s="26" t="s">
        <v>28</v>
      </c>
      <c r="R14" s="26" t="s">
        <v>529</v>
      </c>
      <c r="S14" s="26" t="s">
        <v>26</v>
      </c>
      <c r="T14" s="26" t="s">
        <v>528</v>
      </c>
      <c r="V14" s="26" t="s">
        <v>220</v>
      </c>
      <c r="X14" s="26" t="s">
        <v>221</v>
      </c>
      <c r="Y14" s="26" t="s">
        <v>130</v>
      </c>
      <c r="Z14" s="26">
        <v>28255</v>
      </c>
      <c r="AA14" s="26" t="s">
        <v>222</v>
      </c>
      <c r="AB14" s="26" t="s">
        <v>527</v>
      </c>
      <c r="AD14" s="26">
        <v>15</v>
      </c>
      <c r="AE14" s="26" t="s">
        <v>224</v>
      </c>
      <c r="AI14" s="31">
        <v>43616</v>
      </c>
      <c r="AJ14" s="26">
        <v>110</v>
      </c>
      <c r="AK14" s="26">
        <v>1100</v>
      </c>
      <c r="BG14" s="26" t="s">
        <v>26</v>
      </c>
      <c r="BI14" s="26" t="s">
        <v>225</v>
      </c>
      <c r="BK14" s="26" t="s">
        <v>0</v>
      </c>
      <c r="BL14" s="26" t="s">
        <v>226</v>
      </c>
      <c r="BM14" s="26" t="s">
        <v>227</v>
      </c>
      <c r="BN14" s="30">
        <v>43680.112617650462</v>
      </c>
      <c r="BR14" s="26" t="s">
        <v>228</v>
      </c>
      <c r="BS14" s="26">
        <v>4.0802201916626898E+18</v>
      </c>
      <c r="BT14" s="26" t="s">
        <v>229</v>
      </c>
      <c r="BV14" s="26">
        <v>2020</v>
      </c>
      <c r="BW14" s="26" t="s">
        <v>230</v>
      </c>
      <c r="BY14" s="26">
        <v>4.0802201916628797E+18</v>
      </c>
      <c r="BZ14" s="26" t="s">
        <v>590</v>
      </c>
      <c r="CA14" s="26" t="s">
        <v>232</v>
      </c>
    </row>
    <row r="15" spans="1:79" x14ac:dyDescent="0.2">
      <c r="A15" s="26" t="s">
        <v>209</v>
      </c>
      <c r="B15" s="26" t="s">
        <v>210</v>
      </c>
      <c r="C15" s="26">
        <v>2019</v>
      </c>
      <c r="D15" s="26" t="s">
        <v>252</v>
      </c>
      <c r="E15" s="26">
        <v>2.0190802916135101E+17</v>
      </c>
      <c r="F15" s="26" t="s">
        <v>212</v>
      </c>
      <c r="G15" s="26" t="s">
        <v>589</v>
      </c>
      <c r="H15" s="26">
        <v>1346685</v>
      </c>
      <c r="J15" s="26" t="s">
        <v>214</v>
      </c>
      <c r="K15" s="26" t="s">
        <v>215</v>
      </c>
      <c r="N15" s="26" t="s">
        <v>530</v>
      </c>
      <c r="O15" s="26" t="s">
        <v>36</v>
      </c>
      <c r="P15" s="26" t="s">
        <v>217</v>
      </c>
      <c r="Q15" s="26" t="s">
        <v>28</v>
      </c>
      <c r="R15" s="26" t="s">
        <v>529</v>
      </c>
      <c r="S15" s="26" t="s">
        <v>26</v>
      </c>
      <c r="T15" s="26" t="s">
        <v>528</v>
      </c>
      <c r="V15" s="26" t="s">
        <v>220</v>
      </c>
      <c r="X15" s="26" t="s">
        <v>221</v>
      </c>
      <c r="Y15" s="26" t="s">
        <v>130</v>
      </c>
      <c r="Z15" s="26">
        <v>28255</v>
      </c>
      <c r="AA15" s="26" t="s">
        <v>222</v>
      </c>
      <c r="AB15" s="26" t="s">
        <v>527</v>
      </c>
      <c r="AD15" s="26">
        <v>15</v>
      </c>
      <c r="AE15" s="26" t="s">
        <v>224</v>
      </c>
      <c r="AI15" s="31">
        <v>43631</v>
      </c>
      <c r="AJ15" s="26">
        <v>110</v>
      </c>
      <c r="AK15" s="26">
        <v>1210</v>
      </c>
      <c r="BG15" s="26" t="s">
        <v>26</v>
      </c>
      <c r="BI15" s="26" t="s">
        <v>225</v>
      </c>
      <c r="BK15" s="26" t="s">
        <v>0</v>
      </c>
      <c r="BL15" s="26" t="s">
        <v>226</v>
      </c>
      <c r="BM15" s="26" t="s">
        <v>227</v>
      </c>
      <c r="BN15" s="30">
        <v>43680.112696898148</v>
      </c>
      <c r="BR15" s="26" t="s">
        <v>228</v>
      </c>
      <c r="BS15" s="26">
        <v>4.0802201916626898E+18</v>
      </c>
      <c r="BT15" s="26" t="s">
        <v>229</v>
      </c>
      <c r="BV15" s="26">
        <v>2020</v>
      </c>
      <c r="BW15" s="26" t="s">
        <v>230</v>
      </c>
      <c r="BY15" s="26">
        <v>4.0802201916628797E+18</v>
      </c>
      <c r="BZ15" s="26" t="s">
        <v>587</v>
      </c>
      <c r="CA15" s="26" t="s">
        <v>232</v>
      </c>
    </row>
    <row r="16" spans="1:79" x14ac:dyDescent="0.2">
      <c r="A16" s="26" t="s">
        <v>209</v>
      </c>
      <c r="B16" s="26" t="s">
        <v>210</v>
      </c>
      <c r="C16" s="26">
        <v>2019</v>
      </c>
      <c r="D16" s="26" t="s">
        <v>252</v>
      </c>
      <c r="E16" s="26">
        <v>2.0190802916135101E+17</v>
      </c>
      <c r="F16" s="26" t="s">
        <v>212</v>
      </c>
      <c r="G16" s="26" t="s">
        <v>588</v>
      </c>
      <c r="H16" s="26">
        <v>1346685</v>
      </c>
      <c r="J16" s="26" t="s">
        <v>214</v>
      </c>
      <c r="K16" s="26" t="s">
        <v>215</v>
      </c>
      <c r="N16" s="26" t="s">
        <v>530</v>
      </c>
      <c r="O16" s="26" t="s">
        <v>36</v>
      </c>
      <c r="P16" s="26" t="s">
        <v>217</v>
      </c>
      <c r="Q16" s="26" t="s">
        <v>28</v>
      </c>
      <c r="R16" s="26" t="s">
        <v>529</v>
      </c>
      <c r="S16" s="26" t="s">
        <v>26</v>
      </c>
      <c r="T16" s="26" t="s">
        <v>528</v>
      </c>
      <c r="V16" s="26" t="s">
        <v>220</v>
      </c>
      <c r="X16" s="26" t="s">
        <v>221</v>
      </c>
      <c r="Y16" s="26" t="s">
        <v>130</v>
      </c>
      <c r="Z16" s="26">
        <v>28255</v>
      </c>
      <c r="AA16" s="26" t="s">
        <v>222</v>
      </c>
      <c r="AB16" s="26" t="s">
        <v>527</v>
      </c>
      <c r="AD16" s="26">
        <v>15</v>
      </c>
      <c r="AE16" s="26" t="s">
        <v>224</v>
      </c>
      <c r="AI16" s="31">
        <v>43646</v>
      </c>
      <c r="AJ16" s="26">
        <v>110</v>
      </c>
      <c r="AK16" s="26">
        <v>1320</v>
      </c>
      <c r="BG16" s="26" t="s">
        <v>26</v>
      </c>
      <c r="BI16" s="26" t="s">
        <v>225</v>
      </c>
      <c r="BK16" s="26" t="s">
        <v>0</v>
      </c>
      <c r="BL16" s="26" t="s">
        <v>226</v>
      </c>
      <c r="BM16" s="26" t="s">
        <v>227</v>
      </c>
      <c r="BN16" s="30">
        <v>43680.112696898148</v>
      </c>
      <c r="BR16" s="26" t="s">
        <v>228</v>
      </c>
      <c r="BS16" s="26">
        <v>4.0802201916626898E+18</v>
      </c>
      <c r="BT16" s="26" t="s">
        <v>229</v>
      </c>
      <c r="BV16" s="26">
        <v>2020</v>
      </c>
      <c r="BW16" s="26" t="s">
        <v>230</v>
      </c>
      <c r="BY16" s="26">
        <v>4.0802201916628797E+18</v>
      </c>
      <c r="BZ16" s="26" t="s">
        <v>587</v>
      </c>
      <c r="CA16" s="26" t="s">
        <v>232</v>
      </c>
    </row>
    <row r="17" spans="1:79" x14ac:dyDescent="0.2">
      <c r="A17" s="26" t="s">
        <v>209</v>
      </c>
      <c r="B17" s="26" t="s">
        <v>210</v>
      </c>
      <c r="C17" s="26">
        <v>2019</v>
      </c>
      <c r="D17" s="26" t="s">
        <v>389</v>
      </c>
      <c r="E17" s="26">
        <v>2.01909139163316E+17</v>
      </c>
      <c r="F17" s="26" t="s">
        <v>212</v>
      </c>
      <c r="G17" s="26" t="s">
        <v>586</v>
      </c>
      <c r="H17" s="26">
        <v>1351825</v>
      </c>
      <c r="J17" s="26" t="s">
        <v>214</v>
      </c>
      <c r="K17" s="26" t="s">
        <v>215</v>
      </c>
      <c r="N17" s="26" t="s">
        <v>530</v>
      </c>
      <c r="O17" s="26" t="s">
        <v>36</v>
      </c>
      <c r="P17" s="26" t="s">
        <v>217</v>
      </c>
      <c r="Q17" s="26" t="s">
        <v>28</v>
      </c>
      <c r="R17" s="26" t="s">
        <v>529</v>
      </c>
      <c r="S17" s="26" t="s">
        <v>26</v>
      </c>
      <c r="T17" s="26" t="s">
        <v>528</v>
      </c>
      <c r="V17" s="26" t="s">
        <v>220</v>
      </c>
      <c r="X17" s="26" t="s">
        <v>221</v>
      </c>
      <c r="Y17" s="26" t="s">
        <v>130</v>
      </c>
      <c r="Z17" s="26">
        <v>28255</v>
      </c>
      <c r="AA17" s="26" t="s">
        <v>222</v>
      </c>
      <c r="AB17" s="26" t="s">
        <v>527</v>
      </c>
      <c r="AD17" s="26">
        <v>15</v>
      </c>
      <c r="AE17" s="26" t="s">
        <v>224</v>
      </c>
      <c r="AI17" s="31">
        <v>43692</v>
      </c>
      <c r="AJ17" s="26">
        <v>110</v>
      </c>
      <c r="AK17" s="26">
        <v>1650</v>
      </c>
      <c r="BG17" s="26" t="s">
        <v>26</v>
      </c>
      <c r="BI17" s="26" t="s">
        <v>225</v>
      </c>
      <c r="BK17" s="26" t="s">
        <v>31</v>
      </c>
      <c r="BL17" s="26" t="s">
        <v>238</v>
      </c>
      <c r="BM17" s="26" t="s">
        <v>227</v>
      </c>
      <c r="BN17" s="30">
        <v>43722.125267835647</v>
      </c>
      <c r="BR17" s="26" t="s">
        <v>228</v>
      </c>
      <c r="BS17" s="26">
        <v>4.09132019167264E+18</v>
      </c>
      <c r="BT17" s="26" t="s">
        <v>229</v>
      </c>
      <c r="BV17" s="26">
        <v>2020</v>
      </c>
      <c r="BW17" s="26" t="s">
        <v>230</v>
      </c>
      <c r="BY17" s="26">
        <v>4.09132019167266E+18</v>
      </c>
      <c r="BZ17" s="26" t="s">
        <v>584</v>
      </c>
      <c r="CA17" s="26" t="s">
        <v>232</v>
      </c>
    </row>
    <row r="18" spans="1:79" x14ac:dyDescent="0.2">
      <c r="A18" s="26" t="s">
        <v>209</v>
      </c>
      <c r="B18" s="26" t="s">
        <v>210</v>
      </c>
      <c r="C18" s="26">
        <v>2019</v>
      </c>
      <c r="D18" s="26" t="s">
        <v>389</v>
      </c>
      <c r="E18" s="26">
        <v>2.01909139163316E+17</v>
      </c>
      <c r="F18" s="26" t="s">
        <v>212</v>
      </c>
      <c r="G18" s="26" t="s">
        <v>585</v>
      </c>
      <c r="H18" s="26">
        <v>1351825</v>
      </c>
      <c r="J18" s="26" t="s">
        <v>214</v>
      </c>
      <c r="K18" s="26" t="s">
        <v>215</v>
      </c>
      <c r="N18" s="26" t="s">
        <v>530</v>
      </c>
      <c r="O18" s="26" t="s">
        <v>36</v>
      </c>
      <c r="P18" s="26" t="s">
        <v>217</v>
      </c>
      <c r="Q18" s="26" t="s">
        <v>28</v>
      </c>
      <c r="R18" s="26" t="s">
        <v>529</v>
      </c>
      <c r="S18" s="26" t="s">
        <v>26</v>
      </c>
      <c r="T18" s="26" t="s">
        <v>528</v>
      </c>
      <c r="V18" s="26" t="s">
        <v>220</v>
      </c>
      <c r="X18" s="26" t="s">
        <v>221</v>
      </c>
      <c r="Y18" s="26" t="s">
        <v>130</v>
      </c>
      <c r="Z18" s="26">
        <v>28255</v>
      </c>
      <c r="AA18" s="26" t="s">
        <v>222</v>
      </c>
      <c r="AB18" s="26" t="s">
        <v>527</v>
      </c>
      <c r="AD18" s="26">
        <v>15</v>
      </c>
      <c r="AE18" s="26" t="s">
        <v>224</v>
      </c>
      <c r="AI18" s="31">
        <v>43708</v>
      </c>
      <c r="AJ18" s="26">
        <v>110</v>
      </c>
      <c r="AK18" s="26">
        <v>1760</v>
      </c>
      <c r="BG18" s="26" t="s">
        <v>26</v>
      </c>
      <c r="BI18" s="26" t="s">
        <v>225</v>
      </c>
      <c r="BK18" s="26" t="s">
        <v>31</v>
      </c>
      <c r="BL18" s="26" t="s">
        <v>238</v>
      </c>
      <c r="BM18" s="26" t="s">
        <v>227</v>
      </c>
      <c r="BN18" s="30">
        <v>43722.125267835647</v>
      </c>
      <c r="BR18" s="26" t="s">
        <v>228</v>
      </c>
      <c r="BS18" s="26">
        <v>4.09132019167264E+18</v>
      </c>
      <c r="BT18" s="26" t="s">
        <v>229</v>
      </c>
      <c r="BV18" s="26">
        <v>2020</v>
      </c>
      <c r="BW18" s="26" t="s">
        <v>230</v>
      </c>
      <c r="BY18" s="26">
        <v>4.09132019167266E+18</v>
      </c>
      <c r="BZ18" s="26" t="s">
        <v>584</v>
      </c>
      <c r="CA18" s="26" t="s">
        <v>232</v>
      </c>
    </row>
    <row r="19" spans="1:79" x14ac:dyDescent="0.2">
      <c r="A19" s="26" t="s">
        <v>209</v>
      </c>
      <c r="B19" s="26" t="s">
        <v>210</v>
      </c>
      <c r="C19" s="26">
        <v>2019</v>
      </c>
      <c r="D19" s="26" t="s">
        <v>290</v>
      </c>
      <c r="E19" s="26">
        <v>2.0191016916498301E+17</v>
      </c>
      <c r="F19" s="26" t="s">
        <v>212</v>
      </c>
      <c r="G19" s="26" t="s">
        <v>583</v>
      </c>
      <c r="H19" s="26">
        <v>1359078</v>
      </c>
      <c r="J19" s="26" t="s">
        <v>214</v>
      </c>
      <c r="K19" s="26" t="s">
        <v>215</v>
      </c>
      <c r="N19" s="26" t="s">
        <v>530</v>
      </c>
      <c r="O19" s="26" t="s">
        <v>36</v>
      </c>
      <c r="P19" s="26" t="s">
        <v>217</v>
      </c>
      <c r="Q19" s="26" t="s">
        <v>28</v>
      </c>
      <c r="R19" s="26" t="s">
        <v>529</v>
      </c>
      <c r="S19" s="26" t="s">
        <v>26</v>
      </c>
      <c r="T19" s="26" t="s">
        <v>528</v>
      </c>
      <c r="V19" s="26" t="s">
        <v>220</v>
      </c>
      <c r="X19" s="26" t="s">
        <v>221</v>
      </c>
      <c r="Y19" s="26" t="s">
        <v>130</v>
      </c>
      <c r="Z19" s="26">
        <v>28255</v>
      </c>
      <c r="AA19" s="26" t="s">
        <v>222</v>
      </c>
      <c r="AB19" s="26" t="s">
        <v>527</v>
      </c>
      <c r="AD19" s="26">
        <v>15</v>
      </c>
      <c r="AE19" s="26" t="s">
        <v>224</v>
      </c>
      <c r="AI19" s="31">
        <v>43723</v>
      </c>
      <c r="AJ19" s="26">
        <v>110</v>
      </c>
      <c r="AK19" s="26">
        <v>1870</v>
      </c>
      <c r="BG19" s="26" t="s">
        <v>26</v>
      </c>
      <c r="BI19" s="26" t="s">
        <v>225</v>
      </c>
      <c r="BK19" s="26" t="s">
        <v>31</v>
      </c>
      <c r="BL19" s="26" t="s">
        <v>238</v>
      </c>
      <c r="BM19" s="26" t="s">
        <v>227</v>
      </c>
      <c r="BN19" s="30">
        <v>43755.11631996528</v>
      </c>
      <c r="BR19" s="26" t="s">
        <v>228</v>
      </c>
      <c r="BS19" s="26">
        <v>4.1016201916743598E+18</v>
      </c>
      <c r="BT19" s="26" t="s">
        <v>229</v>
      </c>
      <c r="BV19" s="26">
        <v>2020</v>
      </c>
      <c r="BW19" s="26" t="s">
        <v>230</v>
      </c>
      <c r="BY19" s="26">
        <v>4.1016201916744899E+18</v>
      </c>
      <c r="BZ19" s="26" t="s">
        <v>581</v>
      </c>
      <c r="CA19" s="26" t="s">
        <v>232</v>
      </c>
    </row>
    <row r="20" spans="1:79" x14ac:dyDescent="0.2">
      <c r="A20" s="26" t="s">
        <v>209</v>
      </c>
      <c r="B20" s="26" t="s">
        <v>210</v>
      </c>
      <c r="C20" s="26">
        <v>2019</v>
      </c>
      <c r="D20" s="26" t="s">
        <v>290</v>
      </c>
      <c r="E20" s="26">
        <v>2.0191016916498301E+17</v>
      </c>
      <c r="F20" s="26" t="s">
        <v>212</v>
      </c>
      <c r="G20" s="26" t="s">
        <v>582</v>
      </c>
      <c r="H20" s="26">
        <v>1359078</v>
      </c>
      <c r="J20" s="26" t="s">
        <v>214</v>
      </c>
      <c r="K20" s="26" t="s">
        <v>215</v>
      </c>
      <c r="N20" s="26" t="s">
        <v>530</v>
      </c>
      <c r="O20" s="26" t="s">
        <v>36</v>
      </c>
      <c r="P20" s="26" t="s">
        <v>217</v>
      </c>
      <c r="Q20" s="26" t="s">
        <v>28</v>
      </c>
      <c r="R20" s="26" t="s">
        <v>529</v>
      </c>
      <c r="S20" s="26" t="s">
        <v>26</v>
      </c>
      <c r="T20" s="26" t="s">
        <v>528</v>
      </c>
      <c r="V20" s="26" t="s">
        <v>220</v>
      </c>
      <c r="X20" s="26" t="s">
        <v>221</v>
      </c>
      <c r="Y20" s="26" t="s">
        <v>130</v>
      </c>
      <c r="Z20" s="26">
        <v>28255</v>
      </c>
      <c r="AA20" s="26" t="s">
        <v>222</v>
      </c>
      <c r="AB20" s="26" t="s">
        <v>527</v>
      </c>
      <c r="AD20" s="26">
        <v>15</v>
      </c>
      <c r="AE20" s="26" t="s">
        <v>224</v>
      </c>
      <c r="AI20" s="31">
        <v>43738</v>
      </c>
      <c r="AJ20" s="26">
        <v>110</v>
      </c>
      <c r="AK20" s="26">
        <v>1980</v>
      </c>
      <c r="BG20" s="26" t="s">
        <v>26</v>
      </c>
      <c r="BI20" s="26" t="s">
        <v>225</v>
      </c>
      <c r="BK20" s="26" t="s">
        <v>31</v>
      </c>
      <c r="BL20" s="26" t="s">
        <v>238</v>
      </c>
      <c r="BM20" s="26" t="s">
        <v>227</v>
      </c>
      <c r="BN20" s="30">
        <v>43755.11631996528</v>
      </c>
      <c r="BR20" s="26" t="s">
        <v>228</v>
      </c>
      <c r="BS20" s="26">
        <v>4.1016201916743598E+18</v>
      </c>
      <c r="BT20" s="26" t="s">
        <v>229</v>
      </c>
      <c r="BV20" s="26">
        <v>2020</v>
      </c>
      <c r="BW20" s="26" t="s">
        <v>230</v>
      </c>
      <c r="BY20" s="26">
        <v>4.1016201916744899E+18</v>
      </c>
      <c r="BZ20" s="26" t="s">
        <v>581</v>
      </c>
      <c r="CA20" s="26" t="s">
        <v>232</v>
      </c>
    </row>
    <row r="21" spans="1:79" x14ac:dyDescent="0.2">
      <c r="A21" s="26" t="s">
        <v>209</v>
      </c>
      <c r="B21" s="26" t="s">
        <v>210</v>
      </c>
      <c r="C21" s="26">
        <v>2019</v>
      </c>
      <c r="D21" s="26" t="s">
        <v>578</v>
      </c>
      <c r="E21" s="26">
        <v>2.0191114916550099E+17</v>
      </c>
      <c r="F21" s="26" t="s">
        <v>212</v>
      </c>
      <c r="G21" s="26" t="s">
        <v>580</v>
      </c>
      <c r="H21" s="26">
        <v>1362663</v>
      </c>
      <c r="J21" s="26" t="s">
        <v>214</v>
      </c>
      <c r="K21" s="26" t="s">
        <v>215</v>
      </c>
      <c r="N21" s="26" t="s">
        <v>530</v>
      </c>
      <c r="O21" s="26" t="s">
        <v>36</v>
      </c>
      <c r="P21" s="26" t="s">
        <v>217</v>
      </c>
      <c r="Q21" s="26" t="s">
        <v>28</v>
      </c>
      <c r="R21" s="26" t="s">
        <v>529</v>
      </c>
      <c r="S21" s="26" t="s">
        <v>26</v>
      </c>
      <c r="T21" s="26" t="s">
        <v>528</v>
      </c>
      <c r="V21" s="26" t="s">
        <v>220</v>
      </c>
      <c r="X21" s="26" t="s">
        <v>221</v>
      </c>
      <c r="Y21" s="26" t="s">
        <v>130</v>
      </c>
      <c r="Z21" s="26">
        <v>28255</v>
      </c>
      <c r="AA21" s="26" t="s">
        <v>222</v>
      </c>
      <c r="AB21" s="26" t="s">
        <v>527</v>
      </c>
      <c r="AD21" s="26">
        <v>15</v>
      </c>
      <c r="AE21" s="26" t="s">
        <v>224</v>
      </c>
      <c r="AI21" s="31">
        <v>43753</v>
      </c>
      <c r="AJ21" s="26">
        <v>110</v>
      </c>
      <c r="AK21" s="26">
        <v>2090</v>
      </c>
      <c r="BG21" s="26" t="s">
        <v>26</v>
      </c>
      <c r="BI21" s="26" t="s">
        <v>225</v>
      </c>
      <c r="BK21" s="26" t="s">
        <v>31</v>
      </c>
      <c r="BL21" s="26" t="s">
        <v>238</v>
      </c>
      <c r="BM21" s="26" t="s">
        <v>227</v>
      </c>
      <c r="BN21" s="30">
        <v>43784.092124317132</v>
      </c>
      <c r="BR21" s="26" t="s">
        <v>228</v>
      </c>
      <c r="BS21" s="26">
        <v>4.1114201916786601E+18</v>
      </c>
      <c r="BT21" s="26" t="s">
        <v>229</v>
      </c>
      <c r="BV21" s="26">
        <v>2020</v>
      </c>
      <c r="BW21" s="26" t="s">
        <v>230</v>
      </c>
      <c r="BY21" s="26">
        <v>4.1114201916786801E+18</v>
      </c>
      <c r="BZ21" s="26" t="s">
        <v>579</v>
      </c>
      <c r="CA21" s="26" t="s">
        <v>232</v>
      </c>
    </row>
    <row r="22" spans="1:79" x14ac:dyDescent="0.2">
      <c r="A22" s="26" t="s">
        <v>209</v>
      </c>
      <c r="B22" s="26" t="s">
        <v>210</v>
      </c>
      <c r="C22" s="26">
        <v>2019</v>
      </c>
      <c r="D22" s="26" t="s">
        <v>578</v>
      </c>
      <c r="E22" s="26">
        <v>2.0191114916550099E+17</v>
      </c>
      <c r="F22" s="26" t="s">
        <v>212</v>
      </c>
      <c r="G22" s="26" t="s">
        <v>577</v>
      </c>
      <c r="H22" s="26">
        <v>1362663</v>
      </c>
      <c r="J22" s="26" t="s">
        <v>214</v>
      </c>
      <c r="K22" s="26" t="s">
        <v>215</v>
      </c>
      <c r="N22" s="26" t="s">
        <v>530</v>
      </c>
      <c r="O22" s="26" t="s">
        <v>36</v>
      </c>
      <c r="P22" s="26" t="s">
        <v>217</v>
      </c>
      <c r="Q22" s="26" t="s">
        <v>28</v>
      </c>
      <c r="R22" s="26" t="s">
        <v>529</v>
      </c>
      <c r="S22" s="26" t="s">
        <v>26</v>
      </c>
      <c r="T22" s="26" t="s">
        <v>528</v>
      </c>
      <c r="V22" s="26" t="s">
        <v>220</v>
      </c>
      <c r="X22" s="26" t="s">
        <v>221</v>
      </c>
      <c r="Y22" s="26" t="s">
        <v>130</v>
      </c>
      <c r="Z22" s="26">
        <v>28255</v>
      </c>
      <c r="AA22" s="26" t="s">
        <v>222</v>
      </c>
      <c r="AB22" s="26" t="s">
        <v>527</v>
      </c>
      <c r="AD22" s="26">
        <v>15</v>
      </c>
      <c r="AE22" s="26" t="s">
        <v>224</v>
      </c>
      <c r="AI22" s="31">
        <v>43769</v>
      </c>
      <c r="AJ22" s="26">
        <v>110</v>
      </c>
      <c r="AK22" s="26">
        <v>2200</v>
      </c>
      <c r="BG22" s="26" t="s">
        <v>26</v>
      </c>
      <c r="BI22" s="26" t="s">
        <v>225</v>
      </c>
      <c r="BK22" s="26" t="s">
        <v>31</v>
      </c>
      <c r="BL22" s="26" t="s">
        <v>238</v>
      </c>
      <c r="BM22" s="26" t="s">
        <v>227</v>
      </c>
      <c r="BN22" s="30">
        <v>43784.092124317132</v>
      </c>
      <c r="BR22" s="26" t="s">
        <v>228</v>
      </c>
      <c r="BS22" s="26">
        <v>4.1114201916786601E+18</v>
      </c>
      <c r="BT22" s="26" t="s">
        <v>229</v>
      </c>
      <c r="BV22" s="26">
        <v>2020</v>
      </c>
      <c r="BW22" s="26" t="s">
        <v>230</v>
      </c>
      <c r="BY22" s="26">
        <v>4.1114201916786801E+18</v>
      </c>
      <c r="BZ22" s="26" t="s">
        <v>576</v>
      </c>
      <c r="CA22" s="26" t="s">
        <v>232</v>
      </c>
    </row>
    <row r="23" spans="1:79" x14ac:dyDescent="0.2">
      <c r="A23" s="26" t="s">
        <v>209</v>
      </c>
      <c r="B23" s="26" t="s">
        <v>210</v>
      </c>
      <c r="C23" s="26">
        <v>2019</v>
      </c>
      <c r="D23" s="26" t="s">
        <v>574</v>
      </c>
      <c r="E23" s="26">
        <v>2.01912169166292E+17</v>
      </c>
      <c r="F23" s="26" t="s">
        <v>212</v>
      </c>
      <c r="G23" s="26" t="s">
        <v>575</v>
      </c>
      <c r="H23" s="26">
        <v>1366330</v>
      </c>
      <c r="J23" s="26" t="s">
        <v>214</v>
      </c>
      <c r="K23" s="26" t="s">
        <v>215</v>
      </c>
      <c r="N23" s="26" t="s">
        <v>530</v>
      </c>
      <c r="O23" s="26" t="s">
        <v>36</v>
      </c>
      <c r="P23" s="26" t="s">
        <v>217</v>
      </c>
      <c r="Q23" s="26" t="s">
        <v>28</v>
      </c>
      <c r="R23" s="26" t="s">
        <v>529</v>
      </c>
      <c r="S23" s="26" t="s">
        <v>26</v>
      </c>
      <c r="T23" s="26" t="s">
        <v>528</v>
      </c>
      <c r="V23" s="26" t="s">
        <v>220</v>
      </c>
      <c r="X23" s="26" t="s">
        <v>221</v>
      </c>
      <c r="Y23" s="26" t="s">
        <v>130</v>
      </c>
      <c r="Z23" s="26">
        <v>28255</v>
      </c>
      <c r="AA23" s="26" t="s">
        <v>222</v>
      </c>
      <c r="AB23" s="26" t="s">
        <v>527</v>
      </c>
      <c r="AD23" s="26">
        <v>15</v>
      </c>
      <c r="AE23" s="26" t="s">
        <v>224</v>
      </c>
      <c r="AI23" s="31">
        <v>43784</v>
      </c>
      <c r="AJ23" s="26">
        <v>110</v>
      </c>
      <c r="AK23" s="26">
        <v>2310</v>
      </c>
      <c r="BG23" s="26" t="s">
        <v>26</v>
      </c>
      <c r="BI23" s="26" t="s">
        <v>225</v>
      </c>
      <c r="BK23" s="26" t="s">
        <v>31</v>
      </c>
      <c r="BL23" s="26" t="s">
        <v>238</v>
      </c>
      <c r="BM23" s="26" t="s">
        <v>227</v>
      </c>
      <c r="BN23" s="30">
        <v>43816.067688148149</v>
      </c>
      <c r="BR23" s="26" t="s">
        <v>228</v>
      </c>
      <c r="BS23" s="26">
        <v>4.1216201916815201E+18</v>
      </c>
      <c r="BT23" s="26" t="s">
        <v>229</v>
      </c>
      <c r="BV23" s="26">
        <v>2020</v>
      </c>
      <c r="BW23" s="26" t="s">
        <v>230</v>
      </c>
      <c r="BY23" s="26">
        <v>4.1216201916815401E+18</v>
      </c>
      <c r="BZ23" s="26" t="s">
        <v>572</v>
      </c>
      <c r="CA23" s="26" t="s">
        <v>232</v>
      </c>
    </row>
    <row r="24" spans="1:79" x14ac:dyDescent="0.2">
      <c r="A24" s="26" t="s">
        <v>209</v>
      </c>
      <c r="B24" s="26" t="s">
        <v>210</v>
      </c>
      <c r="C24" s="26">
        <v>2019</v>
      </c>
      <c r="D24" s="26" t="s">
        <v>574</v>
      </c>
      <c r="E24" s="26">
        <v>2.01912169166292E+17</v>
      </c>
      <c r="F24" s="26" t="s">
        <v>212</v>
      </c>
      <c r="G24" s="26" t="s">
        <v>573</v>
      </c>
      <c r="H24" s="26">
        <v>1366330</v>
      </c>
      <c r="J24" s="26" t="s">
        <v>214</v>
      </c>
      <c r="K24" s="26" t="s">
        <v>215</v>
      </c>
      <c r="N24" s="26" t="s">
        <v>530</v>
      </c>
      <c r="O24" s="26" t="s">
        <v>36</v>
      </c>
      <c r="P24" s="26" t="s">
        <v>217</v>
      </c>
      <c r="Q24" s="26" t="s">
        <v>28</v>
      </c>
      <c r="R24" s="26" t="s">
        <v>529</v>
      </c>
      <c r="S24" s="26" t="s">
        <v>26</v>
      </c>
      <c r="T24" s="26" t="s">
        <v>528</v>
      </c>
      <c r="V24" s="26" t="s">
        <v>220</v>
      </c>
      <c r="X24" s="26" t="s">
        <v>221</v>
      </c>
      <c r="Y24" s="26" t="s">
        <v>130</v>
      </c>
      <c r="Z24" s="26">
        <v>28255</v>
      </c>
      <c r="AA24" s="26" t="s">
        <v>222</v>
      </c>
      <c r="AB24" s="26" t="s">
        <v>527</v>
      </c>
      <c r="AD24" s="26">
        <v>15</v>
      </c>
      <c r="AE24" s="26" t="s">
        <v>224</v>
      </c>
      <c r="AI24" s="31">
        <v>43799</v>
      </c>
      <c r="AJ24" s="26">
        <v>110</v>
      </c>
      <c r="AK24" s="26">
        <v>2420</v>
      </c>
      <c r="BG24" s="26" t="s">
        <v>26</v>
      </c>
      <c r="BI24" s="26" t="s">
        <v>225</v>
      </c>
      <c r="BK24" s="26" t="s">
        <v>31</v>
      </c>
      <c r="BL24" s="26" t="s">
        <v>238</v>
      </c>
      <c r="BM24" s="26" t="s">
        <v>227</v>
      </c>
      <c r="BN24" s="30">
        <v>43816.067688148149</v>
      </c>
      <c r="BR24" s="26" t="s">
        <v>228</v>
      </c>
      <c r="BS24" s="26">
        <v>4.1216201916815201E+18</v>
      </c>
      <c r="BT24" s="26" t="s">
        <v>229</v>
      </c>
      <c r="BV24" s="26">
        <v>2020</v>
      </c>
      <c r="BW24" s="26" t="s">
        <v>230</v>
      </c>
      <c r="BY24" s="26">
        <v>4.1216201916815401E+18</v>
      </c>
      <c r="BZ24" s="26" t="s">
        <v>572</v>
      </c>
      <c r="CA24" s="26" t="s">
        <v>232</v>
      </c>
    </row>
    <row r="25" spans="1:79" x14ac:dyDescent="0.2">
      <c r="A25" s="26" t="s">
        <v>209</v>
      </c>
      <c r="B25" s="26" t="s">
        <v>210</v>
      </c>
      <c r="C25" s="26">
        <v>2020</v>
      </c>
      <c r="D25" s="26" t="s">
        <v>459</v>
      </c>
      <c r="E25" s="26">
        <v>2.0200214918650499E+17</v>
      </c>
      <c r="F25" s="26" t="s">
        <v>212</v>
      </c>
      <c r="G25" s="26" t="s">
        <v>571</v>
      </c>
      <c r="H25" s="26">
        <v>1382318</v>
      </c>
      <c r="J25" s="26" t="s">
        <v>214</v>
      </c>
      <c r="K25" s="26" t="s">
        <v>215</v>
      </c>
      <c r="N25" s="26" t="s">
        <v>530</v>
      </c>
      <c r="O25" s="26" t="s">
        <v>36</v>
      </c>
      <c r="P25" s="26" t="s">
        <v>217</v>
      </c>
      <c r="Q25" s="26" t="s">
        <v>28</v>
      </c>
      <c r="R25" s="26" t="s">
        <v>529</v>
      </c>
      <c r="S25" s="26" t="s">
        <v>26</v>
      </c>
      <c r="T25" s="26" t="s">
        <v>528</v>
      </c>
      <c r="V25" s="26" t="s">
        <v>220</v>
      </c>
      <c r="X25" s="26" t="s">
        <v>221</v>
      </c>
      <c r="Y25" s="26" t="s">
        <v>130</v>
      </c>
      <c r="Z25" s="26">
        <v>28255</v>
      </c>
      <c r="AA25" s="26" t="s">
        <v>222</v>
      </c>
      <c r="AB25" s="26" t="s">
        <v>527</v>
      </c>
      <c r="AD25" s="26">
        <v>15</v>
      </c>
      <c r="AE25" s="26" t="s">
        <v>224</v>
      </c>
      <c r="AI25" s="31">
        <v>43861</v>
      </c>
      <c r="AJ25" s="26">
        <v>110</v>
      </c>
      <c r="AK25" s="26">
        <v>220</v>
      </c>
      <c r="BG25" s="26" t="s">
        <v>26</v>
      </c>
      <c r="BI25" s="26" t="s">
        <v>225</v>
      </c>
      <c r="BK25" s="26" t="s">
        <v>31</v>
      </c>
      <c r="BL25" s="26" t="s">
        <v>238</v>
      </c>
      <c r="BM25" s="26" t="s">
        <v>227</v>
      </c>
      <c r="BN25" s="30">
        <v>43886.069170000002</v>
      </c>
      <c r="BR25" s="26" t="s">
        <v>228</v>
      </c>
      <c r="BS25" s="26">
        <v>4.0215202016924498E+18</v>
      </c>
      <c r="BT25" s="26" t="s">
        <v>229</v>
      </c>
      <c r="BV25" s="26">
        <v>2020</v>
      </c>
      <c r="BW25" s="26" t="s">
        <v>230</v>
      </c>
      <c r="BY25" s="26">
        <v>4.0224202016939602E+18</v>
      </c>
      <c r="BZ25" s="26" t="s">
        <v>570</v>
      </c>
      <c r="CA25" s="26" t="s">
        <v>232</v>
      </c>
    </row>
    <row r="26" spans="1:79" x14ac:dyDescent="0.2">
      <c r="A26" s="26" t="s">
        <v>209</v>
      </c>
      <c r="B26" s="26" t="s">
        <v>210</v>
      </c>
      <c r="C26" s="26">
        <v>2020</v>
      </c>
      <c r="D26" s="26" t="s">
        <v>393</v>
      </c>
      <c r="E26" s="26">
        <v>2.0200316920383398E+17</v>
      </c>
      <c r="F26" s="26" t="s">
        <v>212</v>
      </c>
      <c r="G26" s="26" t="s">
        <v>569</v>
      </c>
      <c r="H26" s="26">
        <v>1389788</v>
      </c>
      <c r="J26" s="26" t="s">
        <v>214</v>
      </c>
      <c r="K26" s="26" t="s">
        <v>215</v>
      </c>
      <c r="N26" s="26" t="s">
        <v>530</v>
      </c>
      <c r="O26" s="26" t="s">
        <v>36</v>
      </c>
      <c r="P26" s="26" t="s">
        <v>217</v>
      </c>
      <c r="Q26" s="26" t="s">
        <v>28</v>
      </c>
      <c r="R26" s="26" t="s">
        <v>529</v>
      </c>
      <c r="S26" s="26" t="s">
        <v>26</v>
      </c>
      <c r="T26" s="26" t="s">
        <v>528</v>
      </c>
      <c r="V26" s="26" t="s">
        <v>220</v>
      </c>
      <c r="X26" s="26" t="s">
        <v>221</v>
      </c>
      <c r="Y26" s="26" t="s">
        <v>130</v>
      </c>
      <c r="Z26" s="26">
        <v>28255</v>
      </c>
      <c r="AA26" s="26" t="s">
        <v>222</v>
      </c>
      <c r="AB26" s="26" t="s">
        <v>527</v>
      </c>
      <c r="AD26" s="26">
        <v>15</v>
      </c>
      <c r="AE26" s="26" t="s">
        <v>224</v>
      </c>
      <c r="AI26" s="31">
        <v>43890</v>
      </c>
      <c r="AJ26" s="26">
        <v>110</v>
      </c>
      <c r="AK26" s="26">
        <v>440</v>
      </c>
      <c r="BG26" s="26" t="s">
        <v>26</v>
      </c>
      <c r="BI26" s="26" t="s">
        <v>225</v>
      </c>
      <c r="BK26" s="26" t="s">
        <v>31</v>
      </c>
      <c r="BL26" s="26" t="s">
        <v>238</v>
      </c>
      <c r="BM26" s="26" t="s">
        <v>227</v>
      </c>
      <c r="BN26" s="30">
        <v>43907.106129988424</v>
      </c>
      <c r="BR26" s="26" t="s">
        <v>228</v>
      </c>
      <c r="BS26" s="26">
        <v>4.0316202017031598E+18</v>
      </c>
      <c r="BT26" s="26" t="s">
        <v>229</v>
      </c>
      <c r="BV26" s="26">
        <v>2020</v>
      </c>
      <c r="BW26" s="26" t="s">
        <v>230</v>
      </c>
      <c r="BY26" s="26">
        <v>4.03162020170319E+18</v>
      </c>
      <c r="BZ26" s="26" t="s">
        <v>568</v>
      </c>
      <c r="CA26" s="26" t="s">
        <v>232</v>
      </c>
    </row>
    <row r="27" spans="1:79" x14ac:dyDescent="0.2">
      <c r="A27" s="26" t="s">
        <v>209</v>
      </c>
      <c r="B27" s="26" t="s">
        <v>210</v>
      </c>
      <c r="C27" s="26">
        <v>2020</v>
      </c>
      <c r="D27" s="26" t="s">
        <v>393</v>
      </c>
      <c r="E27" s="26">
        <v>2.0200316920383398E+17</v>
      </c>
      <c r="F27" s="26" t="s">
        <v>212</v>
      </c>
      <c r="G27" s="26" t="s">
        <v>567</v>
      </c>
      <c r="H27" s="26">
        <v>1389788</v>
      </c>
      <c r="J27" s="26" t="s">
        <v>214</v>
      </c>
      <c r="K27" s="26" t="s">
        <v>215</v>
      </c>
      <c r="N27" s="26" t="s">
        <v>530</v>
      </c>
      <c r="O27" s="26" t="s">
        <v>36</v>
      </c>
      <c r="P27" s="26" t="s">
        <v>217</v>
      </c>
      <c r="Q27" s="26" t="s">
        <v>28</v>
      </c>
      <c r="R27" s="26" t="s">
        <v>529</v>
      </c>
      <c r="S27" s="26" t="s">
        <v>26</v>
      </c>
      <c r="T27" s="26" t="s">
        <v>528</v>
      </c>
      <c r="V27" s="26" t="s">
        <v>220</v>
      </c>
      <c r="X27" s="26" t="s">
        <v>221</v>
      </c>
      <c r="Y27" s="26" t="s">
        <v>130</v>
      </c>
      <c r="Z27" s="26">
        <v>28255</v>
      </c>
      <c r="AA27" s="26" t="s">
        <v>222</v>
      </c>
      <c r="AB27" s="26" t="s">
        <v>527</v>
      </c>
      <c r="AD27" s="26">
        <v>15</v>
      </c>
      <c r="AE27" s="26" t="s">
        <v>224</v>
      </c>
      <c r="AI27" s="31">
        <v>43876</v>
      </c>
      <c r="AJ27" s="26">
        <v>110</v>
      </c>
      <c r="AK27" s="26">
        <v>330</v>
      </c>
      <c r="BG27" s="26" t="s">
        <v>26</v>
      </c>
      <c r="BI27" s="26" t="s">
        <v>225</v>
      </c>
      <c r="BK27" s="26" t="s">
        <v>31</v>
      </c>
      <c r="BL27" s="26" t="s">
        <v>238</v>
      </c>
      <c r="BM27" s="26" t="s">
        <v>227</v>
      </c>
      <c r="BN27" s="30">
        <v>43907.106129988424</v>
      </c>
      <c r="BR27" s="26" t="s">
        <v>228</v>
      </c>
      <c r="BS27" s="26">
        <v>4.0316202017031598E+18</v>
      </c>
      <c r="BT27" s="26" t="s">
        <v>229</v>
      </c>
      <c r="BV27" s="26">
        <v>2020</v>
      </c>
      <c r="BW27" s="26" t="s">
        <v>230</v>
      </c>
      <c r="BY27" s="26">
        <v>4.03162020170319E+18</v>
      </c>
      <c r="BZ27" s="26" t="s">
        <v>566</v>
      </c>
      <c r="CA27" s="26" t="s">
        <v>232</v>
      </c>
    </row>
    <row r="28" spans="1:79" x14ac:dyDescent="0.2">
      <c r="A28" s="26" t="s">
        <v>209</v>
      </c>
      <c r="B28" s="26" t="s">
        <v>210</v>
      </c>
      <c r="C28" s="26">
        <v>2020</v>
      </c>
      <c r="D28" s="26" t="s">
        <v>274</v>
      </c>
      <c r="E28" s="26">
        <v>2.0200814926130499E+17</v>
      </c>
      <c r="F28" s="26" t="s">
        <v>212</v>
      </c>
      <c r="G28" s="26" t="s">
        <v>565</v>
      </c>
      <c r="H28" s="26">
        <v>1432221</v>
      </c>
      <c r="J28" s="26" t="s">
        <v>214</v>
      </c>
      <c r="K28" s="26" t="s">
        <v>215</v>
      </c>
      <c r="N28" s="26" t="s">
        <v>530</v>
      </c>
      <c r="O28" s="26" t="s">
        <v>36</v>
      </c>
      <c r="P28" s="26" t="s">
        <v>217</v>
      </c>
      <c r="Q28" s="26" t="s">
        <v>28</v>
      </c>
      <c r="R28" s="26" t="s">
        <v>529</v>
      </c>
      <c r="S28" s="26" t="s">
        <v>26</v>
      </c>
      <c r="T28" s="26" t="s">
        <v>528</v>
      </c>
      <c r="V28" s="26" t="s">
        <v>220</v>
      </c>
      <c r="X28" s="26" t="s">
        <v>221</v>
      </c>
      <c r="Y28" s="26" t="s">
        <v>130</v>
      </c>
      <c r="Z28" s="26">
        <v>28255</v>
      </c>
      <c r="AA28" s="26" t="s">
        <v>222</v>
      </c>
      <c r="AB28" s="26" t="s">
        <v>527</v>
      </c>
      <c r="AD28" s="26">
        <v>15</v>
      </c>
      <c r="AE28" s="26" t="s">
        <v>224</v>
      </c>
      <c r="AI28" s="31">
        <v>44043</v>
      </c>
      <c r="AJ28" s="26">
        <v>110</v>
      </c>
      <c r="AK28" s="26">
        <v>1540</v>
      </c>
      <c r="BG28" s="26" t="s">
        <v>26</v>
      </c>
      <c r="BI28" s="26" t="s">
        <v>225</v>
      </c>
      <c r="BK28" s="26" t="s">
        <v>31</v>
      </c>
      <c r="BL28" s="26" t="s">
        <v>238</v>
      </c>
      <c r="BM28" s="26" t="s">
        <v>227</v>
      </c>
      <c r="BN28" s="30">
        <v>44069.158910011574</v>
      </c>
      <c r="BR28" s="26" t="s">
        <v>228</v>
      </c>
      <c r="BS28" s="26">
        <v>4.08152020182882E+18</v>
      </c>
      <c r="BT28" s="26" t="s">
        <v>229</v>
      </c>
      <c r="BV28" s="26">
        <v>2020</v>
      </c>
      <c r="BW28" s="26" t="s">
        <v>230</v>
      </c>
      <c r="BY28" s="26">
        <v>4.0826202018309699E+18</v>
      </c>
      <c r="BZ28" s="26" t="s">
        <v>559</v>
      </c>
      <c r="CA28" s="26" t="s">
        <v>232</v>
      </c>
    </row>
    <row r="29" spans="1:79" x14ac:dyDescent="0.2">
      <c r="A29" s="26" t="s">
        <v>209</v>
      </c>
      <c r="B29" s="26" t="s">
        <v>210</v>
      </c>
      <c r="C29" s="26">
        <v>2020</v>
      </c>
      <c r="D29" s="26" t="s">
        <v>563</v>
      </c>
      <c r="E29" s="26">
        <v>2.0200416921966202E+17</v>
      </c>
      <c r="F29" s="26" t="s">
        <v>212</v>
      </c>
      <c r="G29" s="26" t="s">
        <v>564</v>
      </c>
      <c r="H29" s="26">
        <v>1401113</v>
      </c>
      <c r="J29" s="26" t="s">
        <v>214</v>
      </c>
      <c r="K29" s="26" t="s">
        <v>215</v>
      </c>
      <c r="N29" s="26" t="s">
        <v>530</v>
      </c>
      <c r="O29" s="26" t="s">
        <v>36</v>
      </c>
      <c r="P29" s="26" t="s">
        <v>217</v>
      </c>
      <c r="Q29" s="26" t="s">
        <v>28</v>
      </c>
      <c r="R29" s="26" t="s">
        <v>529</v>
      </c>
      <c r="S29" s="26" t="s">
        <v>26</v>
      </c>
      <c r="T29" s="26" t="s">
        <v>528</v>
      </c>
      <c r="V29" s="26" t="s">
        <v>220</v>
      </c>
      <c r="X29" s="26" t="s">
        <v>221</v>
      </c>
      <c r="Y29" s="26" t="s">
        <v>130</v>
      </c>
      <c r="Z29" s="26">
        <v>28255</v>
      </c>
      <c r="AA29" s="26" t="s">
        <v>222</v>
      </c>
      <c r="AB29" s="26" t="s">
        <v>527</v>
      </c>
      <c r="AD29" s="26">
        <v>15</v>
      </c>
      <c r="AE29" s="26" t="s">
        <v>224</v>
      </c>
      <c r="AI29" s="31">
        <v>43905</v>
      </c>
      <c r="AJ29" s="26">
        <v>110</v>
      </c>
      <c r="AK29" s="26">
        <v>550</v>
      </c>
      <c r="BG29" s="26" t="s">
        <v>26</v>
      </c>
      <c r="BI29" s="26" t="s">
        <v>225</v>
      </c>
      <c r="BK29" s="26" t="s">
        <v>31</v>
      </c>
      <c r="BL29" s="26" t="s">
        <v>238</v>
      </c>
      <c r="BM29" s="26" t="s">
        <v>227</v>
      </c>
      <c r="BN29" s="30">
        <v>43939.068963472222</v>
      </c>
      <c r="BR29" s="26" t="s">
        <v>228</v>
      </c>
      <c r="BS29" s="26">
        <v>4.0416202017369098E+18</v>
      </c>
      <c r="BT29" s="26" t="s">
        <v>229</v>
      </c>
      <c r="BV29" s="26">
        <v>2020</v>
      </c>
      <c r="BW29" s="26" t="s">
        <v>230</v>
      </c>
      <c r="BY29" s="26">
        <v>4.0417202017372498E+18</v>
      </c>
      <c r="BZ29" s="26" t="s">
        <v>561</v>
      </c>
      <c r="CA29" s="26" t="s">
        <v>232</v>
      </c>
    </row>
    <row r="30" spans="1:79" x14ac:dyDescent="0.2">
      <c r="A30" s="26" t="s">
        <v>209</v>
      </c>
      <c r="B30" s="26" t="s">
        <v>210</v>
      </c>
      <c r="C30" s="26">
        <v>2020</v>
      </c>
      <c r="D30" s="26" t="s">
        <v>563</v>
      </c>
      <c r="E30" s="26">
        <v>2.0200416921966202E+17</v>
      </c>
      <c r="F30" s="26" t="s">
        <v>212</v>
      </c>
      <c r="G30" s="26" t="s">
        <v>562</v>
      </c>
      <c r="H30" s="26">
        <v>1401113</v>
      </c>
      <c r="J30" s="26" t="s">
        <v>214</v>
      </c>
      <c r="K30" s="26" t="s">
        <v>215</v>
      </c>
      <c r="N30" s="26" t="s">
        <v>530</v>
      </c>
      <c r="O30" s="26" t="s">
        <v>36</v>
      </c>
      <c r="P30" s="26" t="s">
        <v>217</v>
      </c>
      <c r="Q30" s="26" t="s">
        <v>28</v>
      </c>
      <c r="R30" s="26" t="s">
        <v>529</v>
      </c>
      <c r="S30" s="26" t="s">
        <v>26</v>
      </c>
      <c r="T30" s="26" t="s">
        <v>528</v>
      </c>
      <c r="V30" s="26" t="s">
        <v>220</v>
      </c>
      <c r="X30" s="26" t="s">
        <v>221</v>
      </c>
      <c r="Y30" s="26" t="s">
        <v>130</v>
      </c>
      <c r="Z30" s="26">
        <v>28255</v>
      </c>
      <c r="AA30" s="26" t="s">
        <v>222</v>
      </c>
      <c r="AB30" s="26" t="s">
        <v>527</v>
      </c>
      <c r="AD30" s="26">
        <v>15</v>
      </c>
      <c r="AE30" s="26" t="s">
        <v>224</v>
      </c>
      <c r="AI30" s="31">
        <v>43921</v>
      </c>
      <c r="AJ30" s="26">
        <v>110</v>
      </c>
      <c r="AK30" s="26">
        <v>660</v>
      </c>
      <c r="BG30" s="26" t="s">
        <v>26</v>
      </c>
      <c r="BI30" s="26" t="s">
        <v>225</v>
      </c>
      <c r="BK30" s="26" t="s">
        <v>31</v>
      </c>
      <c r="BL30" s="26" t="s">
        <v>238</v>
      </c>
      <c r="BM30" s="26" t="s">
        <v>227</v>
      </c>
      <c r="BN30" s="30">
        <v>43939.068963472222</v>
      </c>
      <c r="BR30" s="26" t="s">
        <v>228</v>
      </c>
      <c r="BS30" s="26">
        <v>4.0416202017369098E+18</v>
      </c>
      <c r="BT30" s="26" t="s">
        <v>229</v>
      </c>
      <c r="BV30" s="26">
        <v>2020</v>
      </c>
      <c r="BW30" s="26" t="s">
        <v>230</v>
      </c>
      <c r="BY30" s="26">
        <v>4.0417202017372498E+18</v>
      </c>
      <c r="BZ30" s="26" t="s">
        <v>561</v>
      </c>
      <c r="CA30" s="26" t="s">
        <v>232</v>
      </c>
    </row>
    <row r="31" spans="1:79" x14ac:dyDescent="0.2">
      <c r="A31" s="26" t="s">
        <v>209</v>
      </c>
      <c r="B31" s="26" t="s">
        <v>210</v>
      </c>
      <c r="C31" s="26">
        <v>2020</v>
      </c>
      <c r="D31" s="26" t="s">
        <v>274</v>
      </c>
      <c r="E31" s="26">
        <v>2.0200814926130499E+17</v>
      </c>
      <c r="F31" s="26" t="s">
        <v>212</v>
      </c>
      <c r="G31" s="26" t="s">
        <v>560</v>
      </c>
      <c r="H31" s="26">
        <v>1432221</v>
      </c>
      <c r="J31" s="26" t="s">
        <v>214</v>
      </c>
      <c r="K31" s="26" t="s">
        <v>215</v>
      </c>
      <c r="N31" s="26" t="s">
        <v>530</v>
      </c>
      <c r="O31" s="26" t="s">
        <v>36</v>
      </c>
      <c r="P31" s="26" t="s">
        <v>217</v>
      </c>
      <c r="Q31" s="26" t="s">
        <v>28</v>
      </c>
      <c r="R31" s="26" t="s">
        <v>529</v>
      </c>
      <c r="S31" s="26" t="s">
        <v>26</v>
      </c>
      <c r="T31" s="26" t="s">
        <v>528</v>
      </c>
      <c r="V31" s="26" t="s">
        <v>220</v>
      </c>
      <c r="X31" s="26" t="s">
        <v>221</v>
      </c>
      <c r="Y31" s="26" t="s">
        <v>130</v>
      </c>
      <c r="Z31" s="26">
        <v>28255</v>
      </c>
      <c r="AA31" s="26" t="s">
        <v>222</v>
      </c>
      <c r="AB31" s="26" t="s">
        <v>527</v>
      </c>
      <c r="AD31" s="26">
        <v>15</v>
      </c>
      <c r="AE31" s="26" t="s">
        <v>224</v>
      </c>
      <c r="AI31" s="31">
        <v>44027</v>
      </c>
      <c r="AJ31" s="26">
        <v>110</v>
      </c>
      <c r="AK31" s="26">
        <v>1430</v>
      </c>
      <c r="BG31" s="26" t="s">
        <v>26</v>
      </c>
      <c r="BI31" s="26" t="s">
        <v>225</v>
      </c>
      <c r="BK31" s="26" t="s">
        <v>31</v>
      </c>
      <c r="BL31" s="26" t="s">
        <v>238</v>
      </c>
      <c r="BM31" s="26" t="s">
        <v>227</v>
      </c>
      <c r="BN31" s="30">
        <v>44069.176571145836</v>
      </c>
      <c r="BR31" s="26" t="s">
        <v>228</v>
      </c>
      <c r="BS31" s="26">
        <v>4.08152020182882E+18</v>
      </c>
      <c r="BT31" s="26" t="s">
        <v>229</v>
      </c>
      <c r="BV31" s="26">
        <v>2020</v>
      </c>
      <c r="BW31" s="26" t="s">
        <v>230</v>
      </c>
      <c r="BY31" s="26">
        <v>4.0826202018309699E+18</v>
      </c>
      <c r="BZ31" s="26" t="s">
        <v>559</v>
      </c>
      <c r="CA31" s="26" t="s">
        <v>232</v>
      </c>
    </row>
    <row r="32" spans="1:79" x14ac:dyDescent="0.2">
      <c r="A32" s="26" t="s">
        <v>209</v>
      </c>
      <c r="B32" s="26" t="s">
        <v>210</v>
      </c>
      <c r="C32" s="26">
        <v>2020</v>
      </c>
      <c r="D32" s="26" t="s">
        <v>557</v>
      </c>
      <c r="E32" s="26">
        <v>2.0200515923275002E+17</v>
      </c>
      <c r="F32" s="26" t="s">
        <v>212</v>
      </c>
      <c r="G32" s="26" t="s">
        <v>558</v>
      </c>
      <c r="H32" s="26">
        <v>1405926</v>
      </c>
      <c r="J32" s="26" t="s">
        <v>214</v>
      </c>
      <c r="K32" s="26" t="s">
        <v>215</v>
      </c>
      <c r="N32" s="26" t="s">
        <v>530</v>
      </c>
      <c r="O32" s="26" t="s">
        <v>36</v>
      </c>
      <c r="P32" s="26" t="s">
        <v>217</v>
      </c>
      <c r="Q32" s="26" t="s">
        <v>28</v>
      </c>
      <c r="R32" s="26" t="s">
        <v>529</v>
      </c>
      <c r="S32" s="26" t="s">
        <v>26</v>
      </c>
      <c r="T32" s="26" t="s">
        <v>528</v>
      </c>
      <c r="V32" s="26" t="s">
        <v>220</v>
      </c>
      <c r="X32" s="26" t="s">
        <v>221</v>
      </c>
      <c r="Y32" s="26" t="s">
        <v>130</v>
      </c>
      <c r="Z32" s="26">
        <v>28255</v>
      </c>
      <c r="AA32" s="26" t="s">
        <v>222</v>
      </c>
      <c r="AB32" s="26" t="s">
        <v>527</v>
      </c>
      <c r="AD32" s="26">
        <v>15</v>
      </c>
      <c r="AE32" s="26" t="s">
        <v>224</v>
      </c>
      <c r="AI32" s="31">
        <v>43936</v>
      </c>
      <c r="AJ32" s="26">
        <v>110</v>
      </c>
      <c r="AK32" s="26">
        <v>770</v>
      </c>
      <c r="BG32" s="26" t="s">
        <v>26</v>
      </c>
      <c r="BI32" s="26" t="s">
        <v>225</v>
      </c>
      <c r="BK32" s="26" t="s">
        <v>31</v>
      </c>
      <c r="BL32" s="26" t="s">
        <v>238</v>
      </c>
      <c r="BM32" s="26" t="s">
        <v>227</v>
      </c>
      <c r="BN32" s="30">
        <v>43970.057450949076</v>
      </c>
      <c r="BR32" s="26" t="s">
        <v>228</v>
      </c>
      <c r="BS32" s="26">
        <v>4.0516202017614397E+18</v>
      </c>
      <c r="BT32" s="26" t="s">
        <v>229</v>
      </c>
      <c r="BV32" s="26">
        <v>2020</v>
      </c>
      <c r="BW32" s="26" t="s">
        <v>230</v>
      </c>
      <c r="BY32" s="26">
        <v>4.0518202017615099E+18</v>
      </c>
      <c r="BZ32" s="26" t="s">
        <v>555</v>
      </c>
      <c r="CA32" s="26" t="s">
        <v>232</v>
      </c>
    </row>
    <row r="33" spans="1:79" x14ac:dyDescent="0.2">
      <c r="A33" s="26" t="s">
        <v>209</v>
      </c>
      <c r="B33" s="26" t="s">
        <v>210</v>
      </c>
      <c r="C33" s="26">
        <v>2020</v>
      </c>
      <c r="D33" s="26" t="s">
        <v>557</v>
      </c>
      <c r="E33" s="26">
        <v>2.0200515923275002E+17</v>
      </c>
      <c r="F33" s="26" t="s">
        <v>212</v>
      </c>
      <c r="G33" s="26" t="s">
        <v>556</v>
      </c>
      <c r="H33" s="26">
        <v>1405926</v>
      </c>
      <c r="J33" s="26" t="s">
        <v>214</v>
      </c>
      <c r="K33" s="26" t="s">
        <v>215</v>
      </c>
      <c r="N33" s="26" t="s">
        <v>530</v>
      </c>
      <c r="O33" s="26" t="s">
        <v>36</v>
      </c>
      <c r="P33" s="26" t="s">
        <v>217</v>
      </c>
      <c r="Q33" s="26" t="s">
        <v>28</v>
      </c>
      <c r="R33" s="26" t="s">
        <v>529</v>
      </c>
      <c r="S33" s="26" t="s">
        <v>26</v>
      </c>
      <c r="T33" s="26" t="s">
        <v>528</v>
      </c>
      <c r="V33" s="26" t="s">
        <v>220</v>
      </c>
      <c r="X33" s="26" t="s">
        <v>221</v>
      </c>
      <c r="Y33" s="26" t="s">
        <v>130</v>
      </c>
      <c r="Z33" s="26">
        <v>28255</v>
      </c>
      <c r="AA33" s="26" t="s">
        <v>222</v>
      </c>
      <c r="AB33" s="26" t="s">
        <v>527</v>
      </c>
      <c r="AD33" s="26">
        <v>15</v>
      </c>
      <c r="AE33" s="26" t="s">
        <v>224</v>
      </c>
      <c r="AI33" s="31">
        <v>43951</v>
      </c>
      <c r="AJ33" s="26">
        <v>110</v>
      </c>
      <c r="AK33" s="26">
        <v>880</v>
      </c>
      <c r="BG33" s="26" t="s">
        <v>26</v>
      </c>
      <c r="BI33" s="26" t="s">
        <v>225</v>
      </c>
      <c r="BK33" s="26" t="s">
        <v>31</v>
      </c>
      <c r="BL33" s="26" t="s">
        <v>238</v>
      </c>
      <c r="BM33" s="26" t="s">
        <v>227</v>
      </c>
      <c r="BN33" s="30">
        <v>43970.057450949076</v>
      </c>
      <c r="BR33" s="26" t="s">
        <v>228</v>
      </c>
      <c r="BS33" s="26">
        <v>4.0516202017614397E+18</v>
      </c>
      <c r="BT33" s="26" t="s">
        <v>229</v>
      </c>
      <c r="BV33" s="26">
        <v>2020</v>
      </c>
      <c r="BW33" s="26" t="s">
        <v>230</v>
      </c>
      <c r="BY33" s="26">
        <v>4.0518202017615099E+18</v>
      </c>
      <c r="BZ33" s="26" t="s">
        <v>555</v>
      </c>
      <c r="CA33" s="26" t="s">
        <v>232</v>
      </c>
    </row>
    <row r="34" spans="1:79" x14ac:dyDescent="0.2">
      <c r="A34" s="26" t="s">
        <v>209</v>
      </c>
      <c r="B34" s="26" t="s">
        <v>210</v>
      </c>
      <c r="C34" s="26">
        <v>2020</v>
      </c>
      <c r="D34" s="26" t="s">
        <v>211</v>
      </c>
      <c r="E34" s="26">
        <v>2.0200615923978202E+17</v>
      </c>
      <c r="F34" s="26" t="s">
        <v>212</v>
      </c>
      <c r="G34" s="26" t="s">
        <v>554</v>
      </c>
      <c r="H34" s="26">
        <v>1411779</v>
      </c>
      <c r="J34" s="26" t="s">
        <v>214</v>
      </c>
      <c r="K34" s="26" t="s">
        <v>215</v>
      </c>
      <c r="N34" s="26" t="s">
        <v>530</v>
      </c>
      <c r="O34" s="26" t="s">
        <v>36</v>
      </c>
      <c r="P34" s="26" t="s">
        <v>217</v>
      </c>
      <c r="Q34" s="26" t="s">
        <v>28</v>
      </c>
      <c r="R34" s="26" t="s">
        <v>529</v>
      </c>
      <c r="S34" s="26" t="s">
        <v>26</v>
      </c>
      <c r="T34" s="26" t="s">
        <v>528</v>
      </c>
      <c r="V34" s="26" t="s">
        <v>220</v>
      </c>
      <c r="X34" s="26" t="s">
        <v>221</v>
      </c>
      <c r="Y34" s="26" t="s">
        <v>130</v>
      </c>
      <c r="Z34" s="26">
        <v>28255</v>
      </c>
      <c r="AA34" s="26" t="s">
        <v>222</v>
      </c>
      <c r="AB34" s="26" t="s">
        <v>527</v>
      </c>
      <c r="AD34" s="26">
        <v>15</v>
      </c>
      <c r="AE34" s="26" t="s">
        <v>224</v>
      </c>
      <c r="AI34" s="31">
        <v>43966</v>
      </c>
      <c r="AJ34" s="26">
        <v>110</v>
      </c>
      <c r="AK34" s="26">
        <v>990</v>
      </c>
      <c r="BG34" s="26" t="s">
        <v>26</v>
      </c>
      <c r="BI34" s="26" t="s">
        <v>225</v>
      </c>
      <c r="BK34" s="26" t="s">
        <v>31</v>
      </c>
      <c r="BL34" s="26" t="s">
        <v>238</v>
      </c>
      <c r="BM34" s="26" t="s">
        <v>227</v>
      </c>
      <c r="BN34" s="30">
        <v>43998.068666145831</v>
      </c>
      <c r="BR34" s="26" t="s">
        <v>228</v>
      </c>
      <c r="BS34" s="26">
        <v>4.0615202017748398E+18</v>
      </c>
      <c r="BT34" s="26" t="s">
        <v>229</v>
      </c>
      <c r="BV34" s="26">
        <v>2020</v>
      </c>
      <c r="BW34" s="26" t="s">
        <v>230</v>
      </c>
      <c r="BY34" s="26">
        <v>4.0615202017749299E+18</v>
      </c>
      <c r="BZ34" s="26" t="s">
        <v>552</v>
      </c>
      <c r="CA34" s="26" t="s">
        <v>232</v>
      </c>
    </row>
    <row r="35" spans="1:79" x14ac:dyDescent="0.2">
      <c r="A35" s="26" t="s">
        <v>209</v>
      </c>
      <c r="B35" s="26" t="s">
        <v>210</v>
      </c>
      <c r="C35" s="26">
        <v>2020</v>
      </c>
      <c r="D35" s="26" t="s">
        <v>211</v>
      </c>
      <c r="E35" s="26">
        <v>2.0200615923978202E+17</v>
      </c>
      <c r="F35" s="26" t="s">
        <v>212</v>
      </c>
      <c r="G35" s="26" t="s">
        <v>553</v>
      </c>
      <c r="H35" s="26">
        <v>1411779</v>
      </c>
      <c r="J35" s="26" t="s">
        <v>214</v>
      </c>
      <c r="K35" s="26" t="s">
        <v>215</v>
      </c>
      <c r="N35" s="26" t="s">
        <v>530</v>
      </c>
      <c r="O35" s="26" t="s">
        <v>36</v>
      </c>
      <c r="P35" s="26" t="s">
        <v>217</v>
      </c>
      <c r="Q35" s="26" t="s">
        <v>28</v>
      </c>
      <c r="R35" s="26" t="s">
        <v>529</v>
      </c>
      <c r="S35" s="26" t="s">
        <v>26</v>
      </c>
      <c r="T35" s="26" t="s">
        <v>528</v>
      </c>
      <c r="V35" s="26" t="s">
        <v>220</v>
      </c>
      <c r="X35" s="26" t="s">
        <v>221</v>
      </c>
      <c r="Y35" s="26" t="s">
        <v>130</v>
      </c>
      <c r="Z35" s="26">
        <v>28255</v>
      </c>
      <c r="AA35" s="26" t="s">
        <v>222</v>
      </c>
      <c r="AB35" s="26" t="s">
        <v>527</v>
      </c>
      <c r="AD35" s="26">
        <v>15</v>
      </c>
      <c r="AE35" s="26" t="s">
        <v>224</v>
      </c>
      <c r="AI35" s="31">
        <v>43982</v>
      </c>
      <c r="AJ35" s="26">
        <v>110</v>
      </c>
      <c r="AK35" s="26">
        <v>1100</v>
      </c>
      <c r="BG35" s="26" t="s">
        <v>26</v>
      </c>
      <c r="BI35" s="26" t="s">
        <v>225</v>
      </c>
      <c r="BK35" s="26" t="s">
        <v>31</v>
      </c>
      <c r="BL35" s="26" t="s">
        <v>238</v>
      </c>
      <c r="BM35" s="26" t="s">
        <v>227</v>
      </c>
      <c r="BN35" s="30">
        <v>43998.068666145831</v>
      </c>
      <c r="BR35" s="26" t="s">
        <v>228</v>
      </c>
      <c r="BS35" s="26">
        <v>4.0615202017748398E+18</v>
      </c>
      <c r="BT35" s="26" t="s">
        <v>229</v>
      </c>
      <c r="BV35" s="26">
        <v>2020</v>
      </c>
      <c r="BW35" s="26" t="s">
        <v>230</v>
      </c>
      <c r="BY35" s="26">
        <v>4.0615202017749299E+18</v>
      </c>
      <c r="BZ35" s="26" t="s">
        <v>552</v>
      </c>
      <c r="CA35" s="26" t="s">
        <v>232</v>
      </c>
    </row>
    <row r="36" spans="1:79" x14ac:dyDescent="0.2">
      <c r="A36" s="26" t="s">
        <v>209</v>
      </c>
      <c r="B36" s="26" t="s">
        <v>210</v>
      </c>
      <c r="C36" s="26">
        <v>2020</v>
      </c>
      <c r="D36" s="26" t="s">
        <v>371</v>
      </c>
      <c r="E36" s="26">
        <v>2.0201202933741501E+17</v>
      </c>
      <c r="F36" s="26" t="s">
        <v>212</v>
      </c>
      <c r="G36" s="26" t="s">
        <v>551</v>
      </c>
      <c r="H36" s="26">
        <v>1476126</v>
      </c>
      <c r="J36" s="26" t="s">
        <v>214</v>
      </c>
      <c r="K36" s="26" t="s">
        <v>215</v>
      </c>
      <c r="N36" s="26" t="s">
        <v>530</v>
      </c>
      <c r="O36" s="26" t="s">
        <v>36</v>
      </c>
      <c r="P36" s="26" t="s">
        <v>217</v>
      </c>
      <c r="Q36" s="26" t="s">
        <v>28</v>
      </c>
      <c r="R36" s="26" t="s">
        <v>529</v>
      </c>
      <c r="S36" s="26" t="s">
        <v>26</v>
      </c>
      <c r="T36" s="26" t="s">
        <v>528</v>
      </c>
      <c r="V36" s="26" t="s">
        <v>220</v>
      </c>
      <c r="X36" s="26" t="s">
        <v>221</v>
      </c>
      <c r="Y36" s="26" t="s">
        <v>130</v>
      </c>
      <c r="Z36" s="26">
        <v>28255</v>
      </c>
      <c r="AA36" s="26" t="s">
        <v>222</v>
      </c>
      <c r="AB36" s="26" t="s">
        <v>527</v>
      </c>
      <c r="AD36" s="26">
        <v>15</v>
      </c>
      <c r="AE36" s="26" t="s">
        <v>224</v>
      </c>
      <c r="AI36" s="31">
        <v>44119</v>
      </c>
      <c r="AJ36" s="26">
        <v>110</v>
      </c>
      <c r="AK36" s="26">
        <v>2090</v>
      </c>
      <c r="BG36" s="26" t="s">
        <v>26</v>
      </c>
      <c r="BI36" s="26" t="s">
        <v>225</v>
      </c>
      <c r="BK36" s="26" t="s">
        <v>31</v>
      </c>
      <c r="BL36" s="26" t="s">
        <v>238</v>
      </c>
      <c r="BM36" s="26" t="s">
        <v>227</v>
      </c>
      <c r="BN36" s="30">
        <v>44183.157443912038</v>
      </c>
      <c r="BR36" s="26" t="s">
        <v>228</v>
      </c>
      <c r="BS36" s="26">
        <v>4.1203202019631401E+18</v>
      </c>
      <c r="BT36" s="26" t="s">
        <v>229</v>
      </c>
      <c r="BV36" s="26">
        <v>2020</v>
      </c>
      <c r="BW36" s="26" t="s">
        <v>230</v>
      </c>
      <c r="BY36" s="26">
        <v>4.1218202019773599E+18</v>
      </c>
      <c r="BZ36" s="26" t="s">
        <v>549</v>
      </c>
      <c r="CA36" s="26" t="s">
        <v>232</v>
      </c>
    </row>
    <row r="37" spans="1:79" x14ac:dyDescent="0.2">
      <c r="A37" s="26" t="s">
        <v>209</v>
      </c>
      <c r="B37" s="26" t="s">
        <v>210</v>
      </c>
      <c r="C37" s="26">
        <v>2020</v>
      </c>
      <c r="D37" s="26" t="s">
        <v>371</v>
      </c>
      <c r="E37" s="26">
        <v>2.0201202933741501E+17</v>
      </c>
      <c r="F37" s="26" t="s">
        <v>212</v>
      </c>
      <c r="G37" s="26" t="s">
        <v>550</v>
      </c>
      <c r="H37" s="26">
        <v>1476126</v>
      </c>
      <c r="J37" s="26" t="s">
        <v>214</v>
      </c>
      <c r="K37" s="26" t="s">
        <v>215</v>
      </c>
      <c r="N37" s="26" t="s">
        <v>530</v>
      </c>
      <c r="O37" s="26" t="s">
        <v>36</v>
      </c>
      <c r="P37" s="26" t="s">
        <v>217</v>
      </c>
      <c r="Q37" s="26" t="s">
        <v>28</v>
      </c>
      <c r="R37" s="26" t="s">
        <v>529</v>
      </c>
      <c r="S37" s="26" t="s">
        <v>26</v>
      </c>
      <c r="T37" s="26" t="s">
        <v>528</v>
      </c>
      <c r="V37" s="26" t="s">
        <v>220</v>
      </c>
      <c r="X37" s="26" t="s">
        <v>221</v>
      </c>
      <c r="Y37" s="26" t="s">
        <v>130</v>
      </c>
      <c r="Z37" s="26">
        <v>28255</v>
      </c>
      <c r="AA37" s="26" t="s">
        <v>222</v>
      </c>
      <c r="AB37" s="26" t="s">
        <v>527</v>
      </c>
      <c r="AD37" s="26">
        <v>15</v>
      </c>
      <c r="AE37" s="26" t="s">
        <v>224</v>
      </c>
      <c r="AI37" s="31">
        <v>44135</v>
      </c>
      <c r="AJ37" s="26">
        <v>110</v>
      </c>
      <c r="AK37" s="26">
        <v>2200</v>
      </c>
      <c r="BG37" s="26" t="s">
        <v>26</v>
      </c>
      <c r="BI37" s="26" t="s">
        <v>225</v>
      </c>
      <c r="BK37" s="26" t="s">
        <v>31</v>
      </c>
      <c r="BL37" s="26" t="s">
        <v>238</v>
      </c>
      <c r="BM37" s="26" t="s">
        <v>227</v>
      </c>
      <c r="BN37" s="30">
        <v>44183.157443912038</v>
      </c>
      <c r="BR37" s="26" t="s">
        <v>228</v>
      </c>
      <c r="BS37" s="26">
        <v>4.1203202019631401E+18</v>
      </c>
      <c r="BT37" s="26" t="s">
        <v>229</v>
      </c>
      <c r="BV37" s="26">
        <v>2020</v>
      </c>
      <c r="BW37" s="26" t="s">
        <v>230</v>
      </c>
      <c r="BY37" s="26">
        <v>4.1218202019773599E+18</v>
      </c>
      <c r="BZ37" s="26" t="s">
        <v>549</v>
      </c>
      <c r="CA37" s="26" t="s">
        <v>232</v>
      </c>
    </row>
    <row r="38" spans="1:79" x14ac:dyDescent="0.2">
      <c r="A38" s="26" t="s">
        <v>209</v>
      </c>
      <c r="B38" s="26" t="s">
        <v>210</v>
      </c>
      <c r="C38" s="26">
        <v>2020</v>
      </c>
      <c r="D38" s="26" t="s">
        <v>371</v>
      </c>
      <c r="E38" s="26">
        <v>2.0201202933741501E+17</v>
      </c>
      <c r="F38" s="26" t="s">
        <v>212</v>
      </c>
      <c r="G38" s="26" t="s">
        <v>548</v>
      </c>
      <c r="H38" s="26">
        <v>1476126</v>
      </c>
      <c r="J38" s="26" t="s">
        <v>214</v>
      </c>
      <c r="K38" s="26" t="s">
        <v>215</v>
      </c>
      <c r="N38" s="26" t="s">
        <v>530</v>
      </c>
      <c r="O38" s="26" t="s">
        <v>36</v>
      </c>
      <c r="P38" s="26" t="s">
        <v>217</v>
      </c>
      <c r="Q38" s="26" t="s">
        <v>28</v>
      </c>
      <c r="R38" s="26" t="s">
        <v>529</v>
      </c>
      <c r="S38" s="26" t="s">
        <v>26</v>
      </c>
      <c r="T38" s="26" t="s">
        <v>528</v>
      </c>
      <c r="V38" s="26" t="s">
        <v>220</v>
      </c>
      <c r="X38" s="26" t="s">
        <v>221</v>
      </c>
      <c r="Y38" s="26" t="s">
        <v>130</v>
      </c>
      <c r="Z38" s="26">
        <v>28255</v>
      </c>
      <c r="AA38" s="26" t="s">
        <v>222</v>
      </c>
      <c r="AB38" s="26" t="s">
        <v>527</v>
      </c>
      <c r="AD38" s="26">
        <v>15</v>
      </c>
      <c r="AE38" s="26" t="s">
        <v>224</v>
      </c>
      <c r="AI38" s="31">
        <v>44150</v>
      </c>
      <c r="AJ38" s="26">
        <v>110</v>
      </c>
      <c r="AK38" s="26">
        <v>2310</v>
      </c>
      <c r="BG38" s="26" t="s">
        <v>26</v>
      </c>
      <c r="BI38" s="26" t="s">
        <v>225</v>
      </c>
      <c r="BK38" s="26" t="s">
        <v>31</v>
      </c>
      <c r="BL38" s="26" t="s">
        <v>238</v>
      </c>
      <c r="BM38" s="26" t="s">
        <v>227</v>
      </c>
      <c r="BN38" s="30">
        <v>44183.157443912038</v>
      </c>
      <c r="BR38" s="26" t="s">
        <v>228</v>
      </c>
      <c r="BS38" s="26">
        <v>4.1203202019631401E+18</v>
      </c>
      <c r="BT38" s="26" t="s">
        <v>229</v>
      </c>
      <c r="BV38" s="26">
        <v>2020</v>
      </c>
      <c r="BW38" s="26" t="s">
        <v>230</v>
      </c>
      <c r="BY38" s="26">
        <v>4.1218202019773599E+18</v>
      </c>
      <c r="BZ38" s="26" t="s">
        <v>547</v>
      </c>
      <c r="CA38" s="26" t="s">
        <v>232</v>
      </c>
    </row>
    <row r="39" spans="1:79" x14ac:dyDescent="0.2">
      <c r="A39" s="26" t="s">
        <v>209</v>
      </c>
      <c r="B39" s="26" t="s">
        <v>210</v>
      </c>
      <c r="C39" s="26">
        <v>2020</v>
      </c>
      <c r="D39" s="26" t="s">
        <v>252</v>
      </c>
      <c r="E39" s="26">
        <v>2.0200720926010598E+17</v>
      </c>
      <c r="F39" s="26" t="s">
        <v>212</v>
      </c>
      <c r="G39" s="26" t="s">
        <v>546</v>
      </c>
      <c r="H39" s="26">
        <v>1427301</v>
      </c>
      <c r="J39" s="26" t="s">
        <v>214</v>
      </c>
      <c r="K39" s="26" t="s">
        <v>215</v>
      </c>
      <c r="N39" s="26" t="s">
        <v>530</v>
      </c>
      <c r="O39" s="26" t="s">
        <v>36</v>
      </c>
      <c r="P39" s="26" t="s">
        <v>217</v>
      </c>
      <c r="Q39" s="26" t="s">
        <v>28</v>
      </c>
      <c r="R39" s="26" t="s">
        <v>529</v>
      </c>
      <c r="S39" s="26" t="s">
        <v>26</v>
      </c>
      <c r="T39" s="26" t="s">
        <v>528</v>
      </c>
      <c r="V39" s="26" t="s">
        <v>220</v>
      </c>
      <c r="X39" s="26" t="s">
        <v>221</v>
      </c>
      <c r="Y39" s="26" t="s">
        <v>130</v>
      </c>
      <c r="Z39" s="26">
        <v>28255</v>
      </c>
      <c r="AA39" s="26" t="s">
        <v>222</v>
      </c>
      <c r="AB39" s="26" t="s">
        <v>527</v>
      </c>
      <c r="AD39" s="26">
        <v>15</v>
      </c>
      <c r="AE39" s="26" t="s">
        <v>224</v>
      </c>
      <c r="AI39" s="31">
        <v>43997</v>
      </c>
      <c r="AJ39" s="26">
        <v>110</v>
      </c>
      <c r="AK39" s="26">
        <v>1210</v>
      </c>
      <c r="BG39" s="26" t="s">
        <v>26</v>
      </c>
      <c r="BI39" s="26" t="s">
        <v>225</v>
      </c>
      <c r="BK39" s="26" t="s">
        <v>31</v>
      </c>
      <c r="BL39" s="26" t="s">
        <v>238</v>
      </c>
      <c r="BM39" s="26" t="s">
        <v>227</v>
      </c>
      <c r="BN39" s="30">
        <v>44043.159349641202</v>
      </c>
      <c r="BR39" s="26" t="s">
        <v>228</v>
      </c>
      <c r="BS39" s="26">
        <v>4.0720202017911798E+18</v>
      </c>
      <c r="BT39" s="26" t="s">
        <v>229</v>
      </c>
      <c r="BV39" s="26">
        <v>2020</v>
      </c>
      <c r="BW39" s="26" t="s">
        <v>230</v>
      </c>
      <c r="BY39" s="26">
        <v>4.0731202018101898E+18</v>
      </c>
      <c r="BZ39" s="26" t="s">
        <v>545</v>
      </c>
      <c r="CA39" s="26" t="s">
        <v>232</v>
      </c>
    </row>
    <row r="40" spans="1:79" x14ac:dyDescent="0.2">
      <c r="A40" s="26" t="s">
        <v>209</v>
      </c>
      <c r="B40" s="26" t="s">
        <v>210</v>
      </c>
      <c r="C40" s="26">
        <v>2020</v>
      </c>
      <c r="D40" s="26" t="s">
        <v>252</v>
      </c>
      <c r="E40" s="26">
        <v>2.0200720926010598E+17</v>
      </c>
      <c r="F40" s="26" t="s">
        <v>212</v>
      </c>
      <c r="G40" s="26" t="s">
        <v>544</v>
      </c>
      <c r="H40" s="26">
        <v>1427301</v>
      </c>
      <c r="J40" s="26" t="s">
        <v>214</v>
      </c>
      <c r="K40" s="26" t="s">
        <v>215</v>
      </c>
      <c r="N40" s="26" t="s">
        <v>530</v>
      </c>
      <c r="O40" s="26" t="s">
        <v>36</v>
      </c>
      <c r="P40" s="26" t="s">
        <v>217</v>
      </c>
      <c r="Q40" s="26" t="s">
        <v>28</v>
      </c>
      <c r="R40" s="26" t="s">
        <v>529</v>
      </c>
      <c r="S40" s="26" t="s">
        <v>26</v>
      </c>
      <c r="T40" s="26" t="s">
        <v>528</v>
      </c>
      <c r="V40" s="26" t="s">
        <v>220</v>
      </c>
      <c r="X40" s="26" t="s">
        <v>221</v>
      </c>
      <c r="Y40" s="26" t="s">
        <v>130</v>
      </c>
      <c r="Z40" s="26">
        <v>28255</v>
      </c>
      <c r="AA40" s="26" t="s">
        <v>222</v>
      </c>
      <c r="AB40" s="26" t="s">
        <v>527</v>
      </c>
      <c r="AD40" s="26">
        <v>15</v>
      </c>
      <c r="AE40" s="26" t="s">
        <v>224</v>
      </c>
      <c r="AI40" s="31">
        <v>44012</v>
      </c>
      <c r="AJ40" s="26">
        <v>110</v>
      </c>
      <c r="AK40" s="26">
        <v>1320</v>
      </c>
      <c r="BG40" s="26" t="s">
        <v>26</v>
      </c>
      <c r="BI40" s="26" t="s">
        <v>225</v>
      </c>
      <c r="BK40" s="26" t="s">
        <v>31</v>
      </c>
      <c r="BL40" s="26" t="s">
        <v>238</v>
      </c>
      <c r="BM40" s="26" t="s">
        <v>227</v>
      </c>
      <c r="BN40" s="30">
        <v>44043.159349652778</v>
      </c>
      <c r="BR40" s="26" t="s">
        <v>228</v>
      </c>
      <c r="BS40" s="26">
        <v>4.0720202017911798E+18</v>
      </c>
      <c r="BT40" s="26" t="s">
        <v>229</v>
      </c>
      <c r="BV40" s="26">
        <v>2020</v>
      </c>
      <c r="BW40" s="26" t="s">
        <v>230</v>
      </c>
      <c r="BY40" s="26">
        <v>4.0731202018101898E+18</v>
      </c>
      <c r="BZ40" s="26" t="s">
        <v>543</v>
      </c>
      <c r="CA40" s="26" t="s">
        <v>232</v>
      </c>
    </row>
    <row r="41" spans="1:79" x14ac:dyDescent="0.2">
      <c r="A41" s="26" t="s">
        <v>209</v>
      </c>
      <c r="B41" s="26" t="s">
        <v>210</v>
      </c>
      <c r="C41" s="26">
        <v>2020</v>
      </c>
      <c r="D41" s="26" t="s">
        <v>389</v>
      </c>
      <c r="E41" s="26">
        <v>2.02009179267228E+17</v>
      </c>
      <c r="F41" s="26" t="s">
        <v>212</v>
      </c>
      <c r="G41" s="26" t="s">
        <v>542</v>
      </c>
      <c r="H41" s="26">
        <v>1438708</v>
      </c>
      <c r="J41" s="26" t="s">
        <v>214</v>
      </c>
      <c r="K41" s="26" t="s">
        <v>215</v>
      </c>
      <c r="N41" s="26" t="s">
        <v>530</v>
      </c>
      <c r="O41" s="26" t="s">
        <v>36</v>
      </c>
      <c r="P41" s="26" t="s">
        <v>217</v>
      </c>
      <c r="Q41" s="26" t="s">
        <v>28</v>
      </c>
      <c r="R41" s="26" t="s">
        <v>529</v>
      </c>
      <c r="S41" s="26" t="s">
        <v>26</v>
      </c>
      <c r="T41" s="26" t="s">
        <v>528</v>
      </c>
      <c r="V41" s="26" t="s">
        <v>220</v>
      </c>
      <c r="X41" s="26" t="s">
        <v>221</v>
      </c>
      <c r="Y41" s="26" t="s">
        <v>130</v>
      </c>
      <c r="Z41" s="26">
        <v>28255</v>
      </c>
      <c r="AA41" s="26" t="s">
        <v>222</v>
      </c>
      <c r="AB41" s="26" t="s">
        <v>527</v>
      </c>
      <c r="AD41" s="26">
        <v>15</v>
      </c>
      <c r="AE41" s="26" t="s">
        <v>224</v>
      </c>
      <c r="AI41" s="31">
        <v>44058</v>
      </c>
      <c r="AJ41" s="26">
        <v>110</v>
      </c>
      <c r="AK41" s="26">
        <v>1650</v>
      </c>
      <c r="BG41" s="26" t="s">
        <v>26</v>
      </c>
      <c r="BI41" s="26" t="s">
        <v>225</v>
      </c>
      <c r="BK41" s="26" t="s">
        <v>31</v>
      </c>
      <c r="BL41" s="26" t="s">
        <v>238</v>
      </c>
      <c r="BM41" s="26" t="s">
        <v>227</v>
      </c>
      <c r="BN41" s="30">
        <v>44093.150736446762</v>
      </c>
      <c r="BR41" s="26" t="s">
        <v>228</v>
      </c>
      <c r="BS41" s="26">
        <v>4.0918202018489201E+18</v>
      </c>
      <c r="BT41" s="26" t="s">
        <v>229</v>
      </c>
      <c r="BV41" s="26">
        <v>2020</v>
      </c>
      <c r="BW41" s="26" t="s">
        <v>230</v>
      </c>
      <c r="BY41" s="26">
        <v>4.0919202018490701E+18</v>
      </c>
      <c r="BZ41" s="26" t="s">
        <v>541</v>
      </c>
      <c r="CA41" s="26" t="s">
        <v>232</v>
      </c>
    </row>
    <row r="42" spans="1:79" x14ac:dyDescent="0.2">
      <c r="A42" s="26" t="s">
        <v>209</v>
      </c>
      <c r="B42" s="26" t="s">
        <v>210</v>
      </c>
      <c r="C42" s="26">
        <v>2020</v>
      </c>
      <c r="D42" s="26" t="s">
        <v>389</v>
      </c>
      <c r="E42" s="26">
        <v>2.02009179267228E+17</v>
      </c>
      <c r="F42" s="26" t="s">
        <v>212</v>
      </c>
      <c r="G42" s="26" t="s">
        <v>540</v>
      </c>
      <c r="H42" s="26">
        <v>1438708</v>
      </c>
      <c r="J42" s="26" t="s">
        <v>214</v>
      </c>
      <c r="K42" s="26" t="s">
        <v>215</v>
      </c>
      <c r="N42" s="26" t="s">
        <v>530</v>
      </c>
      <c r="O42" s="26" t="s">
        <v>36</v>
      </c>
      <c r="P42" s="26" t="s">
        <v>217</v>
      </c>
      <c r="Q42" s="26" t="s">
        <v>28</v>
      </c>
      <c r="R42" s="26" t="s">
        <v>529</v>
      </c>
      <c r="S42" s="26" t="s">
        <v>26</v>
      </c>
      <c r="T42" s="26" t="s">
        <v>528</v>
      </c>
      <c r="V42" s="26" t="s">
        <v>220</v>
      </c>
      <c r="X42" s="26" t="s">
        <v>221</v>
      </c>
      <c r="Y42" s="26" t="s">
        <v>130</v>
      </c>
      <c r="Z42" s="26">
        <v>28255</v>
      </c>
      <c r="AA42" s="26" t="s">
        <v>222</v>
      </c>
      <c r="AB42" s="26" t="s">
        <v>527</v>
      </c>
      <c r="AD42" s="26">
        <v>15</v>
      </c>
      <c r="AE42" s="26" t="s">
        <v>224</v>
      </c>
      <c r="AI42" s="31">
        <v>44074</v>
      </c>
      <c r="AJ42" s="26">
        <v>110</v>
      </c>
      <c r="AK42" s="26">
        <v>1760</v>
      </c>
      <c r="BG42" s="26" t="s">
        <v>26</v>
      </c>
      <c r="BI42" s="26" t="s">
        <v>225</v>
      </c>
      <c r="BK42" s="26" t="s">
        <v>31</v>
      </c>
      <c r="BL42" s="26" t="s">
        <v>238</v>
      </c>
      <c r="BM42" s="26" t="s">
        <v>227</v>
      </c>
      <c r="BN42" s="30">
        <v>44093.150736446762</v>
      </c>
      <c r="BR42" s="26" t="s">
        <v>228</v>
      </c>
      <c r="BS42" s="26">
        <v>4.0918202018489201E+18</v>
      </c>
      <c r="BT42" s="26" t="s">
        <v>229</v>
      </c>
      <c r="BV42" s="26">
        <v>2020</v>
      </c>
      <c r="BW42" s="26" t="s">
        <v>230</v>
      </c>
      <c r="BY42" s="26">
        <v>4.0919202018490701E+18</v>
      </c>
      <c r="BZ42" s="26" t="s">
        <v>539</v>
      </c>
      <c r="CA42" s="26" t="s">
        <v>232</v>
      </c>
    </row>
    <row r="43" spans="1:79" x14ac:dyDescent="0.2">
      <c r="A43" s="26" t="s">
        <v>209</v>
      </c>
      <c r="B43" s="26" t="s">
        <v>210</v>
      </c>
      <c r="C43" s="26">
        <v>2020</v>
      </c>
      <c r="D43" s="26" t="s">
        <v>290</v>
      </c>
      <c r="E43" s="26">
        <v>2.0201016929694598E+17</v>
      </c>
      <c r="F43" s="26" t="s">
        <v>212</v>
      </c>
      <c r="G43" s="26" t="s">
        <v>538</v>
      </c>
      <c r="H43" s="26">
        <v>1453323</v>
      </c>
      <c r="J43" s="26" t="s">
        <v>214</v>
      </c>
      <c r="K43" s="26" t="s">
        <v>215</v>
      </c>
      <c r="N43" s="26" t="s">
        <v>530</v>
      </c>
      <c r="O43" s="26" t="s">
        <v>36</v>
      </c>
      <c r="P43" s="26" t="s">
        <v>217</v>
      </c>
      <c r="Q43" s="26" t="s">
        <v>28</v>
      </c>
      <c r="R43" s="26" t="s">
        <v>529</v>
      </c>
      <c r="S43" s="26" t="s">
        <v>26</v>
      </c>
      <c r="T43" s="26" t="s">
        <v>528</v>
      </c>
      <c r="V43" s="26" t="s">
        <v>220</v>
      </c>
      <c r="X43" s="26" t="s">
        <v>221</v>
      </c>
      <c r="Y43" s="26" t="s">
        <v>130</v>
      </c>
      <c r="Z43" s="26">
        <v>28255</v>
      </c>
      <c r="AA43" s="26" t="s">
        <v>222</v>
      </c>
      <c r="AB43" s="26" t="s">
        <v>527</v>
      </c>
      <c r="AD43" s="26">
        <v>15</v>
      </c>
      <c r="AE43" s="26" t="s">
        <v>224</v>
      </c>
      <c r="AI43" s="31">
        <v>44089</v>
      </c>
      <c r="AJ43" s="26">
        <v>110</v>
      </c>
      <c r="AK43" s="26">
        <v>1870</v>
      </c>
      <c r="BG43" s="26" t="s">
        <v>26</v>
      </c>
      <c r="BI43" s="26" t="s">
        <v>225</v>
      </c>
      <c r="BK43" s="26" t="s">
        <v>31</v>
      </c>
      <c r="BL43" s="26" t="s">
        <v>238</v>
      </c>
      <c r="BM43" s="26" t="s">
        <v>227</v>
      </c>
      <c r="BN43" s="30">
        <v>44156.161213368054</v>
      </c>
      <c r="BR43" s="26" t="s">
        <v>228</v>
      </c>
      <c r="BS43" s="26">
        <v>4.10162020185858E+18</v>
      </c>
      <c r="BT43" s="26" t="s">
        <v>229</v>
      </c>
      <c r="BV43" s="26">
        <v>2020</v>
      </c>
      <c r="BW43" s="26" t="s">
        <v>230</v>
      </c>
      <c r="BY43" s="26">
        <v>4.1121202019599201E+18</v>
      </c>
      <c r="BZ43" s="26" t="s">
        <v>537</v>
      </c>
      <c r="CA43" s="26" t="s">
        <v>232</v>
      </c>
    </row>
    <row r="44" spans="1:79" x14ac:dyDescent="0.2">
      <c r="A44" s="26" t="s">
        <v>209</v>
      </c>
      <c r="B44" s="26" t="s">
        <v>210</v>
      </c>
      <c r="C44" s="26">
        <v>2020</v>
      </c>
      <c r="D44" s="26" t="s">
        <v>290</v>
      </c>
      <c r="E44" s="26">
        <v>2.0201016929694598E+17</v>
      </c>
      <c r="F44" s="26" t="s">
        <v>212</v>
      </c>
      <c r="G44" s="26" t="s">
        <v>536</v>
      </c>
      <c r="H44" s="26">
        <v>1453323</v>
      </c>
      <c r="J44" s="26" t="s">
        <v>214</v>
      </c>
      <c r="K44" s="26" t="s">
        <v>215</v>
      </c>
      <c r="N44" s="26" t="s">
        <v>530</v>
      </c>
      <c r="O44" s="26" t="s">
        <v>36</v>
      </c>
      <c r="P44" s="26" t="s">
        <v>217</v>
      </c>
      <c r="Q44" s="26" t="s">
        <v>28</v>
      </c>
      <c r="R44" s="26" t="s">
        <v>529</v>
      </c>
      <c r="S44" s="26" t="s">
        <v>26</v>
      </c>
      <c r="T44" s="26" t="s">
        <v>528</v>
      </c>
      <c r="V44" s="26" t="s">
        <v>220</v>
      </c>
      <c r="X44" s="26" t="s">
        <v>221</v>
      </c>
      <c r="Y44" s="26" t="s">
        <v>130</v>
      </c>
      <c r="Z44" s="26">
        <v>28255</v>
      </c>
      <c r="AA44" s="26" t="s">
        <v>222</v>
      </c>
      <c r="AB44" s="26" t="s">
        <v>527</v>
      </c>
      <c r="AD44" s="26">
        <v>15</v>
      </c>
      <c r="AE44" s="26" t="s">
        <v>224</v>
      </c>
      <c r="AI44" s="31">
        <v>44104</v>
      </c>
      <c r="AJ44" s="26">
        <v>110</v>
      </c>
      <c r="AK44" s="26">
        <v>1980</v>
      </c>
      <c r="BG44" s="26" t="s">
        <v>26</v>
      </c>
      <c r="BI44" s="26" t="s">
        <v>225</v>
      </c>
      <c r="BK44" s="26" t="s">
        <v>31</v>
      </c>
      <c r="BL44" s="26" t="s">
        <v>238</v>
      </c>
      <c r="BM44" s="26" t="s">
        <v>227</v>
      </c>
      <c r="BN44" s="30">
        <v>44156.161213368054</v>
      </c>
      <c r="BR44" s="26" t="s">
        <v>228</v>
      </c>
      <c r="BS44" s="26">
        <v>4.10162020185858E+18</v>
      </c>
      <c r="BT44" s="26" t="s">
        <v>229</v>
      </c>
      <c r="BV44" s="26">
        <v>2020</v>
      </c>
      <c r="BW44" s="26" t="s">
        <v>230</v>
      </c>
      <c r="BY44" s="26">
        <v>4.1121202019599201E+18</v>
      </c>
      <c r="BZ44" s="26" t="s">
        <v>535</v>
      </c>
      <c r="CA44" s="26" t="s">
        <v>232</v>
      </c>
    </row>
    <row r="45" spans="1:79" x14ac:dyDescent="0.2">
      <c r="A45" s="26" t="s">
        <v>209</v>
      </c>
      <c r="B45" s="26" t="s">
        <v>210</v>
      </c>
      <c r="C45" s="26">
        <v>2020</v>
      </c>
      <c r="D45" s="26" t="s">
        <v>508</v>
      </c>
      <c r="E45" s="26">
        <v>2.0210125940539398E+17</v>
      </c>
      <c r="F45" s="26" t="s">
        <v>212</v>
      </c>
      <c r="G45" s="26" t="s">
        <v>534</v>
      </c>
      <c r="H45" s="26">
        <v>1490358</v>
      </c>
      <c r="J45" s="26" t="s">
        <v>214</v>
      </c>
      <c r="K45" s="26" t="s">
        <v>215</v>
      </c>
      <c r="N45" s="26" t="s">
        <v>530</v>
      </c>
      <c r="O45" s="26" t="s">
        <v>36</v>
      </c>
      <c r="P45" s="26" t="s">
        <v>217</v>
      </c>
      <c r="Q45" s="26" t="s">
        <v>28</v>
      </c>
      <c r="R45" s="26" t="s">
        <v>529</v>
      </c>
      <c r="S45" s="26" t="s">
        <v>26</v>
      </c>
      <c r="T45" s="26" t="s">
        <v>528</v>
      </c>
      <c r="V45" s="26" t="s">
        <v>220</v>
      </c>
      <c r="X45" s="26" t="s">
        <v>221</v>
      </c>
      <c r="Y45" s="26" t="s">
        <v>130</v>
      </c>
      <c r="Z45" s="26">
        <v>28255</v>
      </c>
      <c r="AA45" s="26" t="s">
        <v>222</v>
      </c>
      <c r="AB45" s="26" t="s">
        <v>527</v>
      </c>
      <c r="AD45" s="26">
        <v>15</v>
      </c>
      <c r="AE45" s="26" t="s">
        <v>224</v>
      </c>
      <c r="AI45" s="31">
        <v>44165</v>
      </c>
      <c r="AJ45" s="26">
        <v>110</v>
      </c>
      <c r="AK45" s="26">
        <v>2420</v>
      </c>
      <c r="BG45" s="26" t="s">
        <v>26</v>
      </c>
      <c r="BI45" s="26" t="s">
        <v>225</v>
      </c>
      <c r="BK45" s="26" t="s">
        <v>31</v>
      </c>
      <c r="BL45" s="26" t="s">
        <v>238</v>
      </c>
      <c r="BM45" s="26" t="s">
        <v>227</v>
      </c>
      <c r="BN45" s="30">
        <v>44223.150519050927</v>
      </c>
      <c r="BR45" s="26" t="s">
        <v>228</v>
      </c>
      <c r="BS45" s="26">
        <v>4.0125202121377597E+18</v>
      </c>
      <c r="BT45" s="26" t="s">
        <v>229</v>
      </c>
      <c r="BV45" s="26">
        <v>2020</v>
      </c>
      <c r="BW45" s="26" t="s">
        <v>230</v>
      </c>
      <c r="BY45" s="26">
        <v>4.01272021213811E+18</v>
      </c>
      <c r="BZ45" s="26" t="s">
        <v>532</v>
      </c>
      <c r="CA45" s="26" t="s">
        <v>232</v>
      </c>
    </row>
    <row r="46" spans="1:79" x14ac:dyDescent="0.2">
      <c r="A46" s="26" t="s">
        <v>209</v>
      </c>
      <c r="B46" s="26" t="s">
        <v>210</v>
      </c>
      <c r="C46" s="26">
        <v>2020</v>
      </c>
      <c r="D46" s="26" t="s">
        <v>508</v>
      </c>
      <c r="E46" s="26">
        <v>2.0210125940539398E+17</v>
      </c>
      <c r="F46" s="26" t="s">
        <v>212</v>
      </c>
      <c r="G46" s="26" t="s">
        <v>533</v>
      </c>
      <c r="H46" s="26">
        <v>1490358</v>
      </c>
      <c r="J46" s="26" t="s">
        <v>214</v>
      </c>
      <c r="K46" s="26" t="s">
        <v>215</v>
      </c>
      <c r="N46" s="26" t="s">
        <v>530</v>
      </c>
      <c r="O46" s="26" t="s">
        <v>36</v>
      </c>
      <c r="P46" s="26" t="s">
        <v>217</v>
      </c>
      <c r="Q46" s="26" t="s">
        <v>28</v>
      </c>
      <c r="R46" s="26" t="s">
        <v>529</v>
      </c>
      <c r="S46" s="26" t="s">
        <v>26</v>
      </c>
      <c r="T46" s="26" t="s">
        <v>528</v>
      </c>
      <c r="V46" s="26" t="s">
        <v>220</v>
      </c>
      <c r="X46" s="26" t="s">
        <v>221</v>
      </c>
      <c r="Y46" s="26" t="s">
        <v>130</v>
      </c>
      <c r="Z46" s="26">
        <v>28255</v>
      </c>
      <c r="AA46" s="26" t="s">
        <v>222</v>
      </c>
      <c r="AB46" s="26" t="s">
        <v>527</v>
      </c>
      <c r="AD46" s="26">
        <v>15</v>
      </c>
      <c r="AE46" s="26" t="s">
        <v>224</v>
      </c>
      <c r="AI46" s="31">
        <v>44180</v>
      </c>
      <c r="AJ46" s="26">
        <v>110</v>
      </c>
      <c r="AK46" s="26">
        <v>2530</v>
      </c>
      <c r="BG46" s="26" t="s">
        <v>26</v>
      </c>
      <c r="BI46" s="26" t="s">
        <v>225</v>
      </c>
      <c r="BK46" s="26" t="s">
        <v>31</v>
      </c>
      <c r="BL46" s="26" t="s">
        <v>238</v>
      </c>
      <c r="BM46" s="26" t="s">
        <v>227</v>
      </c>
      <c r="BN46" s="30">
        <v>44223.150519062503</v>
      </c>
      <c r="BR46" s="26" t="s">
        <v>228</v>
      </c>
      <c r="BS46" s="26">
        <v>4.0125202121377597E+18</v>
      </c>
      <c r="BT46" s="26" t="s">
        <v>229</v>
      </c>
      <c r="BV46" s="26">
        <v>2020</v>
      </c>
      <c r="BW46" s="26" t="s">
        <v>230</v>
      </c>
      <c r="BY46" s="26">
        <v>4.01272021213811E+18</v>
      </c>
      <c r="BZ46" s="26" t="s">
        <v>532</v>
      </c>
      <c r="CA46" s="26" t="s">
        <v>232</v>
      </c>
    </row>
    <row r="47" spans="1:79" x14ac:dyDescent="0.2">
      <c r="A47" s="26" t="s">
        <v>209</v>
      </c>
      <c r="B47" s="26" t="s">
        <v>210</v>
      </c>
      <c r="C47" s="26">
        <v>2020</v>
      </c>
      <c r="D47" s="26" t="s">
        <v>508</v>
      </c>
      <c r="E47" s="26">
        <v>2.0210125940539398E+17</v>
      </c>
      <c r="F47" s="26" t="s">
        <v>212</v>
      </c>
      <c r="G47" s="26" t="s">
        <v>531</v>
      </c>
      <c r="H47" s="26">
        <v>1490358</v>
      </c>
      <c r="J47" s="26" t="s">
        <v>214</v>
      </c>
      <c r="K47" s="26" t="s">
        <v>215</v>
      </c>
      <c r="N47" s="26" t="s">
        <v>530</v>
      </c>
      <c r="O47" s="26" t="s">
        <v>36</v>
      </c>
      <c r="P47" s="26" t="s">
        <v>217</v>
      </c>
      <c r="Q47" s="26" t="s">
        <v>28</v>
      </c>
      <c r="R47" s="26" t="s">
        <v>529</v>
      </c>
      <c r="S47" s="26" t="s">
        <v>26</v>
      </c>
      <c r="T47" s="26" t="s">
        <v>528</v>
      </c>
      <c r="V47" s="26" t="s">
        <v>220</v>
      </c>
      <c r="X47" s="26" t="s">
        <v>221</v>
      </c>
      <c r="Y47" s="26" t="s">
        <v>130</v>
      </c>
      <c r="Z47" s="26">
        <v>28255</v>
      </c>
      <c r="AA47" s="26" t="s">
        <v>222</v>
      </c>
      <c r="AB47" s="26" t="s">
        <v>527</v>
      </c>
      <c r="AD47" s="26">
        <v>15</v>
      </c>
      <c r="AE47" s="26" t="s">
        <v>224</v>
      </c>
      <c r="AI47" s="31">
        <v>44196</v>
      </c>
      <c r="AJ47" s="26">
        <v>110</v>
      </c>
      <c r="AK47" s="26">
        <v>2640</v>
      </c>
      <c r="BG47" s="26" t="s">
        <v>26</v>
      </c>
      <c r="BI47" s="26" t="s">
        <v>225</v>
      </c>
      <c r="BK47" s="26" t="s">
        <v>31</v>
      </c>
      <c r="BL47" s="26" t="s">
        <v>238</v>
      </c>
      <c r="BM47" s="26" t="s">
        <v>227</v>
      </c>
      <c r="BN47" s="30">
        <v>44223.150519062503</v>
      </c>
      <c r="BR47" s="26" t="s">
        <v>228</v>
      </c>
      <c r="BS47" s="26">
        <v>4.0125202121377597E+18</v>
      </c>
      <c r="BT47" s="26" t="s">
        <v>229</v>
      </c>
      <c r="BV47" s="26">
        <v>2020</v>
      </c>
      <c r="BW47" s="26" t="s">
        <v>230</v>
      </c>
      <c r="BY47" s="26">
        <v>4.01272021213811E+18</v>
      </c>
      <c r="BZ47" s="26" t="s">
        <v>526</v>
      </c>
      <c r="CA47" s="26" t="s">
        <v>232</v>
      </c>
    </row>
    <row r="49" spans="1:22" x14ac:dyDescent="0.2">
      <c r="V49" s="26" t="str">
        <f>+V47&amp;X47&amp;Y47&amp;Z47</f>
        <v>100 N TRYON STCHARLOTTENC28255</v>
      </c>
    </row>
    <row r="52" spans="1:22" x14ac:dyDescent="0.2">
      <c r="A52" s="29" t="s">
        <v>299</v>
      </c>
      <c r="B52" s="26" t="s">
        <v>301</v>
      </c>
    </row>
    <row r="53" spans="1:22" x14ac:dyDescent="0.2">
      <c r="A53" s="28" t="s">
        <v>210</v>
      </c>
      <c r="B53" s="27">
        <v>5060</v>
      </c>
    </row>
    <row r="54" spans="1:22" x14ac:dyDescent="0.2">
      <c r="A54" s="28" t="s">
        <v>300</v>
      </c>
      <c r="B54" s="27">
        <v>5060</v>
      </c>
    </row>
  </sheetData>
  <autoFilter ref="A1:CA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"/>
  <sheetViews>
    <sheetView topLeftCell="N1" workbookViewId="0">
      <selection activeCell="V5" sqref="V5"/>
    </sheetView>
  </sheetViews>
  <sheetFormatPr defaultRowHeight="15" x14ac:dyDescent="0.25"/>
  <sheetData>
    <row r="1" spans="1:79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132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</row>
    <row r="2" spans="1:79" x14ac:dyDescent="0.25">
      <c r="A2" t="s">
        <v>506</v>
      </c>
      <c r="B2" t="s">
        <v>507</v>
      </c>
      <c r="C2">
        <v>2019</v>
      </c>
      <c r="D2" t="s">
        <v>508</v>
      </c>
      <c r="E2">
        <v>2.0210107939525699E+17</v>
      </c>
      <c r="F2" t="s">
        <v>212</v>
      </c>
      <c r="G2" t="s">
        <v>509</v>
      </c>
      <c r="H2">
        <v>1485974</v>
      </c>
      <c r="J2" t="s">
        <v>214</v>
      </c>
      <c r="K2" t="s">
        <v>215</v>
      </c>
      <c r="L2" t="s">
        <v>510</v>
      </c>
      <c r="N2" t="s">
        <v>511</v>
      </c>
      <c r="O2" t="s">
        <v>512</v>
      </c>
      <c r="Q2" t="s">
        <v>249</v>
      </c>
      <c r="R2" t="s">
        <v>513</v>
      </c>
      <c r="T2" t="s">
        <v>514</v>
      </c>
      <c r="V2" t="s">
        <v>515</v>
      </c>
      <c r="X2" t="s">
        <v>516</v>
      </c>
      <c r="Y2" t="s">
        <v>502</v>
      </c>
      <c r="Z2">
        <v>190103632</v>
      </c>
      <c r="AA2" t="s">
        <v>243</v>
      </c>
      <c r="AB2" t="s">
        <v>243</v>
      </c>
      <c r="AC2" t="s">
        <v>510</v>
      </c>
      <c r="AD2" t="s">
        <v>324</v>
      </c>
      <c r="AE2" t="s">
        <v>325</v>
      </c>
      <c r="AF2" t="s">
        <v>517</v>
      </c>
      <c r="AI2" s="14">
        <v>43822</v>
      </c>
      <c r="AJ2">
        <v>1000</v>
      </c>
      <c r="AK2">
        <v>1000</v>
      </c>
      <c r="AL2" t="s">
        <v>518</v>
      </c>
      <c r="BG2" t="s">
        <v>26</v>
      </c>
      <c r="BI2" t="s">
        <v>225</v>
      </c>
      <c r="BK2" t="s">
        <v>31</v>
      </c>
      <c r="BL2" t="s">
        <v>238</v>
      </c>
      <c r="BM2" t="s">
        <v>227</v>
      </c>
      <c r="BN2" s="15">
        <v>44237.518238761571</v>
      </c>
      <c r="BR2" t="s">
        <v>228</v>
      </c>
      <c r="BS2">
        <v>4.0111202120681999E+18</v>
      </c>
      <c r="BT2" t="s">
        <v>229</v>
      </c>
      <c r="BV2">
        <v>2020</v>
      </c>
      <c r="BW2" t="s">
        <v>230</v>
      </c>
      <c r="BY2">
        <v>4.0209202111267302E+18</v>
      </c>
      <c r="BZ2" t="s">
        <v>519</v>
      </c>
      <c r="CA2" t="s">
        <v>232</v>
      </c>
    </row>
    <row r="3" spans="1:79" x14ac:dyDescent="0.25">
      <c r="A3" t="s">
        <v>520</v>
      </c>
      <c r="B3" t="s">
        <v>521</v>
      </c>
      <c r="C3">
        <v>2020</v>
      </c>
      <c r="D3" t="s">
        <v>283</v>
      </c>
      <c r="E3">
        <v>2.0201015929390202E+17</v>
      </c>
      <c r="F3" t="s">
        <v>212</v>
      </c>
      <c r="G3" t="s">
        <v>522</v>
      </c>
      <c r="H3">
        <v>1449160</v>
      </c>
      <c r="J3" t="s">
        <v>214</v>
      </c>
      <c r="K3" t="s">
        <v>215</v>
      </c>
      <c r="N3" t="s">
        <v>511</v>
      </c>
      <c r="O3" t="s">
        <v>35</v>
      </c>
      <c r="Q3" t="s">
        <v>249</v>
      </c>
      <c r="R3" t="s">
        <v>513</v>
      </c>
      <c r="T3" t="s">
        <v>514</v>
      </c>
      <c r="V3" t="s">
        <v>523</v>
      </c>
      <c r="X3" t="s">
        <v>516</v>
      </c>
      <c r="Y3" t="s">
        <v>502</v>
      </c>
      <c r="Z3">
        <v>19010</v>
      </c>
      <c r="AB3" t="s">
        <v>243</v>
      </c>
      <c r="AD3">
        <v>10</v>
      </c>
      <c r="AE3" t="s">
        <v>272</v>
      </c>
      <c r="AI3" s="14">
        <v>44074</v>
      </c>
      <c r="AJ3">
        <v>1000</v>
      </c>
      <c r="AK3">
        <v>1000</v>
      </c>
      <c r="BG3" t="s">
        <v>297</v>
      </c>
      <c r="BI3" t="s">
        <v>296</v>
      </c>
      <c r="BJ3">
        <v>2020</v>
      </c>
      <c r="BK3" t="s">
        <v>31</v>
      </c>
      <c r="BL3" t="s">
        <v>238</v>
      </c>
      <c r="BM3" t="s">
        <v>227</v>
      </c>
      <c r="BN3" s="15">
        <v>44152.153880104168</v>
      </c>
      <c r="BR3" t="s">
        <v>228</v>
      </c>
      <c r="BS3">
        <v>4.1016202018576599E+18</v>
      </c>
      <c r="BT3" t="s">
        <v>229</v>
      </c>
      <c r="BV3">
        <v>2020</v>
      </c>
      <c r="BW3" t="s">
        <v>230</v>
      </c>
      <c r="BY3">
        <v>4.1117202019006602E+18</v>
      </c>
      <c r="BZ3" t="s">
        <v>524</v>
      </c>
      <c r="CA3" t="s">
        <v>232</v>
      </c>
    </row>
    <row r="5" spans="1:79" x14ac:dyDescent="0.25">
      <c r="V5" t="str">
        <f>+V3&amp;X3&amp;Y3&amp;Z3</f>
        <v>502 GLENVIEW ROADBRYN MAWRPA19010</v>
      </c>
      <c r="AJ5">
        <f>SUM(AJ2:AJ4)</f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0"/>
  <sheetViews>
    <sheetView topLeftCell="L1" workbookViewId="0">
      <selection activeCell="V15" sqref="V15"/>
    </sheetView>
  </sheetViews>
  <sheetFormatPr defaultRowHeight="15" x14ac:dyDescent="0.25"/>
  <cols>
    <col min="1" max="1" width="54.28515625" bestFit="1" customWidth="1"/>
    <col min="2" max="2" width="34.5703125" bestFit="1" customWidth="1"/>
  </cols>
  <sheetData>
    <row r="1" spans="1:79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132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</row>
    <row r="2" spans="1:79" x14ac:dyDescent="0.25">
      <c r="A2" t="s">
        <v>369</v>
      </c>
      <c r="B2" t="s">
        <v>370</v>
      </c>
      <c r="C2">
        <v>2020</v>
      </c>
      <c r="D2" t="s">
        <v>371</v>
      </c>
      <c r="E2">
        <v>2.0210426944548899E+17</v>
      </c>
      <c r="F2">
        <v>12</v>
      </c>
      <c r="G2">
        <v>10904762</v>
      </c>
      <c r="H2">
        <v>1514451</v>
      </c>
      <c r="J2" t="s">
        <v>214</v>
      </c>
      <c r="K2" t="s">
        <v>215</v>
      </c>
      <c r="N2" t="s">
        <v>469</v>
      </c>
      <c r="O2" t="s">
        <v>25</v>
      </c>
      <c r="Q2" t="s">
        <v>249</v>
      </c>
      <c r="R2" t="s">
        <v>470</v>
      </c>
      <c r="S2" t="s">
        <v>33</v>
      </c>
      <c r="T2" t="s">
        <v>471</v>
      </c>
      <c r="V2" t="s">
        <v>472</v>
      </c>
      <c r="W2" t="s">
        <v>473</v>
      </c>
      <c r="X2" t="s">
        <v>474</v>
      </c>
      <c r="Y2" t="s">
        <v>305</v>
      </c>
      <c r="Z2">
        <v>21101802</v>
      </c>
      <c r="AA2" t="s">
        <v>475</v>
      </c>
      <c r="AB2" t="s">
        <v>345</v>
      </c>
      <c r="AD2" t="s">
        <v>242</v>
      </c>
      <c r="AE2" t="s">
        <v>241</v>
      </c>
      <c r="AG2" t="s">
        <v>239</v>
      </c>
      <c r="AI2">
        <v>44053</v>
      </c>
      <c r="AJ2">
        <v>3926.66</v>
      </c>
      <c r="AK2">
        <v>3926.66</v>
      </c>
      <c r="BG2" t="s">
        <v>26</v>
      </c>
      <c r="BI2" t="s">
        <v>225</v>
      </c>
      <c r="BK2" t="s">
        <v>0</v>
      </c>
      <c r="BL2" t="s">
        <v>226</v>
      </c>
      <c r="BM2" t="s">
        <v>227</v>
      </c>
      <c r="BN2">
        <v>44325.150081192129</v>
      </c>
      <c r="BP2">
        <v>10236887</v>
      </c>
      <c r="BQ2" t="s">
        <v>236</v>
      </c>
      <c r="BR2" t="s">
        <v>228</v>
      </c>
      <c r="BS2">
        <v>4.0426202112790702E+18</v>
      </c>
      <c r="BT2" t="s">
        <v>229</v>
      </c>
      <c r="BU2" t="s">
        <v>372</v>
      </c>
      <c r="BV2">
        <v>2020</v>
      </c>
      <c r="BW2" t="s">
        <v>230</v>
      </c>
      <c r="BY2">
        <v>4.0509202112926899E+18</v>
      </c>
      <c r="BZ2" t="s">
        <v>476</v>
      </c>
      <c r="CA2" t="s">
        <v>233</v>
      </c>
    </row>
    <row r="3" spans="1:79" x14ac:dyDescent="0.25">
      <c r="A3" t="s">
        <v>374</v>
      </c>
      <c r="B3" t="s">
        <v>375</v>
      </c>
      <c r="C3">
        <v>2020</v>
      </c>
      <c r="D3" t="s">
        <v>371</v>
      </c>
      <c r="E3">
        <v>2.0210511944644499E+17</v>
      </c>
      <c r="F3" t="s">
        <v>212</v>
      </c>
      <c r="G3" t="s">
        <v>477</v>
      </c>
      <c r="H3">
        <v>1515686</v>
      </c>
      <c r="J3" t="s">
        <v>214</v>
      </c>
      <c r="K3" t="s">
        <v>215</v>
      </c>
      <c r="N3" t="s">
        <v>478</v>
      </c>
      <c r="O3" t="s">
        <v>25</v>
      </c>
      <c r="Q3" t="s">
        <v>249</v>
      </c>
      <c r="R3" t="s">
        <v>470</v>
      </c>
      <c r="T3" t="s">
        <v>471</v>
      </c>
      <c r="V3" t="s">
        <v>479</v>
      </c>
      <c r="X3" t="s">
        <v>474</v>
      </c>
      <c r="Y3" t="s">
        <v>305</v>
      </c>
      <c r="Z3">
        <v>2110</v>
      </c>
      <c r="AA3" t="s">
        <v>475</v>
      </c>
      <c r="AB3" t="s">
        <v>345</v>
      </c>
      <c r="AD3" t="s">
        <v>242</v>
      </c>
      <c r="AE3" t="s">
        <v>241</v>
      </c>
      <c r="AG3" t="s">
        <v>239</v>
      </c>
      <c r="AI3">
        <v>44053</v>
      </c>
      <c r="AJ3">
        <v>3926.66</v>
      </c>
      <c r="AK3">
        <v>3926.66</v>
      </c>
      <c r="BG3" t="s">
        <v>26</v>
      </c>
      <c r="BI3" t="s">
        <v>225</v>
      </c>
      <c r="BK3" t="s">
        <v>0</v>
      </c>
      <c r="BL3" t="s">
        <v>226</v>
      </c>
      <c r="BM3" t="s">
        <v>227</v>
      </c>
      <c r="BN3">
        <v>44329.15075320602</v>
      </c>
      <c r="BR3" t="s">
        <v>228</v>
      </c>
      <c r="BS3">
        <v>4.05122021129282E+18</v>
      </c>
      <c r="BT3" t="s">
        <v>229</v>
      </c>
      <c r="BU3" t="s">
        <v>377</v>
      </c>
      <c r="BV3">
        <v>2020</v>
      </c>
      <c r="BW3" t="s">
        <v>230</v>
      </c>
      <c r="BY3">
        <v>4.0513202112928998E+18</v>
      </c>
      <c r="BZ3" t="s">
        <v>480</v>
      </c>
      <c r="CA3" t="s">
        <v>232</v>
      </c>
    </row>
    <row r="4" spans="1:79" x14ac:dyDescent="0.25">
      <c r="A4" t="s">
        <v>420</v>
      </c>
      <c r="B4" t="s">
        <v>421</v>
      </c>
      <c r="C4">
        <v>2020</v>
      </c>
      <c r="D4" t="s">
        <v>290</v>
      </c>
      <c r="E4">
        <v>2.0210517944684198E+17</v>
      </c>
      <c r="F4" t="s">
        <v>212</v>
      </c>
      <c r="G4" t="s">
        <v>481</v>
      </c>
      <c r="H4">
        <v>1516564</v>
      </c>
      <c r="J4" t="s">
        <v>214</v>
      </c>
      <c r="K4" t="s">
        <v>215</v>
      </c>
      <c r="N4" t="s">
        <v>478</v>
      </c>
      <c r="O4" t="s">
        <v>25</v>
      </c>
      <c r="Q4" t="s">
        <v>249</v>
      </c>
      <c r="R4" t="s">
        <v>470</v>
      </c>
      <c r="T4" t="s">
        <v>471</v>
      </c>
      <c r="V4" t="s">
        <v>482</v>
      </c>
      <c r="W4" t="s">
        <v>483</v>
      </c>
      <c r="X4" t="s">
        <v>474</v>
      </c>
      <c r="Y4" t="s">
        <v>305</v>
      </c>
      <c r="Z4">
        <v>2110</v>
      </c>
      <c r="AA4" t="s">
        <v>475</v>
      </c>
      <c r="AB4" t="s">
        <v>345</v>
      </c>
      <c r="AD4" t="s">
        <v>242</v>
      </c>
      <c r="AE4" t="s">
        <v>241</v>
      </c>
      <c r="AG4" t="s">
        <v>239</v>
      </c>
      <c r="AI4">
        <v>44053</v>
      </c>
      <c r="AJ4">
        <v>3926.66</v>
      </c>
      <c r="AK4">
        <v>3926.66</v>
      </c>
      <c r="BG4" t="s">
        <v>26</v>
      </c>
      <c r="BI4" t="s">
        <v>225</v>
      </c>
      <c r="BK4" t="s">
        <v>0</v>
      </c>
      <c r="BL4" t="s">
        <v>226</v>
      </c>
      <c r="BM4" t="s">
        <v>227</v>
      </c>
      <c r="BN4">
        <v>44342.149490243057</v>
      </c>
      <c r="BR4" t="s">
        <v>228</v>
      </c>
      <c r="BS4">
        <v>4.0519202112947999E+18</v>
      </c>
      <c r="BT4" t="s">
        <v>229</v>
      </c>
      <c r="BU4" t="s">
        <v>377</v>
      </c>
      <c r="BV4">
        <v>2020</v>
      </c>
      <c r="BW4" t="s">
        <v>230</v>
      </c>
      <c r="BY4">
        <v>4.0526202112972298E+18</v>
      </c>
      <c r="BZ4" t="s">
        <v>484</v>
      </c>
      <c r="CA4" t="s">
        <v>232</v>
      </c>
    </row>
    <row r="5" spans="1:79" x14ac:dyDescent="0.25">
      <c r="A5" t="s">
        <v>403</v>
      </c>
      <c r="B5" t="s">
        <v>404</v>
      </c>
      <c r="C5">
        <v>2020</v>
      </c>
      <c r="D5" t="s">
        <v>371</v>
      </c>
      <c r="E5">
        <v>2.0210512944668301E+17</v>
      </c>
      <c r="F5" t="s">
        <v>212</v>
      </c>
      <c r="G5" t="s">
        <v>485</v>
      </c>
      <c r="H5">
        <v>1515964</v>
      </c>
      <c r="J5" t="s">
        <v>214</v>
      </c>
      <c r="K5" t="s">
        <v>215</v>
      </c>
      <c r="N5" t="s">
        <v>478</v>
      </c>
      <c r="O5" t="s">
        <v>25</v>
      </c>
      <c r="Q5" t="s">
        <v>249</v>
      </c>
      <c r="R5" t="s">
        <v>470</v>
      </c>
      <c r="T5" t="s">
        <v>471</v>
      </c>
      <c r="V5" t="s">
        <v>479</v>
      </c>
      <c r="X5" t="s">
        <v>474</v>
      </c>
      <c r="Y5" t="s">
        <v>305</v>
      </c>
      <c r="Z5">
        <v>2110</v>
      </c>
      <c r="AA5" t="s">
        <v>475</v>
      </c>
      <c r="AB5" t="s">
        <v>345</v>
      </c>
      <c r="AD5" t="s">
        <v>242</v>
      </c>
      <c r="AE5" t="s">
        <v>241</v>
      </c>
      <c r="AG5" t="s">
        <v>239</v>
      </c>
      <c r="AI5">
        <v>44053</v>
      </c>
      <c r="AJ5">
        <v>3926.67</v>
      </c>
      <c r="AK5">
        <v>3926.67</v>
      </c>
      <c r="BG5" t="s">
        <v>26</v>
      </c>
      <c r="BI5" t="s">
        <v>225</v>
      </c>
      <c r="BK5" t="s">
        <v>0</v>
      </c>
      <c r="BL5" t="s">
        <v>226</v>
      </c>
      <c r="BM5" t="s">
        <v>227</v>
      </c>
      <c r="BN5">
        <v>44330.14991886574</v>
      </c>
      <c r="BR5" t="s">
        <v>228</v>
      </c>
      <c r="BS5">
        <v>4.0513202112928799E+18</v>
      </c>
      <c r="BT5" t="s">
        <v>229</v>
      </c>
      <c r="BU5" t="s">
        <v>377</v>
      </c>
      <c r="BV5">
        <v>2020</v>
      </c>
      <c r="BW5" t="s">
        <v>230</v>
      </c>
      <c r="BY5">
        <v>4.0514202112929802E+18</v>
      </c>
      <c r="BZ5" t="s">
        <v>486</v>
      </c>
      <c r="CA5" t="s">
        <v>232</v>
      </c>
    </row>
    <row r="6" spans="1:79" x14ac:dyDescent="0.25">
      <c r="A6" t="s">
        <v>415</v>
      </c>
      <c r="B6" t="s">
        <v>416</v>
      </c>
      <c r="C6">
        <v>2020</v>
      </c>
      <c r="D6" t="s">
        <v>422</v>
      </c>
      <c r="E6">
        <v>2.0210505944629101E+17</v>
      </c>
      <c r="F6">
        <v>12</v>
      </c>
      <c r="G6">
        <v>3839018</v>
      </c>
      <c r="H6">
        <v>1515203</v>
      </c>
      <c r="J6" t="s">
        <v>214</v>
      </c>
      <c r="K6" t="s">
        <v>215</v>
      </c>
      <c r="N6" t="s">
        <v>478</v>
      </c>
      <c r="O6" t="s">
        <v>25</v>
      </c>
      <c r="Q6" t="s">
        <v>249</v>
      </c>
      <c r="R6" t="s">
        <v>470</v>
      </c>
      <c r="T6" t="s">
        <v>471</v>
      </c>
      <c r="V6" t="s">
        <v>472</v>
      </c>
      <c r="W6" t="s">
        <v>473</v>
      </c>
      <c r="X6" t="s">
        <v>474</v>
      </c>
      <c r="Y6" t="s">
        <v>305</v>
      </c>
      <c r="Z6">
        <v>21101802</v>
      </c>
      <c r="AA6" t="s">
        <v>475</v>
      </c>
      <c r="AB6" t="s">
        <v>345</v>
      </c>
      <c r="AD6" t="s">
        <v>242</v>
      </c>
      <c r="AE6" t="s">
        <v>241</v>
      </c>
      <c r="AG6" t="s">
        <v>239</v>
      </c>
      <c r="AI6">
        <v>44053</v>
      </c>
      <c r="AJ6">
        <v>3926.67</v>
      </c>
      <c r="AK6">
        <v>3926.67</v>
      </c>
      <c r="BG6" t="s">
        <v>26</v>
      </c>
      <c r="BI6" t="s">
        <v>225</v>
      </c>
      <c r="BK6" t="s">
        <v>0</v>
      </c>
      <c r="BL6" t="s">
        <v>226</v>
      </c>
      <c r="BM6" t="s">
        <v>227</v>
      </c>
      <c r="BN6">
        <v>44324.198819699071</v>
      </c>
      <c r="BP6">
        <v>3835551</v>
      </c>
      <c r="BQ6" t="s">
        <v>236</v>
      </c>
      <c r="BR6" t="s">
        <v>228</v>
      </c>
      <c r="BS6">
        <v>4.0506202112853499E+18</v>
      </c>
      <c r="BT6" t="s">
        <v>229</v>
      </c>
      <c r="BU6" t="s">
        <v>372</v>
      </c>
      <c r="BV6">
        <v>2020</v>
      </c>
      <c r="BW6" t="s">
        <v>230</v>
      </c>
      <c r="BY6">
        <v>4.0508202112871598E+18</v>
      </c>
      <c r="BZ6" t="s">
        <v>487</v>
      </c>
      <c r="CA6" t="s">
        <v>233</v>
      </c>
    </row>
    <row r="7" spans="1:79" x14ac:dyDescent="0.25">
      <c r="A7" t="s">
        <v>425</v>
      </c>
      <c r="B7" t="s">
        <v>426</v>
      </c>
      <c r="C7">
        <v>2020</v>
      </c>
      <c r="D7" t="s">
        <v>371</v>
      </c>
      <c r="E7">
        <v>2.0210520944703002E+17</v>
      </c>
      <c r="F7" t="s">
        <v>212</v>
      </c>
      <c r="G7" t="s">
        <v>488</v>
      </c>
      <c r="H7">
        <v>1517435</v>
      </c>
      <c r="J7" t="s">
        <v>214</v>
      </c>
      <c r="K7" t="s">
        <v>215</v>
      </c>
      <c r="N7" t="s">
        <v>478</v>
      </c>
      <c r="O7" t="s">
        <v>25</v>
      </c>
      <c r="Q7" t="s">
        <v>249</v>
      </c>
      <c r="R7" t="s">
        <v>470</v>
      </c>
      <c r="T7" t="s">
        <v>471</v>
      </c>
      <c r="V7" t="s">
        <v>482</v>
      </c>
      <c r="W7" t="s">
        <v>483</v>
      </c>
      <c r="X7" t="s">
        <v>474</v>
      </c>
      <c r="Y7" t="s">
        <v>305</v>
      </c>
      <c r="Z7">
        <v>2110</v>
      </c>
      <c r="AA7" t="s">
        <v>489</v>
      </c>
      <c r="AB7" t="s">
        <v>345</v>
      </c>
      <c r="AD7" t="s">
        <v>242</v>
      </c>
      <c r="AE7" t="s">
        <v>241</v>
      </c>
      <c r="AG7" t="s">
        <v>239</v>
      </c>
      <c r="AI7">
        <v>44053</v>
      </c>
      <c r="AJ7">
        <v>3926.66</v>
      </c>
      <c r="AK7">
        <v>3926.66</v>
      </c>
      <c r="BG7" t="s">
        <v>26</v>
      </c>
      <c r="BI7" t="s">
        <v>225</v>
      </c>
      <c r="BK7" t="s">
        <v>0</v>
      </c>
      <c r="BL7" t="s">
        <v>226</v>
      </c>
      <c r="BM7" t="s">
        <v>227</v>
      </c>
      <c r="BN7">
        <v>44343.161306793983</v>
      </c>
      <c r="BR7" t="s">
        <v>228</v>
      </c>
      <c r="BS7">
        <v>4.05212021129677E+18</v>
      </c>
      <c r="BT7" t="s">
        <v>229</v>
      </c>
      <c r="BU7" t="s">
        <v>377</v>
      </c>
      <c r="BV7">
        <v>2020</v>
      </c>
      <c r="BW7" t="s">
        <v>230</v>
      </c>
      <c r="BY7">
        <v>4.0527202112973701E+18</v>
      </c>
      <c r="BZ7" t="s">
        <v>490</v>
      </c>
      <c r="CA7" t="s">
        <v>232</v>
      </c>
    </row>
    <row r="8" spans="1:79" x14ac:dyDescent="0.25">
      <c r="A8" t="s">
        <v>425</v>
      </c>
      <c r="B8" t="s">
        <v>426</v>
      </c>
      <c r="C8">
        <v>2020</v>
      </c>
      <c r="D8" t="s">
        <v>371</v>
      </c>
      <c r="E8">
        <v>2.0210520944703002E+17</v>
      </c>
      <c r="F8" t="s">
        <v>212</v>
      </c>
      <c r="G8" t="s">
        <v>491</v>
      </c>
      <c r="H8">
        <v>1517435</v>
      </c>
      <c r="J8" t="s">
        <v>214</v>
      </c>
      <c r="K8" t="s">
        <v>215</v>
      </c>
      <c r="N8" t="s">
        <v>478</v>
      </c>
      <c r="O8" t="s">
        <v>25</v>
      </c>
      <c r="Q8" t="s">
        <v>249</v>
      </c>
      <c r="R8" t="s">
        <v>470</v>
      </c>
      <c r="T8" t="s">
        <v>471</v>
      </c>
      <c r="V8" t="s">
        <v>482</v>
      </c>
      <c r="W8" t="s">
        <v>483</v>
      </c>
      <c r="X8" t="s">
        <v>474</v>
      </c>
      <c r="Y8" t="s">
        <v>305</v>
      </c>
      <c r="Z8">
        <v>2110</v>
      </c>
      <c r="AA8" t="s">
        <v>489</v>
      </c>
      <c r="AB8" t="s">
        <v>345</v>
      </c>
      <c r="AD8" t="s">
        <v>242</v>
      </c>
      <c r="AE8" t="s">
        <v>241</v>
      </c>
      <c r="AG8" t="s">
        <v>239</v>
      </c>
      <c r="AI8">
        <v>44053</v>
      </c>
      <c r="AJ8">
        <v>3926.66</v>
      </c>
      <c r="AK8">
        <v>7853.32</v>
      </c>
      <c r="BG8" t="s">
        <v>26</v>
      </c>
      <c r="BI8" t="s">
        <v>225</v>
      </c>
      <c r="BK8" t="s">
        <v>0</v>
      </c>
      <c r="BL8" t="s">
        <v>226</v>
      </c>
      <c r="BM8" t="s">
        <v>227</v>
      </c>
      <c r="BN8">
        <v>44343.161362881947</v>
      </c>
      <c r="BR8" t="s">
        <v>228</v>
      </c>
      <c r="BS8">
        <v>4.05212021129677E+18</v>
      </c>
      <c r="BT8" t="s">
        <v>229</v>
      </c>
      <c r="BU8" t="s">
        <v>377</v>
      </c>
      <c r="BV8">
        <v>2020</v>
      </c>
      <c r="BW8" t="s">
        <v>230</v>
      </c>
      <c r="BY8">
        <v>4.0527202112973701E+18</v>
      </c>
      <c r="BZ8" t="s">
        <v>492</v>
      </c>
      <c r="CA8" t="s">
        <v>232</v>
      </c>
    </row>
    <row r="9" spans="1:79" x14ac:dyDescent="0.25">
      <c r="A9" t="s">
        <v>418</v>
      </c>
      <c r="B9" t="s">
        <v>377</v>
      </c>
      <c r="C9">
        <v>2020</v>
      </c>
      <c r="D9" t="s">
        <v>283</v>
      </c>
      <c r="E9">
        <v>2.0210114940467802E+17</v>
      </c>
      <c r="F9" t="s">
        <v>212</v>
      </c>
      <c r="G9">
        <v>9254118</v>
      </c>
      <c r="H9">
        <v>1487959</v>
      </c>
      <c r="J9" t="s">
        <v>214</v>
      </c>
      <c r="K9" t="s">
        <v>215</v>
      </c>
      <c r="N9" t="s">
        <v>478</v>
      </c>
      <c r="O9" t="s">
        <v>0</v>
      </c>
      <c r="Q9" t="s">
        <v>33</v>
      </c>
      <c r="R9" t="s">
        <v>470</v>
      </c>
      <c r="T9" t="s">
        <v>471</v>
      </c>
      <c r="V9" t="s">
        <v>472</v>
      </c>
      <c r="X9" t="s">
        <v>474</v>
      </c>
      <c r="Y9" t="s">
        <v>305</v>
      </c>
      <c r="Z9">
        <v>21101802</v>
      </c>
      <c r="AA9" t="s">
        <v>475</v>
      </c>
      <c r="AB9" t="s">
        <v>345</v>
      </c>
      <c r="AD9">
        <v>15</v>
      </c>
      <c r="AE9" t="s">
        <v>224</v>
      </c>
      <c r="AI9">
        <v>44053</v>
      </c>
      <c r="AJ9">
        <v>100000</v>
      </c>
      <c r="AK9">
        <v>100000</v>
      </c>
      <c r="BG9" t="s">
        <v>26</v>
      </c>
      <c r="BI9" t="s">
        <v>225</v>
      </c>
      <c r="BK9" t="s">
        <v>31</v>
      </c>
      <c r="BL9" t="s">
        <v>238</v>
      </c>
      <c r="BM9" t="s">
        <v>227</v>
      </c>
      <c r="BN9">
        <v>44231.444417997685</v>
      </c>
      <c r="BR9" t="s">
        <v>228</v>
      </c>
      <c r="BS9">
        <v>4.0115202120936602E+18</v>
      </c>
      <c r="BT9" t="s">
        <v>229</v>
      </c>
      <c r="BV9">
        <v>2020</v>
      </c>
      <c r="BW9" t="s">
        <v>230</v>
      </c>
      <c r="BY9">
        <v>4.0203202120189901E+18</v>
      </c>
      <c r="BZ9" t="s">
        <v>493</v>
      </c>
      <c r="CA9" t="s">
        <v>232</v>
      </c>
    </row>
    <row r="10" spans="1:79" x14ac:dyDescent="0.25">
      <c r="A10" t="s">
        <v>447</v>
      </c>
      <c r="B10" t="s">
        <v>448</v>
      </c>
      <c r="C10">
        <v>2020</v>
      </c>
      <c r="D10" t="s">
        <v>422</v>
      </c>
      <c r="E10">
        <v>2.0210111939838899E+17</v>
      </c>
      <c r="F10" t="s">
        <v>212</v>
      </c>
      <c r="G10" t="s">
        <v>494</v>
      </c>
      <c r="H10">
        <v>1486674</v>
      </c>
      <c r="J10" t="s">
        <v>214</v>
      </c>
      <c r="K10" t="s">
        <v>215</v>
      </c>
      <c r="N10" t="s">
        <v>478</v>
      </c>
      <c r="O10" t="s">
        <v>25</v>
      </c>
      <c r="Q10" t="s">
        <v>249</v>
      </c>
      <c r="R10" t="s">
        <v>470</v>
      </c>
      <c r="T10" t="s">
        <v>471</v>
      </c>
      <c r="V10" t="s">
        <v>482</v>
      </c>
      <c r="W10" t="s">
        <v>483</v>
      </c>
      <c r="X10" t="s">
        <v>474</v>
      </c>
      <c r="Y10" t="s">
        <v>305</v>
      </c>
      <c r="Z10">
        <v>2110</v>
      </c>
      <c r="AA10" t="s">
        <v>475</v>
      </c>
      <c r="AB10" t="s">
        <v>345</v>
      </c>
      <c r="AD10" t="s">
        <v>242</v>
      </c>
      <c r="AE10" t="s">
        <v>241</v>
      </c>
      <c r="AG10" t="s">
        <v>239</v>
      </c>
      <c r="AI10">
        <v>44053</v>
      </c>
      <c r="AJ10">
        <v>3926.67</v>
      </c>
      <c r="AK10">
        <v>3926.67</v>
      </c>
      <c r="BG10" t="s">
        <v>26</v>
      </c>
      <c r="BI10" t="s">
        <v>225</v>
      </c>
      <c r="BK10" t="s">
        <v>0</v>
      </c>
      <c r="BL10" t="s">
        <v>226</v>
      </c>
      <c r="BM10" t="s">
        <v>227</v>
      </c>
      <c r="BN10">
        <v>44226.156994131947</v>
      </c>
      <c r="BR10" t="s">
        <v>228</v>
      </c>
      <c r="BS10">
        <v>4.0112202120917002E+18</v>
      </c>
      <c r="BT10" t="s">
        <v>229</v>
      </c>
      <c r="BU10" t="s">
        <v>377</v>
      </c>
      <c r="BV10">
        <v>2020</v>
      </c>
      <c r="BW10" t="s">
        <v>230</v>
      </c>
      <c r="BY10">
        <v>4.0130202121391498E+18</v>
      </c>
      <c r="BZ10" t="s">
        <v>495</v>
      </c>
      <c r="CA10" t="s">
        <v>232</v>
      </c>
    </row>
    <row r="11" spans="1:79" x14ac:dyDescent="0.25">
      <c r="A11" t="s">
        <v>453</v>
      </c>
      <c r="B11" t="s">
        <v>454</v>
      </c>
      <c r="C11">
        <v>2020</v>
      </c>
      <c r="D11" t="s">
        <v>422</v>
      </c>
      <c r="E11">
        <v>2.0210419944381901E+17</v>
      </c>
      <c r="F11" t="s">
        <v>212</v>
      </c>
      <c r="G11" t="s">
        <v>496</v>
      </c>
      <c r="H11">
        <v>1513234</v>
      </c>
      <c r="J11" t="s">
        <v>214</v>
      </c>
      <c r="K11" t="s">
        <v>215</v>
      </c>
      <c r="N11" t="s">
        <v>478</v>
      </c>
      <c r="O11" t="s">
        <v>25</v>
      </c>
      <c r="Q11" t="s">
        <v>249</v>
      </c>
      <c r="R11" t="s">
        <v>470</v>
      </c>
      <c r="T11" t="s">
        <v>471</v>
      </c>
      <c r="V11" t="s">
        <v>482</v>
      </c>
      <c r="W11" t="s">
        <v>483</v>
      </c>
      <c r="X11" t="s">
        <v>474</v>
      </c>
      <c r="Y11" t="s">
        <v>305</v>
      </c>
      <c r="Z11">
        <v>2110</v>
      </c>
      <c r="AA11" t="s">
        <v>475</v>
      </c>
      <c r="AB11" t="s">
        <v>345</v>
      </c>
      <c r="AD11" t="s">
        <v>242</v>
      </c>
      <c r="AE11" t="s">
        <v>241</v>
      </c>
      <c r="AG11" t="s">
        <v>239</v>
      </c>
      <c r="AI11">
        <v>44053</v>
      </c>
      <c r="AJ11">
        <v>3926.67</v>
      </c>
      <c r="AK11">
        <v>3926.67</v>
      </c>
      <c r="BG11" t="s">
        <v>26</v>
      </c>
      <c r="BI11" t="s">
        <v>225</v>
      </c>
      <c r="BK11" t="s">
        <v>217</v>
      </c>
      <c r="BL11" t="s">
        <v>497</v>
      </c>
      <c r="BM11" t="s">
        <v>227</v>
      </c>
      <c r="BN11">
        <v>44316.157645370367</v>
      </c>
      <c r="BR11" t="s">
        <v>228</v>
      </c>
      <c r="BS11">
        <v>4.0420202112781599E+18</v>
      </c>
      <c r="BT11" t="s">
        <v>229</v>
      </c>
      <c r="BU11" t="s">
        <v>377</v>
      </c>
      <c r="BV11">
        <v>2020</v>
      </c>
      <c r="BW11" t="s">
        <v>230</v>
      </c>
      <c r="BY11">
        <v>4.04302021128493E+18</v>
      </c>
      <c r="BZ11" t="s">
        <v>498</v>
      </c>
      <c r="CA11" t="s">
        <v>232</v>
      </c>
    </row>
    <row r="12" spans="1:79" x14ac:dyDescent="0.25">
      <c r="A12" t="s">
        <v>387</v>
      </c>
      <c r="B12" t="s">
        <v>388</v>
      </c>
      <c r="C12">
        <v>2020</v>
      </c>
      <c r="D12" t="s">
        <v>290</v>
      </c>
      <c r="E12">
        <v>2.0210224942887101E+17</v>
      </c>
      <c r="F12">
        <v>12</v>
      </c>
      <c r="G12">
        <v>37439342</v>
      </c>
      <c r="H12">
        <v>1502017</v>
      </c>
      <c r="J12" t="s">
        <v>214</v>
      </c>
      <c r="K12" t="s">
        <v>215</v>
      </c>
      <c r="N12" t="s">
        <v>478</v>
      </c>
      <c r="O12" t="s">
        <v>25</v>
      </c>
      <c r="Q12" t="s">
        <v>249</v>
      </c>
      <c r="R12" t="s">
        <v>470</v>
      </c>
      <c r="T12" t="s">
        <v>471</v>
      </c>
      <c r="V12" t="s">
        <v>472</v>
      </c>
      <c r="X12" t="s">
        <v>474</v>
      </c>
      <c r="Y12" t="s">
        <v>305</v>
      </c>
      <c r="Z12">
        <v>21101802</v>
      </c>
      <c r="AA12" t="s">
        <v>475</v>
      </c>
      <c r="AB12" t="s">
        <v>345</v>
      </c>
      <c r="AD12" t="s">
        <v>242</v>
      </c>
      <c r="AE12" t="s">
        <v>241</v>
      </c>
      <c r="AG12" t="s">
        <v>239</v>
      </c>
      <c r="AI12">
        <v>44053</v>
      </c>
      <c r="AJ12">
        <v>35500</v>
      </c>
      <c r="AK12">
        <v>35500</v>
      </c>
      <c r="BG12" t="s">
        <v>297</v>
      </c>
      <c r="BI12" t="s">
        <v>296</v>
      </c>
      <c r="BJ12">
        <v>2020</v>
      </c>
      <c r="BK12" t="s">
        <v>31</v>
      </c>
      <c r="BL12" t="s">
        <v>238</v>
      </c>
      <c r="BM12" t="s">
        <v>227</v>
      </c>
      <c r="BN12">
        <v>44253.168367812497</v>
      </c>
      <c r="BP12">
        <v>36773706</v>
      </c>
      <c r="BQ12" t="s">
        <v>236</v>
      </c>
      <c r="BR12" t="s">
        <v>228</v>
      </c>
      <c r="BS12">
        <v>4.0226202111890698E+18</v>
      </c>
      <c r="BT12" t="s">
        <v>229</v>
      </c>
      <c r="BU12" t="s">
        <v>372</v>
      </c>
      <c r="BV12">
        <v>2020</v>
      </c>
      <c r="BW12" t="s">
        <v>230</v>
      </c>
      <c r="BY12">
        <v>4.0226202111896899E+18</v>
      </c>
      <c r="BZ12" t="s">
        <v>499</v>
      </c>
      <c r="CA12" t="s">
        <v>233</v>
      </c>
    </row>
    <row r="13" spans="1:79" x14ac:dyDescent="0.25">
      <c r="A13" t="s">
        <v>463</v>
      </c>
      <c r="B13" t="s">
        <v>464</v>
      </c>
      <c r="C13">
        <v>2020</v>
      </c>
      <c r="D13" t="s">
        <v>290</v>
      </c>
      <c r="E13">
        <v>2.0210331944296602E+17</v>
      </c>
      <c r="F13" t="s">
        <v>212</v>
      </c>
      <c r="G13" t="s">
        <v>500</v>
      </c>
      <c r="H13">
        <v>1506833</v>
      </c>
      <c r="J13" t="s">
        <v>214</v>
      </c>
      <c r="K13" t="s">
        <v>215</v>
      </c>
      <c r="N13" t="s">
        <v>478</v>
      </c>
      <c r="O13" t="s">
        <v>25</v>
      </c>
      <c r="P13" t="s">
        <v>217</v>
      </c>
      <c r="Q13" t="s">
        <v>249</v>
      </c>
      <c r="R13" t="s">
        <v>470</v>
      </c>
      <c r="T13" t="s">
        <v>471</v>
      </c>
      <c r="V13" t="s">
        <v>482</v>
      </c>
      <c r="W13" t="s">
        <v>483</v>
      </c>
      <c r="X13" t="s">
        <v>474</v>
      </c>
      <c r="Y13" t="s">
        <v>305</v>
      </c>
      <c r="Z13">
        <v>2110</v>
      </c>
      <c r="AA13" t="s">
        <v>475</v>
      </c>
      <c r="AB13" t="s">
        <v>345</v>
      </c>
      <c r="AD13" t="s">
        <v>242</v>
      </c>
      <c r="AE13" t="s">
        <v>241</v>
      </c>
      <c r="AG13" t="s">
        <v>239</v>
      </c>
      <c r="AI13">
        <v>44053</v>
      </c>
      <c r="AJ13">
        <v>3926.66</v>
      </c>
      <c r="AK13">
        <v>3926.66</v>
      </c>
      <c r="BG13" t="s">
        <v>26</v>
      </c>
      <c r="BI13" t="s">
        <v>225</v>
      </c>
      <c r="BK13" t="s">
        <v>0</v>
      </c>
      <c r="BL13" t="s">
        <v>226</v>
      </c>
      <c r="BM13" t="s">
        <v>227</v>
      </c>
      <c r="BN13">
        <v>44288.166654826389</v>
      </c>
      <c r="BR13" t="s">
        <v>228</v>
      </c>
      <c r="BS13">
        <v>4.0401202112704901E+18</v>
      </c>
      <c r="BT13" t="s">
        <v>229</v>
      </c>
      <c r="BU13" t="s">
        <v>377</v>
      </c>
      <c r="BV13">
        <v>2020</v>
      </c>
      <c r="BW13" t="s">
        <v>230</v>
      </c>
      <c r="BY13">
        <v>4.0402202112747402E+18</v>
      </c>
      <c r="BZ13" t="s">
        <v>501</v>
      </c>
      <c r="CA13" t="s">
        <v>232</v>
      </c>
    </row>
    <row r="15" spans="1:79" x14ac:dyDescent="0.25">
      <c r="V15" t="str">
        <f>+V13&amp;X13&amp;Y13&amp;Z12</f>
        <v>100 FEDERAL STREETBOSTONMA21101802</v>
      </c>
    </row>
    <row r="18" spans="1:3" x14ac:dyDescent="0.25">
      <c r="A18" s="20" t="s">
        <v>299</v>
      </c>
      <c r="B18" s="25" t="s">
        <v>301</v>
      </c>
    </row>
    <row r="19" spans="1:3" x14ac:dyDescent="0.25">
      <c r="A19" s="21" t="s">
        <v>454</v>
      </c>
      <c r="B19" s="25">
        <v>3926.67</v>
      </c>
      <c r="C19" t="s">
        <v>333</v>
      </c>
    </row>
    <row r="20" spans="1:3" x14ac:dyDescent="0.25">
      <c r="A20" s="21" t="s">
        <v>377</v>
      </c>
      <c r="B20" s="25">
        <v>100000</v>
      </c>
      <c r="C20" t="s">
        <v>333</v>
      </c>
    </row>
    <row r="21" spans="1:3" x14ac:dyDescent="0.25">
      <c r="A21" s="21" t="s">
        <v>370</v>
      </c>
      <c r="B21" s="25">
        <v>3926.66</v>
      </c>
      <c r="C21" t="s">
        <v>333</v>
      </c>
    </row>
    <row r="22" spans="1:3" x14ac:dyDescent="0.25">
      <c r="A22" s="21" t="s">
        <v>421</v>
      </c>
      <c r="B22" s="25">
        <v>3926.66</v>
      </c>
      <c r="C22" t="s">
        <v>333</v>
      </c>
    </row>
    <row r="23" spans="1:3" x14ac:dyDescent="0.25">
      <c r="A23" s="21" t="s">
        <v>388</v>
      </c>
      <c r="B23" s="25">
        <v>35500</v>
      </c>
      <c r="C23" t="s">
        <v>333</v>
      </c>
    </row>
    <row r="24" spans="1:3" x14ac:dyDescent="0.25">
      <c r="A24" s="21" t="s">
        <v>416</v>
      </c>
      <c r="B24" s="25">
        <v>3926.67</v>
      </c>
      <c r="C24" t="s">
        <v>333</v>
      </c>
    </row>
    <row r="25" spans="1:3" x14ac:dyDescent="0.25">
      <c r="A25" s="21" t="s">
        <v>404</v>
      </c>
      <c r="B25" s="25">
        <v>3926.67</v>
      </c>
      <c r="C25" t="s">
        <v>333</v>
      </c>
    </row>
    <row r="26" spans="1:3" x14ac:dyDescent="0.25">
      <c r="A26" s="21" t="s">
        <v>448</v>
      </c>
      <c r="B26" s="25">
        <v>3926.67</v>
      </c>
      <c r="C26" t="s">
        <v>333</v>
      </c>
    </row>
    <row r="27" spans="1:3" x14ac:dyDescent="0.25">
      <c r="A27" s="21" t="s">
        <v>375</v>
      </c>
      <c r="B27" s="25">
        <v>3926.66</v>
      </c>
      <c r="C27" t="s">
        <v>333</v>
      </c>
    </row>
    <row r="28" spans="1:3" x14ac:dyDescent="0.25">
      <c r="A28" s="21" t="s">
        <v>464</v>
      </c>
      <c r="B28" s="25">
        <v>3926.66</v>
      </c>
      <c r="C28" t="s">
        <v>333</v>
      </c>
    </row>
    <row r="29" spans="1:3" x14ac:dyDescent="0.25">
      <c r="A29" s="21" t="s">
        <v>426</v>
      </c>
      <c r="B29" s="25">
        <v>7853.32</v>
      </c>
      <c r="C29" t="s">
        <v>333</v>
      </c>
    </row>
    <row r="30" spans="1:3" x14ac:dyDescent="0.25">
      <c r="A30" s="21" t="s">
        <v>300</v>
      </c>
      <c r="B30" s="25">
        <v>174766.64000000004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5"/>
  <sheetViews>
    <sheetView topLeftCell="J24" workbookViewId="0">
      <selection activeCell="V36" sqref="V36"/>
    </sheetView>
  </sheetViews>
  <sheetFormatPr defaultRowHeight="15" x14ac:dyDescent="0.25"/>
  <cols>
    <col min="1" max="1" width="54.28515625" bestFit="1" customWidth="1"/>
    <col min="2" max="2" width="34.5703125" bestFit="1" customWidth="1"/>
    <col min="3" max="3" width="9.28515625" bestFit="1" customWidth="1"/>
    <col min="5" max="5" width="12.42578125" bestFit="1" customWidth="1"/>
    <col min="6" max="8" width="9.28515625" bestFit="1" customWidth="1"/>
    <col min="26" max="26" width="10" bestFit="1" customWidth="1"/>
    <col min="30" max="30" width="9.28515625" bestFit="1" customWidth="1"/>
    <col min="35" max="37" width="9.28515625" bestFit="1" customWidth="1"/>
    <col min="62" max="62" width="9.28515625" bestFit="1" customWidth="1"/>
    <col min="66" max="66" width="9.28515625" bestFit="1" customWidth="1"/>
    <col min="68" max="68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24" t="s">
        <v>131</v>
      </c>
      <c r="B1" s="24" t="s">
        <v>132</v>
      </c>
      <c r="C1" s="24" t="s">
        <v>133</v>
      </c>
      <c r="D1" s="24" t="s">
        <v>134</v>
      </c>
      <c r="E1" s="24" t="s">
        <v>135</v>
      </c>
      <c r="F1" s="24" t="s">
        <v>136</v>
      </c>
      <c r="G1" s="24" t="s">
        <v>137</v>
      </c>
      <c r="H1" s="24" t="s">
        <v>138</v>
      </c>
      <c r="I1" s="24" t="s">
        <v>132</v>
      </c>
      <c r="J1" s="24" t="s">
        <v>139</v>
      </c>
      <c r="K1" s="24" t="s">
        <v>140</v>
      </c>
      <c r="L1" s="24" t="s">
        <v>141</v>
      </c>
      <c r="M1" s="24" t="s">
        <v>142</v>
      </c>
      <c r="N1" s="24" t="s">
        <v>143</v>
      </c>
      <c r="O1" s="24" t="s">
        <v>144</v>
      </c>
      <c r="P1" s="24" t="s">
        <v>145</v>
      </c>
      <c r="Q1" s="24" t="s">
        <v>146</v>
      </c>
      <c r="R1" s="24" t="s">
        <v>147</v>
      </c>
      <c r="S1" s="24" t="s">
        <v>148</v>
      </c>
      <c r="T1" s="24" t="s">
        <v>149</v>
      </c>
      <c r="U1" s="24" t="s">
        <v>150</v>
      </c>
      <c r="V1" s="24" t="s">
        <v>151</v>
      </c>
      <c r="W1" s="24" t="s">
        <v>152</v>
      </c>
      <c r="X1" s="24" t="s">
        <v>153</v>
      </c>
      <c r="Y1" s="24" t="s">
        <v>154</v>
      </c>
      <c r="Z1" s="24" t="s">
        <v>155</v>
      </c>
      <c r="AA1" s="24" t="s">
        <v>156</v>
      </c>
      <c r="AB1" s="24" t="s">
        <v>157</v>
      </c>
      <c r="AC1" s="24" t="s">
        <v>158</v>
      </c>
      <c r="AD1" s="24" t="s">
        <v>159</v>
      </c>
      <c r="AE1" s="24" t="s">
        <v>160</v>
      </c>
      <c r="AF1" s="24" t="s">
        <v>161</v>
      </c>
      <c r="AG1" s="24" t="s">
        <v>162</v>
      </c>
      <c r="AH1" s="24" t="s">
        <v>163</v>
      </c>
      <c r="AI1" s="24" t="s">
        <v>164</v>
      </c>
      <c r="AJ1" s="24" t="s">
        <v>165</v>
      </c>
      <c r="AK1" s="24" t="s">
        <v>166</v>
      </c>
      <c r="AL1" s="24" t="s">
        <v>167</v>
      </c>
      <c r="AM1" s="24" t="s">
        <v>168</v>
      </c>
      <c r="AN1" s="24" t="s">
        <v>169</v>
      </c>
      <c r="AO1" s="24" t="s">
        <v>170</v>
      </c>
      <c r="AP1" s="24" t="s">
        <v>171</v>
      </c>
      <c r="AQ1" s="24" t="s">
        <v>172</v>
      </c>
      <c r="AR1" s="24" t="s">
        <v>173</v>
      </c>
      <c r="AS1" s="24" t="s">
        <v>174</v>
      </c>
      <c r="AT1" s="24" t="s">
        <v>175</v>
      </c>
      <c r="AU1" s="24" t="s">
        <v>176</v>
      </c>
      <c r="AV1" s="24" t="s">
        <v>177</v>
      </c>
      <c r="AW1" s="24" t="s">
        <v>178</v>
      </c>
      <c r="AX1" s="24" t="s">
        <v>179</v>
      </c>
      <c r="AY1" s="24" t="s">
        <v>180</v>
      </c>
      <c r="AZ1" s="24" t="s">
        <v>181</v>
      </c>
      <c r="BA1" s="24" t="s">
        <v>182</v>
      </c>
      <c r="BB1" s="24" t="s">
        <v>183</v>
      </c>
      <c r="BC1" s="24" t="s">
        <v>184</v>
      </c>
      <c r="BD1" s="24" t="s">
        <v>185</v>
      </c>
      <c r="BE1" s="24" t="s">
        <v>186</v>
      </c>
      <c r="BF1" s="24" t="s">
        <v>187</v>
      </c>
      <c r="BG1" s="24" t="s">
        <v>188</v>
      </c>
      <c r="BH1" s="24" t="s">
        <v>189</v>
      </c>
      <c r="BI1" s="24" t="s">
        <v>190</v>
      </c>
      <c r="BJ1" s="24" t="s">
        <v>191</v>
      </c>
      <c r="BK1" s="24" t="s">
        <v>192</v>
      </c>
      <c r="BL1" s="24" t="s">
        <v>193</v>
      </c>
      <c r="BM1" s="24" t="s">
        <v>194</v>
      </c>
      <c r="BN1" s="24" t="s">
        <v>195</v>
      </c>
      <c r="BO1" s="24" t="s">
        <v>196</v>
      </c>
      <c r="BP1" s="24" t="s">
        <v>197</v>
      </c>
      <c r="BQ1" s="24" t="s">
        <v>198</v>
      </c>
      <c r="BR1" s="24" t="s">
        <v>199</v>
      </c>
      <c r="BS1" s="24" t="s">
        <v>200</v>
      </c>
      <c r="BT1" s="24" t="s">
        <v>201</v>
      </c>
      <c r="BU1" s="24" t="s">
        <v>202</v>
      </c>
      <c r="BV1" s="24" t="s">
        <v>203</v>
      </c>
      <c r="BW1" s="24" t="s">
        <v>204</v>
      </c>
      <c r="BX1" s="24" t="s">
        <v>205</v>
      </c>
      <c r="BY1" s="24" t="s">
        <v>206</v>
      </c>
      <c r="BZ1" s="24" t="s">
        <v>207</v>
      </c>
      <c r="CA1" s="24" t="s">
        <v>208</v>
      </c>
    </row>
    <row r="2" spans="1:79" x14ac:dyDescent="0.25">
      <c r="A2" s="24" t="s">
        <v>334</v>
      </c>
      <c r="B2" s="24" t="s">
        <v>335</v>
      </c>
      <c r="C2" s="24">
        <v>2019</v>
      </c>
      <c r="D2" s="24" t="s">
        <v>261</v>
      </c>
      <c r="E2" s="24">
        <v>2.0190715915075901E+17</v>
      </c>
      <c r="F2" s="24" t="s">
        <v>212</v>
      </c>
      <c r="G2" s="24" t="s">
        <v>336</v>
      </c>
      <c r="H2" s="24">
        <v>1339820</v>
      </c>
      <c r="I2" s="24"/>
      <c r="J2" s="24" t="s">
        <v>214</v>
      </c>
      <c r="K2" s="24" t="s">
        <v>215</v>
      </c>
      <c r="L2" s="24" t="s">
        <v>337</v>
      </c>
      <c r="M2" s="24"/>
      <c r="N2" s="24" t="s">
        <v>338</v>
      </c>
      <c r="O2" s="24" t="s">
        <v>310</v>
      </c>
      <c r="P2" s="24"/>
      <c r="Q2" s="24" t="s">
        <v>26</v>
      </c>
      <c r="R2" s="24" t="s">
        <v>339</v>
      </c>
      <c r="S2" s="24"/>
      <c r="T2" s="24" t="s">
        <v>340</v>
      </c>
      <c r="U2" s="24"/>
      <c r="V2" s="24" t="s">
        <v>341</v>
      </c>
      <c r="W2" s="24"/>
      <c r="X2" s="24" t="s">
        <v>342</v>
      </c>
      <c r="Y2" s="24" t="s">
        <v>343</v>
      </c>
      <c r="Z2" s="24">
        <v>946182113</v>
      </c>
      <c r="AA2" s="24" t="s">
        <v>344</v>
      </c>
      <c r="AB2" s="24" t="s">
        <v>345</v>
      </c>
      <c r="AC2" s="24" t="s">
        <v>337</v>
      </c>
      <c r="AD2" s="24" t="s">
        <v>324</v>
      </c>
      <c r="AE2" s="24" t="s">
        <v>325</v>
      </c>
      <c r="AF2" s="24"/>
      <c r="AG2" s="24"/>
      <c r="AH2" s="24"/>
      <c r="AI2" s="24">
        <v>43582</v>
      </c>
      <c r="AJ2" s="24">
        <v>250</v>
      </c>
      <c r="AK2" s="24">
        <v>250</v>
      </c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 t="s">
        <v>279</v>
      </c>
      <c r="BH2" s="24"/>
      <c r="BI2" s="24" t="s">
        <v>225</v>
      </c>
      <c r="BJ2" s="24">
        <v>2020</v>
      </c>
      <c r="BK2" s="24" t="s">
        <v>31</v>
      </c>
      <c r="BL2" s="24" t="s">
        <v>238</v>
      </c>
      <c r="BM2" s="24" t="s">
        <v>227</v>
      </c>
      <c r="BN2" s="24">
        <v>43666.146225636578</v>
      </c>
      <c r="BO2" s="24"/>
      <c r="BP2" s="24" t="s">
        <v>346</v>
      </c>
      <c r="BQ2" s="24" t="s">
        <v>327</v>
      </c>
      <c r="BR2" s="24" t="s">
        <v>278</v>
      </c>
      <c r="BS2" s="24">
        <v>4.07152019165954E+18</v>
      </c>
      <c r="BT2" s="24" t="s">
        <v>229</v>
      </c>
      <c r="BU2" s="24" t="s">
        <v>328</v>
      </c>
      <c r="BV2" s="24">
        <v>2020</v>
      </c>
      <c r="BW2" s="24" t="s">
        <v>230</v>
      </c>
      <c r="BX2" s="24"/>
      <c r="BY2" s="24">
        <v>4.0719201916606403E+18</v>
      </c>
      <c r="BZ2" s="24" t="s">
        <v>347</v>
      </c>
      <c r="CA2" s="24" t="s">
        <v>232</v>
      </c>
    </row>
    <row r="3" spans="1:79" x14ac:dyDescent="0.25">
      <c r="A3" s="24" t="s">
        <v>337</v>
      </c>
      <c r="B3" s="24" t="s">
        <v>348</v>
      </c>
      <c r="C3" s="24">
        <v>2019</v>
      </c>
      <c r="D3" s="24" t="s">
        <v>349</v>
      </c>
      <c r="E3" s="24">
        <v>2.0190729915521699E+17</v>
      </c>
      <c r="F3" s="24" t="s">
        <v>212</v>
      </c>
      <c r="G3" s="24" t="s">
        <v>350</v>
      </c>
      <c r="H3" s="24">
        <v>1344765</v>
      </c>
      <c r="I3" s="24"/>
      <c r="J3" s="24" t="s">
        <v>214</v>
      </c>
      <c r="K3" s="24" t="s">
        <v>215</v>
      </c>
      <c r="L3" s="24"/>
      <c r="M3" s="24"/>
      <c r="N3" s="24" t="s">
        <v>338</v>
      </c>
      <c r="O3" s="24" t="s">
        <v>351</v>
      </c>
      <c r="P3" s="24"/>
      <c r="Q3" s="24" t="s">
        <v>249</v>
      </c>
      <c r="R3" s="24" t="s">
        <v>339</v>
      </c>
      <c r="S3" s="24"/>
      <c r="T3" s="24" t="s">
        <v>340</v>
      </c>
      <c r="U3" s="24"/>
      <c r="V3" s="24" t="s">
        <v>352</v>
      </c>
      <c r="W3" s="24"/>
      <c r="X3" s="24" t="s">
        <v>342</v>
      </c>
      <c r="Y3" s="24" t="s">
        <v>343</v>
      </c>
      <c r="Z3" s="24">
        <v>94618</v>
      </c>
      <c r="AA3" s="24" t="s">
        <v>353</v>
      </c>
      <c r="AB3" s="24" t="s">
        <v>345</v>
      </c>
      <c r="AC3" s="24"/>
      <c r="AD3" s="24"/>
      <c r="AE3" s="24"/>
      <c r="AF3" s="24" t="s">
        <v>354</v>
      </c>
      <c r="AG3" s="24"/>
      <c r="AH3" s="24"/>
      <c r="AI3" s="24">
        <v>43564</v>
      </c>
      <c r="AJ3" s="24">
        <v>100</v>
      </c>
      <c r="AK3" s="24">
        <v>100</v>
      </c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 t="s">
        <v>31</v>
      </c>
      <c r="BL3" s="24" t="s">
        <v>238</v>
      </c>
      <c r="BM3" s="24" t="s">
        <v>227</v>
      </c>
      <c r="BN3" s="24">
        <v>43706.636727592595</v>
      </c>
      <c r="BO3" s="24"/>
      <c r="BP3" s="24"/>
      <c r="BQ3" s="24"/>
      <c r="BR3" s="24" t="s">
        <v>228</v>
      </c>
      <c r="BS3" s="24">
        <v>4.0801201916624399E+18</v>
      </c>
      <c r="BT3" s="24" t="s">
        <v>229</v>
      </c>
      <c r="BU3" s="24" t="s">
        <v>355</v>
      </c>
      <c r="BV3" s="24">
        <v>2020</v>
      </c>
      <c r="BW3" s="24" t="s">
        <v>230</v>
      </c>
      <c r="BX3" s="24"/>
      <c r="BY3" s="24">
        <v>4.0828201911201398E+18</v>
      </c>
      <c r="BZ3" s="24" t="s">
        <v>356</v>
      </c>
      <c r="CA3" s="24" t="s">
        <v>232</v>
      </c>
    </row>
    <row r="4" spans="1:79" x14ac:dyDescent="0.25">
      <c r="A4" s="24" t="s">
        <v>357</v>
      </c>
      <c r="B4" s="24" t="s">
        <v>358</v>
      </c>
      <c r="C4" s="24">
        <v>2019</v>
      </c>
      <c r="D4" s="24" t="s">
        <v>283</v>
      </c>
      <c r="E4" s="24">
        <v>2.0191015916420602E+17</v>
      </c>
      <c r="F4" s="24" t="s">
        <v>212</v>
      </c>
      <c r="G4" s="24">
        <v>2292811</v>
      </c>
      <c r="H4" s="24">
        <v>1358125</v>
      </c>
      <c r="I4" s="24"/>
      <c r="J4" s="24" t="s">
        <v>214</v>
      </c>
      <c r="K4" s="24" t="s">
        <v>215</v>
      </c>
      <c r="L4" s="24" t="s">
        <v>337</v>
      </c>
      <c r="M4" s="24"/>
      <c r="N4" s="24" t="s">
        <v>338</v>
      </c>
      <c r="O4" s="24" t="s">
        <v>310</v>
      </c>
      <c r="P4" s="24"/>
      <c r="Q4" s="24" t="s">
        <v>26</v>
      </c>
      <c r="R4" s="24" t="s">
        <v>339</v>
      </c>
      <c r="S4" s="24"/>
      <c r="T4" s="24" t="s">
        <v>340</v>
      </c>
      <c r="U4" s="24"/>
      <c r="V4" s="24" t="s">
        <v>341</v>
      </c>
      <c r="W4" s="24"/>
      <c r="X4" s="24" t="s">
        <v>342</v>
      </c>
      <c r="Y4" s="24" t="s">
        <v>343</v>
      </c>
      <c r="Z4" s="24">
        <v>946182113</v>
      </c>
      <c r="AA4" s="24" t="s">
        <v>344</v>
      </c>
      <c r="AB4" s="24" t="s">
        <v>359</v>
      </c>
      <c r="AC4" s="24" t="s">
        <v>337</v>
      </c>
      <c r="AD4" s="24" t="s">
        <v>324</v>
      </c>
      <c r="AE4" s="24" t="s">
        <v>325</v>
      </c>
      <c r="AF4" s="24"/>
      <c r="AG4" s="24"/>
      <c r="AH4" s="24"/>
      <c r="AI4" s="24">
        <v>43733</v>
      </c>
      <c r="AJ4" s="24">
        <v>250</v>
      </c>
      <c r="AK4" s="24">
        <v>250</v>
      </c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 t="s">
        <v>279</v>
      </c>
      <c r="BH4" s="24"/>
      <c r="BI4" s="24" t="s">
        <v>225</v>
      </c>
      <c r="BJ4" s="24">
        <v>2020</v>
      </c>
      <c r="BK4" s="24" t="s">
        <v>31</v>
      </c>
      <c r="BL4" s="24" t="s">
        <v>238</v>
      </c>
      <c r="BM4" s="24" t="s">
        <v>227</v>
      </c>
      <c r="BN4" s="24">
        <v>43761.115905891202</v>
      </c>
      <c r="BO4" s="24"/>
      <c r="BP4" s="24" t="s">
        <v>360</v>
      </c>
      <c r="BQ4" s="24" t="s">
        <v>327</v>
      </c>
      <c r="BR4" s="24" t="s">
        <v>278</v>
      </c>
      <c r="BS4" s="24">
        <v>4.1015201916742001E+18</v>
      </c>
      <c r="BT4" s="24" t="s">
        <v>229</v>
      </c>
      <c r="BU4" s="24" t="s">
        <v>328</v>
      </c>
      <c r="BV4" s="24">
        <v>2020</v>
      </c>
      <c r="BW4" s="24" t="s">
        <v>230</v>
      </c>
      <c r="BX4" s="24"/>
      <c r="BY4" s="24">
        <v>4.1022201916751099E+18</v>
      </c>
      <c r="BZ4" s="24" t="s">
        <v>361</v>
      </c>
      <c r="CA4" s="24" t="s">
        <v>232</v>
      </c>
    </row>
    <row r="5" spans="1:79" x14ac:dyDescent="0.25">
      <c r="A5" s="24" t="s">
        <v>362</v>
      </c>
      <c r="B5" s="24" t="s">
        <v>363</v>
      </c>
      <c r="C5" s="24">
        <v>2019</v>
      </c>
      <c r="D5" s="24" t="s">
        <v>261</v>
      </c>
      <c r="E5" s="24">
        <v>2.0191021916525699E+17</v>
      </c>
      <c r="F5" s="24" t="s">
        <v>364</v>
      </c>
      <c r="G5" s="24">
        <v>516084</v>
      </c>
      <c r="H5" s="24">
        <v>1360571</v>
      </c>
      <c r="I5" s="24"/>
      <c r="J5" s="24" t="s">
        <v>214</v>
      </c>
      <c r="K5" s="24" t="s">
        <v>215</v>
      </c>
      <c r="L5" s="24" t="s">
        <v>337</v>
      </c>
      <c r="M5" s="24"/>
      <c r="N5" s="24" t="s">
        <v>338</v>
      </c>
      <c r="O5" s="24" t="s">
        <v>26</v>
      </c>
      <c r="P5" s="24"/>
      <c r="Q5" s="24" t="s">
        <v>26</v>
      </c>
      <c r="R5" s="24" t="s">
        <v>339</v>
      </c>
      <c r="S5" s="24"/>
      <c r="T5" s="24" t="s">
        <v>340</v>
      </c>
      <c r="U5" s="24"/>
      <c r="V5" s="24" t="s">
        <v>341</v>
      </c>
      <c r="W5" s="24"/>
      <c r="X5" s="24" t="s">
        <v>342</v>
      </c>
      <c r="Y5" s="24" t="s">
        <v>343</v>
      </c>
      <c r="Z5" s="24">
        <v>946182113</v>
      </c>
      <c r="AA5" s="24" t="s">
        <v>344</v>
      </c>
      <c r="AB5" s="24" t="s">
        <v>345</v>
      </c>
      <c r="AC5" s="24" t="s">
        <v>337</v>
      </c>
      <c r="AD5" s="24" t="s">
        <v>324</v>
      </c>
      <c r="AE5" s="24" t="s">
        <v>325</v>
      </c>
      <c r="AF5" s="24"/>
      <c r="AG5" s="24"/>
      <c r="AH5" s="24"/>
      <c r="AI5" s="24">
        <v>43582</v>
      </c>
      <c r="AJ5" s="24">
        <v>2800</v>
      </c>
      <c r="AK5" s="24">
        <v>2800</v>
      </c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 t="s">
        <v>279</v>
      </c>
      <c r="BH5" s="24"/>
      <c r="BI5" s="24" t="s">
        <v>225</v>
      </c>
      <c r="BJ5" s="24">
        <v>2020</v>
      </c>
      <c r="BK5" s="24" t="s">
        <v>0</v>
      </c>
      <c r="BL5" s="24" t="s">
        <v>226</v>
      </c>
      <c r="BM5" s="24" t="s">
        <v>227</v>
      </c>
      <c r="BN5" s="24">
        <v>43768.112303229165</v>
      </c>
      <c r="BO5" s="24"/>
      <c r="BP5" s="24" t="s">
        <v>365</v>
      </c>
      <c r="BQ5" s="24" t="s">
        <v>366</v>
      </c>
      <c r="BR5" s="24" t="s">
        <v>367</v>
      </c>
      <c r="BS5" s="24">
        <v>4.1021201916749701E+18</v>
      </c>
      <c r="BT5" s="24" t="s">
        <v>229</v>
      </c>
      <c r="BU5" s="24" t="s">
        <v>328</v>
      </c>
      <c r="BV5" s="24">
        <v>2020</v>
      </c>
      <c r="BW5" s="24" t="s">
        <v>230</v>
      </c>
      <c r="BX5" s="24"/>
      <c r="BY5" s="24">
        <v>4.1029201916759798E+18</v>
      </c>
      <c r="BZ5" s="24" t="s">
        <v>368</v>
      </c>
      <c r="CA5" s="24" t="s">
        <v>232</v>
      </c>
    </row>
    <row r="6" spans="1:79" x14ac:dyDescent="0.25">
      <c r="A6" s="24" t="s">
        <v>369</v>
      </c>
      <c r="B6" s="24" t="s">
        <v>370</v>
      </c>
      <c r="C6" s="24">
        <v>2020</v>
      </c>
      <c r="D6" s="24" t="s">
        <v>371</v>
      </c>
      <c r="E6" s="24">
        <v>2.0210426944548899E+17</v>
      </c>
      <c r="F6" s="24">
        <v>12</v>
      </c>
      <c r="G6" s="24">
        <v>10904247</v>
      </c>
      <c r="H6" s="24">
        <v>1514451</v>
      </c>
      <c r="I6" s="24"/>
      <c r="J6" s="24" t="s">
        <v>214</v>
      </c>
      <c r="K6" s="24" t="s">
        <v>215</v>
      </c>
      <c r="L6" s="24"/>
      <c r="M6" s="24"/>
      <c r="N6" s="24" t="s">
        <v>338</v>
      </c>
      <c r="O6" s="24" t="s">
        <v>25</v>
      </c>
      <c r="P6" s="24"/>
      <c r="Q6" s="24" t="s">
        <v>249</v>
      </c>
      <c r="R6" s="24" t="s">
        <v>339</v>
      </c>
      <c r="S6" s="24"/>
      <c r="T6" s="24" t="s">
        <v>340</v>
      </c>
      <c r="U6" s="24"/>
      <c r="V6" s="24" t="s">
        <v>341</v>
      </c>
      <c r="W6" s="24"/>
      <c r="X6" s="24" t="s">
        <v>342</v>
      </c>
      <c r="Y6" s="24" t="s">
        <v>343</v>
      </c>
      <c r="Z6" s="24">
        <v>946182113</v>
      </c>
      <c r="AA6" s="24" t="s">
        <v>344</v>
      </c>
      <c r="AB6" s="24" t="s">
        <v>280</v>
      </c>
      <c r="AC6" s="24"/>
      <c r="AD6" s="24" t="s">
        <v>242</v>
      </c>
      <c r="AE6" s="24" t="s">
        <v>241</v>
      </c>
      <c r="AF6" s="24"/>
      <c r="AG6" s="24" t="s">
        <v>239</v>
      </c>
      <c r="AH6" s="24"/>
      <c r="AI6" s="24">
        <v>44086</v>
      </c>
      <c r="AJ6" s="24">
        <v>636.66</v>
      </c>
      <c r="AK6" s="24">
        <v>636.66</v>
      </c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 t="s">
        <v>26</v>
      </c>
      <c r="BH6" s="24"/>
      <c r="BI6" s="24" t="s">
        <v>225</v>
      </c>
      <c r="BJ6" s="24"/>
      <c r="BK6" s="24" t="s">
        <v>0</v>
      </c>
      <c r="BL6" s="24" t="s">
        <v>226</v>
      </c>
      <c r="BM6" s="24" t="s">
        <v>227</v>
      </c>
      <c r="BN6" s="24">
        <v>44325.150081793981</v>
      </c>
      <c r="BO6" s="24"/>
      <c r="BP6" s="24">
        <v>10519213</v>
      </c>
      <c r="BQ6" s="24" t="s">
        <v>236</v>
      </c>
      <c r="BR6" s="24" t="s">
        <v>228</v>
      </c>
      <c r="BS6" s="24">
        <v>4.0426202112790702E+18</v>
      </c>
      <c r="BT6" s="24" t="s">
        <v>229</v>
      </c>
      <c r="BU6" s="24" t="s">
        <v>372</v>
      </c>
      <c r="BV6" s="24">
        <v>2020</v>
      </c>
      <c r="BW6" s="24" t="s">
        <v>230</v>
      </c>
      <c r="BX6" s="24"/>
      <c r="BY6" s="24">
        <v>4.0509202112926899E+18</v>
      </c>
      <c r="BZ6" s="24" t="s">
        <v>373</v>
      </c>
      <c r="CA6" s="24" t="s">
        <v>233</v>
      </c>
    </row>
    <row r="7" spans="1:79" x14ac:dyDescent="0.25">
      <c r="A7" s="24" t="s">
        <v>374</v>
      </c>
      <c r="B7" s="24" t="s">
        <v>375</v>
      </c>
      <c r="C7" s="24">
        <v>2020</v>
      </c>
      <c r="D7" s="24" t="s">
        <v>371</v>
      </c>
      <c r="E7" s="24">
        <v>2.0210511944644499E+17</v>
      </c>
      <c r="F7" s="24" t="s">
        <v>212</v>
      </c>
      <c r="G7" s="24" t="s">
        <v>376</v>
      </c>
      <c r="H7" s="24">
        <v>1515686</v>
      </c>
      <c r="I7" s="24"/>
      <c r="J7" s="24" t="s">
        <v>214</v>
      </c>
      <c r="K7" s="24" t="s">
        <v>215</v>
      </c>
      <c r="L7" s="24"/>
      <c r="M7" s="24"/>
      <c r="N7" s="24" t="s">
        <v>338</v>
      </c>
      <c r="O7" s="24" t="s">
        <v>25</v>
      </c>
      <c r="P7" s="24"/>
      <c r="Q7" s="24" t="s">
        <v>249</v>
      </c>
      <c r="R7" s="24" t="s">
        <v>339</v>
      </c>
      <c r="S7" s="24"/>
      <c r="T7" s="24" t="s">
        <v>340</v>
      </c>
      <c r="U7" s="24"/>
      <c r="V7" s="24" t="s">
        <v>352</v>
      </c>
      <c r="W7" s="24"/>
      <c r="X7" s="24" t="s">
        <v>342</v>
      </c>
      <c r="Y7" s="24" t="s">
        <v>343</v>
      </c>
      <c r="Z7" s="24">
        <v>94618</v>
      </c>
      <c r="AA7" s="24" t="s">
        <v>344</v>
      </c>
      <c r="AB7" s="24" t="s">
        <v>280</v>
      </c>
      <c r="AC7" s="24"/>
      <c r="AD7" s="24" t="s">
        <v>242</v>
      </c>
      <c r="AE7" s="24" t="s">
        <v>241</v>
      </c>
      <c r="AF7" s="24"/>
      <c r="AG7" s="24" t="s">
        <v>239</v>
      </c>
      <c r="AH7" s="24"/>
      <c r="AI7" s="24">
        <v>44086</v>
      </c>
      <c r="AJ7" s="24">
        <v>636.66</v>
      </c>
      <c r="AK7" s="24">
        <v>636.66</v>
      </c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 t="s">
        <v>26</v>
      </c>
      <c r="BH7" s="24"/>
      <c r="BI7" s="24" t="s">
        <v>225</v>
      </c>
      <c r="BJ7" s="24"/>
      <c r="BK7" s="24" t="s">
        <v>0</v>
      </c>
      <c r="BL7" s="24" t="s">
        <v>226</v>
      </c>
      <c r="BM7" s="24" t="s">
        <v>227</v>
      </c>
      <c r="BN7" s="24">
        <v>44329.15079890046</v>
      </c>
      <c r="BO7" s="24"/>
      <c r="BP7" s="24"/>
      <c r="BQ7" s="24"/>
      <c r="BR7" s="24" t="s">
        <v>228</v>
      </c>
      <c r="BS7" s="24">
        <v>4.05122021129282E+18</v>
      </c>
      <c r="BT7" s="24" t="s">
        <v>229</v>
      </c>
      <c r="BU7" s="24" t="s">
        <v>377</v>
      </c>
      <c r="BV7" s="24">
        <v>2020</v>
      </c>
      <c r="BW7" s="24" t="s">
        <v>230</v>
      </c>
      <c r="BX7" s="24"/>
      <c r="BY7" s="24">
        <v>4.0513202112928998E+18</v>
      </c>
      <c r="BZ7" s="24" t="s">
        <v>378</v>
      </c>
      <c r="CA7" s="24" t="s">
        <v>232</v>
      </c>
    </row>
    <row r="8" spans="1:79" x14ac:dyDescent="0.25">
      <c r="A8" s="24" t="s">
        <v>379</v>
      </c>
      <c r="B8" s="24" t="s">
        <v>380</v>
      </c>
      <c r="C8" s="24">
        <v>2020</v>
      </c>
      <c r="D8" s="24" t="s">
        <v>290</v>
      </c>
      <c r="E8" s="24">
        <v>2.0210304944017501E+17</v>
      </c>
      <c r="F8" s="24" t="s">
        <v>212</v>
      </c>
      <c r="G8" s="24" t="s">
        <v>381</v>
      </c>
      <c r="H8" s="24">
        <v>1502854</v>
      </c>
      <c r="I8" s="24"/>
      <c r="J8" s="24" t="s">
        <v>214</v>
      </c>
      <c r="K8" s="24" t="s">
        <v>215</v>
      </c>
      <c r="L8" s="24"/>
      <c r="M8" s="24"/>
      <c r="N8" s="24" t="s">
        <v>338</v>
      </c>
      <c r="O8" s="24" t="s">
        <v>25</v>
      </c>
      <c r="P8" s="24"/>
      <c r="Q8" s="24" t="s">
        <v>249</v>
      </c>
      <c r="R8" s="24" t="s">
        <v>339</v>
      </c>
      <c r="S8" s="24"/>
      <c r="T8" s="24" t="s">
        <v>340</v>
      </c>
      <c r="U8" s="24"/>
      <c r="V8" s="24" t="s">
        <v>352</v>
      </c>
      <c r="W8" s="24"/>
      <c r="X8" s="24" t="s">
        <v>342</v>
      </c>
      <c r="Y8" s="24" t="s">
        <v>343</v>
      </c>
      <c r="Z8" s="24">
        <v>94618</v>
      </c>
      <c r="AA8" s="24" t="s">
        <v>344</v>
      </c>
      <c r="AB8" s="24" t="s">
        <v>280</v>
      </c>
      <c r="AC8" s="24"/>
      <c r="AD8" s="24" t="s">
        <v>242</v>
      </c>
      <c r="AE8" s="24" t="s">
        <v>241</v>
      </c>
      <c r="AF8" s="24"/>
      <c r="AG8" s="24" t="s">
        <v>239</v>
      </c>
      <c r="AH8" s="24"/>
      <c r="AI8" s="24">
        <v>44086</v>
      </c>
      <c r="AJ8" s="24">
        <v>636.66999999999996</v>
      </c>
      <c r="AK8" s="24">
        <v>636.66999999999996</v>
      </c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 t="s">
        <v>26</v>
      </c>
      <c r="BH8" s="24"/>
      <c r="BI8" s="24" t="s">
        <v>225</v>
      </c>
      <c r="BJ8" s="24"/>
      <c r="BK8" s="24" t="s">
        <v>31</v>
      </c>
      <c r="BL8" s="24" t="s">
        <v>238</v>
      </c>
      <c r="BM8" s="24" t="s">
        <v>227</v>
      </c>
      <c r="BN8" s="24">
        <v>44264.156958391206</v>
      </c>
      <c r="BO8" s="24"/>
      <c r="BP8" s="24"/>
      <c r="BQ8" s="24"/>
      <c r="BR8" s="24" t="s">
        <v>228</v>
      </c>
      <c r="BS8" s="24">
        <v>4.03042021122526E+18</v>
      </c>
      <c r="BT8" s="24" t="s">
        <v>229</v>
      </c>
      <c r="BU8" s="24" t="s">
        <v>377</v>
      </c>
      <c r="BV8" s="24">
        <v>2020</v>
      </c>
      <c r="BW8" s="24" t="s">
        <v>230</v>
      </c>
      <c r="BX8" s="24"/>
      <c r="BY8" s="24">
        <v>4.0309202112277801E+18</v>
      </c>
      <c r="BZ8" s="24" t="s">
        <v>382</v>
      </c>
      <c r="CA8" s="24" t="s">
        <v>232</v>
      </c>
    </row>
    <row r="9" spans="1:79" x14ac:dyDescent="0.25">
      <c r="A9" s="24" t="s">
        <v>357</v>
      </c>
      <c r="B9" s="24" t="s">
        <v>358</v>
      </c>
      <c r="C9" s="24">
        <v>2020</v>
      </c>
      <c r="D9" s="24" t="s">
        <v>383</v>
      </c>
      <c r="E9" s="24">
        <v>2.0200709924439699E+17</v>
      </c>
      <c r="F9" s="24" t="s">
        <v>212</v>
      </c>
      <c r="G9" s="24">
        <v>2734868</v>
      </c>
      <c r="H9" s="24">
        <v>1418380</v>
      </c>
      <c r="I9" s="24"/>
      <c r="J9" s="24" t="s">
        <v>214</v>
      </c>
      <c r="K9" s="24" t="s">
        <v>215</v>
      </c>
      <c r="L9" s="24" t="s">
        <v>337</v>
      </c>
      <c r="M9" s="24"/>
      <c r="N9" s="24" t="s">
        <v>338</v>
      </c>
      <c r="O9" s="24" t="s">
        <v>310</v>
      </c>
      <c r="P9" s="24"/>
      <c r="Q9" s="24" t="s">
        <v>26</v>
      </c>
      <c r="R9" s="24" t="s">
        <v>339</v>
      </c>
      <c r="S9" s="24"/>
      <c r="T9" s="24" t="s">
        <v>340</v>
      </c>
      <c r="U9" s="24"/>
      <c r="V9" s="24" t="s">
        <v>341</v>
      </c>
      <c r="W9" s="24"/>
      <c r="X9" s="24" t="s">
        <v>342</v>
      </c>
      <c r="Y9" s="24" t="s">
        <v>343</v>
      </c>
      <c r="Z9" s="24">
        <v>946182113</v>
      </c>
      <c r="AA9" s="24" t="s">
        <v>344</v>
      </c>
      <c r="AB9" s="24" t="s">
        <v>384</v>
      </c>
      <c r="AC9" s="24" t="s">
        <v>337</v>
      </c>
      <c r="AD9" s="24" t="s">
        <v>324</v>
      </c>
      <c r="AE9" s="24" t="s">
        <v>325</v>
      </c>
      <c r="AF9" s="24"/>
      <c r="AG9" s="24"/>
      <c r="AH9" s="24"/>
      <c r="AI9" s="24">
        <v>43872</v>
      </c>
      <c r="AJ9" s="24">
        <v>250</v>
      </c>
      <c r="AK9" s="24">
        <v>500</v>
      </c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 t="s">
        <v>279</v>
      </c>
      <c r="BH9" s="24"/>
      <c r="BI9" s="24" t="s">
        <v>225</v>
      </c>
      <c r="BJ9" s="24">
        <v>2020</v>
      </c>
      <c r="BK9" s="24" t="s">
        <v>0</v>
      </c>
      <c r="BL9" s="24" t="s">
        <v>226</v>
      </c>
      <c r="BM9" s="24" t="s">
        <v>227</v>
      </c>
      <c r="BN9" s="24">
        <v>44027.076414374998</v>
      </c>
      <c r="BO9" s="24"/>
      <c r="BP9" s="24" t="s">
        <v>385</v>
      </c>
      <c r="BQ9" s="24" t="s">
        <v>327</v>
      </c>
      <c r="BR9" s="24" t="s">
        <v>278</v>
      </c>
      <c r="BS9" s="24">
        <v>4.0709202017799598E+18</v>
      </c>
      <c r="BT9" s="24" t="s">
        <v>229</v>
      </c>
      <c r="BU9" s="24" t="s">
        <v>328</v>
      </c>
      <c r="BV9" s="24">
        <v>2020</v>
      </c>
      <c r="BW9" s="24" t="s">
        <v>230</v>
      </c>
      <c r="BX9" s="24"/>
      <c r="BY9" s="24">
        <v>4.0714202017905603E+18</v>
      </c>
      <c r="BZ9" s="24" t="s">
        <v>386</v>
      </c>
      <c r="CA9" s="24" t="s">
        <v>232</v>
      </c>
    </row>
    <row r="10" spans="1:79" x14ac:dyDescent="0.25">
      <c r="A10" s="24" t="s">
        <v>387</v>
      </c>
      <c r="B10" s="24" t="s">
        <v>388</v>
      </c>
      <c r="C10" s="24">
        <v>2020</v>
      </c>
      <c r="D10" s="24" t="s">
        <v>389</v>
      </c>
      <c r="E10" s="24">
        <v>2.0201214938734E+17</v>
      </c>
      <c r="F10" s="24">
        <v>12</v>
      </c>
      <c r="G10" s="24">
        <v>36779590</v>
      </c>
      <c r="H10" s="24">
        <v>1482850</v>
      </c>
      <c r="I10" s="24"/>
      <c r="J10" s="24" t="s">
        <v>214</v>
      </c>
      <c r="K10" s="24" t="s">
        <v>215</v>
      </c>
      <c r="L10" s="24"/>
      <c r="M10" s="24"/>
      <c r="N10" s="24" t="s">
        <v>338</v>
      </c>
      <c r="O10" s="24" t="s">
        <v>25</v>
      </c>
      <c r="P10" s="24"/>
      <c r="Q10" s="24" t="s">
        <v>249</v>
      </c>
      <c r="R10" s="24" t="s">
        <v>339</v>
      </c>
      <c r="S10" s="24"/>
      <c r="T10" s="24" t="s">
        <v>340</v>
      </c>
      <c r="U10" s="24"/>
      <c r="V10" s="24" t="s">
        <v>341</v>
      </c>
      <c r="W10" s="24"/>
      <c r="X10" s="24" t="s">
        <v>342</v>
      </c>
      <c r="Y10" s="24" t="s">
        <v>343</v>
      </c>
      <c r="Z10" s="24">
        <v>946182113</v>
      </c>
      <c r="AA10" s="24" t="s">
        <v>344</v>
      </c>
      <c r="AB10" s="24" t="s">
        <v>280</v>
      </c>
      <c r="AC10" s="24"/>
      <c r="AD10" s="24" t="s">
        <v>242</v>
      </c>
      <c r="AE10" s="24" t="s">
        <v>241</v>
      </c>
      <c r="AF10" s="24"/>
      <c r="AG10" s="24" t="s">
        <v>239</v>
      </c>
      <c r="AH10" s="24"/>
      <c r="AI10" s="24">
        <v>44035</v>
      </c>
      <c r="AJ10" s="24">
        <v>25000</v>
      </c>
      <c r="AK10" s="24">
        <v>25000</v>
      </c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 t="s">
        <v>297</v>
      </c>
      <c r="BH10" s="24"/>
      <c r="BI10" s="24" t="s">
        <v>296</v>
      </c>
      <c r="BJ10" s="24">
        <v>2020</v>
      </c>
      <c r="BK10" s="24" t="s">
        <v>31</v>
      </c>
      <c r="BL10" s="24" t="s">
        <v>238</v>
      </c>
      <c r="BM10" s="24" t="s">
        <v>227</v>
      </c>
      <c r="BN10" s="24">
        <v>44183.153593622686</v>
      </c>
      <c r="BO10" s="24"/>
      <c r="BP10" s="24">
        <v>36524305</v>
      </c>
      <c r="BQ10" s="24" t="s">
        <v>236</v>
      </c>
      <c r="BR10" s="24" t="s">
        <v>228</v>
      </c>
      <c r="BS10" s="24">
        <v>4.1216202019742802E+18</v>
      </c>
      <c r="BT10" s="24" t="s">
        <v>229</v>
      </c>
      <c r="BU10" s="24" t="s">
        <v>372</v>
      </c>
      <c r="BV10" s="24">
        <v>2020</v>
      </c>
      <c r="BW10" s="24" t="s">
        <v>230</v>
      </c>
      <c r="BX10" s="24"/>
      <c r="BY10" s="24">
        <v>4.1218202019770301E+18</v>
      </c>
      <c r="BZ10" s="24" t="s">
        <v>390</v>
      </c>
      <c r="CA10" s="24" t="s">
        <v>233</v>
      </c>
    </row>
    <row r="11" spans="1:79" x14ac:dyDescent="0.25">
      <c r="A11" s="24" t="s">
        <v>391</v>
      </c>
      <c r="B11" s="24" t="s">
        <v>392</v>
      </c>
      <c r="C11" s="24">
        <v>2020</v>
      </c>
      <c r="D11" s="24" t="s">
        <v>393</v>
      </c>
      <c r="E11" s="24">
        <v>2.0200715924994099E+17</v>
      </c>
      <c r="F11" s="24" t="s">
        <v>364</v>
      </c>
      <c r="G11" s="24">
        <v>1358716</v>
      </c>
      <c r="H11" s="24">
        <v>1424472</v>
      </c>
      <c r="I11" s="24"/>
      <c r="J11" s="24" t="s">
        <v>214</v>
      </c>
      <c r="K11" s="24" t="s">
        <v>215</v>
      </c>
      <c r="L11" s="24"/>
      <c r="M11" s="24"/>
      <c r="N11" s="24" t="s">
        <v>338</v>
      </c>
      <c r="O11" s="24" t="s">
        <v>26</v>
      </c>
      <c r="P11" s="24"/>
      <c r="Q11" s="24" t="s">
        <v>26</v>
      </c>
      <c r="R11" s="24" t="s">
        <v>339</v>
      </c>
      <c r="S11" s="24"/>
      <c r="T11" s="24" t="s">
        <v>340</v>
      </c>
      <c r="U11" s="24"/>
      <c r="V11" s="24" t="s">
        <v>341</v>
      </c>
      <c r="W11" s="24"/>
      <c r="X11" s="24" t="s">
        <v>342</v>
      </c>
      <c r="Y11" s="24" t="s">
        <v>343</v>
      </c>
      <c r="Z11" s="24">
        <v>946182113</v>
      </c>
      <c r="AA11" s="24" t="s">
        <v>344</v>
      </c>
      <c r="AB11" s="24" t="s">
        <v>345</v>
      </c>
      <c r="AC11" s="24"/>
      <c r="AD11" s="24" t="s">
        <v>324</v>
      </c>
      <c r="AE11" s="24" t="s">
        <v>325</v>
      </c>
      <c r="AF11" s="24"/>
      <c r="AG11" s="24"/>
      <c r="AH11" s="24"/>
      <c r="AI11" s="24">
        <v>43868</v>
      </c>
      <c r="AJ11" s="24">
        <v>1000</v>
      </c>
      <c r="AK11" s="24">
        <v>1000</v>
      </c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 t="s">
        <v>279</v>
      </c>
      <c r="BH11" s="24"/>
      <c r="BI11" s="24" t="s">
        <v>225</v>
      </c>
      <c r="BJ11" s="24">
        <v>2020</v>
      </c>
      <c r="BK11" s="24" t="s">
        <v>31</v>
      </c>
      <c r="BL11" s="24" t="s">
        <v>238</v>
      </c>
      <c r="BM11" s="24" t="s">
        <v>227</v>
      </c>
      <c r="BN11" s="24">
        <v>44033.136137280089</v>
      </c>
      <c r="BO11" s="24"/>
      <c r="BP11" s="24" t="s">
        <v>394</v>
      </c>
      <c r="BQ11" s="24" t="s">
        <v>366</v>
      </c>
      <c r="BR11" s="24" t="s">
        <v>367</v>
      </c>
      <c r="BS11" s="24">
        <v>4.0716202017908598E+18</v>
      </c>
      <c r="BT11" s="24" t="s">
        <v>229</v>
      </c>
      <c r="BU11" s="24" t="s">
        <v>328</v>
      </c>
      <c r="BV11" s="24">
        <v>2020</v>
      </c>
      <c r="BW11" s="24" t="s">
        <v>230</v>
      </c>
      <c r="BX11" s="24"/>
      <c r="BY11" s="24">
        <v>4.0720202017919401E+18</v>
      </c>
      <c r="BZ11" s="24" t="s">
        <v>395</v>
      </c>
      <c r="CA11" s="24" t="s">
        <v>232</v>
      </c>
    </row>
    <row r="12" spans="1:79" x14ac:dyDescent="0.25">
      <c r="A12" s="24" t="s">
        <v>396</v>
      </c>
      <c r="B12" s="24" t="s">
        <v>397</v>
      </c>
      <c r="C12" s="24">
        <v>2020</v>
      </c>
      <c r="D12" s="24" t="s">
        <v>371</v>
      </c>
      <c r="E12" s="24">
        <v>2.02104059443068E+17</v>
      </c>
      <c r="F12" s="24" t="s">
        <v>212</v>
      </c>
      <c r="G12" s="24" t="s">
        <v>398</v>
      </c>
      <c r="H12" s="24">
        <v>1507807</v>
      </c>
      <c r="I12" s="24"/>
      <c r="J12" s="24" t="s">
        <v>214</v>
      </c>
      <c r="K12" s="24" t="s">
        <v>215</v>
      </c>
      <c r="L12" s="24"/>
      <c r="M12" s="24"/>
      <c r="N12" s="24" t="s">
        <v>338</v>
      </c>
      <c r="O12" s="24" t="s">
        <v>25</v>
      </c>
      <c r="P12" s="24"/>
      <c r="Q12" s="24" t="s">
        <v>249</v>
      </c>
      <c r="R12" s="24" t="s">
        <v>339</v>
      </c>
      <c r="S12" s="24"/>
      <c r="T12" s="24" t="s">
        <v>340</v>
      </c>
      <c r="U12" s="24"/>
      <c r="V12" s="24" t="s">
        <v>352</v>
      </c>
      <c r="W12" s="24"/>
      <c r="X12" s="24" t="s">
        <v>342</v>
      </c>
      <c r="Y12" s="24" t="s">
        <v>343</v>
      </c>
      <c r="Z12" s="24">
        <v>94618</v>
      </c>
      <c r="AA12" s="24" t="s">
        <v>344</v>
      </c>
      <c r="AB12" s="24" t="s">
        <v>280</v>
      </c>
      <c r="AC12" s="24"/>
      <c r="AD12" s="24" t="s">
        <v>242</v>
      </c>
      <c r="AE12" s="24" t="s">
        <v>241</v>
      </c>
      <c r="AF12" s="24"/>
      <c r="AG12" s="24" t="s">
        <v>239</v>
      </c>
      <c r="AH12" s="24"/>
      <c r="AI12" s="24">
        <v>44086</v>
      </c>
      <c r="AJ12" s="24">
        <v>636.66999999999996</v>
      </c>
      <c r="AK12" s="24">
        <v>636.66999999999996</v>
      </c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 t="s">
        <v>26</v>
      </c>
      <c r="BH12" s="24"/>
      <c r="BI12" s="24" t="s">
        <v>225</v>
      </c>
      <c r="BJ12" s="24"/>
      <c r="BK12" s="24" t="s">
        <v>0</v>
      </c>
      <c r="BL12" s="24" t="s">
        <v>226</v>
      </c>
      <c r="BM12" s="24" t="s">
        <v>227</v>
      </c>
      <c r="BN12" s="24">
        <v>44294.182206678241</v>
      </c>
      <c r="BO12" s="24"/>
      <c r="BP12" s="24"/>
      <c r="BQ12" s="24"/>
      <c r="BR12" s="24" t="s">
        <v>228</v>
      </c>
      <c r="BS12" s="24">
        <v>4.04072021127648E+18</v>
      </c>
      <c r="BT12" s="24" t="s">
        <v>229</v>
      </c>
      <c r="BU12" s="24" t="s">
        <v>377</v>
      </c>
      <c r="BV12" s="24">
        <v>2020</v>
      </c>
      <c r="BW12" s="24" t="s">
        <v>230</v>
      </c>
      <c r="BX12" s="24"/>
      <c r="BY12" s="24">
        <v>4.0407202112764902E+18</v>
      </c>
      <c r="BZ12" s="24" t="s">
        <v>399</v>
      </c>
      <c r="CA12" s="24" t="s">
        <v>232</v>
      </c>
    </row>
    <row r="13" spans="1:79" x14ac:dyDescent="0.25">
      <c r="A13" s="24" t="s">
        <v>362</v>
      </c>
      <c r="B13" s="24" t="s">
        <v>363</v>
      </c>
      <c r="C13" s="24">
        <v>2020</v>
      </c>
      <c r="D13" s="24" t="s">
        <v>389</v>
      </c>
      <c r="E13" s="24">
        <v>2.02009209276532E+17</v>
      </c>
      <c r="F13" s="24">
        <v>18</v>
      </c>
      <c r="G13" s="24">
        <v>13826562</v>
      </c>
      <c r="H13" s="24">
        <v>1440320</v>
      </c>
      <c r="I13" s="24"/>
      <c r="J13" s="24" t="s">
        <v>214</v>
      </c>
      <c r="K13" s="24" t="s">
        <v>215</v>
      </c>
      <c r="L13" s="24"/>
      <c r="M13" s="24"/>
      <c r="N13" s="24" t="s">
        <v>338</v>
      </c>
      <c r="O13" s="24" t="s">
        <v>26</v>
      </c>
      <c r="P13" s="24"/>
      <c r="Q13" s="24" t="s">
        <v>26</v>
      </c>
      <c r="R13" s="24" t="s">
        <v>339</v>
      </c>
      <c r="S13" s="24"/>
      <c r="T13" s="24" t="s">
        <v>340</v>
      </c>
      <c r="U13" s="24"/>
      <c r="V13" s="24" t="s">
        <v>341</v>
      </c>
      <c r="W13" s="24"/>
      <c r="X13" s="24" t="s">
        <v>342</v>
      </c>
      <c r="Y13" s="24" t="s">
        <v>343</v>
      </c>
      <c r="Z13" s="24">
        <v>946182113</v>
      </c>
      <c r="AA13" s="24" t="s">
        <v>344</v>
      </c>
      <c r="AB13" s="24" t="s">
        <v>280</v>
      </c>
      <c r="AC13" s="24"/>
      <c r="AD13" s="24" t="s">
        <v>242</v>
      </c>
      <c r="AE13" s="24" t="s">
        <v>241</v>
      </c>
      <c r="AF13" s="24"/>
      <c r="AG13" s="24" t="s">
        <v>239</v>
      </c>
      <c r="AH13" s="24"/>
      <c r="AI13" s="24">
        <v>43952</v>
      </c>
      <c r="AJ13" s="24">
        <v>2800</v>
      </c>
      <c r="AK13" s="24">
        <v>5600</v>
      </c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 t="s">
        <v>297</v>
      </c>
      <c r="BH13" s="24"/>
      <c r="BI13" s="24" t="s">
        <v>296</v>
      </c>
      <c r="BJ13" s="24">
        <v>2020</v>
      </c>
      <c r="BK13" s="24" t="s">
        <v>31</v>
      </c>
      <c r="BL13" s="24" t="s">
        <v>238</v>
      </c>
      <c r="BM13" s="24" t="s">
        <v>227</v>
      </c>
      <c r="BN13" s="24">
        <v>44104.184709814814</v>
      </c>
      <c r="BO13" s="24"/>
      <c r="BP13" s="24">
        <v>9226555</v>
      </c>
      <c r="BQ13" s="24" t="s">
        <v>400</v>
      </c>
      <c r="BR13" s="24" t="s">
        <v>367</v>
      </c>
      <c r="BS13" s="24">
        <v>4.0922202018492001E+18</v>
      </c>
      <c r="BT13" s="24" t="s">
        <v>229</v>
      </c>
      <c r="BU13" s="24" t="s">
        <v>372</v>
      </c>
      <c r="BV13" s="24">
        <v>2020</v>
      </c>
      <c r="BW13" s="24" t="s">
        <v>230</v>
      </c>
      <c r="BX13" s="24"/>
      <c r="BY13" s="24">
        <v>4.09302020185346E+18</v>
      </c>
      <c r="BZ13" s="24" t="s">
        <v>401</v>
      </c>
      <c r="CA13" s="24" t="s">
        <v>402</v>
      </c>
    </row>
    <row r="14" spans="1:79" x14ac:dyDescent="0.25">
      <c r="A14" s="24" t="s">
        <v>403</v>
      </c>
      <c r="B14" s="24" t="s">
        <v>404</v>
      </c>
      <c r="C14" s="24">
        <v>2020</v>
      </c>
      <c r="D14" s="24" t="s">
        <v>371</v>
      </c>
      <c r="E14" s="24">
        <v>2.0210512944668301E+17</v>
      </c>
      <c r="F14" s="24" t="s">
        <v>212</v>
      </c>
      <c r="G14" s="24" t="s">
        <v>405</v>
      </c>
      <c r="H14" s="24">
        <v>1515964</v>
      </c>
      <c r="I14" s="24"/>
      <c r="J14" s="24" t="s">
        <v>214</v>
      </c>
      <c r="K14" s="24" t="s">
        <v>215</v>
      </c>
      <c r="L14" s="24"/>
      <c r="M14" s="24"/>
      <c r="N14" s="24" t="s">
        <v>338</v>
      </c>
      <c r="O14" s="24" t="s">
        <v>25</v>
      </c>
      <c r="P14" s="24"/>
      <c r="Q14" s="24" t="s">
        <v>249</v>
      </c>
      <c r="R14" s="24" t="s">
        <v>339</v>
      </c>
      <c r="S14" s="24"/>
      <c r="T14" s="24" t="s">
        <v>340</v>
      </c>
      <c r="U14" s="24"/>
      <c r="V14" s="24" t="s">
        <v>352</v>
      </c>
      <c r="W14" s="24"/>
      <c r="X14" s="24" t="s">
        <v>342</v>
      </c>
      <c r="Y14" s="24" t="s">
        <v>343</v>
      </c>
      <c r="Z14" s="24">
        <v>94618</v>
      </c>
      <c r="AA14" s="24" t="s">
        <v>344</v>
      </c>
      <c r="AB14" s="24" t="s">
        <v>280</v>
      </c>
      <c r="AC14" s="24"/>
      <c r="AD14" s="24" t="s">
        <v>242</v>
      </c>
      <c r="AE14" s="24" t="s">
        <v>241</v>
      </c>
      <c r="AF14" s="24"/>
      <c r="AG14" s="24" t="s">
        <v>239</v>
      </c>
      <c r="AH14" s="24"/>
      <c r="AI14" s="24">
        <v>44086</v>
      </c>
      <c r="AJ14" s="24">
        <v>636.66999999999996</v>
      </c>
      <c r="AK14" s="24">
        <v>636.66999999999996</v>
      </c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 t="s">
        <v>26</v>
      </c>
      <c r="BH14" s="24"/>
      <c r="BI14" s="24" t="s">
        <v>225</v>
      </c>
      <c r="BJ14" s="24"/>
      <c r="BK14" s="24" t="s">
        <v>0</v>
      </c>
      <c r="BL14" s="24" t="s">
        <v>226</v>
      </c>
      <c r="BM14" s="24" t="s">
        <v>227</v>
      </c>
      <c r="BN14" s="24">
        <v>44330.149919456017</v>
      </c>
      <c r="BO14" s="24"/>
      <c r="BP14" s="24"/>
      <c r="BQ14" s="24"/>
      <c r="BR14" s="24" t="s">
        <v>228</v>
      </c>
      <c r="BS14" s="24">
        <v>4.0513202112928799E+18</v>
      </c>
      <c r="BT14" s="24" t="s">
        <v>229</v>
      </c>
      <c r="BU14" s="24" t="s">
        <v>377</v>
      </c>
      <c r="BV14" s="24">
        <v>2020</v>
      </c>
      <c r="BW14" s="24" t="s">
        <v>230</v>
      </c>
      <c r="BX14" s="24"/>
      <c r="BY14" s="24">
        <v>4.0514202112929802E+18</v>
      </c>
      <c r="BZ14" s="24" t="s">
        <v>406</v>
      </c>
      <c r="CA14" s="24" t="s">
        <v>232</v>
      </c>
    </row>
    <row r="15" spans="1:79" x14ac:dyDescent="0.25">
      <c r="A15" s="24" t="s">
        <v>407</v>
      </c>
      <c r="B15" s="24" t="s">
        <v>408</v>
      </c>
      <c r="C15" s="24">
        <v>2020</v>
      </c>
      <c r="D15" s="24" t="s">
        <v>371</v>
      </c>
      <c r="E15" s="24">
        <v>2.0210222942880099E+17</v>
      </c>
      <c r="F15" s="24">
        <v>12</v>
      </c>
      <c r="G15" s="24">
        <v>10874206</v>
      </c>
      <c r="H15" s="24">
        <v>1501777</v>
      </c>
      <c r="I15" s="24"/>
      <c r="J15" s="24" t="s">
        <v>214</v>
      </c>
      <c r="K15" s="24" t="s">
        <v>215</v>
      </c>
      <c r="L15" s="24"/>
      <c r="M15" s="24"/>
      <c r="N15" s="24" t="s">
        <v>338</v>
      </c>
      <c r="O15" s="24" t="s">
        <v>25</v>
      </c>
      <c r="P15" s="24"/>
      <c r="Q15" s="24" t="s">
        <v>249</v>
      </c>
      <c r="R15" s="24" t="s">
        <v>339</v>
      </c>
      <c r="S15" s="24"/>
      <c r="T15" s="24" t="s">
        <v>340</v>
      </c>
      <c r="U15" s="24"/>
      <c r="V15" s="24" t="s">
        <v>341</v>
      </c>
      <c r="W15" s="24"/>
      <c r="X15" s="24" t="s">
        <v>342</v>
      </c>
      <c r="Y15" s="24" t="s">
        <v>343</v>
      </c>
      <c r="Z15" s="24">
        <v>946182113</v>
      </c>
      <c r="AA15" s="24" t="s">
        <v>344</v>
      </c>
      <c r="AB15" s="24" t="s">
        <v>280</v>
      </c>
      <c r="AC15" s="24"/>
      <c r="AD15" s="24" t="s">
        <v>242</v>
      </c>
      <c r="AE15" s="24" t="s">
        <v>241</v>
      </c>
      <c r="AF15" s="24"/>
      <c r="AG15" s="24" t="s">
        <v>239</v>
      </c>
      <c r="AH15" s="24"/>
      <c r="AI15" s="24">
        <v>44086</v>
      </c>
      <c r="AJ15" s="24">
        <v>636.66999999999996</v>
      </c>
      <c r="AK15" s="24">
        <v>636.66999999999996</v>
      </c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 t="s">
        <v>26</v>
      </c>
      <c r="BH15" s="24"/>
      <c r="BI15" s="24" t="s">
        <v>225</v>
      </c>
      <c r="BJ15" s="24"/>
      <c r="BK15" s="24" t="s">
        <v>0</v>
      </c>
      <c r="BL15" s="24" t="s">
        <v>226</v>
      </c>
      <c r="BM15" s="24" t="s">
        <v>227</v>
      </c>
      <c r="BN15" s="24">
        <v>44258.579054074071</v>
      </c>
      <c r="BO15" s="24"/>
      <c r="BP15" s="24">
        <v>10873130</v>
      </c>
      <c r="BQ15" s="24" t="s">
        <v>236</v>
      </c>
      <c r="BR15" s="24" t="s">
        <v>228</v>
      </c>
      <c r="BS15" s="24">
        <v>4.02232021116399E+18</v>
      </c>
      <c r="BT15" s="24" t="s">
        <v>229</v>
      </c>
      <c r="BU15" s="24" t="s">
        <v>409</v>
      </c>
      <c r="BV15" s="24">
        <v>2020</v>
      </c>
      <c r="BW15" s="24" t="s">
        <v>230</v>
      </c>
      <c r="BX15" s="24"/>
      <c r="BY15" s="24">
        <v>4.0302202111904701E+18</v>
      </c>
      <c r="BZ15" s="24" t="s">
        <v>410</v>
      </c>
      <c r="CA15" s="24" t="s">
        <v>233</v>
      </c>
    </row>
    <row r="16" spans="1:79" x14ac:dyDescent="0.25">
      <c r="A16" s="24" t="s">
        <v>411</v>
      </c>
      <c r="B16" s="24" t="s">
        <v>412</v>
      </c>
      <c r="C16" s="24">
        <v>2020</v>
      </c>
      <c r="D16" s="24" t="s">
        <v>283</v>
      </c>
      <c r="E16" s="24">
        <v>2.0201015929431901E+17</v>
      </c>
      <c r="F16" s="24" t="s">
        <v>212</v>
      </c>
      <c r="G16" s="24" t="s">
        <v>413</v>
      </c>
      <c r="H16" s="24">
        <v>1450186</v>
      </c>
      <c r="I16" s="24"/>
      <c r="J16" s="24" t="s">
        <v>214</v>
      </c>
      <c r="K16" s="24" t="s">
        <v>215</v>
      </c>
      <c r="L16" s="24"/>
      <c r="M16" s="24"/>
      <c r="N16" s="24" t="s">
        <v>338</v>
      </c>
      <c r="O16" s="24" t="s">
        <v>310</v>
      </c>
      <c r="P16" s="24"/>
      <c r="Q16" s="24" t="s">
        <v>26</v>
      </c>
      <c r="R16" s="24" t="s">
        <v>339</v>
      </c>
      <c r="S16" s="24"/>
      <c r="T16" s="24" t="s">
        <v>340</v>
      </c>
      <c r="U16" s="24"/>
      <c r="V16" s="24" t="s">
        <v>341</v>
      </c>
      <c r="W16" s="24"/>
      <c r="X16" s="24" t="s">
        <v>342</v>
      </c>
      <c r="Y16" s="24" t="s">
        <v>343</v>
      </c>
      <c r="Z16" s="24">
        <v>946182113</v>
      </c>
      <c r="AA16" s="24" t="s">
        <v>344</v>
      </c>
      <c r="AB16" s="24" t="s">
        <v>384</v>
      </c>
      <c r="AC16" s="24"/>
      <c r="AD16" s="24">
        <v>15</v>
      </c>
      <c r="AE16" s="24" t="s">
        <v>224</v>
      </c>
      <c r="AF16" s="24"/>
      <c r="AG16" s="24"/>
      <c r="AH16" s="24"/>
      <c r="AI16" s="24">
        <v>44035</v>
      </c>
      <c r="AJ16" s="24">
        <v>1000</v>
      </c>
      <c r="AK16" s="24">
        <v>1000</v>
      </c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 t="s">
        <v>297</v>
      </c>
      <c r="BH16" s="24"/>
      <c r="BI16" s="24" t="s">
        <v>296</v>
      </c>
      <c r="BJ16" s="24">
        <v>2020</v>
      </c>
      <c r="BK16" s="24" t="s">
        <v>31</v>
      </c>
      <c r="BL16" s="24" t="s">
        <v>238</v>
      </c>
      <c r="BM16" s="24" t="s">
        <v>227</v>
      </c>
      <c r="BN16" s="24">
        <v>44121.715806805558</v>
      </c>
      <c r="BO16" s="24"/>
      <c r="BP16" s="24"/>
      <c r="BQ16" s="24"/>
      <c r="BR16" s="24" t="s">
        <v>278</v>
      </c>
      <c r="BS16" s="24">
        <v>4.1016202018576502E+18</v>
      </c>
      <c r="BT16" s="24" t="s">
        <v>229</v>
      </c>
      <c r="BU16" s="24"/>
      <c r="BV16" s="24">
        <v>2020</v>
      </c>
      <c r="BW16" s="24" t="s">
        <v>230</v>
      </c>
      <c r="BX16" s="24"/>
      <c r="BY16" s="24">
        <v>4.10162020187966E+18</v>
      </c>
      <c r="BZ16" s="24" t="s">
        <v>414</v>
      </c>
      <c r="CA16" s="24" t="s">
        <v>232</v>
      </c>
    </row>
    <row r="17" spans="1:79" x14ac:dyDescent="0.25">
      <c r="A17" s="24" t="s">
        <v>415</v>
      </c>
      <c r="B17" s="24" t="s">
        <v>416</v>
      </c>
      <c r="C17" s="24">
        <v>2020</v>
      </c>
      <c r="D17" s="24" t="s">
        <v>371</v>
      </c>
      <c r="E17" s="24">
        <v>2.0210505944629299E+17</v>
      </c>
      <c r="F17" s="24">
        <v>12</v>
      </c>
      <c r="G17" s="24">
        <v>4043683</v>
      </c>
      <c r="H17" s="24">
        <v>1515204</v>
      </c>
      <c r="I17" s="24"/>
      <c r="J17" s="24" t="s">
        <v>214</v>
      </c>
      <c r="K17" s="24" t="s">
        <v>215</v>
      </c>
      <c r="L17" s="24"/>
      <c r="M17" s="24"/>
      <c r="N17" s="24" t="s">
        <v>338</v>
      </c>
      <c r="O17" s="24" t="s">
        <v>25</v>
      </c>
      <c r="P17" s="24"/>
      <c r="Q17" s="24" t="s">
        <v>249</v>
      </c>
      <c r="R17" s="24" t="s">
        <v>339</v>
      </c>
      <c r="S17" s="24"/>
      <c r="T17" s="24" t="s">
        <v>340</v>
      </c>
      <c r="U17" s="24"/>
      <c r="V17" s="24" t="s">
        <v>341</v>
      </c>
      <c r="W17" s="24"/>
      <c r="X17" s="24" t="s">
        <v>342</v>
      </c>
      <c r="Y17" s="24" t="s">
        <v>343</v>
      </c>
      <c r="Z17" s="24">
        <v>946182113</v>
      </c>
      <c r="AA17" s="24" t="s">
        <v>344</v>
      </c>
      <c r="AB17" s="24" t="s">
        <v>280</v>
      </c>
      <c r="AC17" s="24"/>
      <c r="AD17" s="24" t="s">
        <v>242</v>
      </c>
      <c r="AE17" s="24" t="s">
        <v>241</v>
      </c>
      <c r="AF17" s="24"/>
      <c r="AG17" s="24" t="s">
        <v>239</v>
      </c>
      <c r="AH17" s="24"/>
      <c r="AI17" s="24">
        <v>44086</v>
      </c>
      <c r="AJ17" s="24">
        <v>636.66999999999996</v>
      </c>
      <c r="AK17" s="24">
        <v>636.66999999999996</v>
      </c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 t="s">
        <v>26</v>
      </c>
      <c r="BH17" s="24"/>
      <c r="BI17" s="24" t="s">
        <v>225</v>
      </c>
      <c r="BJ17" s="24"/>
      <c r="BK17" s="24" t="s">
        <v>0</v>
      </c>
      <c r="BL17" s="24" t="s">
        <v>226</v>
      </c>
      <c r="BM17" s="24" t="s">
        <v>227</v>
      </c>
      <c r="BN17" s="24">
        <v>44324.198585729166</v>
      </c>
      <c r="BO17" s="24"/>
      <c r="BP17" s="24">
        <v>4035333</v>
      </c>
      <c r="BQ17" s="24" t="s">
        <v>236</v>
      </c>
      <c r="BR17" s="24" t="s">
        <v>228</v>
      </c>
      <c r="BS17" s="24">
        <v>4.0506202112853499E+18</v>
      </c>
      <c r="BT17" s="24" t="s">
        <v>229</v>
      </c>
      <c r="BU17" s="24" t="s">
        <v>372</v>
      </c>
      <c r="BV17" s="24">
        <v>2020</v>
      </c>
      <c r="BW17" s="24" t="s">
        <v>230</v>
      </c>
      <c r="BX17" s="24"/>
      <c r="BY17" s="24">
        <v>4.0508202112871598E+18</v>
      </c>
      <c r="BZ17" s="24" t="s">
        <v>417</v>
      </c>
      <c r="CA17" s="24" t="s">
        <v>233</v>
      </c>
    </row>
    <row r="18" spans="1:79" x14ac:dyDescent="0.25">
      <c r="A18" s="24" t="s">
        <v>418</v>
      </c>
      <c r="B18" s="24" t="s">
        <v>377</v>
      </c>
      <c r="C18" s="24">
        <v>2020</v>
      </c>
      <c r="D18" s="24" t="s">
        <v>261</v>
      </c>
      <c r="E18" s="24">
        <v>2.02010129285124E+17</v>
      </c>
      <c r="F18" s="24" t="s">
        <v>212</v>
      </c>
      <c r="G18" s="24">
        <v>4527488</v>
      </c>
      <c r="H18" s="24">
        <v>1446418</v>
      </c>
      <c r="I18" s="24"/>
      <c r="J18" s="24" t="s">
        <v>214</v>
      </c>
      <c r="K18" s="24" t="s">
        <v>215</v>
      </c>
      <c r="L18" s="24"/>
      <c r="M18" s="24"/>
      <c r="N18" s="24" t="s">
        <v>338</v>
      </c>
      <c r="O18" s="24" t="s">
        <v>0</v>
      </c>
      <c r="P18" s="24"/>
      <c r="Q18" s="24" t="s">
        <v>33</v>
      </c>
      <c r="R18" s="24" t="s">
        <v>339</v>
      </c>
      <c r="S18" s="24"/>
      <c r="T18" s="24" t="s">
        <v>340</v>
      </c>
      <c r="U18" s="24"/>
      <c r="V18" s="24" t="s">
        <v>341</v>
      </c>
      <c r="W18" s="24"/>
      <c r="X18" s="24" t="s">
        <v>342</v>
      </c>
      <c r="Y18" s="24" t="s">
        <v>343</v>
      </c>
      <c r="Z18" s="24">
        <v>946182113</v>
      </c>
      <c r="AA18" s="24" t="s">
        <v>344</v>
      </c>
      <c r="AB18" s="24" t="s">
        <v>384</v>
      </c>
      <c r="AC18" s="24"/>
      <c r="AD18" s="24">
        <v>15</v>
      </c>
      <c r="AE18" s="24" t="s">
        <v>224</v>
      </c>
      <c r="AF18" s="24"/>
      <c r="AG18" s="24"/>
      <c r="AH18" s="24"/>
      <c r="AI18" s="24">
        <v>43952</v>
      </c>
      <c r="AJ18" s="24">
        <v>2800</v>
      </c>
      <c r="AK18" s="24">
        <v>2800</v>
      </c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 t="s">
        <v>26</v>
      </c>
      <c r="BH18" s="24"/>
      <c r="BI18" s="24" t="s">
        <v>225</v>
      </c>
      <c r="BJ18" s="24"/>
      <c r="BK18" s="24" t="s">
        <v>31</v>
      </c>
      <c r="BL18" s="24" t="s">
        <v>238</v>
      </c>
      <c r="BM18" s="24" t="s">
        <v>227</v>
      </c>
      <c r="BN18" s="24">
        <v>44125.151650254629</v>
      </c>
      <c r="BO18" s="24"/>
      <c r="BP18" s="24"/>
      <c r="BQ18" s="24"/>
      <c r="BR18" s="24" t="s">
        <v>228</v>
      </c>
      <c r="BS18" s="24">
        <v>4.10132020185747E+18</v>
      </c>
      <c r="BT18" s="24" t="s">
        <v>229</v>
      </c>
      <c r="BU18" s="24"/>
      <c r="BV18" s="24">
        <v>2020</v>
      </c>
      <c r="BW18" s="24" t="s">
        <v>230</v>
      </c>
      <c r="BX18" s="24"/>
      <c r="BY18" s="24">
        <v>4.10212020188226E+18</v>
      </c>
      <c r="BZ18" s="24" t="s">
        <v>419</v>
      </c>
      <c r="CA18" s="24" t="s">
        <v>232</v>
      </c>
    </row>
    <row r="19" spans="1:79" x14ac:dyDescent="0.25">
      <c r="A19" s="24" t="s">
        <v>420</v>
      </c>
      <c r="B19" s="24" t="s">
        <v>421</v>
      </c>
      <c r="C19" s="24">
        <v>2020</v>
      </c>
      <c r="D19" s="24" t="s">
        <v>422</v>
      </c>
      <c r="E19" s="24">
        <v>2.0210518944693901E+17</v>
      </c>
      <c r="F19" s="24" t="s">
        <v>212</v>
      </c>
      <c r="G19" s="24" t="s">
        <v>423</v>
      </c>
      <c r="H19" s="24">
        <v>1516754</v>
      </c>
      <c r="I19" s="24"/>
      <c r="J19" s="24" t="s">
        <v>214</v>
      </c>
      <c r="K19" s="24" t="s">
        <v>215</v>
      </c>
      <c r="L19" s="24"/>
      <c r="M19" s="24"/>
      <c r="N19" s="24" t="s">
        <v>338</v>
      </c>
      <c r="O19" s="24" t="s">
        <v>25</v>
      </c>
      <c r="P19" s="24"/>
      <c r="Q19" s="24" t="s">
        <v>249</v>
      </c>
      <c r="R19" s="24" t="s">
        <v>339</v>
      </c>
      <c r="S19" s="24"/>
      <c r="T19" s="24" t="s">
        <v>340</v>
      </c>
      <c r="U19" s="24"/>
      <c r="V19" s="24" t="s">
        <v>352</v>
      </c>
      <c r="W19" s="24"/>
      <c r="X19" s="24" t="s">
        <v>342</v>
      </c>
      <c r="Y19" s="24" t="s">
        <v>343</v>
      </c>
      <c r="Z19" s="24">
        <v>94618</v>
      </c>
      <c r="AA19" s="24" t="s">
        <v>344</v>
      </c>
      <c r="AB19" s="24" t="s">
        <v>280</v>
      </c>
      <c r="AC19" s="24"/>
      <c r="AD19" s="24" t="s">
        <v>242</v>
      </c>
      <c r="AE19" s="24" t="s">
        <v>241</v>
      </c>
      <c r="AF19" s="24"/>
      <c r="AG19" s="24" t="s">
        <v>239</v>
      </c>
      <c r="AH19" s="24"/>
      <c r="AI19" s="24">
        <v>44086</v>
      </c>
      <c r="AJ19" s="24">
        <v>636.66</v>
      </c>
      <c r="AK19" s="24">
        <v>636.66</v>
      </c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 t="s">
        <v>26</v>
      </c>
      <c r="BH19" s="24"/>
      <c r="BI19" s="24" t="s">
        <v>225</v>
      </c>
      <c r="BJ19" s="24"/>
      <c r="BK19" s="24" t="s">
        <v>0</v>
      </c>
      <c r="BL19" s="24" t="s">
        <v>226</v>
      </c>
      <c r="BM19" s="24" t="s">
        <v>227</v>
      </c>
      <c r="BN19" s="24">
        <v>44343.161150891203</v>
      </c>
      <c r="BO19" s="24"/>
      <c r="BP19" s="24"/>
      <c r="BQ19" s="24"/>
      <c r="BR19" s="24" t="s">
        <v>228</v>
      </c>
      <c r="BS19" s="24">
        <v>4.0519202112947999E+18</v>
      </c>
      <c r="BT19" s="24" t="s">
        <v>229</v>
      </c>
      <c r="BU19" s="24" t="s">
        <v>377</v>
      </c>
      <c r="BV19" s="24">
        <v>2020</v>
      </c>
      <c r="BW19" s="24" t="s">
        <v>230</v>
      </c>
      <c r="BX19" s="24"/>
      <c r="BY19" s="24">
        <v>4.0527202112973701E+18</v>
      </c>
      <c r="BZ19" s="24" t="s">
        <v>424</v>
      </c>
      <c r="CA19" s="24" t="s">
        <v>232</v>
      </c>
    </row>
    <row r="20" spans="1:79" x14ac:dyDescent="0.25">
      <c r="A20" s="24" t="s">
        <v>425</v>
      </c>
      <c r="B20" s="24" t="s">
        <v>426</v>
      </c>
      <c r="C20" s="24">
        <v>2020</v>
      </c>
      <c r="D20" s="24" t="s">
        <v>371</v>
      </c>
      <c r="E20" s="24">
        <v>2.0210520944702899E+17</v>
      </c>
      <c r="F20" s="24" t="s">
        <v>212</v>
      </c>
      <c r="G20" s="24" t="s">
        <v>427</v>
      </c>
      <c r="H20" s="24">
        <v>1517435</v>
      </c>
      <c r="I20" s="24"/>
      <c r="J20" s="24" t="s">
        <v>214</v>
      </c>
      <c r="K20" s="24" t="s">
        <v>215</v>
      </c>
      <c r="L20" s="24"/>
      <c r="M20" s="24"/>
      <c r="N20" s="24" t="s">
        <v>338</v>
      </c>
      <c r="O20" s="24" t="s">
        <v>25</v>
      </c>
      <c r="P20" s="24"/>
      <c r="Q20" s="24" t="s">
        <v>249</v>
      </c>
      <c r="R20" s="24" t="s">
        <v>339</v>
      </c>
      <c r="S20" s="24"/>
      <c r="T20" s="24" t="s">
        <v>340</v>
      </c>
      <c r="U20" s="24"/>
      <c r="V20" s="24" t="s">
        <v>352</v>
      </c>
      <c r="W20" s="24"/>
      <c r="X20" s="24" t="s">
        <v>342</v>
      </c>
      <c r="Y20" s="24" t="s">
        <v>343</v>
      </c>
      <c r="Z20" s="24">
        <v>94618</v>
      </c>
      <c r="AA20" s="24" t="s">
        <v>344</v>
      </c>
      <c r="AB20" s="24" t="s">
        <v>280</v>
      </c>
      <c r="AC20" s="24"/>
      <c r="AD20" s="24" t="s">
        <v>242</v>
      </c>
      <c r="AE20" s="24" t="s">
        <v>241</v>
      </c>
      <c r="AF20" s="24"/>
      <c r="AG20" s="24" t="s">
        <v>239</v>
      </c>
      <c r="AH20" s="24"/>
      <c r="AI20" s="24">
        <v>44086</v>
      </c>
      <c r="AJ20" s="24">
        <v>636.66</v>
      </c>
      <c r="AK20" s="24">
        <v>636.66</v>
      </c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 t="s">
        <v>26</v>
      </c>
      <c r="BH20" s="24"/>
      <c r="BI20" s="24" t="s">
        <v>225</v>
      </c>
      <c r="BJ20" s="24"/>
      <c r="BK20" s="24" t="s">
        <v>0</v>
      </c>
      <c r="BL20" s="24" t="s">
        <v>226</v>
      </c>
      <c r="BM20" s="24" t="s">
        <v>227</v>
      </c>
      <c r="BN20" s="24">
        <v>44343.161261643516</v>
      </c>
      <c r="BO20" s="24"/>
      <c r="BP20" s="24"/>
      <c r="BQ20" s="24"/>
      <c r="BR20" s="24" t="s">
        <v>228</v>
      </c>
      <c r="BS20" s="24">
        <v>4.05212021129677E+18</v>
      </c>
      <c r="BT20" s="24" t="s">
        <v>229</v>
      </c>
      <c r="BU20" s="24" t="s">
        <v>377</v>
      </c>
      <c r="BV20" s="24">
        <v>2020</v>
      </c>
      <c r="BW20" s="24" t="s">
        <v>230</v>
      </c>
      <c r="BX20" s="24"/>
      <c r="BY20" s="24">
        <v>4.0527202112973701E+18</v>
      </c>
      <c r="BZ20" s="24" t="s">
        <v>428</v>
      </c>
      <c r="CA20" s="24" t="s">
        <v>232</v>
      </c>
    </row>
    <row r="21" spans="1:79" x14ac:dyDescent="0.25">
      <c r="A21" s="24" t="s">
        <v>425</v>
      </c>
      <c r="B21" s="24" t="s">
        <v>426</v>
      </c>
      <c r="C21" s="24">
        <v>2020</v>
      </c>
      <c r="D21" s="24" t="s">
        <v>371</v>
      </c>
      <c r="E21" s="24">
        <v>2.0210520944703002E+17</v>
      </c>
      <c r="F21" s="24" t="s">
        <v>212</v>
      </c>
      <c r="G21" s="24" t="s">
        <v>429</v>
      </c>
      <c r="H21" s="24">
        <v>1517435</v>
      </c>
      <c r="I21" s="24"/>
      <c r="J21" s="24" t="s">
        <v>214</v>
      </c>
      <c r="K21" s="24" t="s">
        <v>215</v>
      </c>
      <c r="L21" s="24"/>
      <c r="M21" s="24"/>
      <c r="N21" s="24" t="s">
        <v>338</v>
      </c>
      <c r="O21" s="24" t="s">
        <v>25</v>
      </c>
      <c r="P21" s="24"/>
      <c r="Q21" s="24" t="s">
        <v>249</v>
      </c>
      <c r="R21" s="24" t="s">
        <v>339</v>
      </c>
      <c r="S21" s="24"/>
      <c r="T21" s="24" t="s">
        <v>340</v>
      </c>
      <c r="U21" s="24"/>
      <c r="V21" s="24" t="s">
        <v>352</v>
      </c>
      <c r="W21" s="24"/>
      <c r="X21" s="24" t="s">
        <v>342</v>
      </c>
      <c r="Y21" s="24" t="s">
        <v>343</v>
      </c>
      <c r="Z21" s="24">
        <v>94618</v>
      </c>
      <c r="AA21" s="24" t="s">
        <v>344</v>
      </c>
      <c r="AB21" s="24" t="s">
        <v>280</v>
      </c>
      <c r="AC21" s="24"/>
      <c r="AD21" s="24" t="s">
        <v>242</v>
      </c>
      <c r="AE21" s="24" t="s">
        <v>241</v>
      </c>
      <c r="AF21" s="24"/>
      <c r="AG21" s="24" t="s">
        <v>239</v>
      </c>
      <c r="AH21" s="24"/>
      <c r="AI21" s="24">
        <v>44086</v>
      </c>
      <c r="AJ21" s="24">
        <v>636.66</v>
      </c>
      <c r="AK21" s="24">
        <v>1273.32</v>
      </c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 t="s">
        <v>26</v>
      </c>
      <c r="BH21" s="24"/>
      <c r="BI21" s="24" t="s">
        <v>225</v>
      </c>
      <c r="BJ21" s="24"/>
      <c r="BK21" s="24" t="s">
        <v>0</v>
      </c>
      <c r="BL21" s="24" t="s">
        <v>226</v>
      </c>
      <c r="BM21" s="24" t="s">
        <v>227</v>
      </c>
      <c r="BN21" s="24">
        <v>44343.161336944446</v>
      </c>
      <c r="BO21" s="24"/>
      <c r="BP21" s="24"/>
      <c r="BQ21" s="24"/>
      <c r="BR21" s="24" t="s">
        <v>228</v>
      </c>
      <c r="BS21" s="24">
        <v>4.05212021129677E+18</v>
      </c>
      <c r="BT21" s="24" t="s">
        <v>229</v>
      </c>
      <c r="BU21" s="24" t="s">
        <v>377</v>
      </c>
      <c r="BV21" s="24">
        <v>2020</v>
      </c>
      <c r="BW21" s="24" t="s">
        <v>230</v>
      </c>
      <c r="BX21" s="24"/>
      <c r="BY21" s="24">
        <v>4.0527202112973701E+18</v>
      </c>
      <c r="BZ21" s="24" t="s">
        <v>430</v>
      </c>
      <c r="CA21" s="24" t="s">
        <v>232</v>
      </c>
    </row>
    <row r="22" spans="1:79" x14ac:dyDescent="0.25">
      <c r="A22" s="24" t="s">
        <v>418</v>
      </c>
      <c r="B22" s="24" t="s">
        <v>377</v>
      </c>
      <c r="C22" s="24">
        <v>2020</v>
      </c>
      <c r="D22" s="24" t="s">
        <v>283</v>
      </c>
      <c r="E22" s="24">
        <v>2.0210114940457798E+17</v>
      </c>
      <c r="F22" s="24" t="s">
        <v>212</v>
      </c>
      <c r="G22" s="24">
        <v>8123540</v>
      </c>
      <c r="H22" s="24">
        <v>1487959</v>
      </c>
      <c r="I22" s="24"/>
      <c r="J22" s="24" t="s">
        <v>214</v>
      </c>
      <c r="K22" s="24" t="s">
        <v>215</v>
      </c>
      <c r="L22" s="24"/>
      <c r="M22" s="24"/>
      <c r="N22" s="24" t="s">
        <v>338</v>
      </c>
      <c r="O22" s="24" t="s">
        <v>0</v>
      </c>
      <c r="P22" s="24"/>
      <c r="Q22" s="24" t="s">
        <v>33</v>
      </c>
      <c r="R22" s="24" t="s">
        <v>339</v>
      </c>
      <c r="S22" s="24"/>
      <c r="T22" s="24" t="s">
        <v>340</v>
      </c>
      <c r="U22" s="24"/>
      <c r="V22" s="24" t="s">
        <v>341</v>
      </c>
      <c r="W22" s="24"/>
      <c r="X22" s="24" t="s">
        <v>342</v>
      </c>
      <c r="Y22" s="24" t="s">
        <v>343</v>
      </c>
      <c r="Z22" s="24">
        <v>946182113</v>
      </c>
      <c r="AA22" s="24" t="s">
        <v>344</v>
      </c>
      <c r="AB22" s="24" t="s">
        <v>280</v>
      </c>
      <c r="AC22" s="24"/>
      <c r="AD22" s="24">
        <v>15</v>
      </c>
      <c r="AE22" s="24" t="s">
        <v>224</v>
      </c>
      <c r="AF22" s="24"/>
      <c r="AG22" s="24"/>
      <c r="AH22" s="24"/>
      <c r="AI22" s="24">
        <v>44035</v>
      </c>
      <c r="AJ22" s="24">
        <v>25000</v>
      </c>
      <c r="AK22" s="24">
        <v>27800</v>
      </c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 t="s">
        <v>26</v>
      </c>
      <c r="BH22" s="24"/>
      <c r="BI22" s="24" t="s">
        <v>225</v>
      </c>
      <c r="BJ22" s="24"/>
      <c r="BK22" s="24" t="s">
        <v>31</v>
      </c>
      <c r="BL22" s="24" t="s">
        <v>238</v>
      </c>
      <c r="BM22" s="24" t="s">
        <v>227</v>
      </c>
      <c r="BN22" s="24">
        <v>44231.430941863429</v>
      </c>
      <c r="BO22" s="24"/>
      <c r="BP22" s="24"/>
      <c r="BQ22" s="24"/>
      <c r="BR22" s="24" t="s">
        <v>228</v>
      </c>
      <c r="BS22" s="24">
        <v>4.0115202120936602E+18</v>
      </c>
      <c r="BT22" s="24" t="s">
        <v>229</v>
      </c>
      <c r="BU22" s="24"/>
      <c r="BV22" s="24">
        <v>2020</v>
      </c>
      <c r="BW22" s="24" t="s">
        <v>230</v>
      </c>
      <c r="BX22" s="24"/>
      <c r="BY22" s="24">
        <v>4.02032021201869E+18</v>
      </c>
      <c r="BZ22" s="24" t="s">
        <v>431</v>
      </c>
      <c r="CA22" s="24" t="s">
        <v>232</v>
      </c>
    </row>
    <row r="23" spans="1:79" x14ac:dyDescent="0.25">
      <c r="A23" s="24" t="s">
        <v>418</v>
      </c>
      <c r="B23" s="24" t="s">
        <v>377</v>
      </c>
      <c r="C23" s="24">
        <v>2020</v>
      </c>
      <c r="D23" s="24" t="s">
        <v>283</v>
      </c>
      <c r="E23" s="24">
        <v>2.0210114940462701E+17</v>
      </c>
      <c r="F23" s="24" t="s">
        <v>212</v>
      </c>
      <c r="G23" s="24">
        <v>14460924</v>
      </c>
      <c r="H23" s="24">
        <v>1487959</v>
      </c>
      <c r="I23" s="24"/>
      <c r="J23" s="24" t="s">
        <v>214</v>
      </c>
      <c r="K23" s="24" t="s">
        <v>215</v>
      </c>
      <c r="L23" s="24"/>
      <c r="M23" s="24"/>
      <c r="N23" s="24" t="s">
        <v>338</v>
      </c>
      <c r="O23" s="24" t="s">
        <v>0</v>
      </c>
      <c r="P23" s="24"/>
      <c r="Q23" s="24" t="s">
        <v>33</v>
      </c>
      <c r="R23" s="24" t="s">
        <v>339</v>
      </c>
      <c r="S23" s="24"/>
      <c r="T23" s="24" t="s">
        <v>340</v>
      </c>
      <c r="U23" s="24"/>
      <c r="V23" s="24" t="s">
        <v>341</v>
      </c>
      <c r="W23" s="24"/>
      <c r="X23" s="24" t="s">
        <v>342</v>
      </c>
      <c r="Y23" s="24" t="s">
        <v>343</v>
      </c>
      <c r="Z23" s="24">
        <v>946182113</v>
      </c>
      <c r="AA23" s="24" t="s">
        <v>344</v>
      </c>
      <c r="AB23" s="24" t="s">
        <v>280</v>
      </c>
      <c r="AC23" s="24"/>
      <c r="AD23" s="24">
        <v>15</v>
      </c>
      <c r="AE23" s="24" t="s">
        <v>224</v>
      </c>
      <c r="AF23" s="24"/>
      <c r="AG23" s="24"/>
      <c r="AH23" s="24"/>
      <c r="AI23" s="24">
        <v>44086</v>
      </c>
      <c r="AJ23" s="24">
        <v>20000</v>
      </c>
      <c r="AK23" s="24">
        <v>47850</v>
      </c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 t="s">
        <v>26</v>
      </c>
      <c r="BH23" s="24"/>
      <c r="BI23" s="24" t="s">
        <v>225</v>
      </c>
      <c r="BJ23" s="24"/>
      <c r="BK23" s="24" t="s">
        <v>31</v>
      </c>
      <c r="BL23" s="24" t="s">
        <v>238</v>
      </c>
      <c r="BM23" s="24" t="s">
        <v>227</v>
      </c>
      <c r="BN23" s="24">
        <v>44231.432460914351</v>
      </c>
      <c r="BO23" s="24"/>
      <c r="BP23" s="24"/>
      <c r="BQ23" s="24"/>
      <c r="BR23" s="24" t="s">
        <v>228</v>
      </c>
      <c r="BS23" s="24">
        <v>4.0115202120936602E+18</v>
      </c>
      <c r="BT23" s="24" t="s">
        <v>229</v>
      </c>
      <c r="BU23" s="24"/>
      <c r="BV23" s="24">
        <v>2020</v>
      </c>
      <c r="BW23" s="24" t="s">
        <v>230</v>
      </c>
      <c r="BX23" s="24"/>
      <c r="BY23" s="24">
        <v>4.0203202120188401E+18</v>
      </c>
      <c r="BZ23" s="24" t="s">
        <v>432</v>
      </c>
      <c r="CA23" s="24" t="s">
        <v>232</v>
      </c>
    </row>
    <row r="24" spans="1:79" x14ac:dyDescent="0.25">
      <c r="A24" s="24" t="s">
        <v>418</v>
      </c>
      <c r="B24" s="24" t="s">
        <v>377</v>
      </c>
      <c r="C24" s="24">
        <v>2020</v>
      </c>
      <c r="D24" s="24" t="s">
        <v>283</v>
      </c>
      <c r="E24" s="24">
        <v>2.0210114940459802E+17</v>
      </c>
      <c r="F24" s="24" t="s">
        <v>212</v>
      </c>
      <c r="G24" s="24">
        <v>9708302</v>
      </c>
      <c r="H24" s="24">
        <v>1487959</v>
      </c>
      <c r="I24" s="24"/>
      <c r="J24" s="24" t="s">
        <v>214</v>
      </c>
      <c r="K24" s="24" t="s">
        <v>215</v>
      </c>
      <c r="L24" s="24"/>
      <c r="M24" s="24"/>
      <c r="N24" s="24" t="s">
        <v>338</v>
      </c>
      <c r="O24" s="24" t="s">
        <v>0</v>
      </c>
      <c r="P24" s="24"/>
      <c r="Q24" s="24" t="s">
        <v>33</v>
      </c>
      <c r="R24" s="24" t="s">
        <v>339</v>
      </c>
      <c r="S24" s="24"/>
      <c r="T24" s="24" t="s">
        <v>340</v>
      </c>
      <c r="U24" s="24"/>
      <c r="V24" s="24" t="s">
        <v>341</v>
      </c>
      <c r="W24" s="24"/>
      <c r="X24" s="24" t="s">
        <v>342</v>
      </c>
      <c r="Y24" s="24" t="s">
        <v>343</v>
      </c>
      <c r="Z24" s="24">
        <v>946182113</v>
      </c>
      <c r="AA24" s="24" t="s">
        <v>344</v>
      </c>
      <c r="AB24" s="24" t="s">
        <v>280</v>
      </c>
      <c r="AC24" s="24"/>
      <c r="AD24" s="24">
        <v>15</v>
      </c>
      <c r="AE24" s="24" t="s">
        <v>224</v>
      </c>
      <c r="AF24" s="24"/>
      <c r="AG24" s="24"/>
      <c r="AH24" s="24"/>
      <c r="AI24" s="24">
        <v>44055</v>
      </c>
      <c r="AJ24" s="24">
        <v>50</v>
      </c>
      <c r="AK24" s="24">
        <v>27850</v>
      </c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 t="s">
        <v>26</v>
      </c>
      <c r="BH24" s="24"/>
      <c r="BI24" s="24" t="s">
        <v>225</v>
      </c>
      <c r="BJ24" s="24"/>
      <c r="BK24" s="24" t="s">
        <v>31</v>
      </c>
      <c r="BL24" s="24" t="s">
        <v>238</v>
      </c>
      <c r="BM24" s="24" t="s">
        <v>227</v>
      </c>
      <c r="BN24" s="24">
        <v>44231.432836018517</v>
      </c>
      <c r="BO24" s="24"/>
      <c r="BP24" s="24"/>
      <c r="BQ24" s="24"/>
      <c r="BR24" s="24" t="s">
        <v>228</v>
      </c>
      <c r="BS24" s="24">
        <v>4.0115202120936602E+18</v>
      </c>
      <c r="BT24" s="24" t="s">
        <v>229</v>
      </c>
      <c r="BU24" s="24"/>
      <c r="BV24" s="24">
        <v>2020</v>
      </c>
      <c r="BW24" s="24" t="s">
        <v>230</v>
      </c>
      <c r="BX24" s="24"/>
      <c r="BY24" s="24">
        <v>4.0203202120187602E+18</v>
      </c>
      <c r="BZ24" s="24" t="s">
        <v>433</v>
      </c>
      <c r="CA24" s="24" t="s">
        <v>232</v>
      </c>
    </row>
    <row r="25" spans="1:79" x14ac:dyDescent="0.25">
      <c r="A25" s="24" t="s">
        <v>434</v>
      </c>
      <c r="B25" s="24" t="s">
        <v>435</v>
      </c>
      <c r="C25" s="24">
        <v>2020</v>
      </c>
      <c r="D25" s="24" t="s">
        <v>290</v>
      </c>
      <c r="E25" s="24">
        <v>2.0201203934078899E+17</v>
      </c>
      <c r="F25" s="24">
        <v>12</v>
      </c>
      <c r="G25" s="24">
        <v>7327358</v>
      </c>
      <c r="H25" s="24">
        <v>1480291</v>
      </c>
      <c r="I25" s="24"/>
      <c r="J25" s="24" t="s">
        <v>214</v>
      </c>
      <c r="K25" s="24" t="s">
        <v>215</v>
      </c>
      <c r="L25" s="24"/>
      <c r="M25" s="24"/>
      <c r="N25" s="24" t="s">
        <v>338</v>
      </c>
      <c r="O25" s="24" t="s">
        <v>25</v>
      </c>
      <c r="P25" s="24"/>
      <c r="Q25" s="24" t="s">
        <v>249</v>
      </c>
      <c r="R25" s="24" t="s">
        <v>339</v>
      </c>
      <c r="S25" s="24"/>
      <c r="T25" s="24" t="s">
        <v>340</v>
      </c>
      <c r="U25" s="24"/>
      <c r="V25" s="24" t="s">
        <v>341</v>
      </c>
      <c r="W25" s="24"/>
      <c r="X25" s="24" t="s">
        <v>342</v>
      </c>
      <c r="Y25" s="24" t="s">
        <v>343</v>
      </c>
      <c r="Z25" s="24">
        <v>946182113</v>
      </c>
      <c r="AA25" s="24" t="s">
        <v>344</v>
      </c>
      <c r="AB25" s="24" t="s">
        <v>280</v>
      </c>
      <c r="AC25" s="24"/>
      <c r="AD25" s="24" t="s">
        <v>242</v>
      </c>
      <c r="AE25" s="24" t="s">
        <v>241</v>
      </c>
      <c r="AF25" s="24"/>
      <c r="AG25" s="24" t="s">
        <v>239</v>
      </c>
      <c r="AH25" s="24"/>
      <c r="AI25" s="24">
        <v>44086</v>
      </c>
      <c r="AJ25" s="24">
        <v>636.66999999999996</v>
      </c>
      <c r="AK25" s="24">
        <v>636.66999999999996</v>
      </c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 t="s">
        <v>26</v>
      </c>
      <c r="BH25" s="24"/>
      <c r="BI25" s="24" t="s">
        <v>225</v>
      </c>
      <c r="BJ25" s="24"/>
      <c r="BK25" s="24" t="s">
        <v>0</v>
      </c>
      <c r="BL25" s="24" t="s">
        <v>226</v>
      </c>
      <c r="BM25" s="24" t="s">
        <v>227</v>
      </c>
      <c r="BN25" s="24">
        <v>44175.153324375002</v>
      </c>
      <c r="BO25" s="24"/>
      <c r="BP25" s="24">
        <v>7288843</v>
      </c>
      <c r="BQ25" s="24" t="s">
        <v>236</v>
      </c>
      <c r="BR25" s="24" t="s">
        <v>228</v>
      </c>
      <c r="BS25" s="24">
        <v>4.1204202019634299E+18</v>
      </c>
      <c r="BT25" s="24" t="s">
        <v>229</v>
      </c>
      <c r="BU25" s="24" t="s">
        <v>372</v>
      </c>
      <c r="BV25" s="24">
        <v>2020</v>
      </c>
      <c r="BW25" s="24" t="s">
        <v>230</v>
      </c>
      <c r="BX25" s="24"/>
      <c r="BY25" s="24">
        <v>4.1210202019677798E+18</v>
      </c>
      <c r="BZ25" s="24" t="s">
        <v>436</v>
      </c>
      <c r="CA25" s="24" t="s">
        <v>233</v>
      </c>
    </row>
    <row r="26" spans="1:79" x14ac:dyDescent="0.25">
      <c r="A26" s="24" t="s">
        <v>437</v>
      </c>
      <c r="B26" s="24" t="s">
        <v>438</v>
      </c>
      <c r="C26" s="24">
        <v>2020</v>
      </c>
      <c r="D26" s="24" t="s">
        <v>290</v>
      </c>
      <c r="E26" s="24">
        <v>2.02105179446836E+17</v>
      </c>
      <c r="F26" s="24">
        <v>12</v>
      </c>
      <c r="G26" s="24">
        <v>5833017</v>
      </c>
      <c r="H26" s="24">
        <v>1516549</v>
      </c>
      <c r="I26" s="24"/>
      <c r="J26" s="24" t="s">
        <v>214</v>
      </c>
      <c r="K26" s="24" t="s">
        <v>215</v>
      </c>
      <c r="L26" s="24"/>
      <c r="M26" s="24"/>
      <c r="N26" s="24" t="s">
        <v>338</v>
      </c>
      <c r="O26" s="24" t="s">
        <v>25</v>
      </c>
      <c r="P26" s="24"/>
      <c r="Q26" s="24" t="s">
        <v>249</v>
      </c>
      <c r="R26" s="24" t="s">
        <v>339</v>
      </c>
      <c r="S26" s="24"/>
      <c r="T26" s="24" t="s">
        <v>340</v>
      </c>
      <c r="U26" s="24"/>
      <c r="V26" s="24" t="s">
        <v>341</v>
      </c>
      <c r="W26" s="24"/>
      <c r="X26" s="24" t="s">
        <v>342</v>
      </c>
      <c r="Y26" s="24" t="s">
        <v>343</v>
      </c>
      <c r="Z26" s="24">
        <v>946182113</v>
      </c>
      <c r="AA26" s="24" t="s">
        <v>344</v>
      </c>
      <c r="AB26" s="24" t="s">
        <v>280</v>
      </c>
      <c r="AC26" s="24"/>
      <c r="AD26" s="24" t="s">
        <v>242</v>
      </c>
      <c r="AE26" s="24" t="s">
        <v>241</v>
      </c>
      <c r="AF26" s="24"/>
      <c r="AG26" s="24" t="s">
        <v>239</v>
      </c>
      <c r="AH26" s="24"/>
      <c r="AI26" s="24">
        <v>44089</v>
      </c>
      <c r="AJ26" s="24">
        <v>636.66999999999996</v>
      </c>
      <c r="AK26" s="24">
        <v>636.66999999999996</v>
      </c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 t="s">
        <v>26</v>
      </c>
      <c r="BH26" s="24"/>
      <c r="BI26" s="24" t="s">
        <v>225</v>
      </c>
      <c r="BJ26" s="24"/>
      <c r="BK26" s="24" t="s">
        <v>0</v>
      </c>
      <c r="BL26" s="24" t="s">
        <v>226</v>
      </c>
      <c r="BM26" s="24" t="s">
        <v>227</v>
      </c>
      <c r="BN26" s="24">
        <v>44338.150035254628</v>
      </c>
      <c r="BO26" s="24"/>
      <c r="BP26" s="24">
        <v>5831693</v>
      </c>
      <c r="BQ26" s="24" t="s">
        <v>236</v>
      </c>
      <c r="BR26" s="24" t="s">
        <v>228</v>
      </c>
      <c r="BS26" s="24">
        <v>4.05182021129474E+18</v>
      </c>
      <c r="BT26" s="24" t="s">
        <v>229</v>
      </c>
      <c r="BU26" s="24" t="s">
        <v>439</v>
      </c>
      <c r="BV26" s="24">
        <v>2020</v>
      </c>
      <c r="BW26" s="24" t="s">
        <v>230</v>
      </c>
      <c r="BX26" s="24"/>
      <c r="BY26" s="24">
        <v>4.0522202112968899E+18</v>
      </c>
      <c r="BZ26" s="24" t="s">
        <v>440</v>
      </c>
      <c r="CA26" s="24" t="s">
        <v>233</v>
      </c>
    </row>
    <row r="27" spans="1:79" x14ac:dyDescent="0.25">
      <c r="A27" s="24" t="s">
        <v>441</v>
      </c>
      <c r="B27" s="24" t="s">
        <v>442</v>
      </c>
      <c r="C27" s="24">
        <v>2020</v>
      </c>
      <c r="D27" s="24" t="s">
        <v>422</v>
      </c>
      <c r="E27" s="24">
        <v>2.0210517944684301E+17</v>
      </c>
      <c r="F27" s="24">
        <v>12</v>
      </c>
      <c r="G27" s="24">
        <v>2134975</v>
      </c>
      <c r="H27" s="24">
        <v>1516565</v>
      </c>
      <c r="I27" s="24"/>
      <c r="J27" s="24" t="s">
        <v>214</v>
      </c>
      <c r="K27" s="24" t="s">
        <v>215</v>
      </c>
      <c r="L27" s="24"/>
      <c r="M27" s="24"/>
      <c r="N27" s="24" t="s">
        <v>338</v>
      </c>
      <c r="O27" s="24" t="s">
        <v>25</v>
      </c>
      <c r="P27" s="24"/>
      <c r="Q27" s="24" t="s">
        <v>249</v>
      </c>
      <c r="R27" s="24" t="s">
        <v>339</v>
      </c>
      <c r="S27" s="24"/>
      <c r="T27" s="24" t="s">
        <v>340</v>
      </c>
      <c r="U27" s="24"/>
      <c r="V27" s="24" t="s">
        <v>341</v>
      </c>
      <c r="W27" s="24"/>
      <c r="X27" s="24" t="s">
        <v>342</v>
      </c>
      <c r="Y27" s="24" t="s">
        <v>343</v>
      </c>
      <c r="Z27" s="24">
        <v>946182113</v>
      </c>
      <c r="AA27" s="24" t="s">
        <v>344</v>
      </c>
      <c r="AB27" s="24" t="s">
        <v>280</v>
      </c>
      <c r="AC27" s="24"/>
      <c r="AD27" s="24" t="s">
        <v>242</v>
      </c>
      <c r="AE27" s="24" t="s">
        <v>241</v>
      </c>
      <c r="AF27" s="24"/>
      <c r="AG27" s="24" t="s">
        <v>239</v>
      </c>
      <c r="AH27" s="24"/>
      <c r="AI27" s="24">
        <v>44086</v>
      </c>
      <c r="AJ27" s="24">
        <v>636.66999999999996</v>
      </c>
      <c r="AK27" s="24">
        <v>636.66999999999996</v>
      </c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 t="s">
        <v>26</v>
      </c>
      <c r="BH27" s="24"/>
      <c r="BI27" s="24" t="s">
        <v>225</v>
      </c>
      <c r="BJ27" s="24"/>
      <c r="BK27" s="24" t="s">
        <v>31</v>
      </c>
      <c r="BL27" s="24" t="s">
        <v>238</v>
      </c>
      <c r="BM27" s="24" t="s">
        <v>227</v>
      </c>
      <c r="BN27" s="24">
        <v>44338.150242291667</v>
      </c>
      <c r="BO27" s="24"/>
      <c r="BP27" s="24">
        <v>2171087</v>
      </c>
      <c r="BQ27" s="24" t="s">
        <v>236</v>
      </c>
      <c r="BR27" s="24" t="s">
        <v>228</v>
      </c>
      <c r="BS27" s="24">
        <v>4.0519202112947999E+18</v>
      </c>
      <c r="BT27" s="24" t="s">
        <v>229</v>
      </c>
      <c r="BU27" s="24" t="s">
        <v>372</v>
      </c>
      <c r="BV27" s="24">
        <v>2020</v>
      </c>
      <c r="BW27" s="24" t="s">
        <v>230</v>
      </c>
      <c r="BX27" s="24"/>
      <c r="BY27" s="24">
        <v>4.0522202112968899E+18</v>
      </c>
      <c r="BZ27" s="24" t="s">
        <v>443</v>
      </c>
      <c r="CA27" s="24" t="s">
        <v>233</v>
      </c>
    </row>
    <row r="28" spans="1:79" x14ac:dyDescent="0.25">
      <c r="A28" s="24" t="s">
        <v>444</v>
      </c>
      <c r="B28" s="24" t="s">
        <v>445</v>
      </c>
      <c r="C28" s="24">
        <v>2019</v>
      </c>
      <c r="D28" s="24" t="s">
        <v>261</v>
      </c>
      <c r="E28" s="24">
        <v>2.0210727945202899E+17</v>
      </c>
      <c r="F28" s="24" t="s">
        <v>364</v>
      </c>
      <c r="G28" s="24">
        <v>1807677</v>
      </c>
      <c r="H28" s="24">
        <v>1530939</v>
      </c>
      <c r="I28" s="24"/>
      <c r="J28" s="24" t="s">
        <v>214</v>
      </c>
      <c r="K28" s="24" t="s">
        <v>215</v>
      </c>
      <c r="L28" s="24"/>
      <c r="M28" s="24"/>
      <c r="N28" s="24" t="s">
        <v>338</v>
      </c>
      <c r="O28" s="24" t="s">
        <v>26</v>
      </c>
      <c r="P28" s="24"/>
      <c r="Q28" s="24" t="s">
        <v>26</v>
      </c>
      <c r="R28" s="24" t="s">
        <v>339</v>
      </c>
      <c r="S28" s="24"/>
      <c r="T28" s="24" t="s">
        <v>340</v>
      </c>
      <c r="U28" s="24"/>
      <c r="V28" s="24" t="s">
        <v>341</v>
      </c>
      <c r="W28" s="24"/>
      <c r="X28" s="24" t="s">
        <v>342</v>
      </c>
      <c r="Y28" s="24" t="s">
        <v>343</v>
      </c>
      <c r="Z28" s="24">
        <v>946182113</v>
      </c>
      <c r="AA28" s="24" t="s">
        <v>344</v>
      </c>
      <c r="AB28" s="24" t="s">
        <v>384</v>
      </c>
      <c r="AC28" s="24"/>
      <c r="AD28" s="24">
        <v>15</v>
      </c>
      <c r="AE28" s="24" t="s">
        <v>224</v>
      </c>
      <c r="AF28" s="24"/>
      <c r="AG28" s="24"/>
      <c r="AH28" s="24"/>
      <c r="AI28" s="24">
        <v>43593</v>
      </c>
      <c r="AJ28" s="24">
        <v>2800</v>
      </c>
      <c r="AK28" s="24">
        <v>2800</v>
      </c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 t="s">
        <v>279</v>
      </c>
      <c r="BH28" s="24"/>
      <c r="BI28" s="24" t="s">
        <v>225</v>
      </c>
      <c r="BJ28" s="24">
        <v>2020</v>
      </c>
      <c r="BK28" s="24" t="s">
        <v>31</v>
      </c>
      <c r="BL28" s="24" t="s">
        <v>238</v>
      </c>
      <c r="BM28" s="24" t="s">
        <v>227</v>
      </c>
      <c r="BN28" s="24">
        <v>44407.152507094906</v>
      </c>
      <c r="BO28" s="24"/>
      <c r="BP28" s="24"/>
      <c r="BQ28" s="24"/>
      <c r="BR28" s="24" t="s">
        <v>367</v>
      </c>
      <c r="BS28" s="24">
        <v>4.0728202113229599E+18</v>
      </c>
      <c r="BT28" s="24" t="s">
        <v>229</v>
      </c>
      <c r="BU28" s="24"/>
      <c r="BV28" s="24">
        <v>2020</v>
      </c>
      <c r="BW28" s="24" t="s">
        <v>230</v>
      </c>
      <c r="BX28" s="24"/>
      <c r="BY28" s="24">
        <v>4.0730202113236301E+18</v>
      </c>
      <c r="BZ28" s="24" t="s">
        <v>446</v>
      </c>
      <c r="CA28" s="24" t="s">
        <v>232</v>
      </c>
    </row>
    <row r="29" spans="1:79" x14ac:dyDescent="0.25">
      <c r="A29" s="24" t="s">
        <v>447</v>
      </c>
      <c r="B29" s="24" t="s">
        <v>448</v>
      </c>
      <c r="C29" s="24">
        <v>2020</v>
      </c>
      <c r="D29" s="24" t="s">
        <v>371</v>
      </c>
      <c r="E29" s="24">
        <v>2.0210531944749101E+17</v>
      </c>
      <c r="F29" s="24" t="s">
        <v>212</v>
      </c>
      <c r="G29" s="24" t="s">
        <v>449</v>
      </c>
      <c r="H29" s="24">
        <v>1518334</v>
      </c>
      <c r="I29" s="24"/>
      <c r="J29" s="24" t="s">
        <v>214</v>
      </c>
      <c r="K29" s="24" t="s">
        <v>215</v>
      </c>
      <c r="L29" s="24"/>
      <c r="M29" s="24"/>
      <c r="N29" s="24" t="s">
        <v>338</v>
      </c>
      <c r="O29" s="24" t="s">
        <v>25</v>
      </c>
      <c r="P29" s="24"/>
      <c r="Q29" s="24" t="s">
        <v>249</v>
      </c>
      <c r="R29" s="24" t="s">
        <v>339</v>
      </c>
      <c r="S29" s="24"/>
      <c r="T29" s="24" t="s">
        <v>340</v>
      </c>
      <c r="U29" s="24"/>
      <c r="V29" s="24" t="s">
        <v>352</v>
      </c>
      <c r="W29" s="24"/>
      <c r="X29" s="24" t="s">
        <v>342</v>
      </c>
      <c r="Y29" s="24" t="s">
        <v>343</v>
      </c>
      <c r="Z29" s="24">
        <v>94618</v>
      </c>
      <c r="AA29" s="24" t="s">
        <v>344</v>
      </c>
      <c r="AB29" s="24" t="s">
        <v>280</v>
      </c>
      <c r="AC29" s="24"/>
      <c r="AD29" s="24" t="s">
        <v>242</v>
      </c>
      <c r="AE29" s="24" t="s">
        <v>241</v>
      </c>
      <c r="AF29" s="24"/>
      <c r="AG29" s="24" t="s">
        <v>239</v>
      </c>
      <c r="AH29" s="24"/>
      <c r="AI29" s="24">
        <v>44086</v>
      </c>
      <c r="AJ29" s="24">
        <v>636.66999999999996</v>
      </c>
      <c r="AK29" s="24">
        <v>636.66999999999996</v>
      </c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 t="s">
        <v>26</v>
      </c>
      <c r="BH29" s="24"/>
      <c r="BI29" s="24" t="s">
        <v>225</v>
      </c>
      <c r="BJ29" s="24"/>
      <c r="BK29" s="24" t="s">
        <v>0</v>
      </c>
      <c r="BL29" s="24" t="s">
        <v>226</v>
      </c>
      <c r="BM29" s="24" t="s">
        <v>227</v>
      </c>
      <c r="BN29" s="24">
        <v>44351.157657997683</v>
      </c>
      <c r="BO29" s="24"/>
      <c r="BP29" s="24"/>
      <c r="BQ29" s="24"/>
      <c r="BR29" s="24" t="s">
        <v>228</v>
      </c>
      <c r="BS29" s="24">
        <v>4.0601202112997202E+18</v>
      </c>
      <c r="BT29" s="24" t="s">
        <v>229</v>
      </c>
      <c r="BU29" s="24" t="s">
        <v>377</v>
      </c>
      <c r="BV29" s="24">
        <v>2020</v>
      </c>
      <c r="BW29" s="24" t="s">
        <v>230</v>
      </c>
      <c r="BX29" s="24"/>
      <c r="BY29" s="24">
        <v>4.0603202112997801E+18</v>
      </c>
      <c r="BZ29" s="24" t="s">
        <v>450</v>
      </c>
      <c r="CA29" s="24" t="s">
        <v>232</v>
      </c>
    </row>
    <row r="30" spans="1:79" x14ac:dyDescent="0.25">
      <c r="A30" s="24" t="s">
        <v>387</v>
      </c>
      <c r="B30" s="24" t="s">
        <v>388</v>
      </c>
      <c r="C30" s="24">
        <v>2020</v>
      </c>
      <c r="D30" s="24" t="s">
        <v>290</v>
      </c>
      <c r="E30" s="24">
        <v>2.0210224942887002E+17</v>
      </c>
      <c r="F30" s="24">
        <v>12</v>
      </c>
      <c r="G30" s="24">
        <v>37440069</v>
      </c>
      <c r="H30" s="24">
        <v>1502017</v>
      </c>
      <c r="I30" s="24"/>
      <c r="J30" s="24" t="s">
        <v>214</v>
      </c>
      <c r="K30" s="24" t="s">
        <v>215</v>
      </c>
      <c r="L30" s="24"/>
      <c r="M30" s="24"/>
      <c r="N30" s="24" t="s">
        <v>338</v>
      </c>
      <c r="O30" s="24" t="s">
        <v>25</v>
      </c>
      <c r="P30" s="24"/>
      <c r="Q30" s="24" t="s">
        <v>249</v>
      </c>
      <c r="R30" s="24" t="s">
        <v>339</v>
      </c>
      <c r="S30" s="24"/>
      <c r="T30" s="24" t="s">
        <v>340</v>
      </c>
      <c r="U30" s="24"/>
      <c r="V30" s="24" t="s">
        <v>341</v>
      </c>
      <c r="W30" s="24"/>
      <c r="X30" s="24" t="s">
        <v>342</v>
      </c>
      <c r="Y30" s="24" t="s">
        <v>343</v>
      </c>
      <c r="Z30" s="24">
        <v>946182113</v>
      </c>
      <c r="AA30" s="24" t="s">
        <v>344</v>
      </c>
      <c r="AB30" s="24" t="s">
        <v>280</v>
      </c>
      <c r="AC30" s="24"/>
      <c r="AD30" s="24" t="s">
        <v>242</v>
      </c>
      <c r="AE30" s="24" t="s">
        <v>241</v>
      </c>
      <c r="AF30" s="24"/>
      <c r="AG30" s="24" t="s">
        <v>239</v>
      </c>
      <c r="AH30" s="24"/>
      <c r="AI30" s="24">
        <v>44055</v>
      </c>
      <c r="AJ30" s="24">
        <v>50</v>
      </c>
      <c r="AK30" s="24">
        <v>25050</v>
      </c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 t="s">
        <v>297</v>
      </c>
      <c r="BH30" s="24"/>
      <c r="BI30" s="24" t="s">
        <v>296</v>
      </c>
      <c r="BJ30" s="24">
        <v>2020</v>
      </c>
      <c r="BK30" s="24" t="s">
        <v>31</v>
      </c>
      <c r="BL30" s="24" t="s">
        <v>238</v>
      </c>
      <c r="BM30" s="24" t="s">
        <v>227</v>
      </c>
      <c r="BN30" s="24">
        <v>44253.168322800928</v>
      </c>
      <c r="BO30" s="24"/>
      <c r="BP30" s="24">
        <v>36773706</v>
      </c>
      <c r="BQ30" s="24" t="s">
        <v>236</v>
      </c>
      <c r="BR30" s="24" t="s">
        <v>228</v>
      </c>
      <c r="BS30" s="24">
        <v>4.0226202111890698E+18</v>
      </c>
      <c r="BT30" s="24" t="s">
        <v>229</v>
      </c>
      <c r="BU30" s="24" t="s">
        <v>372</v>
      </c>
      <c r="BV30" s="24">
        <v>2020</v>
      </c>
      <c r="BW30" s="24" t="s">
        <v>230</v>
      </c>
      <c r="BX30" s="24"/>
      <c r="BY30" s="24">
        <v>4.0226202111896899E+18</v>
      </c>
      <c r="BZ30" s="24" t="s">
        <v>451</v>
      </c>
      <c r="CA30" s="24" t="s">
        <v>233</v>
      </c>
    </row>
    <row r="31" spans="1:79" x14ac:dyDescent="0.25">
      <c r="A31" s="24" t="s">
        <v>387</v>
      </c>
      <c r="B31" s="24" t="s">
        <v>388</v>
      </c>
      <c r="C31" s="24">
        <v>2020</v>
      </c>
      <c r="D31" s="24" t="s">
        <v>290</v>
      </c>
      <c r="E31" s="24">
        <v>2.0210224942887299E+17</v>
      </c>
      <c r="F31" s="24">
        <v>12</v>
      </c>
      <c r="G31" s="24">
        <v>37448076</v>
      </c>
      <c r="H31" s="24">
        <v>1502017</v>
      </c>
      <c r="I31" s="24"/>
      <c r="J31" s="24" t="s">
        <v>214</v>
      </c>
      <c r="K31" s="24" t="s">
        <v>215</v>
      </c>
      <c r="L31" s="24"/>
      <c r="M31" s="24"/>
      <c r="N31" s="24" t="s">
        <v>338</v>
      </c>
      <c r="O31" s="24" t="s">
        <v>25</v>
      </c>
      <c r="P31" s="24"/>
      <c r="Q31" s="24" t="s">
        <v>249</v>
      </c>
      <c r="R31" s="24" t="s">
        <v>339</v>
      </c>
      <c r="S31" s="24"/>
      <c r="T31" s="24" t="s">
        <v>340</v>
      </c>
      <c r="U31" s="24"/>
      <c r="V31" s="24" t="s">
        <v>341</v>
      </c>
      <c r="W31" s="24"/>
      <c r="X31" s="24" t="s">
        <v>342</v>
      </c>
      <c r="Y31" s="24" t="s">
        <v>343</v>
      </c>
      <c r="Z31" s="24">
        <v>946182113</v>
      </c>
      <c r="AA31" s="24" t="s">
        <v>344</v>
      </c>
      <c r="AB31" s="24" t="s">
        <v>280</v>
      </c>
      <c r="AC31" s="24"/>
      <c r="AD31" s="24" t="s">
        <v>242</v>
      </c>
      <c r="AE31" s="24" t="s">
        <v>241</v>
      </c>
      <c r="AF31" s="24"/>
      <c r="AG31" s="24" t="s">
        <v>239</v>
      </c>
      <c r="AH31" s="24"/>
      <c r="AI31" s="24">
        <v>44086</v>
      </c>
      <c r="AJ31" s="24">
        <v>10450</v>
      </c>
      <c r="AK31" s="24">
        <v>35500</v>
      </c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 t="s">
        <v>297</v>
      </c>
      <c r="BH31" s="24"/>
      <c r="BI31" s="24" t="s">
        <v>296</v>
      </c>
      <c r="BJ31" s="24">
        <v>2020</v>
      </c>
      <c r="BK31" s="24" t="s">
        <v>31</v>
      </c>
      <c r="BL31" s="24" t="s">
        <v>238</v>
      </c>
      <c r="BM31" s="24" t="s">
        <v>227</v>
      </c>
      <c r="BN31" s="24">
        <v>44253.16860164352</v>
      </c>
      <c r="BO31" s="24"/>
      <c r="BP31" s="24">
        <v>37430300</v>
      </c>
      <c r="BQ31" s="24" t="s">
        <v>236</v>
      </c>
      <c r="BR31" s="24" t="s">
        <v>228</v>
      </c>
      <c r="BS31" s="24">
        <v>4.0226202111890698E+18</v>
      </c>
      <c r="BT31" s="24" t="s">
        <v>229</v>
      </c>
      <c r="BU31" s="24" t="s">
        <v>372</v>
      </c>
      <c r="BV31" s="24">
        <v>2020</v>
      </c>
      <c r="BW31" s="24" t="s">
        <v>230</v>
      </c>
      <c r="BX31" s="24"/>
      <c r="BY31" s="24">
        <v>4.0226202111896899E+18</v>
      </c>
      <c r="BZ31" s="24" t="s">
        <v>452</v>
      </c>
      <c r="CA31" s="24" t="s">
        <v>233</v>
      </c>
    </row>
    <row r="32" spans="1:79" x14ac:dyDescent="0.25">
      <c r="A32" s="24" t="s">
        <v>453</v>
      </c>
      <c r="B32" s="24" t="s">
        <v>454</v>
      </c>
      <c r="C32" s="24">
        <v>2020</v>
      </c>
      <c r="D32" s="24" t="s">
        <v>371</v>
      </c>
      <c r="E32" s="24">
        <v>2.02103049440168E+17</v>
      </c>
      <c r="F32" s="24" t="s">
        <v>212</v>
      </c>
      <c r="G32" s="24" t="s">
        <v>455</v>
      </c>
      <c r="H32" s="24">
        <v>1502847</v>
      </c>
      <c r="I32" s="24"/>
      <c r="J32" s="24" t="s">
        <v>214</v>
      </c>
      <c r="K32" s="24" t="s">
        <v>215</v>
      </c>
      <c r="L32" s="24"/>
      <c r="M32" s="24"/>
      <c r="N32" s="24" t="s">
        <v>338</v>
      </c>
      <c r="O32" s="24" t="s">
        <v>25</v>
      </c>
      <c r="P32" s="24"/>
      <c r="Q32" s="24" t="s">
        <v>249</v>
      </c>
      <c r="R32" s="24" t="s">
        <v>339</v>
      </c>
      <c r="S32" s="24"/>
      <c r="T32" s="24" t="s">
        <v>340</v>
      </c>
      <c r="U32" s="24"/>
      <c r="V32" s="24" t="s">
        <v>352</v>
      </c>
      <c r="W32" s="24"/>
      <c r="X32" s="24" t="s">
        <v>342</v>
      </c>
      <c r="Y32" s="24" t="s">
        <v>343</v>
      </c>
      <c r="Z32" s="24">
        <v>94618</v>
      </c>
      <c r="AA32" s="24" t="s">
        <v>344</v>
      </c>
      <c r="AB32" s="24" t="s">
        <v>280</v>
      </c>
      <c r="AC32" s="24"/>
      <c r="AD32" s="24" t="s">
        <v>242</v>
      </c>
      <c r="AE32" s="24" t="s">
        <v>241</v>
      </c>
      <c r="AF32" s="24"/>
      <c r="AG32" s="24" t="s">
        <v>239</v>
      </c>
      <c r="AH32" s="24"/>
      <c r="AI32" s="24">
        <v>44086</v>
      </c>
      <c r="AJ32" s="24">
        <v>636.66999999999996</v>
      </c>
      <c r="AK32" s="24">
        <v>636.66999999999996</v>
      </c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 t="s">
        <v>26</v>
      </c>
      <c r="BH32" s="24"/>
      <c r="BI32" s="24" t="s">
        <v>225</v>
      </c>
      <c r="BJ32" s="24"/>
      <c r="BK32" s="24" t="s">
        <v>0</v>
      </c>
      <c r="BL32" s="24" t="s">
        <v>226</v>
      </c>
      <c r="BM32" s="24" t="s">
        <v>227</v>
      </c>
      <c r="BN32" s="24">
        <v>44261.155524571761</v>
      </c>
      <c r="BO32" s="24"/>
      <c r="BP32" s="24"/>
      <c r="BQ32" s="24"/>
      <c r="BR32" s="24" t="s">
        <v>228</v>
      </c>
      <c r="BS32" s="24">
        <v>4.03042021122526E+18</v>
      </c>
      <c r="BT32" s="24" t="s">
        <v>229</v>
      </c>
      <c r="BU32" s="24" t="s">
        <v>377</v>
      </c>
      <c r="BV32" s="24">
        <v>2020</v>
      </c>
      <c r="BW32" s="24" t="s">
        <v>230</v>
      </c>
      <c r="BX32" s="24"/>
      <c r="BY32" s="24">
        <v>4.0306202112263598E+18</v>
      </c>
      <c r="BZ32" s="24" t="s">
        <v>456</v>
      </c>
      <c r="CA32" s="24" t="s">
        <v>232</v>
      </c>
    </row>
    <row r="33" spans="1:79" x14ac:dyDescent="0.25">
      <c r="A33" s="24" t="s">
        <v>457</v>
      </c>
      <c r="B33" s="24" t="s">
        <v>458</v>
      </c>
      <c r="C33" s="24">
        <v>2020</v>
      </c>
      <c r="D33" s="24" t="s">
        <v>459</v>
      </c>
      <c r="E33" s="24">
        <v>2.0210323944184499E+17</v>
      </c>
      <c r="F33" s="24" t="s">
        <v>212</v>
      </c>
      <c r="G33" s="24">
        <v>28575715</v>
      </c>
      <c r="H33" s="24">
        <v>1506046</v>
      </c>
      <c r="I33" s="24"/>
      <c r="J33" s="24" t="s">
        <v>214</v>
      </c>
      <c r="K33" s="24" t="s">
        <v>215</v>
      </c>
      <c r="L33" s="24" t="s">
        <v>337</v>
      </c>
      <c r="M33" s="24"/>
      <c r="N33" s="24" t="s">
        <v>338</v>
      </c>
      <c r="O33" s="24" t="s">
        <v>25</v>
      </c>
      <c r="P33" s="24"/>
      <c r="Q33" s="24" t="s">
        <v>249</v>
      </c>
      <c r="R33" s="24" t="s">
        <v>339</v>
      </c>
      <c r="S33" s="24"/>
      <c r="T33" s="24" t="s">
        <v>340</v>
      </c>
      <c r="U33" s="24"/>
      <c r="V33" s="24" t="s">
        <v>341</v>
      </c>
      <c r="W33" s="24"/>
      <c r="X33" s="24" t="s">
        <v>342</v>
      </c>
      <c r="Y33" s="24" t="s">
        <v>343</v>
      </c>
      <c r="Z33" s="24">
        <v>946182113</v>
      </c>
      <c r="AA33" s="24" t="s">
        <v>344</v>
      </c>
      <c r="AB33" s="24" t="s">
        <v>384</v>
      </c>
      <c r="AC33" s="24" t="s">
        <v>337</v>
      </c>
      <c r="AD33" s="24" t="s">
        <v>324</v>
      </c>
      <c r="AE33" s="24" t="s">
        <v>325</v>
      </c>
      <c r="AF33" s="24"/>
      <c r="AG33" s="24"/>
      <c r="AH33" s="24"/>
      <c r="AI33" s="24">
        <v>43861</v>
      </c>
      <c r="AJ33" s="24">
        <v>250</v>
      </c>
      <c r="AK33" s="24">
        <v>250</v>
      </c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 t="s">
        <v>26</v>
      </c>
      <c r="BH33" s="24"/>
      <c r="BI33" s="24" t="s">
        <v>225</v>
      </c>
      <c r="BJ33" s="24"/>
      <c r="BK33" s="24" t="s">
        <v>0</v>
      </c>
      <c r="BL33" s="24" t="s">
        <v>226</v>
      </c>
      <c r="BM33" s="24" t="s">
        <v>227</v>
      </c>
      <c r="BN33" s="24">
        <v>44285.434929594907</v>
      </c>
      <c r="BO33" s="24"/>
      <c r="BP33" s="24" t="s">
        <v>460</v>
      </c>
      <c r="BQ33" s="24" t="s">
        <v>327</v>
      </c>
      <c r="BR33" s="24" t="s">
        <v>228</v>
      </c>
      <c r="BS33" s="24">
        <v>4.0324202112620401E+18</v>
      </c>
      <c r="BT33" s="24" t="s">
        <v>229</v>
      </c>
      <c r="BU33" s="24" t="s">
        <v>461</v>
      </c>
      <c r="BV33" s="24">
        <v>2020</v>
      </c>
      <c r="BW33" s="24" t="s">
        <v>230</v>
      </c>
      <c r="BX33" s="24"/>
      <c r="BY33" s="24">
        <v>4.0330202112703601E+18</v>
      </c>
      <c r="BZ33" s="24" t="s">
        <v>462</v>
      </c>
      <c r="CA33" s="24" t="s">
        <v>232</v>
      </c>
    </row>
    <row r="34" spans="1:79" x14ac:dyDescent="0.25">
      <c r="A34" s="24" t="s">
        <v>463</v>
      </c>
      <c r="B34" s="24" t="s">
        <v>464</v>
      </c>
      <c r="C34" s="24">
        <v>2020</v>
      </c>
      <c r="D34" s="24" t="s">
        <v>290</v>
      </c>
      <c r="E34" s="24">
        <v>2.0210331944296602E+17</v>
      </c>
      <c r="F34" s="24" t="s">
        <v>212</v>
      </c>
      <c r="G34" s="24" t="s">
        <v>465</v>
      </c>
      <c r="H34" s="24">
        <v>1506833</v>
      </c>
      <c r="I34" s="24"/>
      <c r="J34" s="24" t="s">
        <v>214</v>
      </c>
      <c r="K34" s="24" t="s">
        <v>215</v>
      </c>
      <c r="L34" s="24"/>
      <c r="M34" s="24"/>
      <c r="N34" s="24" t="s">
        <v>338</v>
      </c>
      <c r="O34" s="24" t="s">
        <v>25</v>
      </c>
      <c r="P34" s="24" t="s">
        <v>217</v>
      </c>
      <c r="Q34" s="24" t="s">
        <v>249</v>
      </c>
      <c r="R34" s="24" t="s">
        <v>339</v>
      </c>
      <c r="S34" s="24"/>
      <c r="T34" s="24" t="s">
        <v>340</v>
      </c>
      <c r="U34" s="24"/>
      <c r="V34" s="24" t="s">
        <v>352</v>
      </c>
      <c r="W34" s="24"/>
      <c r="X34" s="24" t="s">
        <v>342</v>
      </c>
      <c r="Y34" s="24" t="s">
        <v>343</v>
      </c>
      <c r="Z34" s="24">
        <v>94618</v>
      </c>
      <c r="AA34" s="24" t="s">
        <v>344</v>
      </c>
      <c r="AB34" s="24" t="s">
        <v>280</v>
      </c>
      <c r="AC34" s="24"/>
      <c r="AD34" s="24" t="s">
        <v>242</v>
      </c>
      <c r="AE34" s="24" t="s">
        <v>241</v>
      </c>
      <c r="AF34" s="24"/>
      <c r="AG34" s="24" t="s">
        <v>239</v>
      </c>
      <c r="AH34" s="24"/>
      <c r="AI34" s="24">
        <v>44086</v>
      </c>
      <c r="AJ34" s="24">
        <v>636.66</v>
      </c>
      <c r="AK34" s="24">
        <v>636.66</v>
      </c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 t="s">
        <v>26</v>
      </c>
      <c r="BH34" s="24"/>
      <c r="BI34" s="24" t="s">
        <v>225</v>
      </c>
      <c r="BJ34" s="24"/>
      <c r="BK34" s="24" t="s">
        <v>0</v>
      </c>
      <c r="BL34" s="24" t="s">
        <v>226</v>
      </c>
      <c r="BM34" s="24" t="s">
        <v>227</v>
      </c>
      <c r="BN34" s="24">
        <v>44288.166709988429</v>
      </c>
      <c r="BO34" s="24"/>
      <c r="BP34" s="24"/>
      <c r="BQ34" s="24"/>
      <c r="BR34" s="24" t="s">
        <v>228</v>
      </c>
      <c r="BS34" s="24">
        <v>4.0401202112704901E+18</v>
      </c>
      <c r="BT34" s="24" t="s">
        <v>229</v>
      </c>
      <c r="BU34" s="24" t="s">
        <v>377</v>
      </c>
      <c r="BV34" s="24">
        <v>2020</v>
      </c>
      <c r="BW34" s="24" t="s">
        <v>230</v>
      </c>
      <c r="BX34" s="24"/>
      <c r="BY34" s="24">
        <v>4.0402202112747402E+18</v>
      </c>
      <c r="BZ34" s="24" t="s">
        <v>466</v>
      </c>
      <c r="CA34" s="24" t="s">
        <v>232</v>
      </c>
    </row>
    <row r="36" spans="1:79" x14ac:dyDescent="0.25">
      <c r="V36" t="str">
        <f>+V34&amp;X34&amp;Y34&amp;Z34</f>
        <v>5610 GOLDEN GATE AVENUEOAKLANDCA94618</v>
      </c>
    </row>
    <row r="39" spans="1:79" x14ac:dyDescent="0.25">
      <c r="A39" s="20" t="s">
        <v>299</v>
      </c>
      <c r="B39" t="s">
        <v>301</v>
      </c>
    </row>
    <row r="40" spans="1:79" x14ac:dyDescent="0.25">
      <c r="A40" s="21" t="s">
        <v>348</v>
      </c>
      <c r="B40" s="2">
        <v>100</v>
      </c>
      <c r="C40" t="s">
        <v>333</v>
      </c>
    </row>
    <row r="41" spans="1:79" x14ac:dyDescent="0.25">
      <c r="A41" s="21" t="s">
        <v>392</v>
      </c>
      <c r="B41" s="2">
        <v>1000</v>
      </c>
      <c r="C41" t="s">
        <v>333</v>
      </c>
    </row>
    <row r="42" spans="1:79" x14ac:dyDescent="0.25">
      <c r="A42" s="21" t="s">
        <v>454</v>
      </c>
      <c r="B42" s="2">
        <v>636.66999999999996</v>
      </c>
      <c r="C42" t="s">
        <v>333</v>
      </c>
    </row>
    <row r="43" spans="1:79" x14ac:dyDescent="0.25">
      <c r="A43" s="21" t="s">
        <v>363</v>
      </c>
      <c r="B43" s="2">
        <v>5600</v>
      </c>
      <c r="C43" t="s">
        <v>333</v>
      </c>
    </row>
    <row r="44" spans="1:79" x14ac:dyDescent="0.25">
      <c r="A44" s="21" t="s">
        <v>377</v>
      </c>
      <c r="B44" s="2">
        <v>47850</v>
      </c>
      <c r="C44" t="s">
        <v>333</v>
      </c>
    </row>
    <row r="45" spans="1:79" x14ac:dyDescent="0.25">
      <c r="A45" s="21" t="s">
        <v>358</v>
      </c>
      <c r="B45" s="2">
        <v>500</v>
      </c>
      <c r="C45" t="s">
        <v>333</v>
      </c>
    </row>
    <row r="46" spans="1:79" x14ac:dyDescent="0.25">
      <c r="A46" s="21" t="s">
        <v>397</v>
      </c>
      <c r="B46" s="2">
        <v>636.66999999999996</v>
      </c>
      <c r="C46" t="s">
        <v>333</v>
      </c>
    </row>
    <row r="47" spans="1:79" x14ac:dyDescent="0.25">
      <c r="A47" s="21" t="s">
        <v>458</v>
      </c>
      <c r="B47" s="2">
        <v>250</v>
      </c>
      <c r="C47" t="s">
        <v>333</v>
      </c>
    </row>
    <row r="48" spans="1:79" x14ac:dyDescent="0.25">
      <c r="A48" s="21" t="s">
        <v>442</v>
      </c>
      <c r="B48" s="2">
        <v>636.66999999999996</v>
      </c>
      <c r="C48" t="s">
        <v>333</v>
      </c>
    </row>
    <row r="49" spans="1:3" x14ac:dyDescent="0.25">
      <c r="A49" s="21" t="s">
        <v>370</v>
      </c>
      <c r="B49" s="2">
        <v>636.66</v>
      </c>
      <c r="C49" t="s">
        <v>333</v>
      </c>
    </row>
    <row r="50" spans="1:3" x14ac:dyDescent="0.25">
      <c r="A50" s="21" t="s">
        <v>421</v>
      </c>
      <c r="B50" s="2">
        <v>636.66</v>
      </c>
      <c r="C50" t="s">
        <v>333</v>
      </c>
    </row>
    <row r="51" spans="1:3" x14ac:dyDescent="0.25">
      <c r="A51" s="21" t="s">
        <v>388</v>
      </c>
      <c r="B51" s="2">
        <v>35500</v>
      </c>
      <c r="C51" t="s">
        <v>333</v>
      </c>
    </row>
    <row r="52" spans="1:3" x14ac:dyDescent="0.25">
      <c r="A52" s="21" t="s">
        <v>435</v>
      </c>
      <c r="B52" s="2">
        <v>636.66999999999996</v>
      </c>
      <c r="C52" t="s">
        <v>333</v>
      </c>
    </row>
    <row r="53" spans="1:3" x14ac:dyDescent="0.25">
      <c r="A53" s="21" t="s">
        <v>445</v>
      </c>
      <c r="B53" s="2">
        <v>2800</v>
      </c>
      <c r="C53" t="s">
        <v>333</v>
      </c>
    </row>
    <row r="54" spans="1:3" x14ac:dyDescent="0.25">
      <c r="A54" s="21" t="s">
        <v>412</v>
      </c>
      <c r="B54" s="2">
        <v>1000</v>
      </c>
      <c r="C54" t="s">
        <v>333</v>
      </c>
    </row>
    <row r="55" spans="1:3" x14ac:dyDescent="0.25">
      <c r="A55" s="21" t="s">
        <v>438</v>
      </c>
      <c r="B55" s="2">
        <v>636.66999999999996</v>
      </c>
      <c r="C55" t="s">
        <v>333</v>
      </c>
    </row>
    <row r="56" spans="1:3" x14ac:dyDescent="0.25">
      <c r="A56" s="21" t="s">
        <v>416</v>
      </c>
      <c r="B56" s="2">
        <v>636.66999999999996</v>
      </c>
      <c r="C56" t="s">
        <v>333</v>
      </c>
    </row>
    <row r="57" spans="1:3" x14ac:dyDescent="0.25">
      <c r="A57" s="21" t="s">
        <v>404</v>
      </c>
      <c r="B57" s="2">
        <v>636.66999999999996</v>
      </c>
      <c r="C57" t="s">
        <v>333</v>
      </c>
    </row>
    <row r="58" spans="1:3" x14ac:dyDescent="0.25">
      <c r="A58" s="21" t="s">
        <v>448</v>
      </c>
      <c r="B58" s="2">
        <v>636.66999999999996</v>
      </c>
      <c r="C58" t="s">
        <v>333</v>
      </c>
    </row>
    <row r="59" spans="1:3" x14ac:dyDescent="0.25">
      <c r="A59" s="21" t="s">
        <v>408</v>
      </c>
      <c r="B59" s="2">
        <v>636.66999999999996</v>
      </c>
      <c r="C59" t="s">
        <v>333</v>
      </c>
    </row>
    <row r="60" spans="1:3" x14ac:dyDescent="0.25">
      <c r="A60" s="21" t="s">
        <v>380</v>
      </c>
      <c r="B60" s="2">
        <v>636.66999999999996</v>
      </c>
      <c r="C60" t="s">
        <v>333</v>
      </c>
    </row>
    <row r="61" spans="1:3" x14ac:dyDescent="0.25">
      <c r="A61" s="21" t="s">
        <v>375</v>
      </c>
      <c r="B61" s="2">
        <v>636.66</v>
      </c>
      <c r="C61" t="s">
        <v>333</v>
      </c>
    </row>
    <row r="62" spans="1:3" x14ac:dyDescent="0.25">
      <c r="A62" s="21" t="s">
        <v>464</v>
      </c>
      <c r="B62" s="2">
        <v>636.66</v>
      </c>
      <c r="C62" t="s">
        <v>333</v>
      </c>
    </row>
    <row r="63" spans="1:3" x14ac:dyDescent="0.25">
      <c r="A63" s="21" t="s">
        <v>426</v>
      </c>
      <c r="B63" s="2">
        <v>1273.32</v>
      </c>
      <c r="C63" t="s">
        <v>333</v>
      </c>
    </row>
    <row r="64" spans="1:3" x14ac:dyDescent="0.25">
      <c r="A64" s="21" t="s">
        <v>335</v>
      </c>
      <c r="B64" s="2">
        <v>250</v>
      </c>
      <c r="C64" t="s">
        <v>333</v>
      </c>
    </row>
    <row r="65" spans="1:2" x14ac:dyDescent="0.25">
      <c r="A65" s="21" t="s">
        <v>300</v>
      </c>
      <c r="B65" s="2">
        <v>105036.66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"/>
  <sheetViews>
    <sheetView topLeftCell="L1" workbookViewId="0">
      <selection activeCell="V6" sqref="V6"/>
    </sheetView>
  </sheetViews>
  <sheetFormatPr defaultRowHeight="15" x14ac:dyDescent="0.25"/>
  <cols>
    <col min="2" max="2" width="14.5703125" customWidth="1"/>
    <col min="3" max="3" width="9.28515625" bestFit="1" customWidth="1"/>
    <col min="5" max="5" width="12.42578125" bestFit="1" customWidth="1"/>
    <col min="8" max="8" width="9.28515625" bestFit="1" customWidth="1"/>
    <col min="26" max="26" width="10" bestFit="1" customWidth="1"/>
    <col min="30" max="30" width="9.28515625" bestFit="1" customWidth="1"/>
    <col min="35" max="37" width="9.28515625" bestFit="1" customWidth="1"/>
    <col min="62" max="62" width="9.28515625" bestFit="1" customWidth="1"/>
    <col min="66" max="66" width="9.28515625" bestFit="1" customWidth="1"/>
    <col min="71" max="71" width="12.42578125" bestFit="1" customWidth="1"/>
    <col min="74" max="74" width="9.28515625" bestFit="1" customWidth="1"/>
    <col min="77" max="77" width="12.42578125" bestFit="1" customWidth="1"/>
  </cols>
  <sheetData>
    <row r="1" spans="1:79" x14ac:dyDescent="0.25">
      <c r="A1" s="24" t="s">
        <v>131</v>
      </c>
      <c r="B1" s="24" t="s">
        <v>132</v>
      </c>
      <c r="C1" s="24" t="s">
        <v>133</v>
      </c>
      <c r="D1" s="24" t="s">
        <v>134</v>
      </c>
      <c r="E1" s="24" t="s">
        <v>135</v>
      </c>
      <c r="F1" s="24" t="s">
        <v>136</v>
      </c>
      <c r="G1" s="24" t="s">
        <v>137</v>
      </c>
      <c r="H1" s="24" t="s">
        <v>138</v>
      </c>
      <c r="I1" s="24" t="s">
        <v>132</v>
      </c>
      <c r="J1" s="24" t="s">
        <v>139</v>
      </c>
      <c r="K1" s="24" t="s">
        <v>140</v>
      </c>
      <c r="L1" s="24" t="s">
        <v>141</v>
      </c>
      <c r="M1" s="24" t="s">
        <v>142</v>
      </c>
      <c r="N1" s="24" t="s">
        <v>143</v>
      </c>
      <c r="O1" s="24" t="s">
        <v>144</v>
      </c>
      <c r="P1" s="24" t="s">
        <v>145</v>
      </c>
      <c r="Q1" s="24" t="s">
        <v>146</v>
      </c>
      <c r="R1" s="24" t="s">
        <v>147</v>
      </c>
      <c r="S1" s="24" t="s">
        <v>148</v>
      </c>
      <c r="T1" s="24" t="s">
        <v>149</v>
      </c>
      <c r="U1" s="24" t="s">
        <v>150</v>
      </c>
      <c r="V1" s="24" t="s">
        <v>151</v>
      </c>
      <c r="W1" s="24" t="s">
        <v>152</v>
      </c>
      <c r="X1" s="24" t="s">
        <v>153</v>
      </c>
      <c r="Y1" s="24" t="s">
        <v>154</v>
      </c>
      <c r="Z1" s="24" t="s">
        <v>155</v>
      </c>
      <c r="AA1" s="24" t="s">
        <v>156</v>
      </c>
      <c r="AB1" s="24" t="s">
        <v>157</v>
      </c>
      <c r="AC1" s="24" t="s">
        <v>158</v>
      </c>
      <c r="AD1" s="24" t="s">
        <v>159</v>
      </c>
      <c r="AE1" s="24" t="s">
        <v>160</v>
      </c>
      <c r="AF1" s="24" t="s">
        <v>161</v>
      </c>
      <c r="AG1" s="24" t="s">
        <v>162</v>
      </c>
      <c r="AH1" s="24" t="s">
        <v>163</v>
      </c>
      <c r="AI1" s="24" t="s">
        <v>164</v>
      </c>
      <c r="AJ1" s="24" t="s">
        <v>165</v>
      </c>
      <c r="AK1" s="24" t="s">
        <v>166</v>
      </c>
      <c r="AL1" s="24" t="s">
        <v>167</v>
      </c>
      <c r="AM1" s="24" t="s">
        <v>168</v>
      </c>
      <c r="AN1" s="24" t="s">
        <v>169</v>
      </c>
      <c r="AO1" s="24" t="s">
        <v>170</v>
      </c>
      <c r="AP1" s="24" t="s">
        <v>171</v>
      </c>
      <c r="AQ1" s="24" t="s">
        <v>172</v>
      </c>
      <c r="AR1" s="24" t="s">
        <v>173</v>
      </c>
      <c r="AS1" s="24" t="s">
        <v>174</v>
      </c>
      <c r="AT1" s="24" t="s">
        <v>175</v>
      </c>
      <c r="AU1" s="24" t="s">
        <v>176</v>
      </c>
      <c r="AV1" s="24" t="s">
        <v>177</v>
      </c>
      <c r="AW1" s="24" t="s">
        <v>178</v>
      </c>
      <c r="AX1" s="24" t="s">
        <v>179</v>
      </c>
      <c r="AY1" s="24" t="s">
        <v>180</v>
      </c>
      <c r="AZ1" s="24" t="s">
        <v>181</v>
      </c>
      <c r="BA1" s="24" t="s">
        <v>182</v>
      </c>
      <c r="BB1" s="24" t="s">
        <v>183</v>
      </c>
      <c r="BC1" s="24" t="s">
        <v>184</v>
      </c>
      <c r="BD1" s="24" t="s">
        <v>185</v>
      </c>
      <c r="BE1" s="24" t="s">
        <v>186</v>
      </c>
      <c r="BF1" s="24" t="s">
        <v>187</v>
      </c>
      <c r="BG1" s="24" t="s">
        <v>188</v>
      </c>
      <c r="BH1" s="24" t="s">
        <v>189</v>
      </c>
      <c r="BI1" s="24" t="s">
        <v>190</v>
      </c>
      <c r="BJ1" s="24" t="s">
        <v>191</v>
      </c>
      <c r="BK1" s="24" t="s">
        <v>192</v>
      </c>
      <c r="BL1" s="24" t="s">
        <v>193</v>
      </c>
      <c r="BM1" s="24" t="s">
        <v>194</v>
      </c>
      <c r="BN1" s="24" t="s">
        <v>195</v>
      </c>
      <c r="BO1" s="24" t="s">
        <v>196</v>
      </c>
      <c r="BP1" s="24" t="s">
        <v>197</v>
      </c>
      <c r="BQ1" s="24" t="s">
        <v>198</v>
      </c>
      <c r="BR1" s="24" t="s">
        <v>199</v>
      </c>
      <c r="BS1" s="24" t="s">
        <v>200</v>
      </c>
      <c r="BT1" s="24" t="s">
        <v>201</v>
      </c>
      <c r="BU1" s="24" t="s">
        <v>202</v>
      </c>
      <c r="BV1" s="24" t="s">
        <v>203</v>
      </c>
      <c r="BW1" s="24" t="s">
        <v>204</v>
      </c>
      <c r="BX1" s="24" t="s">
        <v>205</v>
      </c>
      <c r="BY1" s="24" t="s">
        <v>206</v>
      </c>
      <c r="BZ1" s="24" t="s">
        <v>207</v>
      </c>
      <c r="CA1" s="24" t="s">
        <v>208</v>
      </c>
    </row>
    <row r="2" spans="1:79" x14ac:dyDescent="0.25">
      <c r="A2" s="24" t="s">
        <v>306</v>
      </c>
      <c r="B2" s="24" t="s">
        <v>307</v>
      </c>
      <c r="C2" s="24">
        <v>2019</v>
      </c>
      <c r="D2" s="24" t="s">
        <v>261</v>
      </c>
      <c r="E2" s="24">
        <v>2.0190813916284998E+17</v>
      </c>
      <c r="F2" s="24" t="s">
        <v>212</v>
      </c>
      <c r="G2" s="24" t="s">
        <v>308</v>
      </c>
      <c r="H2" s="24">
        <v>1347570</v>
      </c>
      <c r="I2" s="24"/>
      <c r="J2" s="24" t="s">
        <v>214</v>
      </c>
      <c r="K2" s="24" t="s">
        <v>215</v>
      </c>
      <c r="L2" s="24"/>
      <c r="M2" s="24"/>
      <c r="N2" s="24" t="s">
        <v>309</v>
      </c>
      <c r="O2" s="24" t="s">
        <v>310</v>
      </c>
      <c r="P2" s="24"/>
      <c r="Q2" s="24" t="s">
        <v>26</v>
      </c>
      <c r="R2" s="24" t="s">
        <v>311</v>
      </c>
      <c r="S2" s="24"/>
      <c r="T2" s="24" t="s">
        <v>312</v>
      </c>
      <c r="U2" s="24"/>
      <c r="V2" s="24" t="s">
        <v>313</v>
      </c>
      <c r="W2" s="24"/>
      <c r="X2" s="24" t="s">
        <v>221</v>
      </c>
      <c r="Y2" s="24" t="s">
        <v>130</v>
      </c>
      <c r="Z2" s="24">
        <v>28201</v>
      </c>
      <c r="AA2" s="24" t="s">
        <v>314</v>
      </c>
      <c r="AB2" s="24" t="s">
        <v>280</v>
      </c>
      <c r="AC2" s="24"/>
      <c r="AD2" s="24">
        <v>15</v>
      </c>
      <c r="AE2" s="24" t="s">
        <v>224</v>
      </c>
      <c r="AF2" s="24"/>
      <c r="AG2" s="24"/>
      <c r="AH2" s="24"/>
      <c r="AI2" s="24">
        <v>43628</v>
      </c>
      <c r="AJ2" s="24">
        <v>500</v>
      </c>
      <c r="AK2" s="24">
        <v>500</v>
      </c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 t="s">
        <v>315</v>
      </c>
      <c r="BH2" s="24" t="s">
        <v>316</v>
      </c>
      <c r="BI2" s="24" t="s">
        <v>317</v>
      </c>
      <c r="BJ2" s="24">
        <v>2019</v>
      </c>
      <c r="BK2" s="24" t="s">
        <v>0</v>
      </c>
      <c r="BL2" s="24" t="s">
        <v>226</v>
      </c>
      <c r="BM2" s="24" t="s">
        <v>227</v>
      </c>
      <c r="BN2" s="24">
        <v>43692.109633356478</v>
      </c>
      <c r="BO2" s="24"/>
      <c r="BP2" s="24"/>
      <c r="BQ2" s="24"/>
      <c r="BR2" s="24" t="s">
        <v>278</v>
      </c>
      <c r="BS2" s="24">
        <v>4.0813201916632801E+18</v>
      </c>
      <c r="BT2" s="24" t="s">
        <v>229</v>
      </c>
      <c r="BU2" s="24"/>
      <c r="BV2" s="24">
        <v>2020</v>
      </c>
      <c r="BW2" s="24" t="s">
        <v>230</v>
      </c>
      <c r="BX2" s="24"/>
      <c r="BY2" s="24">
        <v>4.0814201916633001E+18</v>
      </c>
      <c r="BZ2" s="24" t="s">
        <v>318</v>
      </c>
      <c r="CA2" s="24" t="s">
        <v>232</v>
      </c>
    </row>
    <row r="3" spans="1:79" x14ac:dyDescent="0.25">
      <c r="A3" s="24" t="s">
        <v>319</v>
      </c>
      <c r="B3" s="24" t="s">
        <v>320</v>
      </c>
      <c r="C3" s="24">
        <v>2020</v>
      </c>
      <c r="D3" s="24" t="s">
        <v>261</v>
      </c>
      <c r="E3" s="24">
        <v>2.0201201933731699E+17</v>
      </c>
      <c r="F3" s="24" t="s">
        <v>212</v>
      </c>
      <c r="G3" s="24" t="s">
        <v>321</v>
      </c>
      <c r="H3" s="24">
        <v>1475417</v>
      </c>
      <c r="I3" s="24"/>
      <c r="J3" s="24" t="s">
        <v>214</v>
      </c>
      <c r="K3" s="24" t="s">
        <v>215</v>
      </c>
      <c r="L3" s="24"/>
      <c r="M3" s="24"/>
      <c r="N3" s="24" t="s">
        <v>309</v>
      </c>
      <c r="O3" s="24" t="s">
        <v>29</v>
      </c>
      <c r="P3" s="24"/>
      <c r="Q3" s="24" t="s">
        <v>26</v>
      </c>
      <c r="R3" s="24" t="s">
        <v>311</v>
      </c>
      <c r="S3" s="24"/>
      <c r="T3" s="24" t="s">
        <v>312</v>
      </c>
      <c r="U3" s="24"/>
      <c r="V3" s="24" t="s">
        <v>322</v>
      </c>
      <c r="W3" s="24"/>
      <c r="X3" s="24" t="s">
        <v>221</v>
      </c>
      <c r="Y3" s="24" t="s">
        <v>130</v>
      </c>
      <c r="Z3" s="24">
        <v>282771406</v>
      </c>
      <c r="AA3" s="24" t="s">
        <v>314</v>
      </c>
      <c r="AB3" s="24" t="s">
        <v>323</v>
      </c>
      <c r="AC3" s="24"/>
      <c r="AD3" s="24" t="s">
        <v>324</v>
      </c>
      <c r="AE3" s="24" t="s">
        <v>325</v>
      </c>
      <c r="AF3" s="24"/>
      <c r="AG3" s="24"/>
      <c r="AH3" s="24"/>
      <c r="AI3" s="24">
        <v>43986</v>
      </c>
      <c r="AJ3" s="24">
        <v>1000</v>
      </c>
      <c r="AK3" s="24">
        <v>1000</v>
      </c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 t="s">
        <v>297</v>
      </c>
      <c r="BH3" s="24"/>
      <c r="BI3" s="24" t="s">
        <v>296</v>
      </c>
      <c r="BJ3" s="24">
        <v>2020</v>
      </c>
      <c r="BK3" s="24" t="s">
        <v>31</v>
      </c>
      <c r="BL3" s="24" t="s">
        <v>238</v>
      </c>
      <c r="BM3" s="24" t="s">
        <v>227</v>
      </c>
      <c r="BN3" s="24">
        <v>44177.15334650463</v>
      </c>
      <c r="BO3" s="24"/>
      <c r="BP3" s="24" t="s">
        <v>326</v>
      </c>
      <c r="BQ3" s="24" t="s">
        <v>327</v>
      </c>
      <c r="BR3" s="24" t="s">
        <v>278</v>
      </c>
      <c r="BS3" s="24">
        <v>4.12022020196288E+18</v>
      </c>
      <c r="BT3" s="24" t="s">
        <v>229</v>
      </c>
      <c r="BU3" s="24" t="s">
        <v>328</v>
      </c>
      <c r="BV3" s="24">
        <v>2020</v>
      </c>
      <c r="BW3" s="24" t="s">
        <v>230</v>
      </c>
      <c r="BX3" s="24"/>
      <c r="BY3" s="24">
        <v>4.1212202019734502E+18</v>
      </c>
      <c r="BZ3" s="24" t="s">
        <v>329</v>
      </c>
      <c r="CA3" s="24" t="s">
        <v>232</v>
      </c>
    </row>
    <row r="4" spans="1:79" x14ac:dyDescent="0.25">
      <c r="A4" s="24" t="s">
        <v>319</v>
      </c>
      <c r="B4" s="24" t="s">
        <v>320</v>
      </c>
      <c r="C4" s="24">
        <v>2020</v>
      </c>
      <c r="D4" s="24" t="s">
        <v>283</v>
      </c>
      <c r="E4" s="24">
        <v>2.0201201933736198E+17</v>
      </c>
      <c r="F4" s="24" t="s">
        <v>212</v>
      </c>
      <c r="G4" s="24" t="s">
        <v>330</v>
      </c>
      <c r="H4" s="24">
        <v>1475453</v>
      </c>
      <c r="I4" s="24"/>
      <c r="J4" s="24" t="s">
        <v>214</v>
      </c>
      <c r="K4" s="24" t="s">
        <v>215</v>
      </c>
      <c r="L4" s="24"/>
      <c r="M4" s="24"/>
      <c r="N4" s="24" t="s">
        <v>309</v>
      </c>
      <c r="O4" s="24" t="s">
        <v>29</v>
      </c>
      <c r="P4" s="24"/>
      <c r="Q4" s="24" t="s">
        <v>26</v>
      </c>
      <c r="R4" s="24" t="s">
        <v>311</v>
      </c>
      <c r="S4" s="24"/>
      <c r="T4" s="24" t="s">
        <v>312</v>
      </c>
      <c r="U4" s="24"/>
      <c r="V4" s="24" t="s">
        <v>322</v>
      </c>
      <c r="W4" s="24"/>
      <c r="X4" s="24" t="s">
        <v>221</v>
      </c>
      <c r="Y4" s="24" t="s">
        <v>130</v>
      </c>
      <c r="Z4" s="24">
        <v>282771406</v>
      </c>
      <c r="AA4" s="24" t="s">
        <v>314</v>
      </c>
      <c r="AB4" s="24" t="s">
        <v>323</v>
      </c>
      <c r="AC4" s="24"/>
      <c r="AD4" s="24" t="s">
        <v>324</v>
      </c>
      <c r="AE4" s="24" t="s">
        <v>325</v>
      </c>
      <c r="AF4" s="24"/>
      <c r="AG4" s="24"/>
      <c r="AH4" s="24"/>
      <c r="AI4" s="24">
        <v>44083</v>
      </c>
      <c r="AJ4" s="24">
        <v>1000</v>
      </c>
      <c r="AK4" s="24">
        <v>2000</v>
      </c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 t="s">
        <v>297</v>
      </c>
      <c r="BH4" s="24"/>
      <c r="BI4" s="24" t="s">
        <v>296</v>
      </c>
      <c r="BJ4" s="24">
        <v>2020</v>
      </c>
      <c r="BK4" s="24" t="s">
        <v>31</v>
      </c>
      <c r="BL4" s="24" t="s">
        <v>238</v>
      </c>
      <c r="BM4" s="24" t="s">
        <v>227</v>
      </c>
      <c r="BN4" s="24">
        <v>44189.168721585651</v>
      </c>
      <c r="BO4" s="24"/>
      <c r="BP4" s="24" t="s">
        <v>331</v>
      </c>
      <c r="BQ4" s="24" t="s">
        <v>327</v>
      </c>
      <c r="BR4" s="24" t="s">
        <v>278</v>
      </c>
      <c r="BS4" s="24">
        <v>4.12022020196288E+18</v>
      </c>
      <c r="BT4" s="24" t="s">
        <v>229</v>
      </c>
      <c r="BU4" s="24" t="s">
        <v>328</v>
      </c>
      <c r="BV4" s="24">
        <v>2020</v>
      </c>
      <c r="BW4" s="24" t="s">
        <v>230</v>
      </c>
      <c r="BX4" s="24"/>
      <c r="BY4" s="24">
        <v>4.1224202019833702E+18</v>
      </c>
      <c r="BZ4" s="24" t="s">
        <v>332</v>
      </c>
      <c r="CA4" s="24" t="s">
        <v>232</v>
      </c>
    </row>
    <row r="5" spans="1:79" x14ac:dyDescent="0.25">
      <c r="AJ5">
        <f>SUM(AJ2:AJ4)</f>
        <v>2500</v>
      </c>
    </row>
    <row r="6" spans="1:79" x14ac:dyDescent="0.25">
      <c r="V6" t="str">
        <f>+V4&amp;X4&amp;Y4&amp;Z4</f>
        <v>15611 BALLANTYNE COUNTRY CLUB DRCHARLOTTENC282771406</v>
      </c>
    </row>
    <row r="7" spans="1:79" x14ac:dyDescent="0.25">
      <c r="B7" s="24" t="s">
        <v>307</v>
      </c>
      <c r="D7" s="24" t="s">
        <v>333</v>
      </c>
    </row>
    <row r="8" spans="1:79" x14ac:dyDescent="0.25">
      <c r="B8" s="24" t="s">
        <v>320</v>
      </c>
      <c r="D8" s="24" t="s">
        <v>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"/>
  <sheetViews>
    <sheetView topLeftCell="V1" workbookViewId="0">
      <selection activeCell="V5" sqref="V5"/>
    </sheetView>
  </sheetViews>
  <sheetFormatPr defaultRowHeight="15" x14ac:dyDescent="0.25"/>
  <cols>
    <col min="2" max="2" width="44.140625" bestFit="1" customWidth="1"/>
  </cols>
  <sheetData>
    <row r="1" spans="1:79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132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  <c r="R1" t="s">
        <v>147</v>
      </c>
      <c r="S1" t="s">
        <v>148</v>
      </c>
      <c r="T1" t="s">
        <v>149</v>
      </c>
      <c r="U1" t="s">
        <v>150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156</v>
      </c>
      <c r="AB1" t="s">
        <v>157</v>
      </c>
      <c r="AC1" t="s">
        <v>158</v>
      </c>
      <c r="AD1" t="s">
        <v>159</v>
      </c>
      <c r="AE1" t="s">
        <v>160</v>
      </c>
      <c r="AF1" t="s">
        <v>161</v>
      </c>
      <c r="AG1" t="s">
        <v>162</v>
      </c>
      <c r="AH1" t="s">
        <v>163</v>
      </c>
      <c r="AI1" t="s">
        <v>164</v>
      </c>
      <c r="AJ1" t="s">
        <v>165</v>
      </c>
      <c r="AK1" t="s">
        <v>166</v>
      </c>
      <c r="AL1" t="s">
        <v>167</v>
      </c>
      <c r="AM1" t="s">
        <v>168</v>
      </c>
      <c r="AN1" t="s">
        <v>169</v>
      </c>
      <c r="AO1" t="s">
        <v>170</v>
      </c>
      <c r="AP1" t="s">
        <v>171</v>
      </c>
      <c r="AQ1" t="s">
        <v>172</v>
      </c>
      <c r="AR1" t="s">
        <v>173</v>
      </c>
      <c r="AS1" t="s">
        <v>174</v>
      </c>
      <c r="AT1" t="s">
        <v>175</v>
      </c>
      <c r="AU1" t="s">
        <v>176</v>
      </c>
      <c r="AV1" t="s">
        <v>177</v>
      </c>
      <c r="AW1" t="s">
        <v>178</v>
      </c>
      <c r="AX1" t="s">
        <v>179</v>
      </c>
      <c r="AY1" t="s">
        <v>180</v>
      </c>
      <c r="AZ1" t="s">
        <v>181</v>
      </c>
      <c r="BA1" t="s">
        <v>182</v>
      </c>
      <c r="BB1" t="s">
        <v>183</v>
      </c>
      <c r="BC1" t="s">
        <v>184</v>
      </c>
      <c r="BD1" t="s">
        <v>185</v>
      </c>
      <c r="BE1" t="s">
        <v>186</v>
      </c>
      <c r="BF1" t="s">
        <v>187</v>
      </c>
      <c r="BG1" t="s">
        <v>188</v>
      </c>
      <c r="BH1" t="s">
        <v>189</v>
      </c>
      <c r="BI1" t="s">
        <v>190</v>
      </c>
      <c r="BJ1" t="s">
        <v>191</v>
      </c>
      <c r="BK1" t="s">
        <v>192</v>
      </c>
      <c r="BL1" t="s">
        <v>193</v>
      </c>
      <c r="BM1" t="s">
        <v>194</v>
      </c>
      <c r="BN1" t="s">
        <v>195</v>
      </c>
      <c r="BO1" t="s">
        <v>196</v>
      </c>
      <c r="BP1" t="s">
        <v>197</v>
      </c>
      <c r="BQ1" t="s">
        <v>198</v>
      </c>
      <c r="BR1" t="s">
        <v>199</v>
      </c>
      <c r="BS1" t="s">
        <v>200</v>
      </c>
      <c r="BT1" t="s">
        <v>201</v>
      </c>
      <c r="BU1" t="s">
        <v>202</v>
      </c>
      <c r="BV1" t="s">
        <v>203</v>
      </c>
      <c r="BW1" t="s">
        <v>204</v>
      </c>
      <c r="BX1" t="s">
        <v>205</v>
      </c>
      <c r="BY1" t="s">
        <v>206</v>
      </c>
      <c r="BZ1" t="s">
        <v>207</v>
      </c>
      <c r="CA1" t="s">
        <v>208</v>
      </c>
    </row>
    <row r="2" spans="1:79" x14ac:dyDescent="0.25">
      <c r="A2" t="s">
        <v>209</v>
      </c>
      <c r="B2" t="s">
        <v>210</v>
      </c>
      <c r="C2">
        <v>2019</v>
      </c>
      <c r="D2" t="s">
        <v>211</v>
      </c>
      <c r="E2">
        <v>2.0190802916135002E+17</v>
      </c>
      <c r="F2" t="s">
        <v>212</v>
      </c>
      <c r="G2" t="s">
        <v>213</v>
      </c>
      <c r="H2">
        <v>1346683</v>
      </c>
      <c r="J2" t="s">
        <v>214</v>
      </c>
      <c r="K2" t="s">
        <v>215</v>
      </c>
      <c r="N2" t="s">
        <v>216</v>
      </c>
      <c r="O2" t="s">
        <v>36</v>
      </c>
      <c r="P2" t="s">
        <v>217</v>
      </c>
      <c r="Q2" t="s">
        <v>28</v>
      </c>
      <c r="R2" t="s">
        <v>218</v>
      </c>
      <c r="S2" t="s">
        <v>37</v>
      </c>
      <c r="T2" t="s">
        <v>219</v>
      </c>
      <c r="V2" t="s">
        <v>220</v>
      </c>
      <c r="X2" t="s">
        <v>221</v>
      </c>
      <c r="Y2" t="s">
        <v>130</v>
      </c>
      <c r="Z2">
        <v>28255</v>
      </c>
      <c r="AA2" t="s">
        <v>222</v>
      </c>
      <c r="AB2" t="s">
        <v>223</v>
      </c>
      <c r="AD2">
        <v>15</v>
      </c>
      <c r="AE2" t="s">
        <v>224</v>
      </c>
      <c r="AI2" s="14">
        <v>43601</v>
      </c>
      <c r="AJ2">
        <v>5000</v>
      </c>
      <c r="AK2">
        <v>5000</v>
      </c>
      <c r="BG2" t="s">
        <v>26</v>
      </c>
      <c r="BI2" t="s">
        <v>225</v>
      </c>
      <c r="BK2" t="s">
        <v>0</v>
      </c>
      <c r="BL2" t="s">
        <v>226</v>
      </c>
      <c r="BM2" t="s">
        <v>227</v>
      </c>
      <c r="BN2" s="15">
        <v>43680.112645868059</v>
      </c>
      <c r="BR2" t="s">
        <v>228</v>
      </c>
      <c r="BS2">
        <v>4.0802201916626898E+18</v>
      </c>
      <c r="BT2" t="s">
        <v>229</v>
      </c>
      <c r="BV2">
        <v>2020</v>
      </c>
      <c r="BW2" t="s">
        <v>230</v>
      </c>
      <c r="BY2">
        <v>4.0802201916628797E+18</v>
      </c>
      <c r="BZ2" t="s">
        <v>231</v>
      </c>
      <c r="CA2" t="s">
        <v>232</v>
      </c>
    </row>
    <row r="5" spans="1:79" x14ac:dyDescent="0.25">
      <c r="V5" t="str">
        <f>+V2&amp;X2&amp;Y2&amp;Z2</f>
        <v>100 N TRYON STCHARLOTTENC28255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1"/>
  <sheetViews>
    <sheetView topLeftCell="P1" workbookViewId="0">
      <selection activeCell="V11" sqref="V11"/>
    </sheetView>
  </sheetViews>
  <sheetFormatPr defaultRowHeight="12.75" x14ac:dyDescent="0.2"/>
  <cols>
    <col min="1" max="1" width="31.140625" style="17" bestFit="1" customWidth="1"/>
    <col min="2" max="2" width="34.5703125" style="17" bestFit="1" customWidth="1"/>
    <col min="3" max="16384" width="9.140625" style="17"/>
  </cols>
  <sheetData>
    <row r="1" spans="1:79" x14ac:dyDescent="0.2">
      <c r="A1" s="17" t="s">
        <v>131</v>
      </c>
      <c r="B1" s="17" t="s">
        <v>132</v>
      </c>
      <c r="C1" s="17" t="s">
        <v>133</v>
      </c>
      <c r="D1" s="17" t="s">
        <v>134</v>
      </c>
      <c r="E1" s="17" t="s">
        <v>135</v>
      </c>
      <c r="F1" s="17" t="s">
        <v>136</v>
      </c>
      <c r="G1" s="17" t="s">
        <v>137</v>
      </c>
      <c r="H1" s="17" t="s">
        <v>138</v>
      </c>
      <c r="I1" s="17" t="s">
        <v>132</v>
      </c>
      <c r="J1" s="17" t="s">
        <v>139</v>
      </c>
      <c r="K1" s="17" t="s">
        <v>140</v>
      </c>
      <c r="L1" s="17" t="s">
        <v>141</v>
      </c>
      <c r="M1" s="17" t="s">
        <v>142</v>
      </c>
      <c r="N1" s="17" t="s">
        <v>143</v>
      </c>
      <c r="O1" s="17" t="s">
        <v>144</v>
      </c>
      <c r="P1" s="17" t="s">
        <v>145</v>
      </c>
      <c r="Q1" s="17" t="s">
        <v>146</v>
      </c>
      <c r="R1" s="17" t="s">
        <v>147</v>
      </c>
      <c r="S1" s="17" t="s">
        <v>148</v>
      </c>
      <c r="T1" s="17" t="s">
        <v>149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156</v>
      </c>
      <c r="AB1" s="17" t="s">
        <v>157</v>
      </c>
      <c r="AC1" s="17" t="s">
        <v>158</v>
      </c>
      <c r="AD1" s="17" t="s">
        <v>159</v>
      </c>
      <c r="AE1" s="17" t="s">
        <v>160</v>
      </c>
      <c r="AF1" s="17" t="s">
        <v>161</v>
      </c>
      <c r="AG1" s="17" t="s">
        <v>162</v>
      </c>
      <c r="AH1" s="17" t="s">
        <v>163</v>
      </c>
      <c r="AI1" s="17" t="s">
        <v>164</v>
      </c>
      <c r="AJ1" s="17" t="s">
        <v>165</v>
      </c>
      <c r="AK1" s="17" t="s">
        <v>166</v>
      </c>
      <c r="AL1" s="17" t="s">
        <v>167</v>
      </c>
      <c r="AM1" s="17" t="s">
        <v>168</v>
      </c>
      <c r="AN1" s="17" t="s">
        <v>169</v>
      </c>
      <c r="AO1" s="17" t="s">
        <v>170</v>
      </c>
      <c r="AP1" s="17" t="s">
        <v>171</v>
      </c>
      <c r="AQ1" s="17" t="s">
        <v>172</v>
      </c>
      <c r="AR1" s="17" t="s">
        <v>173</v>
      </c>
      <c r="AS1" s="17" t="s">
        <v>174</v>
      </c>
      <c r="AT1" s="17" t="s">
        <v>175</v>
      </c>
      <c r="AU1" s="17" t="s">
        <v>176</v>
      </c>
      <c r="AV1" s="17" t="s">
        <v>177</v>
      </c>
      <c r="AW1" s="17" t="s">
        <v>178</v>
      </c>
      <c r="AX1" s="17" t="s">
        <v>179</v>
      </c>
      <c r="AY1" s="17" t="s">
        <v>180</v>
      </c>
      <c r="AZ1" s="17" t="s">
        <v>181</v>
      </c>
      <c r="BA1" s="17" t="s">
        <v>182</v>
      </c>
      <c r="BB1" s="17" t="s">
        <v>183</v>
      </c>
      <c r="BC1" s="17" t="s">
        <v>184</v>
      </c>
      <c r="BD1" s="17" t="s">
        <v>185</v>
      </c>
      <c r="BE1" s="17" t="s">
        <v>186</v>
      </c>
      <c r="BF1" s="17" t="s">
        <v>187</v>
      </c>
      <c r="BG1" s="17" t="s">
        <v>188</v>
      </c>
      <c r="BH1" s="17" t="s">
        <v>189</v>
      </c>
      <c r="BI1" s="17" t="s">
        <v>190</v>
      </c>
      <c r="BJ1" s="17" t="s">
        <v>191</v>
      </c>
      <c r="BK1" s="17" t="s">
        <v>192</v>
      </c>
      <c r="BL1" s="17" t="s">
        <v>193</v>
      </c>
      <c r="BM1" s="17" t="s">
        <v>194</v>
      </c>
      <c r="BN1" s="17" t="s">
        <v>195</v>
      </c>
      <c r="BO1" s="17" t="s">
        <v>196</v>
      </c>
      <c r="BP1" s="17" t="s">
        <v>197</v>
      </c>
      <c r="BQ1" s="17" t="s">
        <v>198</v>
      </c>
      <c r="BR1" s="17" t="s">
        <v>199</v>
      </c>
      <c r="BS1" s="17" t="s">
        <v>200</v>
      </c>
      <c r="BT1" s="17" t="s">
        <v>201</v>
      </c>
      <c r="BU1" s="17" t="s">
        <v>202</v>
      </c>
      <c r="BV1" s="17" t="s">
        <v>203</v>
      </c>
      <c r="BW1" s="17" t="s">
        <v>204</v>
      </c>
      <c r="BX1" s="17" t="s">
        <v>205</v>
      </c>
      <c r="BY1" s="17" t="s">
        <v>206</v>
      </c>
      <c r="BZ1" s="17" t="s">
        <v>207</v>
      </c>
      <c r="CA1" s="17" t="s">
        <v>208</v>
      </c>
    </row>
    <row r="2" spans="1:79" x14ac:dyDescent="0.2">
      <c r="A2" s="17" t="s">
        <v>294</v>
      </c>
      <c r="B2" s="17" t="s">
        <v>293</v>
      </c>
      <c r="C2" s="17">
        <v>2019</v>
      </c>
      <c r="D2" s="17" t="s">
        <v>283</v>
      </c>
      <c r="E2" s="17">
        <v>2.01910159164272E+17</v>
      </c>
      <c r="F2" s="17" t="s">
        <v>212</v>
      </c>
      <c r="G2" s="17" t="s">
        <v>298</v>
      </c>
      <c r="H2" s="17">
        <v>1358443</v>
      </c>
      <c r="J2" s="17" t="s">
        <v>214</v>
      </c>
      <c r="K2" s="17" t="s">
        <v>215</v>
      </c>
      <c r="N2" s="17" t="s">
        <v>259</v>
      </c>
      <c r="O2" s="17" t="s">
        <v>29</v>
      </c>
      <c r="Q2" s="17" t="s">
        <v>26</v>
      </c>
      <c r="R2" s="17" t="s">
        <v>258</v>
      </c>
      <c r="T2" s="17" t="s">
        <v>257</v>
      </c>
      <c r="V2" s="17" t="s">
        <v>256</v>
      </c>
      <c r="X2" s="17" t="s">
        <v>245</v>
      </c>
      <c r="Y2" s="17" t="s">
        <v>244</v>
      </c>
      <c r="Z2" s="17">
        <v>372053424</v>
      </c>
      <c r="AA2" s="17" t="s">
        <v>243</v>
      </c>
      <c r="AB2" s="17" t="s">
        <v>243</v>
      </c>
      <c r="AD2" s="17">
        <v>15</v>
      </c>
      <c r="AE2" s="17" t="s">
        <v>224</v>
      </c>
      <c r="AI2" s="19">
        <v>43731</v>
      </c>
      <c r="AJ2" s="17">
        <v>2800</v>
      </c>
      <c r="AK2" s="17">
        <v>5600</v>
      </c>
      <c r="BG2" s="17" t="s">
        <v>297</v>
      </c>
      <c r="BI2" s="17" t="s">
        <v>296</v>
      </c>
      <c r="BJ2" s="17">
        <v>2020</v>
      </c>
      <c r="BK2" s="17" t="s">
        <v>31</v>
      </c>
      <c r="BL2" s="17" t="s">
        <v>238</v>
      </c>
      <c r="BM2" s="17" t="s">
        <v>227</v>
      </c>
      <c r="BN2" s="18">
        <v>43763.113323263889</v>
      </c>
      <c r="BR2" s="17" t="s">
        <v>278</v>
      </c>
      <c r="BS2" s="17">
        <v>4.1015201916742001E+18</v>
      </c>
      <c r="BT2" s="17" t="s">
        <v>229</v>
      </c>
      <c r="BV2" s="17">
        <v>2020</v>
      </c>
      <c r="BW2" s="17" t="s">
        <v>230</v>
      </c>
      <c r="BY2" s="17">
        <v>4.1024201916753603E+18</v>
      </c>
      <c r="BZ2" s="17" t="s">
        <v>295</v>
      </c>
      <c r="CA2" s="17" t="s">
        <v>232</v>
      </c>
    </row>
    <row r="3" spans="1:79" x14ac:dyDescent="0.2">
      <c r="A3" s="17" t="s">
        <v>294</v>
      </c>
      <c r="B3" s="17" t="s">
        <v>293</v>
      </c>
      <c r="C3" s="17">
        <v>2019</v>
      </c>
      <c r="D3" s="17" t="s">
        <v>283</v>
      </c>
      <c r="E3" s="17">
        <v>2.01910159164272E+17</v>
      </c>
      <c r="F3" s="17" t="s">
        <v>212</v>
      </c>
      <c r="G3" s="17" t="s">
        <v>292</v>
      </c>
      <c r="H3" s="17">
        <v>1358443</v>
      </c>
      <c r="J3" s="17" t="s">
        <v>214</v>
      </c>
      <c r="K3" s="17" t="s">
        <v>215</v>
      </c>
      <c r="N3" s="17" t="s">
        <v>259</v>
      </c>
      <c r="O3" s="17" t="s">
        <v>29</v>
      </c>
      <c r="Q3" s="17" t="s">
        <v>26</v>
      </c>
      <c r="R3" s="17" t="s">
        <v>258</v>
      </c>
      <c r="T3" s="17" t="s">
        <v>257</v>
      </c>
      <c r="V3" s="17" t="s">
        <v>256</v>
      </c>
      <c r="X3" s="17" t="s">
        <v>245</v>
      </c>
      <c r="Y3" s="17" t="s">
        <v>244</v>
      </c>
      <c r="Z3" s="17">
        <v>372053424</v>
      </c>
      <c r="AA3" s="17" t="s">
        <v>243</v>
      </c>
      <c r="AB3" s="17" t="s">
        <v>243</v>
      </c>
      <c r="AD3" s="17">
        <v>15</v>
      </c>
      <c r="AE3" s="17" t="s">
        <v>224</v>
      </c>
      <c r="AI3" s="19">
        <v>43731</v>
      </c>
      <c r="AJ3" s="17">
        <v>2800</v>
      </c>
      <c r="AK3" s="17">
        <v>5600</v>
      </c>
      <c r="BG3" s="17" t="s">
        <v>279</v>
      </c>
      <c r="BI3" s="17" t="s">
        <v>225</v>
      </c>
      <c r="BJ3" s="17">
        <v>2020</v>
      </c>
      <c r="BK3" s="17" t="s">
        <v>31</v>
      </c>
      <c r="BL3" s="17" t="s">
        <v>238</v>
      </c>
      <c r="BM3" s="17" t="s">
        <v>227</v>
      </c>
      <c r="BN3" s="18">
        <v>43763.113323854166</v>
      </c>
      <c r="BR3" s="17" t="s">
        <v>278</v>
      </c>
      <c r="BS3" s="17">
        <v>4.1015201916742001E+18</v>
      </c>
      <c r="BT3" s="17" t="s">
        <v>229</v>
      </c>
      <c r="BV3" s="17">
        <v>2020</v>
      </c>
      <c r="BW3" s="17" t="s">
        <v>230</v>
      </c>
      <c r="BY3" s="17">
        <v>4.1024201916753603E+18</v>
      </c>
      <c r="BZ3" s="17" t="s">
        <v>291</v>
      </c>
      <c r="CA3" s="17" t="s">
        <v>232</v>
      </c>
    </row>
    <row r="4" spans="1:79" x14ac:dyDescent="0.2">
      <c r="A4" s="17" t="s">
        <v>254</v>
      </c>
      <c r="B4" s="17" t="s">
        <v>253</v>
      </c>
      <c r="C4" s="17">
        <v>2019</v>
      </c>
      <c r="D4" s="17" t="s">
        <v>290</v>
      </c>
      <c r="E4" s="17">
        <v>2.01910209165196E+17</v>
      </c>
      <c r="F4" s="17" t="s">
        <v>212</v>
      </c>
      <c r="G4" s="17" t="s">
        <v>289</v>
      </c>
      <c r="H4" s="17">
        <v>1360336</v>
      </c>
      <c r="J4" s="17" t="s">
        <v>214</v>
      </c>
      <c r="K4" s="17" t="s">
        <v>215</v>
      </c>
      <c r="M4" s="17" t="s">
        <v>288</v>
      </c>
      <c r="N4" s="17" t="s">
        <v>287</v>
      </c>
      <c r="O4" s="17" t="s">
        <v>25</v>
      </c>
      <c r="Q4" s="17" t="s">
        <v>249</v>
      </c>
      <c r="R4" s="17" t="s">
        <v>248</v>
      </c>
      <c r="S4" s="17" t="s">
        <v>266</v>
      </c>
      <c r="T4" s="17" t="s">
        <v>247</v>
      </c>
      <c r="U4" s="17" t="s">
        <v>265</v>
      </c>
      <c r="V4" s="17" t="s">
        <v>256</v>
      </c>
      <c r="X4" s="17" t="s">
        <v>245</v>
      </c>
      <c r="Y4" s="17" t="s">
        <v>244</v>
      </c>
      <c r="Z4" s="17">
        <v>372053424</v>
      </c>
      <c r="AA4" s="17" t="s">
        <v>243</v>
      </c>
      <c r="AB4" s="17" t="s">
        <v>243</v>
      </c>
      <c r="AD4" s="17">
        <v>15</v>
      </c>
      <c r="AE4" s="17" t="s">
        <v>224</v>
      </c>
      <c r="AF4" s="17" t="s">
        <v>224</v>
      </c>
      <c r="AI4" s="19">
        <v>43731</v>
      </c>
      <c r="AJ4" s="17">
        <v>35500</v>
      </c>
      <c r="AK4" s="17">
        <v>35500</v>
      </c>
      <c r="BG4" s="17" t="s">
        <v>26</v>
      </c>
      <c r="BI4" s="17" t="s">
        <v>225</v>
      </c>
      <c r="BK4" s="17" t="s">
        <v>31</v>
      </c>
      <c r="BL4" s="17" t="s">
        <v>238</v>
      </c>
      <c r="BM4" s="17" t="s">
        <v>227</v>
      </c>
      <c r="BN4" s="18">
        <v>43769.113919583331</v>
      </c>
      <c r="BR4" s="17" t="s">
        <v>228</v>
      </c>
      <c r="BS4" s="17">
        <v>4.1020201916749302E+18</v>
      </c>
      <c r="BT4" s="17" t="s">
        <v>229</v>
      </c>
      <c r="BV4" s="17">
        <v>2020</v>
      </c>
      <c r="BW4" s="17" t="s">
        <v>230</v>
      </c>
      <c r="BY4" s="17">
        <v>4.10302019167618E+18</v>
      </c>
      <c r="BZ4" s="17" t="s">
        <v>286</v>
      </c>
      <c r="CA4" s="17" t="s">
        <v>232</v>
      </c>
    </row>
    <row r="5" spans="1:79" x14ac:dyDescent="0.2">
      <c r="A5" s="17" t="s">
        <v>285</v>
      </c>
      <c r="B5" s="17" t="s">
        <v>284</v>
      </c>
      <c r="C5" s="17">
        <v>2020</v>
      </c>
      <c r="D5" s="17" t="s">
        <v>283</v>
      </c>
      <c r="E5" s="17">
        <v>2.0210630945086499E+17</v>
      </c>
      <c r="F5" s="17" t="s">
        <v>212</v>
      </c>
      <c r="G5" s="17" t="s">
        <v>282</v>
      </c>
      <c r="H5" s="17">
        <v>1521918</v>
      </c>
      <c r="J5" s="17" t="s">
        <v>214</v>
      </c>
      <c r="K5" s="17" t="s">
        <v>215</v>
      </c>
      <c r="N5" s="17" t="s">
        <v>250</v>
      </c>
      <c r="O5" s="17" t="s">
        <v>29</v>
      </c>
      <c r="Q5" s="17" t="s">
        <v>26</v>
      </c>
      <c r="R5" s="17" t="s">
        <v>248</v>
      </c>
      <c r="T5" s="17" t="s">
        <v>247</v>
      </c>
      <c r="V5" s="17" t="s">
        <v>256</v>
      </c>
      <c r="X5" s="17" t="s">
        <v>245</v>
      </c>
      <c r="Y5" s="17" t="s">
        <v>244</v>
      </c>
      <c r="Z5" s="17">
        <v>372053424</v>
      </c>
      <c r="AA5" s="17" t="s">
        <v>281</v>
      </c>
      <c r="AB5" s="17" t="s">
        <v>280</v>
      </c>
      <c r="AD5" s="17">
        <v>15</v>
      </c>
      <c r="AE5" s="17" t="s">
        <v>224</v>
      </c>
      <c r="AI5" s="19">
        <v>44025</v>
      </c>
      <c r="AJ5" s="17">
        <v>2800</v>
      </c>
      <c r="AK5" s="17">
        <v>2800</v>
      </c>
      <c r="BG5" s="17" t="s">
        <v>279</v>
      </c>
      <c r="BI5" s="17" t="s">
        <v>225</v>
      </c>
      <c r="BJ5" s="17">
        <v>2020</v>
      </c>
      <c r="BK5" s="17" t="s">
        <v>31</v>
      </c>
      <c r="BL5" s="17" t="s">
        <v>238</v>
      </c>
      <c r="BM5" s="17" t="s">
        <v>227</v>
      </c>
      <c r="BN5" s="18">
        <v>44384.148827442128</v>
      </c>
      <c r="BR5" s="17" t="s">
        <v>278</v>
      </c>
      <c r="BS5" s="17">
        <v>4.0701202113196201E+18</v>
      </c>
      <c r="BT5" s="17" t="s">
        <v>229</v>
      </c>
      <c r="BV5" s="17">
        <v>2020</v>
      </c>
      <c r="BW5" s="17" t="s">
        <v>230</v>
      </c>
      <c r="BY5" s="17">
        <v>4.0707202113197998E+18</v>
      </c>
      <c r="BZ5" s="17" t="s">
        <v>277</v>
      </c>
      <c r="CA5" s="17" t="s">
        <v>232</v>
      </c>
    </row>
    <row r="6" spans="1:79" x14ac:dyDescent="0.2">
      <c r="A6" s="17" t="s">
        <v>276</v>
      </c>
      <c r="B6" s="17" t="s">
        <v>275</v>
      </c>
      <c r="C6" s="17">
        <v>2020</v>
      </c>
      <c r="D6" s="17" t="s">
        <v>274</v>
      </c>
      <c r="E6" s="17">
        <v>2.0200820926641299E+17</v>
      </c>
      <c r="F6" s="17" t="s">
        <v>212</v>
      </c>
      <c r="G6" s="17" t="s">
        <v>273</v>
      </c>
      <c r="H6" s="17">
        <v>1434635</v>
      </c>
      <c r="J6" s="17" t="s">
        <v>214</v>
      </c>
      <c r="K6" s="17" t="s">
        <v>215</v>
      </c>
      <c r="N6" s="17" t="s">
        <v>267</v>
      </c>
      <c r="O6" s="17" t="s">
        <v>35</v>
      </c>
      <c r="Q6" s="17" t="s">
        <v>249</v>
      </c>
      <c r="R6" s="17" t="s">
        <v>248</v>
      </c>
      <c r="S6" s="17" t="s">
        <v>266</v>
      </c>
      <c r="T6" s="17" t="s">
        <v>247</v>
      </c>
      <c r="U6" s="17" t="s">
        <v>265</v>
      </c>
      <c r="V6" s="17" t="s">
        <v>256</v>
      </c>
      <c r="X6" s="17" t="s">
        <v>245</v>
      </c>
      <c r="Y6" s="17" t="s">
        <v>244</v>
      </c>
      <c r="Z6" s="17">
        <v>37205</v>
      </c>
      <c r="AA6" s="17" t="s">
        <v>243</v>
      </c>
      <c r="AB6" s="17" t="s">
        <v>243</v>
      </c>
      <c r="AD6" s="17">
        <v>10</v>
      </c>
      <c r="AE6" s="17" t="s">
        <v>272</v>
      </c>
      <c r="AI6" s="19">
        <v>44039</v>
      </c>
      <c r="AJ6" s="17">
        <v>20000</v>
      </c>
      <c r="AK6" s="17">
        <v>20000</v>
      </c>
      <c r="BG6" s="17" t="s">
        <v>26</v>
      </c>
      <c r="BI6" s="17" t="s">
        <v>225</v>
      </c>
      <c r="BK6" s="17" t="s">
        <v>31</v>
      </c>
      <c r="BL6" s="17" t="s">
        <v>238</v>
      </c>
      <c r="BM6" s="17" t="s">
        <v>227</v>
      </c>
      <c r="BN6" s="18">
        <v>44075.182267523145</v>
      </c>
      <c r="BR6" s="17" t="s">
        <v>228</v>
      </c>
      <c r="BS6" s="17">
        <v>4.0822202018295301E+18</v>
      </c>
      <c r="BT6" s="17" t="s">
        <v>229</v>
      </c>
      <c r="BV6" s="17">
        <v>2020</v>
      </c>
      <c r="BW6" s="17" t="s">
        <v>230</v>
      </c>
      <c r="BY6" s="17">
        <v>4.0901202018339E+18</v>
      </c>
      <c r="BZ6" s="17" t="s">
        <v>271</v>
      </c>
      <c r="CA6" s="17" t="s">
        <v>232</v>
      </c>
    </row>
    <row r="7" spans="1:79" x14ac:dyDescent="0.2">
      <c r="A7" s="17" t="s">
        <v>270</v>
      </c>
      <c r="B7" s="17" t="s">
        <v>269</v>
      </c>
      <c r="C7" s="17">
        <v>2020</v>
      </c>
      <c r="D7" s="17" t="s">
        <v>261</v>
      </c>
      <c r="E7" s="17">
        <v>2.0200715924463398E+17</v>
      </c>
      <c r="F7" s="17" t="s">
        <v>212</v>
      </c>
      <c r="G7" s="17" t="s">
        <v>268</v>
      </c>
      <c r="H7" s="17">
        <v>1422075</v>
      </c>
      <c r="J7" s="17" t="s">
        <v>214</v>
      </c>
      <c r="K7" s="17" t="s">
        <v>215</v>
      </c>
      <c r="N7" s="17" t="s">
        <v>267</v>
      </c>
      <c r="O7" s="17" t="s">
        <v>0</v>
      </c>
      <c r="Q7" s="17" t="s">
        <v>33</v>
      </c>
      <c r="R7" s="17" t="s">
        <v>248</v>
      </c>
      <c r="S7" s="17" t="s">
        <v>266</v>
      </c>
      <c r="T7" s="17" t="s">
        <v>247</v>
      </c>
      <c r="U7" s="17" t="s">
        <v>265</v>
      </c>
      <c r="V7" s="17" t="s">
        <v>256</v>
      </c>
      <c r="X7" s="17" t="s">
        <v>245</v>
      </c>
      <c r="Y7" s="17" t="s">
        <v>244</v>
      </c>
      <c r="Z7" s="17">
        <v>37205</v>
      </c>
      <c r="AA7" s="17" t="s">
        <v>243</v>
      </c>
      <c r="AB7" s="17" t="s">
        <v>243</v>
      </c>
      <c r="AD7" s="17">
        <v>15</v>
      </c>
      <c r="AE7" s="17" t="s">
        <v>224</v>
      </c>
      <c r="AI7" s="19">
        <v>44008</v>
      </c>
      <c r="AJ7" s="17">
        <v>35500</v>
      </c>
      <c r="AK7" s="17">
        <v>35500</v>
      </c>
      <c r="BG7" s="17" t="s">
        <v>26</v>
      </c>
      <c r="BI7" s="17" t="s">
        <v>225</v>
      </c>
      <c r="BK7" s="17" t="s">
        <v>31</v>
      </c>
      <c r="BL7" s="17" t="s">
        <v>238</v>
      </c>
      <c r="BM7" s="17" t="s">
        <v>227</v>
      </c>
      <c r="BN7" s="18">
        <v>44029.117027939814</v>
      </c>
      <c r="BR7" s="17" t="s">
        <v>228</v>
      </c>
      <c r="BS7" s="17">
        <v>4.0715202017906099E+18</v>
      </c>
      <c r="BT7" s="17" t="s">
        <v>229</v>
      </c>
      <c r="BV7" s="17">
        <v>2020</v>
      </c>
      <c r="BW7" s="17" t="s">
        <v>230</v>
      </c>
      <c r="BY7" s="17">
        <v>4.07162020179089E+18</v>
      </c>
      <c r="BZ7" s="17" t="s">
        <v>264</v>
      </c>
      <c r="CA7" s="17" t="s">
        <v>232</v>
      </c>
    </row>
    <row r="8" spans="1:79" x14ac:dyDescent="0.2">
      <c r="A8" s="17" t="s">
        <v>263</v>
      </c>
      <c r="B8" s="17" t="s">
        <v>262</v>
      </c>
      <c r="C8" s="17">
        <v>2020</v>
      </c>
      <c r="D8" s="17" t="s">
        <v>261</v>
      </c>
      <c r="E8" s="17">
        <v>2.0200715925015002E+17</v>
      </c>
      <c r="F8" s="17" t="s">
        <v>212</v>
      </c>
      <c r="G8" s="17" t="s">
        <v>260</v>
      </c>
      <c r="H8" s="17">
        <v>1425049</v>
      </c>
      <c r="J8" s="17" t="s">
        <v>214</v>
      </c>
      <c r="K8" s="17" t="s">
        <v>215</v>
      </c>
      <c r="N8" s="17" t="s">
        <v>259</v>
      </c>
      <c r="O8" s="17" t="s">
        <v>36</v>
      </c>
      <c r="Q8" s="17" t="s">
        <v>249</v>
      </c>
      <c r="R8" s="17" t="s">
        <v>258</v>
      </c>
      <c r="T8" s="17" t="s">
        <v>257</v>
      </c>
      <c r="V8" s="17" t="s">
        <v>256</v>
      </c>
      <c r="X8" s="17" t="s">
        <v>245</v>
      </c>
      <c r="Y8" s="17" t="s">
        <v>244</v>
      </c>
      <c r="Z8" s="17">
        <v>372053424</v>
      </c>
      <c r="AA8" s="17" t="s">
        <v>243</v>
      </c>
      <c r="AB8" s="17" t="s">
        <v>243</v>
      </c>
      <c r="AD8" s="17">
        <v>15</v>
      </c>
      <c r="AE8" s="17" t="s">
        <v>224</v>
      </c>
      <c r="AI8" s="19">
        <v>43987</v>
      </c>
      <c r="AJ8" s="17">
        <v>5000</v>
      </c>
      <c r="AK8" s="17">
        <v>5000</v>
      </c>
      <c r="BG8" s="17" t="s">
        <v>26</v>
      </c>
      <c r="BI8" s="17" t="s">
        <v>225</v>
      </c>
      <c r="BK8" s="17" t="s">
        <v>31</v>
      </c>
      <c r="BL8" s="17" t="s">
        <v>238</v>
      </c>
      <c r="BM8" s="17" t="s">
        <v>227</v>
      </c>
      <c r="BN8" s="18">
        <v>44030.05761059028</v>
      </c>
      <c r="BR8" s="17" t="s">
        <v>228</v>
      </c>
      <c r="BS8" s="17">
        <v>4.0716202017908598E+18</v>
      </c>
      <c r="BT8" s="17" t="s">
        <v>229</v>
      </c>
      <c r="BV8" s="17">
        <v>2020</v>
      </c>
      <c r="BW8" s="17" t="s">
        <v>230</v>
      </c>
      <c r="BY8" s="17">
        <v>4.0717202017910298E+18</v>
      </c>
      <c r="BZ8" s="17" t="s">
        <v>255</v>
      </c>
      <c r="CA8" s="17" t="s">
        <v>232</v>
      </c>
    </row>
    <row r="9" spans="1:79" x14ac:dyDescent="0.2">
      <c r="A9" s="17" t="s">
        <v>254</v>
      </c>
      <c r="B9" s="17" t="s">
        <v>253</v>
      </c>
      <c r="C9" s="17">
        <v>2020</v>
      </c>
      <c r="D9" s="17" t="s">
        <v>252</v>
      </c>
      <c r="E9" s="17">
        <v>2.0200920927539901E+17</v>
      </c>
      <c r="F9" s="17">
        <v>12</v>
      </c>
      <c r="G9" s="17" t="s">
        <v>251</v>
      </c>
      <c r="H9" s="17">
        <v>1439993</v>
      </c>
      <c r="J9" s="17" t="s">
        <v>214</v>
      </c>
      <c r="K9" s="17" t="s">
        <v>215</v>
      </c>
      <c r="N9" s="17" t="s">
        <v>250</v>
      </c>
      <c r="O9" s="17" t="s">
        <v>25</v>
      </c>
      <c r="Q9" s="17" t="s">
        <v>249</v>
      </c>
      <c r="R9" s="17" t="s">
        <v>248</v>
      </c>
      <c r="T9" s="17" t="s">
        <v>247</v>
      </c>
      <c r="V9" s="17" t="s">
        <v>246</v>
      </c>
      <c r="X9" s="17" t="s">
        <v>245</v>
      </c>
      <c r="Y9" s="17" t="s">
        <v>244</v>
      </c>
      <c r="Z9" s="17">
        <v>372053878</v>
      </c>
      <c r="AA9" s="17" t="s">
        <v>243</v>
      </c>
      <c r="AB9" s="17" t="s">
        <v>243</v>
      </c>
      <c r="AD9" s="17" t="s">
        <v>242</v>
      </c>
      <c r="AE9" s="17" t="s">
        <v>241</v>
      </c>
      <c r="AF9" s="17" t="s">
        <v>240</v>
      </c>
      <c r="AG9" s="17" t="s">
        <v>239</v>
      </c>
      <c r="AI9" s="19">
        <v>44008</v>
      </c>
      <c r="AJ9" s="17">
        <v>35500</v>
      </c>
      <c r="AK9" s="17">
        <v>35500</v>
      </c>
      <c r="BG9" s="17" t="s">
        <v>26</v>
      </c>
      <c r="BI9" s="17" t="s">
        <v>225</v>
      </c>
      <c r="BK9" s="17" t="s">
        <v>31</v>
      </c>
      <c r="BL9" s="17" t="s">
        <v>238</v>
      </c>
      <c r="BM9" s="17" t="s">
        <v>227</v>
      </c>
      <c r="BN9" s="18">
        <v>44107.154306898148</v>
      </c>
      <c r="BP9" s="17" t="s">
        <v>237</v>
      </c>
      <c r="BQ9" s="17" t="s">
        <v>236</v>
      </c>
      <c r="BR9" s="17" t="s">
        <v>228</v>
      </c>
      <c r="BS9" s="17">
        <v>4.0921202018491699E+18</v>
      </c>
      <c r="BT9" s="17" t="s">
        <v>229</v>
      </c>
      <c r="BU9" s="17" t="s">
        <v>235</v>
      </c>
      <c r="BV9" s="17">
        <v>2020</v>
      </c>
      <c r="BW9" s="17" t="s">
        <v>230</v>
      </c>
      <c r="BY9" s="17">
        <v>4.1003202018561101E+18</v>
      </c>
      <c r="BZ9" s="17" t="s">
        <v>234</v>
      </c>
      <c r="CA9" s="17" t="s">
        <v>233</v>
      </c>
    </row>
    <row r="11" spans="1:79" x14ac:dyDescent="0.2">
      <c r="V11" s="17" t="str">
        <f>+V9&amp;X9&amp;Y9&amp;Z9</f>
        <v>620 BELLE MEADE BLVDNASHVILLETN372053878</v>
      </c>
    </row>
    <row r="14" spans="1:79" ht="15" x14ac:dyDescent="0.25">
      <c r="A14" s="20" t="s">
        <v>299</v>
      </c>
      <c r="B14" t="s">
        <v>301</v>
      </c>
      <c r="C14"/>
    </row>
    <row r="15" spans="1:79" ht="15" x14ac:dyDescent="0.25">
      <c r="A15" s="21" t="s">
        <v>284</v>
      </c>
      <c r="B15" s="2">
        <v>2800</v>
      </c>
      <c r="C15" t="s">
        <v>1</v>
      </c>
    </row>
    <row r="16" spans="1:79" ht="15" x14ac:dyDescent="0.25">
      <c r="A16" s="21" t="s">
        <v>253</v>
      </c>
      <c r="B16" s="2">
        <v>71000</v>
      </c>
      <c r="C16" t="s">
        <v>1</v>
      </c>
    </row>
    <row r="17" spans="1:3" ht="15" x14ac:dyDescent="0.25">
      <c r="A17" s="21" t="s">
        <v>269</v>
      </c>
      <c r="B17" s="2">
        <v>35500</v>
      </c>
      <c r="C17" t="s">
        <v>1</v>
      </c>
    </row>
    <row r="18" spans="1:3" ht="15" x14ac:dyDescent="0.25">
      <c r="A18" s="21" t="s">
        <v>262</v>
      </c>
      <c r="B18" s="2">
        <v>5000</v>
      </c>
      <c r="C18" t="s">
        <v>1</v>
      </c>
    </row>
    <row r="19" spans="1:3" ht="15" x14ac:dyDescent="0.25">
      <c r="A19" s="21" t="s">
        <v>275</v>
      </c>
      <c r="B19" s="2">
        <v>20000</v>
      </c>
      <c r="C19" t="s">
        <v>1</v>
      </c>
    </row>
    <row r="20" spans="1:3" ht="15" x14ac:dyDescent="0.25">
      <c r="A20" s="21" t="s">
        <v>293</v>
      </c>
      <c r="B20" s="2">
        <v>5600</v>
      </c>
      <c r="C20" t="s">
        <v>1</v>
      </c>
    </row>
    <row r="21" spans="1:3" ht="15" x14ac:dyDescent="0.25">
      <c r="A21" s="21" t="s">
        <v>300</v>
      </c>
      <c r="B21" s="2">
        <v>139900</v>
      </c>
      <c r="C21"/>
    </row>
    <row r="22" spans="1:3" ht="15" x14ac:dyDescent="0.25">
      <c r="A22"/>
      <c r="B22"/>
      <c r="C22"/>
    </row>
    <row r="23" spans="1:3" ht="15" x14ac:dyDescent="0.25">
      <c r="A23"/>
      <c r="B23"/>
      <c r="C23"/>
    </row>
    <row r="24" spans="1:3" ht="15" x14ac:dyDescent="0.25">
      <c r="A24"/>
      <c r="B24"/>
      <c r="C24"/>
    </row>
    <row r="25" spans="1:3" ht="15" x14ac:dyDescent="0.25">
      <c r="A25"/>
      <c r="B25"/>
      <c r="C25"/>
    </row>
    <row r="26" spans="1:3" ht="15" x14ac:dyDescent="0.25">
      <c r="A26"/>
      <c r="B26"/>
      <c r="C26"/>
    </row>
    <row r="27" spans="1:3" ht="15" x14ac:dyDescent="0.25">
      <c r="A27"/>
      <c r="B27"/>
      <c r="C27"/>
    </row>
    <row r="28" spans="1:3" ht="15" x14ac:dyDescent="0.25">
      <c r="A28"/>
      <c r="B28"/>
      <c r="C28"/>
    </row>
    <row r="29" spans="1:3" ht="15" x14ac:dyDescent="0.25">
      <c r="A29"/>
      <c r="B29"/>
      <c r="C29"/>
    </row>
    <row r="30" spans="1:3" ht="15" x14ac:dyDescent="0.25">
      <c r="A30"/>
      <c r="B30"/>
      <c r="C30"/>
    </row>
    <row r="31" spans="1:3" ht="15" x14ac:dyDescent="0.25">
      <c r="A31"/>
      <c r="B31"/>
      <c r="C3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5"/>
  <sheetViews>
    <sheetView workbookViewId="0">
      <selection activeCell="D3" sqref="D3"/>
    </sheetView>
  </sheetViews>
  <sheetFormatPr defaultRowHeight="15" x14ac:dyDescent="0.25"/>
  <cols>
    <col min="1" max="1" width="44.140625" bestFit="1" customWidth="1"/>
    <col min="7" max="7" width="8.85546875" style="2"/>
    <col min="8" max="8" width="15.28515625" customWidth="1"/>
    <col min="11" max="11" width="22.140625" customWidth="1"/>
    <col min="17" max="17" width="8.85546875" style="2"/>
    <col min="18" max="18" width="16" customWidth="1"/>
  </cols>
  <sheetData>
    <row r="1" spans="1:18" x14ac:dyDescent="0.25">
      <c r="A1" t="s">
        <v>7</v>
      </c>
      <c r="D1">
        <v>2020</v>
      </c>
    </row>
    <row r="2" spans="1:18" x14ac:dyDescent="0.25">
      <c r="A2" t="s">
        <v>11</v>
      </c>
      <c r="D2" s="11" t="s">
        <v>6</v>
      </c>
      <c r="E2" t="s">
        <v>2</v>
      </c>
      <c r="F2" s="2" t="s">
        <v>4</v>
      </c>
      <c r="G2" t="s">
        <v>3</v>
      </c>
      <c r="H2" s="11" t="s">
        <v>9</v>
      </c>
      <c r="I2" s="11" t="s">
        <v>10</v>
      </c>
      <c r="R2" s="1"/>
    </row>
    <row r="3" spans="1:18" ht="15.75" x14ac:dyDescent="0.25">
      <c r="A3" t="s">
        <v>210</v>
      </c>
      <c r="D3" t="s">
        <v>0</v>
      </c>
      <c r="E3" s="9"/>
      <c r="F3" s="9"/>
      <c r="G3"/>
      <c r="H3" s="16">
        <v>0.57010000000000005</v>
      </c>
      <c r="I3" s="16">
        <v>0.4299</v>
      </c>
      <c r="R3" s="1"/>
    </row>
    <row r="4" spans="1:18" x14ac:dyDescent="0.25">
      <c r="H4" s="1"/>
      <c r="R4" s="1"/>
    </row>
    <row r="5" spans="1:18" x14ac:dyDescent="0.25">
      <c r="H5" s="1"/>
      <c r="R5" s="1"/>
    </row>
    <row r="6" spans="1:18" ht="15.75" x14ac:dyDescent="0.25">
      <c r="B6" s="9"/>
      <c r="C6" s="10"/>
      <c r="E6" s="8"/>
      <c r="F6" s="8"/>
      <c r="H6" s="1"/>
      <c r="R6" s="1"/>
    </row>
    <row r="7" spans="1:18" x14ac:dyDescent="0.25">
      <c r="H7" s="1"/>
      <c r="R7" s="1"/>
    </row>
    <row r="8" spans="1:18" x14ac:dyDescent="0.25">
      <c r="H8" s="1"/>
      <c r="R8" s="1"/>
    </row>
    <row r="9" spans="1:18" x14ac:dyDescent="0.25">
      <c r="H9" s="1"/>
      <c r="R9" s="1"/>
    </row>
    <row r="10" spans="1:18" x14ac:dyDescent="0.25">
      <c r="H10" s="1"/>
      <c r="R10" s="1"/>
    </row>
    <row r="11" spans="1:18" x14ac:dyDescent="0.25">
      <c r="H11" s="1"/>
      <c r="R11" s="1"/>
    </row>
    <row r="12" spans="1:18" x14ac:dyDescent="0.25">
      <c r="H12" s="1"/>
      <c r="R12" s="1"/>
    </row>
    <row r="13" spans="1:18" x14ac:dyDescent="0.25">
      <c r="H13" s="1"/>
      <c r="R13" s="1"/>
    </row>
    <row r="14" spans="1:18" x14ac:dyDescent="0.25">
      <c r="H14" s="1"/>
      <c r="R14" s="1"/>
    </row>
    <row r="15" spans="1:18" x14ac:dyDescent="0.25">
      <c r="H15" s="1"/>
      <c r="R15" s="1"/>
    </row>
    <row r="16" spans="1:18" x14ac:dyDescent="0.25">
      <c r="H16" s="1"/>
      <c r="R16" s="1"/>
    </row>
    <row r="17" spans="8:18" x14ac:dyDescent="0.25">
      <c r="H17" s="1"/>
      <c r="R17" s="1"/>
    </row>
    <row r="18" spans="8:18" x14ac:dyDescent="0.25">
      <c r="H18" s="1"/>
      <c r="R18" s="1"/>
    </row>
    <row r="19" spans="8:18" x14ac:dyDescent="0.25">
      <c r="H19" s="1"/>
      <c r="R19" s="1"/>
    </row>
    <row r="20" spans="8:18" x14ac:dyDescent="0.25">
      <c r="H20" s="1"/>
      <c r="R20" s="1"/>
    </row>
    <row r="21" spans="8:18" x14ac:dyDescent="0.25">
      <c r="H21" s="1"/>
      <c r="R21" s="1"/>
    </row>
    <row r="22" spans="8:18" x14ac:dyDescent="0.25">
      <c r="H22" s="1"/>
      <c r="R22" s="1"/>
    </row>
    <row r="23" spans="8:18" x14ac:dyDescent="0.25">
      <c r="H23" s="1"/>
      <c r="R23" s="1"/>
    </row>
    <row r="24" spans="8:18" x14ac:dyDescent="0.25">
      <c r="H24" s="1"/>
      <c r="R24" s="1"/>
    </row>
    <row r="25" spans="8:18" x14ac:dyDescent="0.25">
      <c r="H25" s="1"/>
      <c r="R25" s="1"/>
    </row>
    <row r="26" spans="8:18" x14ac:dyDescent="0.25">
      <c r="H26" s="1"/>
      <c r="R26" s="1"/>
    </row>
    <row r="27" spans="8:18" x14ac:dyDescent="0.25">
      <c r="H27" s="1"/>
      <c r="R27" s="1"/>
    </row>
    <row r="28" spans="8:18" x14ac:dyDescent="0.25">
      <c r="H28" s="1"/>
      <c r="R28" s="1"/>
    </row>
    <row r="29" spans="8:18" x14ac:dyDescent="0.25">
      <c r="H29" s="1"/>
      <c r="R29" s="1"/>
    </row>
    <row r="30" spans="8:18" x14ac:dyDescent="0.25">
      <c r="H30" s="1"/>
      <c r="R30" s="1"/>
    </row>
    <row r="31" spans="8:18" x14ac:dyDescent="0.25">
      <c r="H31" s="1"/>
      <c r="R31" s="1"/>
    </row>
    <row r="32" spans="8:18" x14ac:dyDescent="0.25">
      <c r="H32" s="1"/>
      <c r="R32" s="1"/>
    </row>
    <row r="33" spans="8:18" x14ac:dyDescent="0.25">
      <c r="H33" s="1"/>
      <c r="R33" s="1"/>
    </row>
    <row r="34" spans="8:18" x14ac:dyDescent="0.25">
      <c r="H34" s="1"/>
      <c r="R34" s="1"/>
    </row>
    <row r="35" spans="8:18" x14ac:dyDescent="0.25">
      <c r="H35" s="1"/>
      <c r="R35" s="1"/>
    </row>
    <row r="36" spans="8:18" x14ac:dyDescent="0.25">
      <c r="H36" s="1"/>
      <c r="R36" s="1"/>
    </row>
    <row r="37" spans="8:18" x14ac:dyDescent="0.25">
      <c r="H37" s="1"/>
      <c r="R37" s="1"/>
    </row>
    <row r="38" spans="8:18" x14ac:dyDescent="0.25">
      <c r="H38" s="1"/>
      <c r="R38" s="1"/>
    </row>
    <row r="39" spans="8:18" x14ac:dyDescent="0.25">
      <c r="H39" s="1"/>
      <c r="R39" s="1"/>
    </row>
    <row r="40" spans="8:18" x14ac:dyDescent="0.25">
      <c r="H40" s="1"/>
      <c r="R40" s="1"/>
    </row>
    <row r="41" spans="8:18" x14ac:dyDescent="0.25">
      <c r="H41" s="1"/>
      <c r="R41" s="1"/>
    </row>
    <row r="42" spans="8:18" x14ac:dyDescent="0.25">
      <c r="H42" s="1"/>
      <c r="R42" s="1"/>
    </row>
    <row r="43" spans="8:18" x14ac:dyDescent="0.25">
      <c r="H43" s="1"/>
      <c r="R43" s="1"/>
    </row>
    <row r="44" spans="8:18" x14ac:dyDescent="0.25">
      <c r="H44" s="1"/>
      <c r="R44" s="1"/>
    </row>
    <row r="45" spans="8:18" x14ac:dyDescent="0.25">
      <c r="H45" s="1"/>
      <c r="R45" s="1"/>
    </row>
    <row r="46" spans="8:18" x14ac:dyDescent="0.25">
      <c r="H46" s="1"/>
      <c r="R46" s="1"/>
    </row>
    <row r="47" spans="8:18" x14ac:dyDescent="0.25">
      <c r="H47" s="1"/>
      <c r="R47" s="1"/>
    </row>
    <row r="48" spans="8:18" x14ac:dyDescent="0.25">
      <c r="H48" s="1"/>
      <c r="R48" s="1"/>
    </row>
    <row r="49" spans="8:18" x14ac:dyDescent="0.25">
      <c r="H49" s="1"/>
      <c r="R49" s="1"/>
    </row>
    <row r="50" spans="8:18" x14ac:dyDescent="0.25">
      <c r="H50" s="1"/>
      <c r="R50" s="1"/>
    </row>
    <row r="51" spans="8:18" x14ac:dyDescent="0.25">
      <c r="H51" s="1"/>
      <c r="R51" s="1"/>
    </row>
    <row r="52" spans="8:18" x14ac:dyDescent="0.25">
      <c r="H52" s="1"/>
      <c r="R52" s="1"/>
    </row>
    <row r="53" spans="8:18" x14ac:dyDescent="0.25">
      <c r="H53" s="1"/>
      <c r="R53" s="1"/>
    </row>
    <row r="54" spans="8:18" x14ac:dyDescent="0.25">
      <c r="H54" s="1"/>
      <c r="R54" s="1"/>
    </row>
    <row r="55" spans="8:18" x14ac:dyDescent="0.25">
      <c r="H55" s="1"/>
      <c r="R55" s="1"/>
    </row>
    <row r="56" spans="8:18" x14ac:dyDescent="0.25">
      <c r="H56" s="1"/>
      <c r="R56" s="1"/>
    </row>
    <row r="57" spans="8:18" x14ac:dyDescent="0.25">
      <c r="H57" s="1"/>
      <c r="R57" s="1"/>
    </row>
    <row r="58" spans="8:18" x14ac:dyDescent="0.25">
      <c r="H58" s="1"/>
      <c r="R58" s="1"/>
    </row>
    <row r="59" spans="8:18" x14ac:dyDescent="0.25">
      <c r="H59" s="1"/>
      <c r="R59" s="1"/>
    </row>
    <row r="60" spans="8:18" x14ac:dyDescent="0.25">
      <c r="H60" s="1"/>
      <c r="R60" s="1"/>
    </row>
    <row r="61" spans="8:18" x14ac:dyDescent="0.25">
      <c r="H61" s="1"/>
      <c r="R61" s="1"/>
    </row>
    <row r="62" spans="8:18" x14ac:dyDescent="0.25">
      <c r="H62" s="1"/>
      <c r="R62" s="1"/>
    </row>
    <row r="63" spans="8:18" x14ac:dyDescent="0.25">
      <c r="H63" s="1"/>
      <c r="R63" s="1"/>
    </row>
    <row r="64" spans="8:18" x14ac:dyDescent="0.25">
      <c r="H64" s="1"/>
      <c r="R64" s="1"/>
    </row>
    <row r="65" spans="8:18" x14ac:dyDescent="0.25">
      <c r="H65" s="1"/>
      <c r="R65" s="1"/>
    </row>
    <row r="66" spans="8:18" x14ac:dyDescent="0.25">
      <c r="H66" s="1"/>
      <c r="R66" s="1"/>
    </row>
    <row r="67" spans="8:18" x14ac:dyDescent="0.25">
      <c r="H67" s="1"/>
      <c r="R67" s="1"/>
    </row>
    <row r="68" spans="8:18" x14ac:dyDescent="0.25">
      <c r="H68" s="1"/>
      <c r="R68" s="1"/>
    </row>
    <row r="69" spans="8:18" x14ac:dyDescent="0.25">
      <c r="H69" s="1"/>
      <c r="R69" s="1"/>
    </row>
    <row r="70" spans="8:18" x14ac:dyDescent="0.25">
      <c r="H70" s="1"/>
      <c r="R70" s="1"/>
    </row>
    <row r="71" spans="8:18" x14ac:dyDescent="0.25">
      <c r="H71" s="1"/>
      <c r="R71" s="1"/>
    </row>
    <row r="72" spans="8:18" x14ac:dyDescent="0.25">
      <c r="H72" s="1"/>
      <c r="R72" s="1"/>
    </row>
    <row r="73" spans="8:18" x14ac:dyDescent="0.25">
      <c r="H73" s="1"/>
      <c r="R73" s="1"/>
    </row>
    <row r="74" spans="8:18" x14ac:dyDescent="0.25">
      <c r="H74" s="1"/>
      <c r="R74" s="1"/>
    </row>
    <row r="75" spans="8:18" x14ac:dyDescent="0.25">
      <c r="H75" s="1"/>
      <c r="R75" s="1"/>
    </row>
    <row r="76" spans="8:18" x14ac:dyDescent="0.25">
      <c r="H76" s="1"/>
      <c r="R76" s="1"/>
    </row>
    <row r="77" spans="8:18" x14ac:dyDescent="0.25">
      <c r="H77" s="1"/>
      <c r="R77" s="1"/>
    </row>
    <row r="78" spans="8:18" x14ac:dyDescent="0.25">
      <c r="H78" s="1"/>
      <c r="R78" s="1"/>
    </row>
    <row r="79" spans="8:18" x14ac:dyDescent="0.25">
      <c r="H79" s="1"/>
      <c r="R79" s="1"/>
    </row>
    <row r="80" spans="8:18" x14ac:dyDescent="0.25">
      <c r="H80" s="1"/>
      <c r="R80" s="1"/>
    </row>
    <row r="81" spans="8:18" x14ac:dyDescent="0.25">
      <c r="H81" s="1"/>
      <c r="R81" s="1"/>
    </row>
    <row r="82" spans="8:18" x14ac:dyDescent="0.25">
      <c r="H82" s="1"/>
      <c r="R82" s="1"/>
    </row>
    <row r="83" spans="8:18" x14ac:dyDescent="0.25">
      <c r="H83" s="1"/>
      <c r="R83" s="1"/>
    </row>
    <row r="84" spans="8:18" x14ac:dyDescent="0.25">
      <c r="H84" s="1"/>
      <c r="R84" s="1"/>
    </row>
    <row r="85" spans="8:18" x14ac:dyDescent="0.25">
      <c r="H85" s="1"/>
      <c r="R85" s="1"/>
    </row>
    <row r="86" spans="8:18" x14ac:dyDescent="0.25">
      <c r="H86" s="1"/>
      <c r="R86" s="1"/>
    </row>
    <row r="87" spans="8:18" x14ac:dyDescent="0.25">
      <c r="H87" s="1"/>
      <c r="R87" s="1"/>
    </row>
    <row r="88" spans="8:18" x14ac:dyDescent="0.25">
      <c r="H88" s="1"/>
      <c r="R88" s="1"/>
    </row>
    <row r="89" spans="8:18" x14ac:dyDescent="0.25">
      <c r="H89" s="1"/>
      <c r="R89" s="1"/>
    </row>
    <row r="90" spans="8:18" x14ac:dyDescent="0.25">
      <c r="H90" s="1"/>
      <c r="R90" s="1"/>
    </row>
    <row r="91" spans="8:18" x14ac:dyDescent="0.25">
      <c r="H91" s="1"/>
      <c r="R91" s="1"/>
    </row>
    <row r="92" spans="8:18" x14ac:dyDescent="0.25">
      <c r="H92" s="1"/>
      <c r="R92" s="1"/>
    </row>
    <row r="93" spans="8:18" x14ac:dyDescent="0.25">
      <c r="H93" s="1"/>
      <c r="R93" s="1"/>
    </row>
    <row r="94" spans="8:18" x14ac:dyDescent="0.25">
      <c r="H94" s="1"/>
      <c r="R94" s="1"/>
    </row>
    <row r="95" spans="8:18" x14ac:dyDescent="0.25">
      <c r="H95" s="1"/>
      <c r="R95" s="1"/>
    </row>
    <row r="96" spans="8:18" x14ac:dyDescent="0.25">
      <c r="H96" s="1"/>
      <c r="R96" s="1"/>
    </row>
    <row r="97" spans="8:18" x14ac:dyDescent="0.25">
      <c r="H97" s="1"/>
      <c r="R97" s="1"/>
    </row>
    <row r="98" spans="8:18" x14ac:dyDescent="0.25">
      <c r="H98" s="1"/>
      <c r="R98" s="1"/>
    </row>
    <row r="99" spans="8:18" x14ac:dyDescent="0.25">
      <c r="H99" s="1"/>
      <c r="R99" s="1"/>
    </row>
    <row r="100" spans="8:18" x14ac:dyDescent="0.25">
      <c r="H100" s="1"/>
      <c r="R100" s="1"/>
    </row>
    <row r="101" spans="8:18" x14ac:dyDescent="0.25">
      <c r="H101" s="1"/>
      <c r="R101" s="1"/>
    </row>
    <row r="102" spans="8:18" x14ac:dyDescent="0.25">
      <c r="H102" s="1"/>
      <c r="R102" s="1"/>
    </row>
    <row r="103" spans="8:18" x14ac:dyDescent="0.25">
      <c r="H103" s="1"/>
      <c r="R103" s="1"/>
    </row>
    <row r="104" spans="8:18" x14ac:dyDescent="0.25">
      <c r="H104" s="1"/>
      <c r="R104" s="1"/>
    </row>
    <row r="105" spans="8:18" x14ac:dyDescent="0.25">
      <c r="H105" s="1"/>
      <c r="R105" s="1"/>
    </row>
    <row r="106" spans="8:18" x14ac:dyDescent="0.25">
      <c r="H106" s="1"/>
      <c r="R106" s="1"/>
    </row>
    <row r="107" spans="8:18" x14ac:dyDescent="0.25">
      <c r="H107" s="1"/>
      <c r="R107" s="1"/>
    </row>
    <row r="108" spans="8:18" x14ac:dyDescent="0.25">
      <c r="H108" s="1"/>
      <c r="R108" s="1"/>
    </row>
    <row r="109" spans="8:18" x14ac:dyDescent="0.25">
      <c r="H109" s="1"/>
      <c r="R109" s="1"/>
    </row>
    <row r="110" spans="8:18" x14ac:dyDescent="0.25">
      <c r="H110" s="1"/>
      <c r="R110" s="1"/>
    </row>
    <row r="111" spans="8:18" x14ac:dyDescent="0.25">
      <c r="H111" s="1"/>
      <c r="R111" s="1"/>
    </row>
    <row r="112" spans="8:18" x14ac:dyDescent="0.25">
      <c r="H112" s="1"/>
      <c r="R112" s="1"/>
    </row>
    <row r="113" spans="8:18" x14ac:dyDescent="0.25">
      <c r="H113" s="1"/>
      <c r="R113" s="1"/>
    </row>
    <row r="114" spans="8:18" x14ac:dyDescent="0.25">
      <c r="H114" s="1"/>
      <c r="R114" s="1"/>
    </row>
    <row r="115" spans="8:18" x14ac:dyDescent="0.25">
      <c r="H115" s="1"/>
      <c r="R115" s="1"/>
    </row>
    <row r="116" spans="8:18" x14ac:dyDescent="0.25">
      <c r="H116" s="1"/>
      <c r="R116" s="1"/>
    </row>
    <row r="117" spans="8:18" x14ac:dyDescent="0.25">
      <c r="H117" s="1"/>
      <c r="R117" s="1"/>
    </row>
    <row r="118" spans="8:18" x14ac:dyDescent="0.25">
      <c r="H118" s="1"/>
      <c r="R118" s="1"/>
    </row>
    <row r="119" spans="8:18" x14ac:dyDescent="0.25">
      <c r="H119" s="1"/>
      <c r="R119" s="1"/>
    </row>
    <row r="120" spans="8:18" x14ac:dyDescent="0.25">
      <c r="H120" s="1"/>
      <c r="R120" s="1"/>
    </row>
    <row r="121" spans="8:18" x14ac:dyDescent="0.25">
      <c r="H121" s="1"/>
      <c r="R121" s="1"/>
    </row>
    <row r="122" spans="8:18" x14ac:dyDescent="0.25">
      <c r="H122" s="1"/>
      <c r="R122" s="1"/>
    </row>
    <row r="123" spans="8:18" x14ac:dyDescent="0.25">
      <c r="H123" s="1"/>
      <c r="R123" s="1"/>
    </row>
    <row r="124" spans="8:18" x14ac:dyDescent="0.25">
      <c r="H124" s="1"/>
      <c r="R124" s="1"/>
    </row>
    <row r="125" spans="8:18" x14ac:dyDescent="0.25">
      <c r="H125" s="1"/>
      <c r="R125" s="1"/>
    </row>
    <row r="126" spans="8:18" x14ac:dyDescent="0.25">
      <c r="H126" s="1"/>
      <c r="R126" s="1"/>
    </row>
    <row r="127" spans="8:18" x14ac:dyDescent="0.25">
      <c r="H127" s="1"/>
      <c r="R127" s="1"/>
    </row>
    <row r="128" spans="8:18" x14ac:dyDescent="0.25">
      <c r="H128" s="1"/>
      <c r="R128" s="1"/>
    </row>
    <row r="129" spans="8:18" x14ac:dyDescent="0.25">
      <c r="H129" s="1"/>
      <c r="R129" s="1"/>
    </row>
    <row r="130" spans="8:18" x14ac:dyDescent="0.25">
      <c r="H130" s="1"/>
      <c r="R130" s="1"/>
    </row>
    <row r="131" spans="8:18" x14ac:dyDescent="0.25">
      <c r="H131" s="1"/>
      <c r="R131" s="1"/>
    </row>
    <row r="132" spans="8:18" x14ac:dyDescent="0.25">
      <c r="H132" s="1"/>
      <c r="R132" s="1"/>
    </row>
    <row r="133" spans="8:18" x14ac:dyDescent="0.25">
      <c r="H133" s="1"/>
      <c r="R133" s="1"/>
    </row>
    <row r="134" spans="8:18" x14ac:dyDescent="0.25">
      <c r="H134" s="1"/>
      <c r="R134" s="1"/>
    </row>
    <row r="135" spans="8:18" x14ac:dyDescent="0.25">
      <c r="H135" s="1"/>
      <c r="R135" s="1"/>
    </row>
    <row r="136" spans="8:18" x14ac:dyDescent="0.25">
      <c r="H136" s="1"/>
      <c r="R136" s="1"/>
    </row>
    <row r="137" spans="8:18" x14ac:dyDescent="0.25">
      <c r="H137" s="1"/>
      <c r="R137" s="1"/>
    </row>
    <row r="138" spans="8:18" x14ac:dyDescent="0.25">
      <c r="H138" s="1"/>
      <c r="R138" s="1"/>
    </row>
    <row r="139" spans="8:18" x14ac:dyDescent="0.25">
      <c r="H139" s="1"/>
      <c r="R139" s="1"/>
    </row>
    <row r="140" spans="8:18" x14ac:dyDescent="0.25">
      <c r="H140" s="1"/>
      <c r="R140" s="1"/>
    </row>
    <row r="141" spans="8:18" x14ac:dyDescent="0.25">
      <c r="H141" s="1"/>
      <c r="R141" s="1"/>
    </row>
    <row r="142" spans="8:18" x14ac:dyDescent="0.25">
      <c r="H142" s="1"/>
      <c r="R142" s="1"/>
    </row>
    <row r="143" spans="8:18" x14ac:dyDescent="0.25">
      <c r="H143" s="1"/>
      <c r="R143" s="1"/>
    </row>
    <row r="144" spans="8:18" x14ac:dyDescent="0.25">
      <c r="H144" s="1"/>
      <c r="R144" s="1"/>
    </row>
    <row r="145" spans="8:18" x14ac:dyDescent="0.25">
      <c r="H145" s="1"/>
      <c r="R145" s="1"/>
    </row>
    <row r="146" spans="8:18" x14ac:dyDescent="0.25">
      <c r="H146" s="1"/>
      <c r="R146" s="1"/>
    </row>
    <row r="147" spans="8:18" x14ac:dyDescent="0.25">
      <c r="H147" s="1"/>
      <c r="R147" s="1"/>
    </row>
    <row r="148" spans="8:18" x14ac:dyDescent="0.25">
      <c r="H148" s="1"/>
      <c r="R148" s="1"/>
    </row>
    <row r="149" spans="8:18" x14ac:dyDescent="0.25">
      <c r="H149" s="1"/>
      <c r="R149" s="1"/>
    </row>
    <row r="150" spans="8:18" x14ac:dyDescent="0.25">
      <c r="H150" s="1"/>
      <c r="R150" s="1"/>
    </row>
    <row r="151" spans="8:18" x14ac:dyDescent="0.25">
      <c r="H151" s="1"/>
      <c r="R151" s="1"/>
    </row>
    <row r="152" spans="8:18" x14ac:dyDescent="0.25">
      <c r="H152" s="1"/>
      <c r="R152" s="1"/>
    </row>
    <row r="153" spans="8:18" x14ac:dyDescent="0.25">
      <c r="H153" s="1"/>
      <c r="R153" s="1"/>
    </row>
    <row r="154" spans="8:18" x14ac:dyDescent="0.25">
      <c r="H154" s="1"/>
      <c r="R154" s="1"/>
    </row>
    <row r="155" spans="8:18" x14ac:dyDescent="0.25">
      <c r="H155" s="1"/>
      <c r="R155" s="1"/>
    </row>
    <row r="156" spans="8:18" x14ac:dyDescent="0.25">
      <c r="H156" s="1"/>
      <c r="R156" s="1"/>
    </row>
    <row r="157" spans="8:18" x14ac:dyDescent="0.25">
      <c r="H157" s="1"/>
      <c r="R157" s="1"/>
    </row>
    <row r="158" spans="8:18" x14ac:dyDescent="0.25">
      <c r="H158" s="1"/>
      <c r="R158" s="1"/>
    </row>
    <row r="159" spans="8:18" x14ac:dyDescent="0.25">
      <c r="H159" s="1"/>
      <c r="R159" s="1"/>
    </row>
    <row r="160" spans="8:18" x14ac:dyDescent="0.25">
      <c r="H160" s="1"/>
      <c r="R160" s="1"/>
    </row>
    <row r="161" spans="8:18" x14ac:dyDescent="0.25">
      <c r="H161" s="1"/>
      <c r="R161" s="1"/>
    </row>
    <row r="162" spans="8:18" x14ac:dyDescent="0.25">
      <c r="H162" s="1"/>
      <c r="R162" s="1"/>
    </row>
    <row r="163" spans="8:18" x14ac:dyDescent="0.25">
      <c r="H163" s="1"/>
      <c r="R163" s="1"/>
    </row>
    <row r="164" spans="8:18" x14ac:dyDescent="0.25">
      <c r="H164" s="1"/>
      <c r="R164" s="1"/>
    </row>
    <row r="165" spans="8:18" x14ac:dyDescent="0.25">
      <c r="H165" s="1"/>
      <c r="R165" s="1"/>
    </row>
    <row r="166" spans="8:18" x14ac:dyDescent="0.25">
      <c r="H166" s="1"/>
      <c r="R166" s="1"/>
    </row>
    <row r="167" spans="8:18" x14ac:dyDescent="0.25">
      <c r="H167" s="1"/>
      <c r="R167" s="1"/>
    </row>
    <row r="168" spans="8:18" x14ac:dyDescent="0.25">
      <c r="H168" s="1"/>
      <c r="R168" s="1"/>
    </row>
    <row r="169" spans="8:18" x14ac:dyDescent="0.25">
      <c r="H169" s="1"/>
      <c r="R169" s="1"/>
    </row>
    <row r="170" spans="8:18" x14ac:dyDescent="0.25">
      <c r="H170" s="1"/>
      <c r="R170" s="1"/>
    </row>
    <row r="171" spans="8:18" x14ac:dyDescent="0.25">
      <c r="H171" s="1"/>
      <c r="R171" s="1"/>
    </row>
    <row r="172" spans="8:18" x14ac:dyDescent="0.25">
      <c r="H172" s="1"/>
      <c r="R172" s="1"/>
    </row>
    <row r="173" spans="8:18" x14ac:dyDescent="0.25">
      <c r="H173" s="1"/>
      <c r="R173" s="1"/>
    </row>
    <row r="174" spans="8:18" x14ac:dyDescent="0.25">
      <c r="H174" s="1"/>
      <c r="R174" s="1"/>
    </row>
    <row r="175" spans="8:18" x14ac:dyDescent="0.25">
      <c r="H175" s="1"/>
      <c r="R175" s="1"/>
    </row>
    <row r="176" spans="8:18" x14ac:dyDescent="0.25">
      <c r="H176" s="1"/>
      <c r="R176" s="1"/>
    </row>
    <row r="177" spans="8:18" x14ac:dyDescent="0.25">
      <c r="H177" s="1"/>
      <c r="R177" s="1"/>
    </row>
    <row r="178" spans="8:18" x14ac:dyDescent="0.25">
      <c r="H178" s="1"/>
      <c r="R178" s="1"/>
    </row>
    <row r="179" spans="8:18" x14ac:dyDescent="0.25">
      <c r="H179" s="1"/>
      <c r="R179" s="1"/>
    </row>
    <row r="180" spans="8:18" x14ac:dyDescent="0.25">
      <c r="H180" s="1"/>
      <c r="R180" s="1"/>
    </row>
    <row r="181" spans="8:18" x14ac:dyDescent="0.25">
      <c r="H181" s="1"/>
      <c r="R181" s="1"/>
    </row>
    <row r="182" spans="8:18" x14ac:dyDescent="0.25">
      <c r="H182" s="1"/>
      <c r="R182" s="1"/>
    </row>
    <row r="183" spans="8:18" x14ac:dyDescent="0.25">
      <c r="H183" s="1"/>
      <c r="R183" s="1"/>
    </row>
    <row r="184" spans="8:18" x14ac:dyDescent="0.25">
      <c r="H184" s="1"/>
      <c r="R184" s="1"/>
    </row>
    <row r="185" spans="8:18" x14ac:dyDescent="0.25">
      <c r="H185" s="1"/>
      <c r="R185" s="1"/>
    </row>
    <row r="186" spans="8:18" x14ac:dyDescent="0.25">
      <c r="H186" s="1"/>
      <c r="R186" s="1"/>
    </row>
    <row r="187" spans="8:18" x14ac:dyDescent="0.25">
      <c r="H187" s="1"/>
      <c r="R187" s="1"/>
    </row>
    <row r="188" spans="8:18" x14ac:dyDescent="0.25">
      <c r="H188" s="1"/>
      <c r="R188" s="1"/>
    </row>
    <row r="189" spans="8:18" x14ac:dyDescent="0.25">
      <c r="H189" s="1"/>
      <c r="R189" s="1"/>
    </row>
    <row r="190" spans="8:18" x14ac:dyDescent="0.25">
      <c r="H190" s="1"/>
      <c r="R190" s="1"/>
    </row>
    <row r="191" spans="8:18" x14ac:dyDescent="0.25">
      <c r="H191" s="1"/>
      <c r="R191" s="1"/>
    </row>
    <row r="192" spans="8:18" x14ac:dyDescent="0.25">
      <c r="H192" s="1"/>
      <c r="R192" s="1"/>
    </row>
    <row r="193" spans="8:18" x14ac:dyDescent="0.25">
      <c r="H193" s="1"/>
      <c r="R193" s="1"/>
    </row>
    <row r="194" spans="8:18" x14ac:dyDescent="0.25">
      <c r="H194" s="1"/>
      <c r="R194" s="1"/>
    </row>
    <row r="195" spans="8:18" x14ac:dyDescent="0.25">
      <c r="H195" s="1"/>
      <c r="R195" s="1"/>
    </row>
    <row r="196" spans="8:18" x14ac:dyDescent="0.25">
      <c r="H196" s="1"/>
      <c r="R196" s="1"/>
    </row>
    <row r="197" spans="8:18" x14ac:dyDescent="0.25">
      <c r="H197" s="1"/>
      <c r="R197" s="1"/>
    </row>
    <row r="198" spans="8:18" x14ac:dyDescent="0.25">
      <c r="H198" s="1"/>
      <c r="R198" s="1"/>
    </row>
    <row r="199" spans="8:18" x14ac:dyDescent="0.25">
      <c r="H199" s="1"/>
      <c r="R199" s="1"/>
    </row>
    <row r="200" spans="8:18" x14ac:dyDescent="0.25">
      <c r="H200" s="1"/>
      <c r="R200" s="1"/>
    </row>
    <row r="201" spans="8:18" x14ac:dyDescent="0.25">
      <c r="H201" s="1"/>
      <c r="R201" s="1"/>
    </row>
    <row r="202" spans="8:18" x14ac:dyDescent="0.25">
      <c r="H202" s="1"/>
      <c r="R202" s="1"/>
    </row>
    <row r="203" spans="8:18" x14ac:dyDescent="0.25">
      <c r="H203" s="1"/>
      <c r="R203" s="1"/>
    </row>
    <row r="204" spans="8:18" x14ac:dyDescent="0.25">
      <c r="H204" s="1"/>
      <c r="R204" s="1"/>
    </row>
    <row r="205" spans="8:18" x14ac:dyDescent="0.25">
      <c r="H205" s="1"/>
      <c r="R205" s="1"/>
    </row>
    <row r="206" spans="8:18" x14ac:dyDescent="0.25">
      <c r="H206" s="1"/>
      <c r="R206" s="1"/>
    </row>
    <row r="207" spans="8:18" x14ac:dyDescent="0.25">
      <c r="H207" s="1"/>
      <c r="R207" s="1"/>
    </row>
    <row r="208" spans="8:18" x14ac:dyDescent="0.25">
      <c r="H208" s="1"/>
      <c r="R208" s="1"/>
    </row>
    <row r="209" spans="8:18" x14ac:dyDescent="0.25">
      <c r="H209" s="1"/>
      <c r="R209" s="1"/>
    </row>
    <row r="210" spans="8:18" x14ac:dyDescent="0.25">
      <c r="H210" s="1"/>
      <c r="R210" s="1"/>
    </row>
    <row r="211" spans="8:18" x14ac:dyDescent="0.25">
      <c r="H211" s="1"/>
      <c r="R211" s="1"/>
    </row>
    <row r="212" spans="8:18" x14ac:dyDescent="0.25">
      <c r="H212" s="1"/>
      <c r="R212" s="1"/>
    </row>
    <row r="213" spans="8:18" x14ac:dyDescent="0.25">
      <c r="H213" s="1"/>
      <c r="R213" s="1"/>
    </row>
    <row r="214" spans="8:18" x14ac:dyDescent="0.25">
      <c r="H214" s="1"/>
      <c r="R214" s="1"/>
    </row>
    <row r="215" spans="8:18" x14ac:dyDescent="0.25">
      <c r="H215" s="1"/>
      <c r="R215" s="1"/>
    </row>
    <row r="216" spans="8:18" x14ac:dyDescent="0.25">
      <c r="H216" s="1"/>
      <c r="R216" s="1"/>
    </row>
    <row r="217" spans="8:18" x14ac:dyDescent="0.25">
      <c r="H217" s="1"/>
      <c r="R217" s="1"/>
    </row>
    <row r="218" spans="8:18" x14ac:dyDescent="0.25">
      <c r="H218" s="1"/>
      <c r="R218" s="1"/>
    </row>
    <row r="219" spans="8:18" x14ac:dyDescent="0.25">
      <c r="H219" s="1"/>
      <c r="R219" s="1"/>
    </row>
    <row r="220" spans="8:18" x14ac:dyDescent="0.25">
      <c r="H220" s="1"/>
      <c r="R220" s="1"/>
    </row>
    <row r="221" spans="8:18" x14ac:dyDescent="0.25">
      <c r="H221" s="1"/>
      <c r="R221" s="1"/>
    </row>
    <row r="222" spans="8:18" x14ac:dyDescent="0.25">
      <c r="H222" s="1"/>
      <c r="R222" s="1"/>
    </row>
    <row r="223" spans="8:18" x14ac:dyDescent="0.25">
      <c r="H223" s="1"/>
      <c r="R223" s="1"/>
    </row>
    <row r="224" spans="8:18" x14ac:dyDescent="0.25">
      <c r="H224" s="1"/>
      <c r="R224" s="1"/>
    </row>
    <row r="225" spans="8:18" x14ac:dyDescent="0.25">
      <c r="H225" s="1"/>
      <c r="R225" s="1"/>
    </row>
    <row r="226" spans="8:18" x14ac:dyDescent="0.25">
      <c r="H226" s="1"/>
      <c r="R226" s="1"/>
    </row>
    <row r="227" spans="8:18" x14ac:dyDescent="0.25">
      <c r="H227" s="1"/>
      <c r="R227" s="1"/>
    </row>
    <row r="228" spans="8:18" x14ac:dyDescent="0.25">
      <c r="H228" s="1"/>
      <c r="R228" s="1"/>
    </row>
    <row r="229" spans="8:18" x14ac:dyDescent="0.25">
      <c r="H229" s="1"/>
      <c r="R229" s="1"/>
    </row>
    <row r="230" spans="8:18" x14ac:dyDescent="0.25">
      <c r="H230" s="1"/>
      <c r="R230" s="1"/>
    </row>
    <row r="231" spans="8:18" x14ac:dyDescent="0.25">
      <c r="H231" s="1"/>
      <c r="R231" s="1"/>
    </row>
    <row r="232" spans="8:18" x14ac:dyDescent="0.25">
      <c r="H232" s="1"/>
      <c r="R232" s="1"/>
    </row>
    <row r="233" spans="8:18" x14ac:dyDescent="0.25">
      <c r="H233" s="1"/>
      <c r="R233" s="1"/>
    </row>
    <row r="234" spans="8:18" x14ac:dyDescent="0.25">
      <c r="H234" s="1"/>
      <c r="R234" s="1"/>
    </row>
    <row r="235" spans="8:18" x14ac:dyDescent="0.25">
      <c r="H235" s="1"/>
      <c r="R235" s="1"/>
    </row>
    <row r="236" spans="8:18" x14ac:dyDescent="0.25">
      <c r="H236" s="1"/>
      <c r="R236" s="1"/>
    </row>
    <row r="237" spans="8:18" x14ac:dyDescent="0.25">
      <c r="H237" s="1"/>
      <c r="R237" s="1"/>
    </row>
    <row r="238" spans="8:18" x14ac:dyDescent="0.25">
      <c r="H238" s="1"/>
      <c r="R238" s="1"/>
    </row>
    <row r="239" spans="8:18" x14ac:dyDescent="0.25">
      <c r="H239" s="1"/>
      <c r="R239" s="1"/>
    </row>
    <row r="240" spans="8:18" x14ac:dyDescent="0.25">
      <c r="H240" s="1"/>
      <c r="R240" s="1"/>
    </row>
    <row r="241" spans="8:18" x14ac:dyDescent="0.25">
      <c r="H241" s="1"/>
      <c r="R241" s="1"/>
    </row>
    <row r="242" spans="8:18" x14ac:dyDescent="0.25">
      <c r="H242" s="1"/>
      <c r="R242" s="1"/>
    </row>
    <row r="243" spans="8:18" x14ac:dyDescent="0.25">
      <c r="H243" s="1"/>
      <c r="R243" s="1"/>
    </row>
    <row r="244" spans="8:18" x14ac:dyDescent="0.25">
      <c r="H244" s="1"/>
      <c r="R244" s="1"/>
    </row>
    <row r="245" spans="8:18" x14ac:dyDescent="0.25">
      <c r="H245" s="1"/>
      <c r="R245" s="1"/>
    </row>
    <row r="246" spans="8:18" x14ac:dyDescent="0.25">
      <c r="H246" s="1"/>
      <c r="R246" s="1"/>
    </row>
    <row r="247" spans="8:18" x14ac:dyDescent="0.25">
      <c r="H247" s="1"/>
      <c r="R247" s="1"/>
    </row>
    <row r="248" spans="8:18" x14ac:dyDescent="0.25">
      <c r="H248" s="1"/>
      <c r="R248" s="1"/>
    </row>
    <row r="249" spans="8:18" x14ac:dyDescent="0.25">
      <c r="H249" s="1"/>
      <c r="R249" s="1"/>
    </row>
    <row r="250" spans="8:18" x14ac:dyDescent="0.25">
      <c r="H250" s="1"/>
      <c r="R250" s="1"/>
    </row>
    <row r="251" spans="8:18" x14ac:dyDescent="0.25">
      <c r="H251" s="1"/>
      <c r="R251" s="1"/>
    </row>
    <row r="252" spans="8:18" x14ac:dyDescent="0.25">
      <c r="H252" s="1"/>
      <c r="R252" s="1"/>
    </row>
    <row r="253" spans="8:18" x14ac:dyDescent="0.25">
      <c r="H253" s="1"/>
      <c r="R253" s="1"/>
    </row>
    <row r="254" spans="8:18" x14ac:dyDescent="0.25">
      <c r="H254" s="1"/>
      <c r="R254" s="1"/>
    </row>
    <row r="255" spans="8:18" x14ac:dyDescent="0.25">
      <c r="H255" s="1"/>
      <c r="R255" s="1"/>
    </row>
    <row r="256" spans="8:18" x14ac:dyDescent="0.25">
      <c r="H256" s="1"/>
      <c r="R256" s="1"/>
    </row>
    <row r="257" spans="8:18" x14ac:dyDescent="0.25">
      <c r="H257" s="1"/>
      <c r="R257" s="1"/>
    </row>
    <row r="258" spans="8:18" x14ac:dyDescent="0.25">
      <c r="H258" s="1"/>
      <c r="R258" s="1"/>
    </row>
    <row r="259" spans="8:18" x14ac:dyDescent="0.25">
      <c r="H259" s="1"/>
      <c r="R259" s="1"/>
    </row>
    <row r="260" spans="8:18" x14ac:dyDescent="0.25">
      <c r="H260" s="1"/>
      <c r="R260" s="1"/>
    </row>
    <row r="261" spans="8:18" x14ac:dyDescent="0.25">
      <c r="H261" s="1"/>
      <c r="R261" s="1"/>
    </row>
    <row r="262" spans="8:18" x14ac:dyDescent="0.25">
      <c r="H262" s="1"/>
      <c r="R262" s="1"/>
    </row>
    <row r="263" spans="8:18" x14ac:dyDescent="0.25">
      <c r="H263" s="1"/>
      <c r="R263" s="1"/>
    </row>
    <row r="264" spans="8:18" x14ac:dyDescent="0.25">
      <c r="H264" s="1"/>
      <c r="R264" s="1"/>
    </row>
    <row r="265" spans="8:18" x14ac:dyDescent="0.25">
      <c r="H265" s="1"/>
      <c r="R265" s="1"/>
    </row>
    <row r="266" spans="8:18" x14ac:dyDescent="0.25">
      <c r="H266" s="1"/>
      <c r="R266" s="1"/>
    </row>
    <row r="267" spans="8:18" x14ac:dyDescent="0.25">
      <c r="H267" s="1"/>
      <c r="R267" s="1"/>
    </row>
    <row r="268" spans="8:18" x14ac:dyDescent="0.25">
      <c r="H268" s="1"/>
      <c r="R268" s="1"/>
    </row>
    <row r="269" spans="8:18" x14ac:dyDescent="0.25">
      <c r="H269" s="1"/>
      <c r="R269" s="1"/>
    </row>
    <row r="270" spans="8:18" x14ac:dyDescent="0.25">
      <c r="H270" s="1"/>
      <c r="R270" s="1"/>
    </row>
    <row r="271" spans="8:18" x14ac:dyDescent="0.25">
      <c r="H271" s="1"/>
      <c r="R271" s="1"/>
    </row>
    <row r="272" spans="8:18" x14ac:dyDescent="0.25">
      <c r="H272" s="1"/>
      <c r="R272" s="1"/>
    </row>
    <row r="273" spans="8:18" x14ac:dyDescent="0.25">
      <c r="H273" s="1"/>
      <c r="R273" s="1"/>
    </row>
    <row r="274" spans="8:18" x14ac:dyDescent="0.25">
      <c r="H274" s="1"/>
      <c r="R274" s="1"/>
    </row>
    <row r="275" spans="8:18" x14ac:dyDescent="0.25">
      <c r="H275" s="1"/>
      <c r="R275" s="1"/>
    </row>
    <row r="276" spans="8:18" x14ac:dyDescent="0.25">
      <c r="H276" s="1"/>
      <c r="R276" s="1"/>
    </row>
    <row r="277" spans="8:18" x14ac:dyDescent="0.25">
      <c r="H277" s="1"/>
      <c r="R277" s="1"/>
    </row>
    <row r="278" spans="8:18" x14ac:dyDescent="0.25">
      <c r="H278" s="1"/>
      <c r="R278" s="1"/>
    </row>
    <row r="279" spans="8:18" x14ac:dyDescent="0.25">
      <c r="H279" s="1"/>
      <c r="R279" s="1"/>
    </row>
    <row r="280" spans="8:18" x14ac:dyDescent="0.25">
      <c r="H280" s="1"/>
      <c r="R280" s="1"/>
    </row>
    <row r="281" spans="8:18" x14ac:dyDescent="0.25">
      <c r="H281" s="1"/>
      <c r="R281" s="1"/>
    </row>
    <row r="282" spans="8:18" x14ac:dyDescent="0.25">
      <c r="H282" s="1"/>
      <c r="R282" s="1"/>
    </row>
    <row r="283" spans="8:18" x14ac:dyDescent="0.25">
      <c r="H283" s="1"/>
      <c r="R283" s="1"/>
    </row>
    <row r="284" spans="8:18" x14ac:dyDescent="0.25">
      <c r="H284" s="1"/>
      <c r="R284" s="1"/>
    </row>
    <row r="285" spans="8:18" x14ac:dyDescent="0.25">
      <c r="H285" s="1"/>
      <c r="R285" s="1"/>
    </row>
    <row r="286" spans="8:18" x14ac:dyDescent="0.25">
      <c r="H286" s="1"/>
      <c r="R286" s="1"/>
    </row>
    <row r="287" spans="8:18" x14ac:dyDescent="0.25">
      <c r="H287" s="1"/>
      <c r="R287" s="1"/>
    </row>
    <row r="288" spans="8:18" x14ac:dyDescent="0.25">
      <c r="H288" s="1"/>
      <c r="R288" s="1"/>
    </row>
    <row r="289" spans="8:18" x14ac:dyDescent="0.25">
      <c r="H289" s="1"/>
      <c r="R289" s="1"/>
    </row>
    <row r="290" spans="8:18" x14ac:dyDescent="0.25">
      <c r="H290" s="1"/>
      <c r="R290" s="1"/>
    </row>
    <row r="291" spans="8:18" x14ac:dyDescent="0.25">
      <c r="H291" s="1"/>
      <c r="R291" s="1"/>
    </row>
    <row r="292" spans="8:18" x14ac:dyDescent="0.25">
      <c r="H292" s="1"/>
      <c r="R292" s="1"/>
    </row>
    <row r="293" spans="8:18" x14ac:dyDescent="0.25">
      <c r="H293" s="1"/>
      <c r="R293" s="1"/>
    </row>
    <row r="294" spans="8:18" x14ac:dyDescent="0.25">
      <c r="H294" s="1"/>
      <c r="R294" s="1"/>
    </row>
    <row r="295" spans="8:18" x14ac:dyDescent="0.25">
      <c r="H295" s="1"/>
      <c r="R295" s="1"/>
    </row>
    <row r="296" spans="8:18" x14ac:dyDescent="0.25">
      <c r="H296" s="1"/>
      <c r="R296" s="1"/>
    </row>
    <row r="297" spans="8:18" x14ac:dyDescent="0.25">
      <c r="H297" s="1"/>
      <c r="R297" s="1"/>
    </row>
    <row r="298" spans="8:18" x14ac:dyDescent="0.25">
      <c r="H298" s="1"/>
      <c r="R298" s="1"/>
    </row>
    <row r="299" spans="8:18" x14ac:dyDescent="0.25">
      <c r="H299" s="1"/>
      <c r="R299" s="1"/>
    </row>
    <row r="300" spans="8:18" x14ac:dyDescent="0.25">
      <c r="H300" s="1"/>
      <c r="R300" s="1"/>
    </row>
    <row r="301" spans="8:18" x14ac:dyDescent="0.25">
      <c r="H301" s="1"/>
      <c r="R301" s="1"/>
    </row>
    <row r="302" spans="8:18" x14ac:dyDescent="0.25">
      <c r="H302" s="1"/>
      <c r="R302" s="1"/>
    </row>
    <row r="303" spans="8:18" x14ac:dyDescent="0.25">
      <c r="H303" s="1"/>
      <c r="R303" s="1"/>
    </row>
    <row r="304" spans="8:18" x14ac:dyDescent="0.25">
      <c r="H304" s="1"/>
      <c r="R304" s="1"/>
    </row>
    <row r="305" spans="8:18" x14ac:dyDescent="0.25">
      <c r="H305" s="1"/>
      <c r="R305" s="1"/>
    </row>
    <row r="306" spans="8:18" x14ac:dyDescent="0.25">
      <c r="H306" s="1"/>
      <c r="R306" s="1"/>
    </row>
    <row r="307" spans="8:18" x14ac:dyDescent="0.25">
      <c r="H307" s="1"/>
      <c r="R307" s="1"/>
    </row>
    <row r="308" spans="8:18" x14ac:dyDescent="0.25">
      <c r="H308" s="1"/>
      <c r="R308" s="1"/>
    </row>
    <row r="309" spans="8:18" x14ac:dyDescent="0.25">
      <c r="H309" s="1"/>
      <c r="R309" s="1"/>
    </row>
    <row r="310" spans="8:18" x14ac:dyDescent="0.25">
      <c r="H310" s="1"/>
      <c r="R310" s="1"/>
    </row>
    <row r="311" spans="8:18" x14ac:dyDescent="0.25">
      <c r="H311" s="1"/>
      <c r="R311" s="1"/>
    </row>
    <row r="312" spans="8:18" x14ac:dyDescent="0.25">
      <c r="H312" s="1"/>
      <c r="R312" s="1"/>
    </row>
    <row r="313" spans="8:18" x14ac:dyDescent="0.25">
      <c r="H313" s="1"/>
      <c r="R313" s="1"/>
    </row>
    <row r="314" spans="8:18" x14ac:dyDescent="0.25">
      <c r="H314" s="1"/>
      <c r="R314" s="1"/>
    </row>
    <row r="315" spans="8:18" x14ac:dyDescent="0.25">
      <c r="H315" s="1"/>
      <c r="R315" s="1"/>
    </row>
    <row r="316" spans="8:18" x14ac:dyDescent="0.25">
      <c r="H316" s="1"/>
      <c r="R316" s="1"/>
    </row>
    <row r="317" spans="8:18" x14ac:dyDescent="0.25">
      <c r="H317" s="1"/>
      <c r="R317" s="1"/>
    </row>
    <row r="318" spans="8:18" x14ac:dyDescent="0.25">
      <c r="H318" s="1"/>
      <c r="R318" s="1"/>
    </row>
    <row r="319" spans="8:18" x14ac:dyDescent="0.25">
      <c r="H319" s="1"/>
      <c r="R319" s="1"/>
    </row>
    <row r="320" spans="8:18" x14ac:dyDescent="0.25">
      <c r="H320" s="1"/>
      <c r="R320" s="1"/>
    </row>
    <row r="321" spans="8:18" x14ac:dyDescent="0.25">
      <c r="H321" s="1"/>
      <c r="R321" s="1"/>
    </row>
    <row r="322" spans="8:18" x14ac:dyDescent="0.25">
      <c r="H322" s="1"/>
      <c r="R322" s="1"/>
    </row>
    <row r="323" spans="8:18" x14ac:dyDescent="0.25">
      <c r="H323" s="1"/>
      <c r="R323" s="1"/>
    </row>
    <row r="324" spans="8:18" x14ac:dyDescent="0.25">
      <c r="H324" s="1"/>
      <c r="R324" s="1"/>
    </row>
    <row r="325" spans="8:18" x14ac:dyDescent="0.25">
      <c r="H325" s="1"/>
      <c r="R325" s="1"/>
    </row>
    <row r="326" spans="8:18" x14ac:dyDescent="0.25">
      <c r="H326" s="1"/>
      <c r="R326" s="1"/>
    </row>
    <row r="327" spans="8:18" x14ac:dyDescent="0.25">
      <c r="H327" s="1"/>
      <c r="R327" s="1"/>
    </row>
    <row r="328" spans="8:18" x14ac:dyDescent="0.25">
      <c r="H328" s="1"/>
      <c r="R328" s="1"/>
    </row>
    <row r="329" spans="8:18" x14ac:dyDescent="0.25">
      <c r="H329" s="1"/>
      <c r="R329" s="1"/>
    </row>
    <row r="330" spans="8:18" x14ac:dyDescent="0.25">
      <c r="H330" s="1"/>
      <c r="R330" s="1"/>
    </row>
    <row r="331" spans="8:18" x14ac:dyDescent="0.25">
      <c r="H331" s="1"/>
      <c r="R331" s="1"/>
    </row>
    <row r="332" spans="8:18" x14ac:dyDescent="0.25">
      <c r="H332" s="1"/>
      <c r="R332" s="1"/>
    </row>
    <row r="333" spans="8:18" x14ac:dyDescent="0.25">
      <c r="H333" s="1"/>
      <c r="R333" s="1"/>
    </row>
    <row r="334" spans="8:18" x14ac:dyDescent="0.25">
      <c r="H334" s="1"/>
      <c r="R334" s="1"/>
    </row>
    <row r="335" spans="8:18" x14ac:dyDescent="0.25">
      <c r="H335" s="1"/>
      <c r="R335" s="1"/>
    </row>
    <row r="336" spans="8:18" x14ac:dyDescent="0.25">
      <c r="H336" s="1"/>
      <c r="R336" s="1"/>
    </row>
    <row r="337" spans="8:18" x14ac:dyDescent="0.25">
      <c r="H337" s="1"/>
      <c r="R337" s="1"/>
    </row>
    <row r="338" spans="8:18" x14ac:dyDescent="0.25">
      <c r="H338" s="1"/>
      <c r="R338" s="1"/>
    </row>
    <row r="339" spans="8:18" x14ac:dyDescent="0.25">
      <c r="H339" s="1"/>
      <c r="R339" s="1"/>
    </row>
    <row r="340" spans="8:18" x14ac:dyDescent="0.25">
      <c r="H340" s="1"/>
      <c r="R340" s="1"/>
    </row>
    <row r="341" spans="8:18" x14ac:dyDescent="0.25">
      <c r="H341" s="1"/>
      <c r="R341" s="1"/>
    </row>
    <row r="342" spans="8:18" x14ac:dyDescent="0.25">
      <c r="H342" s="1"/>
      <c r="R342" s="1"/>
    </row>
    <row r="343" spans="8:18" x14ac:dyDescent="0.25">
      <c r="H343" s="1"/>
      <c r="R343" s="1"/>
    </row>
    <row r="344" spans="8:18" x14ac:dyDescent="0.25">
      <c r="H344" s="1"/>
      <c r="R344" s="1"/>
    </row>
    <row r="345" spans="8:18" x14ac:dyDescent="0.25">
      <c r="H345" s="1"/>
      <c r="R345" s="1"/>
    </row>
    <row r="346" spans="8:18" x14ac:dyDescent="0.25">
      <c r="H346" s="1"/>
      <c r="R346" s="1"/>
    </row>
    <row r="347" spans="8:18" x14ac:dyDescent="0.25">
      <c r="H347" s="1"/>
      <c r="R347" s="1"/>
    </row>
    <row r="348" spans="8:18" x14ac:dyDescent="0.25">
      <c r="H348" s="1"/>
      <c r="R348" s="1"/>
    </row>
    <row r="349" spans="8:18" x14ac:dyDescent="0.25">
      <c r="H349" s="1"/>
      <c r="R349" s="1"/>
    </row>
    <row r="350" spans="8:18" x14ac:dyDescent="0.25">
      <c r="H350" s="1"/>
      <c r="R350" s="1"/>
    </row>
    <row r="351" spans="8:18" x14ac:dyDescent="0.25">
      <c r="H351" s="1"/>
      <c r="R351" s="1"/>
    </row>
    <row r="352" spans="8:18" x14ac:dyDescent="0.25">
      <c r="H352" s="1"/>
      <c r="R352" s="1"/>
    </row>
    <row r="353" spans="8:18" x14ac:dyDescent="0.25">
      <c r="H353" s="1"/>
      <c r="R353" s="1"/>
    </row>
    <row r="354" spans="8:18" x14ac:dyDescent="0.25">
      <c r="H354" s="1"/>
      <c r="R354" s="1"/>
    </row>
    <row r="355" spans="8:18" x14ac:dyDescent="0.25">
      <c r="H355" s="1"/>
      <c r="R355" s="1"/>
    </row>
    <row r="356" spans="8:18" x14ac:dyDescent="0.25">
      <c r="H356" s="1"/>
      <c r="R356" s="1"/>
    </row>
    <row r="357" spans="8:18" x14ac:dyDescent="0.25">
      <c r="H357" s="1"/>
      <c r="R357" s="1"/>
    </row>
    <row r="358" spans="8:18" x14ac:dyDescent="0.25">
      <c r="H358" s="1"/>
      <c r="R358" s="1"/>
    </row>
    <row r="359" spans="8:18" x14ac:dyDescent="0.25">
      <c r="H359" s="1"/>
      <c r="R359" s="1"/>
    </row>
    <row r="360" spans="8:18" x14ac:dyDescent="0.25">
      <c r="H360" s="1"/>
      <c r="R360" s="1"/>
    </row>
    <row r="361" spans="8:18" x14ac:dyDescent="0.25">
      <c r="H361" s="1"/>
      <c r="R361" s="1"/>
    </row>
    <row r="362" spans="8:18" x14ac:dyDescent="0.25">
      <c r="H362" s="1"/>
      <c r="R362" s="1"/>
    </row>
    <row r="363" spans="8:18" x14ac:dyDescent="0.25">
      <c r="H363" s="1"/>
      <c r="R363" s="1"/>
    </row>
    <row r="364" spans="8:18" x14ac:dyDescent="0.25">
      <c r="H364" s="1"/>
      <c r="R364" s="1"/>
    </row>
    <row r="365" spans="8:18" x14ac:dyDescent="0.25">
      <c r="H365" s="1"/>
      <c r="R365" s="1"/>
    </row>
    <row r="366" spans="8:18" x14ac:dyDescent="0.25">
      <c r="H366" s="1"/>
      <c r="R366" s="1"/>
    </row>
    <row r="367" spans="8:18" x14ac:dyDescent="0.25">
      <c r="H367" s="1"/>
      <c r="R367" s="1"/>
    </row>
    <row r="368" spans="8:18" x14ac:dyDescent="0.25">
      <c r="H368" s="1"/>
      <c r="R368" s="1"/>
    </row>
    <row r="369" spans="8:18" x14ac:dyDescent="0.25">
      <c r="H369" s="1"/>
      <c r="R369" s="1"/>
    </row>
    <row r="370" spans="8:18" x14ac:dyDescent="0.25">
      <c r="H370" s="1"/>
      <c r="R370" s="1"/>
    </row>
    <row r="371" spans="8:18" x14ac:dyDescent="0.25">
      <c r="H371" s="1"/>
      <c r="R371" s="1"/>
    </row>
    <row r="372" spans="8:18" x14ac:dyDescent="0.25">
      <c r="H372" s="1"/>
      <c r="R372" s="1"/>
    </row>
    <row r="373" spans="8:18" x14ac:dyDescent="0.25">
      <c r="H373" s="1"/>
      <c r="R373" s="1"/>
    </row>
    <row r="374" spans="8:18" x14ac:dyDescent="0.25">
      <c r="H374" s="1"/>
      <c r="R374" s="1"/>
    </row>
    <row r="375" spans="8:18" x14ac:dyDescent="0.25">
      <c r="H375" s="1"/>
      <c r="R375" s="1"/>
    </row>
    <row r="376" spans="8:18" x14ac:dyDescent="0.25">
      <c r="H376" s="1"/>
      <c r="R376" s="1"/>
    </row>
    <row r="377" spans="8:18" x14ac:dyDescent="0.25">
      <c r="H377" s="1"/>
      <c r="R377" s="1"/>
    </row>
    <row r="378" spans="8:18" x14ac:dyDescent="0.25">
      <c r="H378" s="1"/>
      <c r="R378" s="1"/>
    </row>
    <row r="379" spans="8:18" x14ac:dyDescent="0.25">
      <c r="H379" s="1"/>
      <c r="R379" s="1"/>
    </row>
    <row r="380" spans="8:18" x14ac:dyDescent="0.25">
      <c r="H380" s="1"/>
      <c r="R380" s="1"/>
    </row>
    <row r="381" spans="8:18" x14ac:dyDescent="0.25">
      <c r="H381" s="1"/>
      <c r="R381" s="1"/>
    </row>
    <row r="382" spans="8:18" x14ac:dyDescent="0.25">
      <c r="H382" s="1"/>
      <c r="R382" s="1"/>
    </row>
    <row r="383" spans="8:18" x14ac:dyDescent="0.25">
      <c r="H383" s="1"/>
      <c r="R383" s="1"/>
    </row>
    <row r="384" spans="8:18" x14ac:dyDescent="0.25">
      <c r="H384" s="1"/>
      <c r="R384" s="1"/>
    </row>
    <row r="385" spans="8:18" x14ac:dyDescent="0.25">
      <c r="H385" s="1"/>
      <c r="R385" s="1"/>
    </row>
    <row r="386" spans="8:18" x14ac:dyDescent="0.25">
      <c r="H386" s="1"/>
      <c r="R386" s="1"/>
    </row>
    <row r="387" spans="8:18" x14ac:dyDescent="0.25">
      <c r="H387" s="1"/>
      <c r="R387" s="1"/>
    </row>
    <row r="388" spans="8:18" x14ac:dyDescent="0.25">
      <c r="H388" s="1"/>
      <c r="R388" s="1"/>
    </row>
    <row r="389" spans="8:18" x14ac:dyDescent="0.25">
      <c r="H389" s="1"/>
      <c r="R389" s="1"/>
    </row>
    <row r="390" spans="8:18" x14ac:dyDescent="0.25">
      <c r="H390" s="1"/>
      <c r="R390" s="1"/>
    </row>
    <row r="391" spans="8:18" x14ac:dyDescent="0.25">
      <c r="H391" s="1"/>
      <c r="R391" s="1"/>
    </row>
    <row r="392" spans="8:18" x14ac:dyDescent="0.25">
      <c r="H392" s="1"/>
      <c r="R392" s="1"/>
    </row>
    <row r="393" spans="8:18" x14ac:dyDescent="0.25">
      <c r="H393" s="1"/>
      <c r="R393" s="1"/>
    </row>
    <row r="394" spans="8:18" x14ac:dyDescent="0.25">
      <c r="H394" s="1"/>
      <c r="R394" s="1"/>
    </row>
    <row r="395" spans="8:18" x14ac:dyDescent="0.25">
      <c r="H395" s="1"/>
      <c r="R395" s="1"/>
    </row>
    <row r="396" spans="8:18" x14ac:dyDescent="0.25">
      <c r="H396" s="1"/>
      <c r="R396" s="1"/>
    </row>
    <row r="397" spans="8:18" x14ac:dyDescent="0.25">
      <c r="H397" s="1"/>
      <c r="R397" s="1"/>
    </row>
    <row r="398" spans="8:18" x14ac:dyDescent="0.25">
      <c r="H398" s="1"/>
      <c r="R398" s="1"/>
    </row>
    <row r="399" spans="8:18" x14ac:dyDescent="0.25">
      <c r="H399" s="1"/>
      <c r="R399" s="1"/>
    </row>
    <row r="400" spans="8:18" x14ac:dyDescent="0.25">
      <c r="H400" s="1"/>
      <c r="R400" s="1"/>
    </row>
    <row r="401" spans="8:18" x14ac:dyDescent="0.25">
      <c r="H401" s="1"/>
      <c r="R401" s="1"/>
    </row>
    <row r="402" spans="8:18" x14ac:dyDescent="0.25">
      <c r="H402" s="1"/>
      <c r="R402" s="1"/>
    </row>
    <row r="403" spans="8:18" x14ac:dyDescent="0.25">
      <c r="H403" s="1"/>
      <c r="R403" s="1"/>
    </row>
    <row r="404" spans="8:18" x14ac:dyDescent="0.25">
      <c r="H404" s="1"/>
      <c r="R404" s="1"/>
    </row>
    <row r="405" spans="8:18" x14ac:dyDescent="0.25">
      <c r="H405" s="1"/>
      <c r="R405" s="1"/>
    </row>
    <row r="406" spans="8:18" x14ac:dyDescent="0.25">
      <c r="H406" s="1"/>
      <c r="R406" s="1"/>
    </row>
    <row r="407" spans="8:18" x14ac:dyDescent="0.25">
      <c r="H407" s="1"/>
      <c r="R407" s="1"/>
    </row>
    <row r="408" spans="8:18" x14ac:dyDescent="0.25">
      <c r="H408" s="1"/>
      <c r="R408" s="1"/>
    </row>
    <row r="409" spans="8:18" x14ac:dyDescent="0.25">
      <c r="H409" s="1"/>
      <c r="R409" s="1"/>
    </row>
    <row r="410" spans="8:18" x14ac:dyDescent="0.25">
      <c r="H410" s="1"/>
      <c r="R410" s="1"/>
    </row>
    <row r="411" spans="8:18" x14ac:dyDescent="0.25">
      <c r="H411" s="1"/>
      <c r="R411" s="1"/>
    </row>
    <row r="412" spans="8:18" x14ac:dyDescent="0.25">
      <c r="H412" s="1"/>
      <c r="R412" s="1"/>
    </row>
    <row r="413" spans="8:18" x14ac:dyDescent="0.25">
      <c r="H413" s="1"/>
      <c r="R413" s="1"/>
    </row>
    <row r="414" spans="8:18" x14ac:dyDescent="0.25">
      <c r="H414" s="1"/>
      <c r="R414" s="1"/>
    </row>
    <row r="415" spans="8:18" x14ac:dyDescent="0.25">
      <c r="H415" s="1"/>
      <c r="R415" s="1"/>
    </row>
    <row r="416" spans="8:18" x14ac:dyDescent="0.25">
      <c r="H416" s="1"/>
      <c r="R416" s="1"/>
    </row>
    <row r="417" spans="8:18" x14ac:dyDescent="0.25">
      <c r="H417" s="1"/>
      <c r="R417" s="1"/>
    </row>
    <row r="418" spans="8:18" x14ac:dyDescent="0.25">
      <c r="H418" s="1"/>
      <c r="R418" s="1"/>
    </row>
    <row r="419" spans="8:18" x14ac:dyDescent="0.25">
      <c r="H419" s="1"/>
      <c r="R419" s="1"/>
    </row>
    <row r="420" spans="8:18" x14ac:dyDescent="0.25">
      <c r="H420" s="1"/>
      <c r="R420" s="1"/>
    </row>
    <row r="421" spans="8:18" x14ac:dyDescent="0.25">
      <c r="H421" s="1"/>
      <c r="R421" s="1"/>
    </row>
    <row r="422" spans="8:18" x14ac:dyDescent="0.25">
      <c r="H422" s="1"/>
      <c r="R422" s="1"/>
    </row>
    <row r="423" spans="8:18" x14ac:dyDescent="0.25">
      <c r="H423" s="1"/>
      <c r="R423" s="1"/>
    </row>
    <row r="424" spans="8:18" x14ac:dyDescent="0.25">
      <c r="H424" s="1"/>
      <c r="R424" s="1"/>
    </row>
    <row r="425" spans="8:18" x14ac:dyDescent="0.25">
      <c r="H425" s="1"/>
      <c r="R425" s="1"/>
    </row>
    <row r="426" spans="8:18" x14ac:dyDescent="0.25">
      <c r="H426" s="1"/>
      <c r="R426" s="1"/>
    </row>
    <row r="427" spans="8:18" x14ac:dyDescent="0.25">
      <c r="H427" s="1"/>
      <c r="R427" s="1"/>
    </row>
    <row r="428" spans="8:18" x14ac:dyDescent="0.25">
      <c r="H428" s="1"/>
      <c r="R428" s="1"/>
    </row>
    <row r="429" spans="8:18" x14ac:dyDescent="0.25">
      <c r="H429" s="1"/>
      <c r="R429" s="1"/>
    </row>
    <row r="430" spans="8:18" x14ac:dyDescent="0.25">
      <c r="H430" s="1"/>
      <c r="R430" s="1"/>
    </row>
    <row r="431" spans="8:18" x14ac:dyDescent="0.25">
      <c r="H431" s="1"/>
      <c r="R431" s="1"/>
    </row>
    <row r="432" spans="8:18" x14ac:dyDescent="0.25">
      <c r="H432" s="1"/>
      <c r="R432" s="1"/>
    </row>
    <row r="433" spans="8:18" x14ac:dyDescent="0.25">
      <c r="H433" s="1"/>
      <c r="R433" s="1"/>
    </row>
    <row r="434" spans="8:18" x14ac:dyDescent="0.25">
      <c r="H434" s="1"/>
      <c r="R434" s="1"/>
    </row>
    <row r="435" spans="8:18" x14ac:dyDescent="0.25">
      <c r="H435" s="1"/>
      <c r="R435" s="1"/>
    </row>
    <row r="436" spans="8:18" x14ac:dyDescent="0.25">
      <c r="H436" s="1"/>
      <c r="R436" s="1"/>
    </row>
    <row r="437" spans="8:18" x14ac:dyDescent="0.25">
      <c r="H437" s="1"/>
      <c r="R437" s="1"/>
    </row>
    <row r="438" spans="8:18" x14ac:dyDescent="0.25">
      <c r="H438" s="1"/>
      <c r="R438" s="1"/>
    </row>
    <row r="439" spans="8:18" x14ac:dyDescent="0.25">
      <c r="H439" s="1"/>
      <c r="R439" s="1"/>
    </row>
    <row r="440" spans="8:18" x14ac:dyDescent="0.25">
      <c r="H440" s="1"/>
      <c r="R440" s="1"/>
    </row>
    <row r="441" spans="8:18" x14ac:dyDescent="0.25">
      <c r="H441" s="1"/>
      <c r="R441" s="1"/>
    </row>
    <row r="442" spans="8:18" x14ac:dyDescent="0.25">
      <c r="H442" s="1"/>
      <c r="R442" s="1"/>
    </row>
    <row r="443" spans="8:18" x14ac:dyDescent="0.25">
      <c r="H443" s="1"/>
      <c r="R443" s="1"/>
    </row>
    <row r="444" spans="8:18" x14ac:dyDescent="0.25">
      <c r="H444" s="1"/>
      <c r="R444" s="1"/>
    </row>
    <row r="445" spans="8:18" x14ac:dyDescent="0.25">
      <c r="H445" s="1"/>
      <c r="R445" s="1"/>
    </row>
    <row r="446" spans="8:18" x14ac:dyDescent="0.25">
      <c r="H446" s="1"/>
      <c r="R446" s="1"/>
    </row>
    <row r="447" spans="8:18" x14ac:dyDescent="0.25">
      <c r="H447" s="1"/>
      <c r="R447" s="1"/>
    </row>
    <row r="448" spans="8:18" x14ac:dyDescent="0.25">
      <c r="H448" s="1"/>
      <c r="R448" s="1"/>
    </row>
    <row r="449" spans="8:18" x14ac:dyDescent="0.25">
      <c r="H449" s="1"/>
      <c r="R449" s="1"/>
    </row>
    <row r="450" spans="8:18" x14ac:dyDescent="0.25">
      <c r="H450" s="1"/>
      <c r="R450" s="1"/>
    </row>
    <row r="451" spans="8:18" x14ac:dyDescent="0.25">
      <c r="H451" s="1"/>
      <c r="R451" s="1"/>
    </row>
    <row r="452" spans="8:18" x14ac:dyDescent="0.25">
      <c r="H452" s="1"/>
      <c r="R452" s="1"/>
    </row>
    <row r="453" spans="8:18" x14ac:dyDescent="0.25">
      <c r="H453" s="1"/>
      <c r="R453" s="1"/>
    </row>
    <row r="454" spans="8:18" x14ac:dyDescent="0.25">
      <c r="H454" s="1"/>
      <c r="R454" s="1"/>
    </row>
    <row r="455" spans="8:18" x14ac:dyDescent="0.25">
      <c r="H455" s="1"/>
      <c r="R455" s="1"/>
    </row>
    <row r="456" spans="8:18" x14ac:dyDescent="0.25">
      <c r="H456" s="1"/>
      <c r="R456" s="1"/>
    </row>
    <row r="457" spans="8:18" x14ac:dyDescent="0.25">
      <c r="H457" s="1"/>
      <c r="R457" s="1"/>
    </row>
    <row r="458" spans="8:18" x14ac:dyDescent="0.25">
      <c r="H458" s="1"/>
      <c r="R458" s="1"/>
    </row>
    <row r="459" spans="8:18" x14ac:dyDescent="0.25">
      <c r="H459" s="1"/>
      <c r="R459" s="1"/>
    </row>
    <row r="460" spans="8:18" x14ac:dyDescent="0.25">
      <c r="H460" s="1"/>
      <c r="R460" s="1"/>
    </row>
    <row r="461" spans="8:18" x14ac:dyDescent="0.25">
      <c r="H461" s="1"/>
      <c r="R461" s="1"/>
    </row>
    <row r="462" spans="8:18" x14ac:dyDescent="0.25">
      <c r="H462" s="1"/>
      <c r="R462" s="1"/>
    </row>
    <row r="463" spans="8:18" x14ac:dyDescent="0.25">
      <c r="H463" s="1"/>
      <c r="R463" s="1"/>
    </row>
    <row r="464" spans="8:18" x14ac:dyDescent="0.25">
      <c r="H464" s="1"/>
      <c r="R464" s="1"/>
    </row>
    <row r="465" spans="8:18" x14ac:dyDescent="0.25">
      <c r="H465" s="1"/>
      <c r="R465" s="1"/>
    </row>
    <row r="466" spans="8:18" x14ac:dyDescent="0.25">
      <c r="H466" s="1"/>
      <c r="R466" s="1"/>
    </row>
    <row r="467" spans="8:18" x14ac:dyDescent="0.25">
      <c r="H467" s="1"/>
      <c r="R467" s="1"/>
    </row>
    <row r="468" spans="8:18" x14ac:dyDescent="0.25">
      <c r="H468" s="1"/>
      <c r="R468" s="1"/>
    </row>
    <row r="469" spans="8:18" x14ac:dyDescent="0.25">
      <c r="H469" s="1"/>
      <c r="R469" s="1"/>
    </row>
    <row r="470" spans="8:18" x14ac:dyDescent="0.25">
      <c r="H470" s="1"/>
      <c r="R470" s="1"/>
    </row>
    <row r="471" spans="8:18" x14ac:dyDescent="0.25">
      <c r="H471" s="1"/>
      <c r="R471" s="1"/>
    </row>
    <row r="472" spans="8:18" x14ac:dyDescent="0.25">
      <c r="H472" s="1"/>
      <c r="R472" s="1"/>
    </row>
    <row r="473" spans="8:18" x14ac:dyDescent="0.25">
      <c r="H473" s="1"/>
      <c r="R473" s="1"/>
    </row>
    <row r="474" spans="8:18" x14ac:dyDescent="0.25">
      <c r="H474" s="1"/>
      <c r="R474" s="1"/>
    </row>
    <row r="475" spans="8:18" x14ac:dyDescent="0.25">
      <c r="H475" s="1"/>
      <c r="R475" s="1"/>
    </row>
    <row r="476" spans="8:18" x14ac:dyDescent="0.25">
      <c r="H476" s="1"/>
      <c r="R476" s="1"/>
    </row>
    <row r="477" spans="8:18" x14ac:dyDescent="0.25">
      <c r="H477" s="1"/>
      <c r="R477" s="1"/>
    </row>
    <row r="478" spans="8:18" x14ac:dyDescent="0.25">
      <c r="H478" s="1"/>
      <c r="R478" s="1"/>
    </row>
    <row r="479" spans="8:18" x14ac:dyDescent="0.25">
      <c r="H479" s="1"/>
      <c r="R479" s="1"/>
    </row>
    <row r="480" spans="8:18" x14ac:dyDescent="0.25">
      <c r="H480" s="1"/>
      <c r="R480" s="1"/>
    </row>
    <row r="481" spans="8:18" x14ac:dyDescent="0.25">
      <c r="H481" s="1"/>
      <c r="R481" s="1"/>
    </row>
    <row r="482" spans="8:18" x14ac:dyDescent="0.25">
      <c r="H482" s="1"/>
      <c r="R482" s="1"/>
    </row>
    <row r="483" spans="8:18" x14ac:dyDescent="0.25">
      <c r="H483" s="1"/>
      <c r="R483" s="1"/>
    </row>
    <row r="484" spans="8:18" x14ac:dyDescent="0.25">
      <c r="H484" s="1"/>
      <c r="R484" s="1"/>
    </row>
    <row r="485" spans="8:18" x14ac:dyDescent="0.25">
      <c r="H485" s="1"/>
      <c r="R485" s="1"/>
    </row>
    <row r="486" spans="8:18" x14ac:dyDescent="0.25">
      <c r="H486" s="1"/>
      <c r="R486" s="1"/>
    </row>
    <row r="487" spans="8:18" x14ac:dyDescent="0.25">
      <c r="H487" s="1"/>
      <c r="R487" s="1"/>
    </row>
    <row r="488" spans="8:18" x14ac:dyDescent="0.25">
      <c r="H488" s="1"/>
      <c r="R488" s="1"/>
    </row>
    <row r="489" spans="8:18" x14ac:dyDescent="0.25">
      <c r="H489" s="1"/>
      <c r="R489" s="1"/>
    </row>
    <row r="490" spans="8:18" x14ac:dyDescent="0.25">
      <c r="H490" s="1"/>
      <c r="R490" s="1"/>
    </row>
    <row r="491" spans="8:18" x14ac:dyDescent="0.25">
      <c r="H491" s="1"/>
      <c r="R491" s="1"/>
    </row>
    <row r="492" spans="8:18" x14ac:dyDescent="0.25">
      <c r="H492" s="1"/>
      <c r="R492" s="1"/>
    </row>
    <row r="493" spans="8:18" x14ac:dyDescent="0.25">
      <c r="H493" s="1"/>
      <c r="R493" s="1"/>
    </row>
    <row r="494" spans="8:18" x14ac:dyDescent="0.25">
      <c r="H494" s="1"/>
      <c r="R494" s="1"/>
    </row>
    <row r="495" spans="8:18" x14ac:dyDescent="0.25">
      <c r="H495" s="1"/>
      <c r="R495" s="1"/>
    </row>
    <row r="496" spans="8:18" x14ac:dyDescent="0.25">
      <c r="H496" s="1"/>
      <c r="R496" s="1"/>
    </row>
    <row r="497" spans="8:18" x14ac:dyDescent="0.25">
      <c r="H497" s="1"/>
      <c r="R497" s="1"/>
    </row>
    <row r="498" spans="8:18" x14ac:dyDescent="0.25">
      <c r="H498" s="1"/>
      <c r="R498" s="1"/>
    </row>
    <row r="499" spans="8:18" x14ac:dyDescent="0.25">
      <c r="H499" s="1"/>
      <c r="R499" s="1"/>
    </row>
    <row r="500" spans="8:18" x14ac:dyDescent="0.25">
      <c r="H500" s="1"/>
      <c r="R500" s="1"/>
    </row>
    <row r="501" spans="8:18" x14ac:dyDescent="0.25">
      <c r="H501" s="1"/>
      <c r="R501" s="1"/>
    </row>
    <row r="502" spans="8:18" x14ac:dyDescent="0.25">
      <c r="H502" s="1"/>
      <c r="R502" s="1"/>
    </row>
    <row r="503" spans="8:18" x14ac:dyDescent="0.25">
      <c r="H503" s="1"/>
      <c r="R503" s="1"/>
    </row>
    <row r="504" spans="8:18" x14ac:dyDescent="0.25">
      <c r="H504" s="1"/>
      <c r="R504" s="1"/>
    </row>
    <row r="505" spans="8:18" x14ac:dyDescent="0.25">
      <c r="H505" s="1"/>
      <c r="R505" s="1"/>
    </row>
    <row r="506" spans="8:18" x14ac:dyDescent="0.25">
      <c r="H506" s="1"/>
      <c r="R506" s="1"/>
    </row>
    <row r="507" spans="8:18" x14ac:dyDescent="0.25">
      <c r="H507" s="1"/>
      <c r="R507" s="1"/>
    </row>
    <row r="508" spans="8:18" x14ac:dyDescent="0.25">
      <c r="H508" s="1"/>
      <c r="R508" s="1"/>
    </row>
    <row r="509" spans="8:18" x14ac:dyDescent="0.25">
      <c r="H509" s="1"/>
      <c r="R509" s="1"/>
    </row>
    <row r="510" spans="8:18" x14ac:dyDescent="0.25">
      <c r="H510" s="1"/>
      <c r="R510" s="1"/>
    </row>
    <row r="511" spans="8:18" x14ac:dyDescent="0.25">
      <c r="H511" s="1"/>
      <c r="R511" s="1"/>
    </row>
    <row r="512" spans="8:18" x14ac:dyDescent="0.25">
      <c r="H512" s="1"/>
      <c r="R512" s="1"/>
    </row>
    <row r="513" spans="8:18" x14ac:dyDescent="0.25">
      <c r="H513" s="1"/>
      <c r="R513" s="1"/>
    </row>
    <row r="514" spans="8:18" x14ac:dyDescent="0.25">
      <c r="H514" s="1"/>
      <c r="R514" s="1"/>
    </row>
    <row r="515" spans="8:18" x14ac:dyDescent="0.25">
      <c r="H515" s="1"/>
      <c r="R515" s="1"/>
    </row>
    <row r="516" spans="8:18" x14ac:dyDescent="0.25">
      <c r="H516" s="1"/>
      <c r="R516" s="1"/>
    </row>
    <row r="517" spans="8:18" x14ac:dyDescent="0.25">
      <c r="H517" s="1"/>
      <c r="R517" s="1"/>
    </row>
    <row r="518" spans="8:18" x14ac:dyDescent="0.25">
      <c r="H518" s="1"/>
      <c r="R518" s="1"/>
    </row>
    <row r="519" spans="8:18" x14ac:dyDescent="0.25">
      <c r="H519" s="1"/>
      <c r="R519" s="1"/>
    </row>
    <row r="520" spans="8:18" x14ac:dyDescent="0.25">
      <c r="H520" s="1"/>
      <c r="R520" s="1"/>
    </row>
    <row r="521" spans="8:18" x14ac:dyDescent="0.25">
      <c r="H521" s="1"/>
      <c r="R521" s="1"/>
    </row>
    <row r="522" spans="8:18" x14ac:dyDescent="0.25">
      <c r="H522" s="1"/>
      <c r="R522" s="1"/>
    </row>
    <row r="523" spans="8:18" x14ac:dyDescent="0.25">
      <c r="H523" s="1"/>
      <c r="R523" s="1"/>
    </row>
    <row r="524" spans="8:18" x14ac:dyDescent="0.25">
      <c r="H524" s="1"/>
      <c r="R524" s="1"/>
    </row>
    <row r="525" spans="8:18" x14ac:dyDescent="0.25">
      <c r="H525" s="1"/>
      <c r="R525" s="1"/>
    </row>
    <row r="526" spans="8:18" x14ac:dyDescent="0.25">
      <c r="H526" s="1"/>
      <c r="R526" s="1"/>
    </row>
    <row r="527" spans="8:18" x14ac:dyDescent="0.25">
      <c r="H527" s="1"/>
      <c r="R527" s="1"/>
    </row>
    <row r="528" spans="8:18" x14ac:dyDescent="0.25">
      <c r="H528" s="1"/>
      <c r="R528" s="1"/>
    </row>
    <row r="529" spans="8:18" x14ac:dyDescent="0.25">
      <c r="H529" s="1"/>
      <c r="R529" s="1"/>
    </row>
    <row r="530" spans="8:18" x14ac:dyDescent="0.25">
      <c r="H530" s="1"/>
      <c r="R530" s="1"/>
    </row>
    <row r="531" spans="8:18" x14ac:dyDescent="0.25">
      <c r="H531" s="1"/>
      <c r="R531" s="1"/>
    </row>
    <row r="532" spans="8:18" x14ac:dyDescent="0.25">
      <c r="H532" s="1"/>
      <c r="R532" s="1"/>
    </row>
    <row r="533" spans="8:18" x14ac:dyDescent="0.25">
      <c r="H533" s="1"/>
      <c r="R533" s="1"/>
    </row>
    <row r="534" spans="8:18" x14ac:dyDescent="0.25">
      <c r="H534" s="1"/>
      <c r="R534" s="1"/>
    </row>
    <row r="535" spans="8:18" x14ac:dyDescent="0.25">
      <c r="H535" s="1"/>
      <c r="R535" s="1"/>
    </row>
    <row r="536" spans="8:18" x14ac:dyDescent="0.25">
      <c r="H536" s="1"/>
      <c r="R536" s="1"/>
    </row>
    <row r="537" spans="8:18" x14ac:dyDescent="0.25">
      <c r="H537" s="1"/>
      <c r="R537" s="1"/>
    </row>
    <row r="538" spans="8:18" x14ac:dyDescent="0.25">
      <c r="H538" s="1"/>
      <c r="R538" s="1"/>
    </row>
    <row r="539" spans="8:18" x14ac:dyDescent="0.25">
      <c r="H539" s="1"/>
      <c r="R539" s="1"/>
    </row>
    <row r="540" spans="8:18" x14ac:dyDescent="0.25">
      <c r="H540" s="1"/>
      <c r="R540" s="1"/>
    </row>
    <row r="541" spans="8:18" x14ac:dyDescent="0.25">
      <c r="H541" s="1"/>
      <c r="R541" s="1"/>
    </row>
    <row r="542" spans="8:18" x14ac:dyDescent="0.25">
      <c r="H542" s="1"/>
      <c r="R542" s="1"/>
    </row>
    <row r="543" spans="8:18" x14ac:dyDescent="0.25">
      <c r="H543" s="1"/>
      <c r="R543" s="1"/>
    </row>
    <row r="544" spans="8:18" x14ac:dyDescent="0.25">
      <c r="H544" s="1"/>
      <c r="R544" s="1"/>
    </row>
    <row r="545" spans="8:18" x14ac:dyDescent="0.25">
      <c r="H545" s="1"/>
      <c r="R545" s="1"/>
    </row>
    <row r="546" spans="8:18" x14ac:dyDescent="0.25">
      <c r="H546" s="1"/>
      <c r="R546" s="1"/>
    </row>
    <row r="547" spans="8:18" x14ac:dyDescent="0.25">
      <c r="H547" s="1"/>
      <c r="R547" s="1"/>
    </row>
    <row r="548" spans="8:18" x14ac:dyDescent="0.25">
      <c r="H548" s="1"/>
      <c r="R548" s="1"/>
    </row>
    <row r="549" spans="8:18" x14ac:dyDescent="0.25">
      <c r="H549" s="1"/>
      <c r="R549" s="1"/>
    </row>
    <row r="550" spans="8:18" x14ac:dyDescent="0.25">
      <c r="H550" s="1"/>
      <c r="R550" s="1"/>
    </row>
    <row r="551" spans="8:18" x14ac:dyDescent="0.25">
      <c r="H551" s="1"/>
      <c r="R551" s="1"/>
    </row>
    <row r="552" spans="8:18" x14ac:dyDescent="0.25">
      <c r="H552" s="1"/>
      <c r="R552" s="1"/>
    </row>
    <row r="553" spans="8:18" x14ac:dyDescent="0.25">
      <c r="H553" s="1"/>
      <c r="R553" s="1"/>
    </row>
    <row r="554" spans="8:18" x14ac:dyDescent="0.25">
      <c r="H554" s="1"/>
      <c r="R554" s="1"/>
    </row>
    <row r="555" spans="8:18" x14ac:dyDescent="0.25">
      <c r="H555" s="1"/>
      <c r="R555" s="1"/>
    </row>
    <row r="556" spans="8:18" x14ac:dyDescent="0.25">
      <c r="H556" s="1"/>
      <c r="R556" s="1"/>
    </row>
    <row r="557" spans="8:18" x14ac:dyDescent="0.25">
      <c r="H557" s="1"/>
      <c r="R557" s="1"/>
    </row>
    <row r="558" spans="8:18" x14ac:dyDescent="0.25">
      <c r="H558" s="1"/>
      <c r="R558" s="1"/>
    </row>
    <row r="559" spans="8:18" x14ac:dyDescent="0.25">
      <c r="H559" s="1"/>
      <c r="R559" s="1"/>
    </row>
    <row r="560" spans="8:18" x14ac:dyDescent="0.25">
      <c r="H560" s="1"/>
      <c r="R560" s="1"/>
    </row>
    <row r="561" spans="8:18" x14ac:dyDescent="0.25">
      <c r="H561" s="1"/>
      <c r="R561" s="1"/>
    </row>
    <row r="562" spans="8:18" x14ac:dyDescent="0.25">
      <c r="H562" s="1"/>
      <c r="R562" s="1"/>
    </row>
    <row r="563" spans="8:18" x14ac:dyDescent="0.25">
      <c r="H563" s="1"/>
      <c r="R563" s="1"/>
    </row>
    <row r="564" spans="8:18" x14ac:dyDescent="0.25">
      <c r="H564" s="1"/>
      <c r="R564" s="1"/>
    </row>
    <row r="565" spans="8:18" x14ac:dyDescent="0.25">
      <c r="H565" s="1"/>
      <c r="R565" s="1"/>
    </row>
    <row r="566" spans="8:18" x14ac:dyDescent="0.25">
      <c r="H566" s="1"/>
      <c r="R566" s="1"/>
    </row>
    <row r="567" spans="8:18" x14ac:dyDescent="0.25">
      <c r="H567" s="1"/>
      <c r="R567" s="1"/>
    </row>
    <row r="568" spans="8:18" x14ac:dyDescent="0.25">
      <c r="H568" s="1"/>
      <c r="R568" s="1"/>
    </row>
    <row r="569" spans="8:18" x14ac:dyDescent="0.25">
      <c r="H569" s="1"/>
      <c r="R569" s="1"/>
    </row>
    <row r="570" spans="8:18" x14ac:dyDescent="0.25">
      <c r="H570" s="1"/>
      <c r="R570" s="1"/>
    </row>
    <row r="571" spans="8:18" x14ac:dyDescent="0.25">
      <c r="H571" s="1"/>
      <c r="R571" s="1"/>
    </row>
    <row r="572" spans="8:18" x14ac:dyDescent="0.25">
      <c r="H572" s="1"/>
      <c r="R572" s="1"/>
    </row>
    <row r="573" spans="8:18" x14ac:dyDescent="0.25">
      <c r="H573" s="1"/>
      <c r="R573" s="1"/>
    </row>
    <row r="574" spans="8:18" x14ac:dyDescent="0.25">
      <c r="H574" s="1"/>
      <c r="R574" s="1"/>
    </row>
    <row r="575" spans="8:18" x14ac:dyDescent="0.25">
      <c r="H575" s="1"/>
      <c r="R575" s="1"/>
    </row>
    <row r="576" spans="8:18" x14ac:dyDescent="0.25">
      <c r="H576" s="1"/>
      <c r="R576" s="1"/>
    </row>
    <row r="577" spans="8:18" x14ac:dyDescent="0.25">
      <c r="H577" s="1"/>
      <c r="R577" s="1"/>
    </row>
    <row r="578" spans="8:18" x14ac:dyDescent="0.25">
      <c r="H578" s="1"/>
      <c r="R578" s="1"/>
    </row>
    <row r="579" spans="8:18" x14ac:dyDescent="0.25">
      <c r="H579" s="1"/>
      <c r="R579" s="1"/>
    </row>
    <row r="580" spans="8:18" x14ac:dyDescent="0.25">
      <c r="H580" s="1"/>
      <c r="R580" s="1"/>
    </row>
    <row r="581" spans="8:18" x14ac:dyDescent="0.25">
      <c r="H581" s="1"/>
      <c r="R581" s="1"/>
    </row>
    <row r="582" spans="8:18" x14ac:dyDescent="0.25">
      <c r="H582" s="1"/>
      <c r="R582" s="1"/>
    </row>
    <row r="583" spans="8:18" x14ac:dyDescent="0.25">
      <c r="H583" s="1"/>
      <c r="R583" s="1"/>
    </row>
    <row r="584" spans="8:18" x14ac:dyDescent="0.25">
      <c r="H584" s="1"/>
      <c r="R584" s="1"/>
    </row>
    <row r="585" spans="8:18" x14ac:dyDescent="0.25">
      <c r="H585" s="1"/>
      <c r="R585" s="1"/>
    </row>
    <row r="586" spans="8:18" x14ac:dyDescent="0.25">
      <c r="H586" s="1"/>
      <c r="R586" s="1"/>
    </row>
    <row r="587" spans="8:18" x14ac:dyDescent="0.25">
      <c r="H587" s="1"/>
      <c r="R587" s="1"/>
    </row>
    <row r="588" spans="8:18" x14ac:dyDescent="0.25">
      <c r="H588" s="1"/>
      <c r="R588" s="1"/>
    </row>
    <row r="589" spans="8:18" x14ac:dyDescent="0.25">
      <c r="H589" s="1"/>
      <c r="R589" s="1"/>
    </row>
    <row r="590" spans="8:18" x14ac:dyDescent="0.25">
      <c r="H590" s="1"/>
      <c r="R590" s="1"/>
    </row>
    <row r="591" spans="8:18" x14ac:dyDescent="0.25">
      <c r="H591" s="1"/>
      <c r="R591" s="1"/>
    </row>
    <row r="592" spans="8:18" x14ac:dyDescent="0.25">
      <c r="H592" s="1"/>
      <c r="R592" s="1"/>
    </row>
    <row r="593" spans="8:18" x14ac:dyDescent="0.25">
      <c r="H593" s="1"/>
      <c r="R593" s="1"/>
    </row>
    <row r="594" spans="8:18" x14ac:dyDescent="0.25">
      <c r="H594" s="1"/>
      <c r="R594" s="1"/>
    </row>
    <row r="595" spans="8:18" x14ac:dyDescent="0.25">
      <c r="H595" s="1"/>
      <c r="R595" s="1"/>
    </row>
    <row r="596" spans="8:18" x14ac:dyDescent="0.25">
      <c r="H596" s="1"/>
      <c r="R596" s="1"/>
    </row>
    <row r="597" spans="8:18" x14ac:dyDescent="0.25">
      <c r="H597" s="1"/>
    </row>
    <row r="598" spans="8:18" x14ac:dyDescent="0.25">
      <c r="H598" s="1"/>
    </row>
    <row r="599" spans="8:18" x14ac:dyDescent="0.25">
      <c r="H599" s="1"/>
    </row>
    <row r="600" spans="8:18" x14ac:dyDescent="0.25">
      <c r="H600" s="1"/>
    </row>
    <row r="601" spans="8:18" x14ac:dyDescent="0.25">
      <c r="H601" s="1"/>
    </row>
    <row r="602" spans="8:18" x14ac:dyDescent="0.25">
      <c r="H602" s="1"/>
    </row>
    <row r="603" spans="8:18" x14ac:dyDescent="0.25">
      <c r="H603" s="1"/>
    </row>
    <row r="604" spans="8:18" x14ac:dyDescent="0.25">
      <c r="H604" s="1"/>
    </row>
    <row r="605" spans="8:18" x14ac:dyDescent="0.25">
      <c r="H605" s="1"/>
    </row>
    <row r="606" spans="8:18" x14ac:dyDescent="0.25">
      <c r="H606" s="1"/>
    </row>
    <row r="607" spans="8:18" x14ac:dyDescent="0.25">
      <c r="H607" s="1"/>
    </row>
    <row r="608" spans="8:18" x14ac:dyDescent="0.25">
      <c r="H608" s="1"/>
    </row>
    <row r="609" spans="8:8" x14ac:dyDescent="0.25">
      <c r="H609" s="1"/>
    </row>
    <row r="610" spans="8:8" x14ac:dyDescent="0.25">
      <c r="H610" s="1"/>
    </row>
    <row r="611" spans="8:8" x14ac:dyDescent="0.25">
      <c r="H611" s="1"/>
    </row>
    <row r="612" spans="8:8" x14ac:dyDescent="0.25">
      <c r="H612" s="1"/>
    </row>
    <row r="613" spans="8:8" x14ac:dyDescent="0.25">
      <c r="H613" s="1"/>
    </row>
    <row r="614" spans="8:8" x14ac:dyDescent="0.25">
      <c r="H614" s="1"/>
    </row>
    <row r="615" spans="8:8" x14ac:dyDescent="0.25">
      <c r="H615" s="1"/>
    </row>
    <row r="616" spans="8:8" x14ac:dyDescent="0.25">
      <c r="H616" s="1"/>
    </row>
    <row r="617" spans="8:8" x14ac:dyDescent="0.25">
      <c r="H617" s="1"/>
    </row>
    <row r="618" spans="8:8" x14ac:dyDescent="0.25">
      <c r="H618" s="1"/>
    </row>
    <row r="619" spans="8:8" x14ac:dyDescent="0.25">
      <c r="H619" s="1"/>
    </row>
    <row r="620" spans="8:8" x14ac:dyDescent="0.25">
      <c r="H620" s="1"/>
    </row>
    <row r="621" spans="8:8" x14ac:dyDescent="0.25">
      <c r="H621" s="1"/>
    </row>
    <row r="622" spans="8:8" x14ac:dyDescent="0.25">
      <c r="H622" s="1"/>
    </row>
    <row r="623" spans="8:8" x14ac:dyDescent="0.25">
      <c r="H623" s="1"/>
    </row>
    <row r="624" spans="8:8" x14ac:dyDescent="0.25">
      <c r="H624" s="1"/>
    </row>
    <row r="625" spans="8:8" x14ac:dyDescent="0.25">
      <c r="H625" s="1"/>
    </row>
    <row r="626" spans="8:8" x14ac:dyDescent="0.25">
      <c r="H626" s="1"/>
    </row>
    <row r="627" spans="8:8" x14ac:dyDescent="0.25">
      <c r="H627" s="1"/>
    </row>
    <row r="628" spans="8:8" x14ac:dyDescent="0.25">
      <c r="H628" s="1"/>
    </row>
    <row r="629" spans="8:8" x14ac:dyDescent="0.25">
      <c r="H629" s="1"/>
    </row>
    <row r="630" spans="8:8" x14ac:dyDescent="0.25">
      <c r="H630" s="1"/>
    </row>
    <row r="631" spans="8:8" x14ac:dyDescent="0.25">
      <c r="H631" s="1"/>
    </row>
    <row r="632" spans="8:8" x14ac:dyDescent="0.25">
      <c r="H632" s="1"/>
    </row>
    <row r="633" spans="8:8" x14ac:dyDescent="0.25">
      <c r="H633" s="1"/>
    </row>
    <row r="634" spans="8:8" x14ac:dyDescent="0.25">
      <c r="H634" s="1"/>
    </row>
    <row r="635" spans="8:8" x14ac:dyDescent="0.25">
      <c r="H635" s="1"/>
    </row>
    <row r="636" spans="8:8" x14ac:dyDescent="0.25">
      <c r="H636" s="1"/>
    </row>
    <row r="637" spans="8:8" x14ac:dyDescent="0.25">
      <c r="H637" s="1"/>
    </row>
    <row r="638" spans="8:8" x14ac:dyDescent="0.25">
      <c r="H638" s="1"/>
    </row>
    <row r="639" spans="8:8" x14ac:dyDescent="0.25">
      <c r="H639" s="1"/>
    </row>
    <row r="640" spans="8:8" x14ac:dyDescent="0.25">
      <c r="H640" s="1"/>
    </row>
    <row r="641" spans="8:8" x14ac:dyDescent="0.25">
      <c r="H641" s="1"/>
    </row>
    <row r="642" spans="8:8" x14ac:dyDescent="0.25">
      <c r="H642" s="1"/>
    </row>
    <row r="643" spans="8:8" x14ac:dyDescent="0.25">
      <c r="H643" s="1"/>
    </row>
    <row r="644" spans="8:8" x14ac:dyDescent="0.25">
      <c r="H644" s="1"/>
    </row>
    <row r="645" spans="8:8" x14ac:dyDescent="0.25">
      <c r="H645" s="1"/>
    </row>
    <row r="646" spans="8:8" x14ac:dyDescent="0.25">
      <c r="H646" s="1"/>
    </row>
    <row r="647" spans="8:8" x14ac:dyDescent="0.25">
      <c r="H647" s="1"/>
    </row>
    <row r="648" spans="8:8" x14ac:dyDescent="0.25">
      <c r="H648" s="1"/>
    </row>
    <row r="649" spans="8:8" x14ac:dyDescent="0.25">
      <c r="H649" s="1"/>
    </row>
    <row r="650" spans="8:8" x14ac:dyDescent="0.25">
      <c r="H650" s="1"/>
    </row>
    <row r="651" spans="8:8" x14ac:dyDescent="0.25">
      <c r="H651" s="1"/>
    </row>
    <row r="652" spans="8:8" x14ac:dyDescent="0.25">
      <c r="H652" s="1"/>
    </row>
    <row r="653" spans="8:8" x14ac:dyDescent="0.25">
      <c r="H653" s="1"/>
    </row>
    <row r="654" spans="8:8" x14ac:dyDescent="0.25">
      <c r="H654" s="1"/>
    </row>
    <row r="655" spans="8:8" x14ac:dyDescent="0.25">
      <c r="H655" s="1"/>
    </row>
    <row r="656" spans="8:8" x14ac:dyDescent="0.25">
      <c r="H656" s="1"/>
    </row>
    <row r="657" spans="8:8" x14ac:dyDescent="0.25">
      <c r="H657" s="1"/>
    </row>
    <row r="658" spans="8:8" x14ac:dyDescent="0.25">
      <c r="H658" s="1"/>
    </row>
    <row r="659" spans="8:8" x14ac:dyDescent="0.25">
      <c r="H659" s="1"/>
    </row>
    <row r="660" spans="8:8" x14ac:dyDescent="0.25">
      <c r="H660" s="1"/>
    </row>
    <row r="661" spans="8:8" x14ac:dyDescent="0.25">
      <c r="H661" s="1"/>
    </row>
    <row r="662" spans="8:8" x14ac:dyDescent="0.25">
      <c r="H662" s="1"/>
    </row>
    <row r="663" spans="8:8" x14ac:dyDescent="0.25">
      <c r="H663" s="1"/>
    </row>
    <row r="664" spans="8:8" x14ac:dyDescent="0.25">
      <c r="H664" s="1"/>
    </row>
    <row r="665" spans="8:8" x14ac:dyDescent="0.25">
      <c r="H665" s="1"/>
    </row>
    <row r="666" spans="8:8" x14ac:dyDescent="0.25">
      <c r="H666" s="1"/>
    </row>
    <row r="667" spans="8:8" x14ac:dyDescent="0.25">
      <c r="H667" s="1"/>
    </row>
    <row r="668" spans="8:8" x14ac:dyDescent="0.25">
      <c r="H668" s="1"/>
    </row>
    <row r="669" spans="8:8" x14ac:dyDescent="0.25">
      <c r="H669" s="1"/>
    </row>
    <row r="670" spans="8:8" x14ac:dyDescent="0.25">
      <c r="H670" s="1"/>
    </row>
    <row r="671" spans="8:8" x14ac:dyDescent="0.25">
      <c r="H671" s="1"/>
    </row>
    <row r="672" spans="8:8" x14ac:dyDescent="0.25">
      <c r="H672" s="1"/>
    </row>
    <row r="673" spans="8:8" x14ac:dyDescent="0.25">
      <c r="H673" s="1"/>
    </row>
    <row r="674" spans="8:8" x14ac:dyDescent="0.25">
      <c r="H674" s="1"/>
    </row>
    <row r="675" spans="8:8" x14ac:dyDescent="0.25">
      <c r="H675" s="1"/>
    </row>
    <row r="676" spans="8:8" x14ac:dyDescent="0.25">
      <c r="H676" s="1"/>
    </row>
    <row r="677" spans="8:8" x14ac:dyDescent="0.25">
      <c r="H677" s="1"/>
    </row>
    <row r="678" spans="8:8" x14ac:dyDescent="0.25">
      <c r="H678" s="1"/>
    </row>
    <row r="679" spans="8:8" x14ac:dyDescent="0.25">
      <c r="H679" s="1"/>
    </row>
    <row r="680" spans="8:8" x14ac:dyDescent="0.25">
      <c r="H680" s="1"/>
    </row>
    <row r="681" spans="8:8" x14ac:dyDescent="0.25">
      <c r="H681" s="1"/>
    </row>
    <row r="682" spans="8:8" x14ac:dyDescent="0.25">
      <c r="H682" s="1"/>
    </row>
    <row r="683" spans="8:8" x14ac:dyDescent="0.25">
      <c r="H683" s="1"/>
    </row>
    <row r="684" spans="8:8" x14ac:dyDescent="0.25">
      <c r="H684" s="1"/>
    </row>
    <row r="685" spans="8:8" x14ac:dyDescent="0.25">
      <c r="H685" s="1"/>
    </row>
    <row r="686" spans="8:8" x14ac:dyDescent="0.25">
      <c r="H686" s="1"/>
    </row>
    <row r="687" spans="8:8" x14ac:dyDescent="0.25">
      <c r="H687" s="1"/>
    </row>
    <row r="688" spans="8:8" x14ac:dyDescent="0.25">
      <c r="H688" s="1"/>
    </row>
    <row r="689" spans="8:8" x14ac:dyDescent="0.25">
      <c r="H689" s="1"/>
    </row>
    <row r="690" spans="8:8" x14ac:dyDescent="0.25">
      <c r="H690" s="1"/>
    </row>
    <row r="691" spans="8:8" x14ac:dyDescent="0.25">
      <c r="H691" s="1"/>
    </row>
    <row r="692" spans="8:8" x14ac:dyDescent="0.25">
      <c r="H692" s="1"/>
    </row>
    <row r="693" spans="8:8" x14ac:dyDescent="0.25">
      <c r="H693" s="1"/>
    </row>
    <row r="694" spans="8:8" x14ac:dyDescent="0.25">
      <c r="H694" s="1"/>
    </row>
    <row r="695" spans="8:8" x14ac:dyDescent="0.25">
      <c r="H695" s="1"/>
    </row>
    <row r="696" spans="8:8" x14ac:dyDescent="0.25">
      <c r="H696" s="1"/>
    </row>
    <row r="697" spans="8:8" x14ac:dyDescent="0.25">
      <c r="H697" s="1"/>
    </row>
    <row r="698" spans="8:8" x14ac:dyDescent="0.25">
      <c r="H698" s="1"/>
    </row>
    <row r="699" spans="8:8" x14ac:dyDescent="0.25">
      <c r="H699" s="1"/>
    </row>
    <row r="700" spans="8:8" x14ac:dyDescent="0.25">
      <c r="H700" s="1"/>
    </row>
    <row r="701" spans="8:8" x14ac:dyDescent="0.25">
      <c r="H701" s="1"/>
    </row>
    <row r="702" spans="8:8" x14ac:dyDescent="0.25">
      <c r="H702" s="1"/>
    </row>
    <row r="703" spans="8:8" x14ac:dyDescent="0.25">
      <c r="H703" s="1"/>
    </row>
    <row r="704" spans="8:8" x14ac:dyDescent="0.25">
      <c r="H704" s="1"/>
    </row>
    <row r="705" spans="8:8" x14ac:dyDescent="0.25">
      <c r="H705" s="1"/>
    </row>
    <row r="706" spans="8:8" x14ac:dyDescent="0.25">
      <c r="H706" s="1"/>
    </row>
    <row r="707" spans="8:8" x14ac:dyDescent="0.25">
      <c r="H707" s="1"/>
    </row>
    <row r="708" spans="8:8" x14ac:dyDescent="0.25">
      <c r="H708" s="1"/>
    </row>
    <row r="709" spans="8:8" x14ac:dyDescent="0.25">
      <c r="H709" s="1"/>
    </row>
    <row r="710" spans="8:8" x14ac:dyDescent="0.25">
      <c r="H710" s="1"/>
    </row>
    <row r="711" spans="8:8" x14ac:dyDescent="0.25">
      <c r="H711" s="1"/>
    </row>
    <row r="712" spans="8:8" x14ac:dyDescent="0.25">
      <c r="H712" s="1"/>
    </row>
    <row r="713" spans="8:8" x14ac:dyDescent="0.25">
      <c r="H713" s="1"/>
    </row>
    <row r="714" spans="8:8" x14ac:dyDescent="0.25">
      <c r="H714" s="1"/>
    </row>
    <row r="715" spans="8:8" x14ac:dyDescent="0.25">
      <c r="H715" s="1"/>
    </row>
    <row r="716" spans="8:8" x14ac:dyDescent="0.25">
      <c r="H716" s="1"/>
    </row>
    <row r="717" spans="8:8" x14ac:dyDescent="0.25">
      <c r="H717" s="1"/>
    </row>
    <row r="718" spans="8:8" x14ac:dyDescent="0.25">
      <c r="H718" s="1"/>
    </row>
    <row r="719" spans="8:8" x14ac:dyDescent="0.25">
      <c r="H719" s="1"/>
    </row>
    <row r="720" spans="8:8" x14ac:dyDescent="0.25">
      <c r="H720" s="1"/>
    </row>
    <row r="721" spans="8:8" x14ac:dyDescent="0.25">
      <c r="H721" s="1"/>
    </row>
    <row r="722" spans="8:8" x14ac:dyDescent="0.25">
      <c r="H722" s="1"/>
    </row>
    <row r="723" spans="8:8" x14ac:dyDescent="0.25">
      <c r="H723" s="1"/>
    </row>
    <row r="724" spans="8:8" x14ac:dyDescent="0.25">
      <c r="H724" s="1"/>
    </row>
    <row r="725" spans="8:8" x14ac:dyDescent="0.25">
      <c r="H725" s="1"/>
    </row>
    <row r="726" spans="8:8" x14ac:dyDescent="0.25">
      <c r="H726" s="1"/>
    </row>
    <row r="727" spans="8:8" x14ac:dyDescent="0.25">
      <c r="H727" s="1"/>
    </row>
    <row r="728" spans="8:8" x14ac:dyDescent="0.25">
      <c r="H728" s="1"/>
    </row>
    <row r="729" spans="8:8" x14ac:dyDescent="0.25">
      <c r="H729" s="1"/>
    </row>
    <row r="730" spans="8:8" x14ac:dyDescent="0.25">
      <c r="H730" s="1"/>
    </row>
    <row r="731" spans="8:8" x14ac:dyDescent="0.25">
      <c r="H731" s="1"/>
    </row>
    <row r="732" spans="8:8" x14ac:dyDescent="0.25">
      <c r="H732" s="1"/>
    </row>
    <row r="733" spans="8:8" x14ac:dyDescent="0.25">
      <c r="H733" s="1"/>
    </row>
    <row r="734" spans="8:8" x14ac:dyDescent="0.25">
      <c r="H734" s="1"/>
    </row>
    <row r="735" spans="8:8" x14ac:dyDescent="0.25">
      <c r="H735" s="1"/>
    </row>
    <row r="736" spans="8:8" x14ac:dyDescent="0.25">
      <c r="H736" s="1"/>
    </row>
    <row r="737" spans="8:8" x14ac:dyDescent="0.25">
      <c r="H737" s="1"/>
    </row>
    <row r="738" spans="8:8" x14ac:dyDescent="0.25">
      <c r="H738" s="1"/>
    </row>
    <row r="739" spans="8:8" x14ac:dyDescent="0.25">
      <c r="H739" s="1"/>
    </row>
    <row r="740" spans="8:8" x14ac:dyDescent="0.25">
      <c r="H740" s="1"/>
    </row>
    <row r="741" spans="8:8" x14ac:dyDescent="0.25">
      <c r="H741" s="1"/>
    </row>
    <row r="742" spans="8:8" x14ac:dyDescent="0.25">
      <c r="H742" s="1"/>
    </row>
    <row r="743" spans="8:8" x14ac:dyDescent="0.25">
      <c r="H743" s="1"/>
    </row>
    <row r="744" spans="8:8" x14ac:dyDescent="0.25">
      <c r="H744" s="1"/>
    </row>
    <row r="745" spans="8:8" x14ac:dyDescent="0.25">
      <c r="H745" s="1"/>
    </row>
    <row r="746" spans="8:8" x14ac:dyDescent="0.25">
      <c r="H746" s="1"/>
    </row>
    <row r="747" spans="8:8" x14ac:dyDescent="0.25">
      <c r="H747" s="1"/>
    </row>
    <row r="748" spans="8:8" x14ac:dyDescent="0.25">
      <c r="H748" s="1"/>
    </row>
    <row r="749" spans="8:8" x14ac:dyDescent="0.25">
      <c r="H749" s="1"/>
    </row>
    <row r="750" spans="8:8" x14ac:dyDescent="0.25">
      <c r="H750" s="1"/>
    </row>
    <row r="751" spans="8:8" x14ac:dyDescent="0.25">
      <c r="H751" s="1"/>
    </row>
    <row r="752" spans="8:8" x14ac:dyDescent="0.25">
      <c r="H752" s="1"/>
    </row>
    <row r="753" spans="8:8" x14ac:dyDescent="0.25">
      <c r="H753" s="1"/>
    </row>
    <row r="754" spans="8:8" x14ac:dyDescent="0.25">
      <c r="H754" s="1"/>
    </row>
    <row r="755" spans="8:8" x14ac:dyDescent="0.25">
      <c r="H755" s="1"/>
    </row>
    <row r="756" spans="8:8" x14ac:dyDescent="0.25">
      <c r="H756" s="1"/>
    </row>
    <row r="757" spans="8:8" x14ac:dyDescent="0.25">
      <c r="H757" s="1"/>
    </row>
    <row r="758" spans="8:8" x14ac:dyDescent="0.25">
      <c r="H758" s="1"/>
    </row>
    <row r="759" spans="8:8" x14ac:dyDescent="0.25">
      <c r="H759" s="1"/>
    </row>
    <row r="760" spans="8:8" x14ac:dyDescent="0.25">
      <c r="H760" s="1"/>
    </row>
    <row r="761" spans="8:8" x14ac:dyDescent="0.25">
      <c r="H761" s="1"/>
    </row>
    <row r="762" spans="8:8" x14ac:dyDescent="0.25">
      <c r="H762" s="1"/>
    </row>
    <row r="763" spans="8:8" x14ac:dyDescent="0.25">
      <c r="H763" s="1"/>
    </row>
    <row r="764" spans="8:8" x14ac:dyDescent="0.25">
      <c r="H764" s="1"/>
    </row>
    <row r="765" spans="8:8" x14ac:dyDescent="0.25">
      <c r="H765" s="1"/>
    </row>
    <row r="766" spans="8:8" x14ac:dyDescent="0.25">
      <c r="H766" s="1"/>
    </row>
    <row r="767" spans="8:8" x14ac:dyDescent="0.25">
      <c r="H767" s="1"/>
    </row>
    <row r="768" spans="8:8" x14ac:dyDescent="0.25">
      <c r="H768" s="1"/>
    </row>
    <row r="769" spans="8:8" x14ac:dyDescent="0.25">
      <c r="H769" s="1"/>
    </row>
    <row r="770" spans="8:8" x14ac:dyDescent="0.25">
      <c r="H770" s="1"/>
    </row>
    <row r="771" spans="8:8" x14ac:dyDescent="0.25">
      <c r="H771" s="1"/>
    </row>
    <row r="772" spans="8:8" x14ac:dyDescent="0.25">
      <c r="H772" s="1"/>
    </row>
    <row r="773" spans="8:8" x14ac:dyDescent="0.25">
      <c r="H773" s="1"/>
    </row>
    <row r="774" spans="8:8" x14ac:dyDescent="0.25">
      <c r="H774" s="1"/>
    </row>
    <row r="775" spans="8:8" x14ac:dyDescent="0.25">
      <c r="H775" s="1"/>
    </row>
    <row r="776" spans="8:8" x14ac:dyDescent="0.25">
      <c r="H776" s="1"/>
    </row>
    <row r="777" spans="8:8" x14ac:dyDescent="0.25">
      <c r="H777" s="1"/>
    </row>
    <row r="778" spans="8:8" x14ac:dyDescent="0.25">
      <c r="H778" s="1"/>
    </row>
    <row r="779" spans="8:8" x14ac:dyDescent="0.25">
      <c r="H779" s="1"/>
    </row>
    <row r="780" spans="8:8" x14ac:dyDescent="0.25">
      <c r="H780" s="1"/>
    </row>
    <row r="781" spans="8:8" x14ac:dyDescent="0.25">
      <c r="H781" s="1"/>
    </row>
    <row r="782" spans="8:8" x14ac:dyDescent="0.25">
      <c r="H782" s="1"/>
    </row>
    <row r="783" spans="8:8" x14ac:dyDescent="0.25">
      <c r="H783" s="1"/>
    </row>
    <row r="784" spans="8:8" x14ac:dyDescent="0.25">
      <c r="H784" s="1"/>
    </row>
    <row r="785" spans="8:8" x14ac:dyDescent="0.25">
      <c r="H785" s="1"/>
    </row>
    <row r="786" spans="8:8" x14ac:dyDescent="0.25">
      <c r="H786" s="1"/>
    </row>
    <row r="787" spans="8:8" x14ac:dyDescent="0.25">
      <c r="H787" s="1"/>
    </row>
    <row r="788" spans="8:8" x14ac:dyDescent="0.25">
      <c r="H788" s="1"/>
    </row>
    <row r="789" spans="8:8" x14ac:dyDescent="0.25">
      <c r="H789" s="1"/>
    </row>
    <row r="790" spans="8:8" x14ac:dyDescent="0.25">
      <c r="H790" s="1"/>
    </row>
    <row r="791" spans="8:8" x14ac:dyDescent="0.25">
      <c r="H791" s="1"/>
    </row>
    <row r="792" spans="8:8" x14ac:dyDescent="0.25">
      <c r="H792" s="1"/>
    </row>
    <row r="793" spans="8:8" x14ac:dyDescent="0.25">
      <c r="H793" s="1"/>
    </row>
    <row r="794" spans="8:8" x14ac:dyDescent="0.25">
      <c r="H794" s="1"/>
    </row>
    <row r="795" spans="8:8" x14ac:dyDescent="0.25">
      <c r="H795" s="1"/>
    </row>
    <row r="796" spans="8:8" x14ac:dyDescent="0.25">
      <c r="H796" s="1"/>
    </row>
    <row r="797" spans="8:8" x14ac:dyDescent="0.25">
      <c r="H797" s="1"/>
    </row>
    <row r="798" spans="8:8" x14ac:dyDescent="0.25">
      <c r="H798" s="1"/>
    </row>
    <row r="799" spans="8:8" x14ac:dyDescent="0.25">
      <c r="H799" s="1"/>
    </row>
    <row r="800" spans="8:8" x14ac:dyDescent="0.25">
      <c r="H800" s="1"/>
    </row>
    <row r="801" spans="8:8" x14ac:dyDescent="0.25">
      <c r="H801" s="1"/>
    </row>
    <row r="802" spans="8:8" x14ac:dyDescent="0.25">
      <c r="H802" s="1"/>
    </row>
    <row r="803" spans="8:8" x14ac:dyDescent="0.25">
      <c r="H803" s="1"/>
    </row>
    <row r="804" spans="8:8" x14ac:dyDescent="0.25">
      <c r="H804" s="1"/>
    </row>
    <row r="805" spans="8:8" x14ac:dyDescent="0.25">
      <c r="H805" s="1"/>
    </row>
    <row r="806" spans="8:8" x14ac:dyDescent="0.25">
      <c r="H806" s="1"/>
    </row>
    <row r="807" spans="8:8" x14ac:dyDescent="0.25">
      <c r="H807" s="1"/>
    </row>
    <row r="808" spans="8:8" x14ac:dyDescent="0.25">
      <c r="H808" s="1"/>
    </row>
    <row r="809" spans="8:8" x14ac:dyDescent="0.25">
      <c r="H809" s="1"/>
    </row>
    <row r="810" spans="8:8" x14ac:dyDescent="0.25">
      <c r="H810" s="1"/>
    </row>
    <row r="811" spans="8:8" x14ac:dyDescent="0.25">
      <c r="H811" s="1"/>
    </row>
    <row r="812" spans="8:8" x14ac:dyDescent="0.25">
      <c r="H812" s="1"/>
    </row>
    <row r="813" spans="8:8" x14ac:dyDescent="0.25">
      <c r="H813" s="1"/>
    </row>
    <row r="814" spans="8:8" x14ac:dyDescent="0.25">
      <c r="H814" s="1"/>
    </row>
    <row r="815" spans="8:8" x14ac:dyDescent="0.25">
      <c r="H815" s="1"/>
    </row>
    <row r="816" spans="8:8" x14ac:dyDescent="0.25">
      <c r="H816" s="1"/>
    </row>
    <row r="817" spans="8:8" x14ac:dyDescent="0.25">
      <c r="H817" s="1"/>
    </row>
    <row r="818" spans="8:8" x14ac:dyDescent="0.25">
      <c r="H818" s="1"/>
    </row>
    <row r="819" spans="8:8" x14ac:dyDescent="0.25">
      <c r="H819" s="1"/>
    </row>
    <row r="820" spans="8:8" x14ac:dyDescent="0.25">
      <c r="H820" s="1"/>
    </row>
    <row r="821" spans="8:8" x14ac:dyDescent="0.25">
      <c r="H821" s="1"/>
    </row>
    <row r="822" spans="8:8" x14ac:dyDescent="0.25">
      <c r="H822" s="1"/>
    </row>
    <row r="823" spans="8:8" x14ac:dyDescent="0.25">
      <c r="H823" s="1"/>
    </row>
    <row r="824" spans="8:8" x14ac:dyDescent="0.25">
      <c r="H824" s="1"/>
    </row>
    <row r="825" spans="8:8" x14ac:dyDescent="0.25">
      <c r="H825" s="1"/>
    </row>
    <row r="826" spans="8:8" x14ac:dyDescent="0.25">
      <c r="H826" s="1"/>
    </row>
    <row r="827" spans="8:8" x14ac:dyDescent="0.25">
      <c r="H827" s="1"/>
    </row>
    <row r="828" spans="8:8" x14ac:dyDescent="0.25">
      <c r="H828" s="1"/>
    </row>
    <row r="829" spans="8:8" x14ac:dyDescent="0.25">
      <c r="H829" s="1"/>
    </row>
    <row r="830" spans="8:8" x14ac:dyDescent="0.25">
      <c r="H830" s="1"/>
    </row>
    <row r="831" spans="8:8" x14ac:dyDescent="0.25">
      <c r="H831" s="1"/>
    </row>
    <row r="832" spans="8:8" x14ac:dyDescent="0.25">
      <c r="H832" s="1"/>
    </row>
    <row r="833" spans="8:8" x14ac:dyDescent="0.25">
      <c r="H833" s="1"/>
    </row>
    <row r="834" spans="8:8" x14ac:dyDescent="0.25">
      <c r="H834" s="1"/>
    </row>
    <row r="835" spans="8:8" x14ac:dyDescent="0.25">
      <c r="H835" s="1"/>
    </row>
    <row r="836" spans="8:8" x14ac:dyDescent="0.25">
      <c r="H836" s="1"/>
    </row>
    <row r="837" spans="8:8" x14ac:dyDescent="0.25">
      <c r="H837" s="1"/>
    </row>
    <row r="838" spans="8:8" x14ac:dyDescent="0.25">
      <c r="H838" s="1"/>
    </row>
    <row r="839" spans="8:8" x14ac:dyDescent="0.25">
      <c r="H839" s="1"/>
    </row>
    <row r="840" spans="8:8" x14ac:dyDescent="0.25">
      <c r="H840" s="1"/>
    </row>
    <row r="841" spans="8:8" x14ac:dyDescent="0.25">
      <c r="H841" s="1"/>
    </row>
    <row r="842" spans="8:8" x14ac:dyDescent="0.25">
      <c r="H842" s="1"/>
    </row>
    <row r="843" spans="8:8" x14ac:dyDescent="0.25">
      <c r="H843" s="1"/>
    </row>
    <row r="844" spans="8:8" x14ac:dyDescent="0.25">
      <c r="H844" s="1"/>
    </row>
    <row r="845" spans="8:8" x14ac:dyDescent="0.25">
      <c r="H845" s="1"/>
    </row>
    <row r="846" spans="8:8" x14ac:dyDescent="0.25">
      <c r="H846" s="1"/>
    </row>
    <row r="847" spans="8:8" x14ac:dyDescent="0.25">
      <c r="H847" s="1"/>
    </row>
    <row r="848" spans="8:8" x14ac:dyDescent="0.25">
      <c r="H848" s="1"/>
    </row>
    <row r="849" spans="8:8" x14ac:dyDescent="0.25">
      <c r="H849" s="1"/>
    </row>
    <row r="850" spans="8:8" x14ac:dyDescent="0.25">
      <c r="H850" s="1"/>
    </row>
    <row r="851" spans="8:8" x14ac:dyDescent="0.25">
      <c r="H851" s="1"/>
    </row>
    <row r="852" spans="8:8" x14ac:dyDescent="0.25">
      <c r="H852" s="1"/>
    </row>
    <row r="853" spans="8:8" x14ac:dyDescent="0.25">
      <c r="H853" s="1"/>
    </row>
    <row r="854" spans="8:8" x14ac:dyDescent="0.25">
      <c r="H854" s="1"/>
    </row>
    <row r="855" spans="8:8" x14ac:dyDescent="0.25">
      <c r="H855" s="1"/>
    </row>
    <row r="856" spans="8:8" x14ac:dyDescent="0.25">
      <c r="H856" s="1"/>
    </row>
    <row r="857" spans="8:8" x14ac:dyDescent="0.25">
      <c r="H857" s="1"/>
    </row>
    <row r="858" spans="8:8" x14ac:dyDescent="0.25">
      <c r="H858" s="1"/>
    </row>
    <row r="859" spans="8:8" x14ac:dyDescent="0.25">
      <c r="H859" s="1"/>
    </row>
    <row r="860" spans="8:8" x14ac:dyDescent="0.25">
      <c r="H860" s="1"/>
    </row>
    <row r="861" spans="8:8" x14ac:dyDescent="0.25">
      <c r="H861" s="1"/>
    </row>
    <row r="862" spans="8:8" x14ac:dyDescent="0.25">
      <c r="H862" s="1"/>
    </row>
    <row r="863" spans="8:8" x14ac:dyDescent="0.25">
      <c r="H863" s="1"/>
    </row>
    <row r="864" spans="8:8" x14ac:dyDescent="0.25">
      <c r="H864" s="1"/>
    </row>
    <row r="865" spans="8:8" x14ac:dyDescent="0.25">
      <c r="H865" s="1"/>
    </row>
    <row r="866" spans="8:8" x14ac:dyDescent="0.25">
      <c r="H866" s="1"/>
    </row>
    <row r="867" spans="8:8" x14ac:dyDescent="0.25">
      <c r="H867" s="1"/>
    </row>
    <row r="868" spans="8:8" x14ac:dyDescent="0.25">
      <c r="H868" s="1"/>
    </row>
    <row r="869" spans="8:8" x14ac:dyDescent="0.25">
      <c r="H869" s="1"/>
    </row>
    <row r="870" spans="8:8" x14ac:dyDescent="0.25">
      <c r="H870" s="1"/>
    </row>
    <row r="871" spans="8:8" x14ac:dyDescent="0.25">
      <c r="H871" s="1"/>
    </row>
    <row r="872" spans="8:8" x14ac:dyDescent="0.25">
      <c r="H872" s="1"/>
    </row>
    <row r="873" spans="8:8" x14ac:dyDescent="0.25">
      <c r="H873" s="1"/>
    </row>
    <row r="874" spans="8:8" x14ac:dyDescent="0.25">
      <c r="H874" s="1"/>
    </row>
    <row r="875" spans="8:8" x14ac:dyDescent="0.25">
      <c r="H875" s="1"/>
    </row>
    <row r="876" spans="8:8" x14ac:dyDescent="0.25">
      <c r="H876" s="1"/>
    </row>
    <row r="877" spans="8:8" x14ac:dyDescent="0.25">
      <c r="H877" s="1"/>
    </row>
    <row r="878" spans="8:8" x14ac:dyDescent="0.25">
      <c r="H878" s="1"/>
    </row>
    <row r="879" spans="8:8" x14ac:dyDescent="0.25">
      <c r="H879" s="1"/>
    </row>
    <row r="880" spans="8:8" x14ac:dyDescent="0.25">
      <c r="H880" s="1"/>
    </row>
    <row r="881" spans="8:8" x14ac:dyDescent="0.25">
      <c r="H881" s="1"/>
    </row>
    <row r="882" spans="8:8" x14ac:dyDescent="0.25">
      <c r="H882" s="1"/>
    </row>
    <row r="883" spans="8:8" x14ac:dyDescent="0.25">
      <c r="H883" s="1"/>
    </row>
    <row r="884" spans="8:8" x14ac:dyDescent="0.25">
      <c r="H884" s="1"/>
    </row>
    <row r="885" spans="8:8" x14ac:dyDescent="0.25">
      <c r="H885" s="1"/>
    </row>
    <row r="886" spans="8:8" x14ac:dyDescent="0.25">
      <c r="H886" s="1"/>
    </row>
    <row r="887" spans="8:8" x14ac:dyDescent="0.25">
      <c r="H887" s="1"/>
    </row>
    <row r="888" spans="8:8" x14ac:dyDescent="0.25">
      <c r="H888" s="1"/>
    </row>
    <row r="889" spans="8:8" x14ac:dyDescent="0.25">
      <c r="H889" s="1"/>
    </row>
    <row r="890" spans="8:8" x14ac:dyDescent="0.25">
      <c r="H890" s="1"/>
    </row>
    <row r="891" spans="8:8" x14ac:dyDescent="0.25">
      <c r="H891" s="1"/>
    </row>
    <row r="892" spans="8:8" x14ac:dyDescent="0.25">
      <c r="H892" s="1"/>
    </row>
    <row r="893" spans="8:8" x14ac:dyDescent="0.25">
      <c r="H893" s="1"/>
    </row>
    <row r="894" spans="8:8" x14ac:dyDescent="0.25">
      <c r="H894" s="1"/>
    </row>
    <row r="895" spans="8:8" x14ac:dyDescent="0.25">
      <c r="H895" s="1"/>
    </row>
    <row r="896" spans="8:8" x14ac:dyDescent="0.25">
      <c r="H896" s="1"/>
    </row>
    <row r="897" spans="8:8" x14ac:dyDescent="0.25">
      <c r="H897" s="1"/>
    </row>
    <row r="898" spans="8:8" x14ac:dyDescent="0.25">
      <c r="H898" s="1"/>
    </row>
    <row r="899" spans="8:8" x14ac:dyDescent="0.25">
      <c r="H899" s="1"/>
    </row>
    <row r="900" spans="8:8" x14ac:dyDescent="0.25">
      <c r="H900" s="1"/>
    </row>
    <row r="901" spans="8:8" x14ac:dyDescent="0.25">
      <c r="H901" s="1"/>
    </row>
    <row r="902" spans="8:8" x14ac:dyDescent="0.25">
      <c r="H902" s="1"/>
    </row>
    <row r="903" spans="8:8" x14ac:dyDescent="0.25">
      <c r="H903" s="1"/>
    </row>
    <row r="904" spans="8:8" x14ac:dyDescent="0.25">
      <c r="H904" s="1"/>
    </row>
    <row r="905" spans="8:8" x14ac:dyDescent="0.25">
      <c r="H905" s="1"/>
    </row>
    <row r="906" spans="8:8" x14ac:dyDescent="0.25">
      <c r="H906" s="1"/>
    </row>
    <row r="907" spans="8:8" x14ac:dyDescent="0.25">
      <c r="H907" s="1"/>
    </row>
    <row r="908" spans="8:8" x14ac:dyDescent="0.25">
      <c r="H908" s="1"/>
    </row>
    <row r="909" spans="8:8" x14ac:dyDescent="0.25">
      <c r="H909" s="1"/>
    </row>
    <row r="910" spans="8:8" x14ac:dyDescent="0.25">
      <c r="H910" s="1"/>
    </row>
    <row r="911" spans="8:8" x14ac:dyDescent="0.25">
      <c r="H911" s="1"/>
    </row>
    <row r="912" spans="8:8" x14ac:dyDescent="0.25">
      <c r="H912" s="1"/>
    </row>
    <row r="913" spans="8:8" x14ac:dyDescent="0.25">
      <c r="H913" s="1"/>
    </row>
    <row r="914" spans="8:8" x14ac:dyDescent="0.25">
      <c r="H914" s="1"/>
    </row>
    <row r="915" spans="8:8" x14ac:dyDescent="0.25">
      <c r="H915" s="1"/>
    </row>
    <row r="916" spans="8:8" x14ac:dyDescent="0.25">
      <c r="H916" s="1"/>
    </row>
    <row r="917" spans="8:8" x14ac:dyDescent="0.25">
      <c r="H917" s="1"/>
    </row>
    <row r="918" spans="8:8" x14ac:dyDescent="0.25">
      <c r="H918" s="1"/>
    </row>
    <row r="919" spans="8:8" x14ac:dyDescent="0.25">
      <c r="H919" s="1"/>
    </row>
    <row r="920" spans="8:8" x14ac:dyDescent="0.25">
      <c r="H920" s="1"/>
    </row>
    <row r="921" spans="8:8" x14ac:dyDescent="0.25">
      <c r="H921" s="1"/>
    </row>
    <row r="922" spans="8:8" x14ac:dyDescent="0.25">
      <c r="H922" s="1"/>
    </row>
    <row r="923" spans="8:8" x14ac:dyDescent="0.25">
      <c r="H923" s="1"/>
    </row>
    <row r="924" spans="8:8" x14ac:dyDescent="0.25">
      <c r="H924" s="1"/>
    </row>
    <row r="925" spans="8:8" x14ac:dyDescent="0.25">
      <c r="H925" s="1"/>
    </row>
    <row r="926" spans="8:8" x14ac:dyDescent="0.25">
      <c r="H926" s="1"/>
    </row>
    <row r="927" spans="8:8" x14ac:dyDescent="0.25">
      <c r="H927" s="1"/>
    </row>
    <row r="928" spans="8:8" x14ac:dyDescent="0.25">
      <c r="H928" s="1"/>
    </row>
    <row r="929" spans="8:8" x14ac:dyDescent="0.25">
      <c r="H929" s="1"/>
    </row>
    <row r="930" spans="8:8" x14ac:dyDescent="0.25">
      <c r="H930" s="1"/>
    </row>
    <row r="931" spans="8:8" x14ac:dyDescent="0.25">
      <c r="H931" s="1"/>
    </row>
    <row r="932" spans="8:8" x14ac:dyDescent="0.25">
      <c r="H932" s="1"/>
    </row>
    <row r="933" spans="8:8" x14ac:dyDescent="0.25">
      <c r="H933" s="1"/>
    </row>
    <row r="934" spans="8:8" x14ac:dyDescent="0.25">
      <c r="H934" s="1"/>
    </row>
    <row r="935" spans="8:8" x14ac:dyDescent="0.25">
      <c r="H935" s="1"/>
    </row>
  </sheetData>
  <sortState ref="K2:R594">
    <sortCondition ref="M2:M5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Board &amp; Executives</vt:lpstr>
      <vt:lpstr>Andrea Smith</vt:lpstr>
      <vt:lpstr>Thomas Montag</vt:lpstr>
      <vt:lpstr>Paul Donofrio</vt:lpstr>
      <vt:lpstr>Sheri Bronstein</vt:lpstr>
      <vt:lpstr>Catherine Bessant</vt:lpstr>
      <vt:lpstr>R David Yost</vt:lpstr>
      <vt:lpstr>Clayton Rose</vt:lpstr>
      <vt:lpstr>Monica Lozano</vt:lpstr>
      <vt:lpstr>Linda Hudson</vt:lpstr>
      <vt:lpstr>Brian Moynihan</vt:lpstr>
      <vt:lpstr>Jack O. Bovender</vt:lpstr>
      <vt:lpstr>Company PAC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</dc:creator>
  <cp:lastModifiedBy>Matt Marnell</cp:lastModifiedBy>
  <dcterms:created xsi:type="dcterms:W3CDTF">2021-06-27T17:25:36Z</dcterms:created>
  <dcterms:modified xsi:type="dcterms:W3CDTF">2021-08-03T17:22:22Z</dcterms:modified>
</cp:coreProperties>
</file>